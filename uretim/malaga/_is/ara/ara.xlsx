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Özet" sheetId="1" state="visible" r:id="rId1"/>
    <sheet name="Teslimat" sheetId="2" state="visible" r:id="rId2"/>
    <sheet name="Şehir" sheetId="3" state="visible" r:id="rId3"/>
    <sheet name="Konular" sheetId="4" state="visible" r:id="rId4"/>
    <sheet name="Yanıtlar" sheetId="5" state="visible" r:id="rId5"/>
    <sheet name="Mekânlar" sheetId="6" state="visible" r:id="rId6"/>
    <sheet name="Mahalleler" sheetId="7" state="visible" r:id="rId7"/>
    <sheet name="Bağlantılar" sheetId="8" state="visible" r:id="rId8"/>
    <sheet name="Rotalar" sheetId="9" state="visible" r:id="rId9"/>
    <sheet name="Sözlük" sheetId="10" state="visible" r:id="rId10"/>
    <sheet name="Adımlar" sheetId="11" state="visible" r:id="rId11"/>
    <sheet name="Kaynaklar" sheetId="12" state="visible" r:id="rId12"/>
    <sheet name="Fotoğraflar" sheetId="13" state="visible" r:id="rId13"/>
    <sheet name="Kanıtlar" sheetId="14" state="visible" r:id="rId14"/>
    <sheet name="SayfaAlanları" sheetId="15" state="visible" r:id="rId15"/>
    <sheet name="EkDetaylar" sheetId="16" state="visible" r:id="rId16"/>
    <sheet name="FotoğrafKaynakları" sheetId="17" state="visible" r:id="rId17"/>
  </sheets>
  <definedNames/>
</workbook>
</file>

<file path=xl/styles.xml><?xml version="1.0" encoding="utf-8"?>
<styleSheet xmlns="http://schemas.openxmlformats.org/spreadsheetml/2006/main">
  <numFmts count="2">
    <numFmt numFmtId="164" formatCode="yyyy-mm-dd"/>
    <numFmt numFmtId="165" formatCode="0.000000"/>
  </numFmts>
  <fonts count="8">
    <font>
      <name val="Carlito"/>
      <sz val="11"/>
    </font>
    <font>
      <name val="Arial"/>
      <color rgb="FF17382F"/>
      <sz val="11"/>
    </font>
    <font>
      <name val="Arial"/>
      <b val="1"/>
      <color rgb="FF173B31"/>
      <sz val="16"/>
    </font>
    <font>
      <name val="Arial"/>
      <b val="1"/>
      <color rgb="FFFFFFFF"/>
      <sz val="11"/>
    </font>
    <font>
      <name val="Arial"/>
      <b val="1"/>
      <color rgb="FF17382F"/>
      <sz val="11"/>
    </font>
    <font>
      <name val="Arial"/>
      <color rgb="FF6B7B73"/>
      <sz val="10"/>
    </font>
    <font>
      <name val="Arial"/>
      <color rgb="FFFFFFFF"/>
      <sz val="10"/>
    </font>
    <font>
      <name val="Arial"/>
      <b val="1"/>
      <color rgb="FF173B31"/>
      <sz val="17"/>
    </font>
  </fonts>
  <fills count="10">
    <fill>
      <patternFill/>
    </fill>
    <fill>
      <patternFill patternType="gray125"/>
    </fill>
    <fill>
      <patternFill patternType="solid">
        <fgColor rgb="FFFFFFFF"/>
      </patternFill>
    </fill>
    <fill>
      <patternFill patternType="solid">
        <fgColor rgb="FF173B31"/>
      </patternFill>
    </fill>
    <fill>
      <patternFill patternType="solid">
        <fgColor rgb="FFF5F6F2"/>
      </patternFill>
    </fill>
    <fill>
      <patternFill patternType="solid">
        <fgColor rgb="FFFFF4D7"/>
      </patternFill>
    </fill>
    <fill>
      <patternFill patternType="solid">
        <fgColor rgb="FFE7EDDF"/>
      </patternFill>
    </fill>
    <fill>
      <patternFill patternType="solid">
        <fgColor rgb="FFE7EDDF"/>
      </patternFill>
    </fill>
    <fill>
      <patternFill patternType="solid">
        <fgColor rgb="FF173B31"/>
      </patternFill>
    </fill>
    <fill>
      <patternFill patternType="solid">
        <fgColor rgb="FFFFF4D7"/>
      </patternFill>
    </fill>
  </fills>
  <borders count="2">
    <border>
      <left/>
      <right/>
      <top/>
      <bottom/>
      <diagonal/>
    </border>
    <border>
      <left/>
      <right/>
      <top/>
      <bottom style="thin">
        <color rgb="FFF66C4E"/>
      </bottom>
      <diagonal/>
    </border>
  </borders>
  <cellStyleXfs count="1">
    <xf numFmtId="0" fontId="0" fillId="0" borderId="0"/>
  </cellStyleXfs>
  <cellXfs count="53">
    <xf numFmtId="0" fontId="0" fillId="0" borderId="0" pivotButton="0" quotePrefix="0" xfId="0"/>
    <xf numFmtId="0" fontId="1" fillId="0" borderId="0" pivotButton="0" quotePrefix="0" xfId="0"/>
    <xf numFmtId="0" fontId="1" fillId="0" borderId="0"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vertical="center"/>
    </xf>
    <xf numFmtId="0" fontId="1" fillId="2" borderId="1" applyAlignment="1" pivotButton="0" quotePrefix="0" xfId="0">
      <alignment vertical="center"/>
    </xf>
    <xf numFmtId="0" fontId="1" fillId="3" borderId="0" applyAlignment="1" pivotButton="0" quotePrefix="0" xfId="0">
      <alignment vertical="center"/>
    </xf>
    <xf numFmtId="0" fontId="3" fillId="3" borderId="0" applyAlignment="1" pivotButton="0" quotePrefix="0" xfId="0">
      <alignment vertical="center"/>
    </xf>
    <xf numFmtId="0" fontId="3" fillId="3" borderId="0" applyAlignment="1" pivotButton="0" quotePrefix="0" xfId="0">
      <alignment vertical="center" wrapText="1"/>
    </xf>
    <xf numFmtId="0" fontId="3" fillId="3" borderId="0" applyAlignment="1" pivotButton="0" quotePrefix="0" xfId="0">
      <alignment horizontal="center" vertical="center" wrapText="1"/>
    </xf>
    <xf numFmtId="0" fontId="1" fillId="4" borderId="0" applyAlignment="1" pivotButton="0" quotePrefix="0" xfId="0">
      <alignment vertical="center"/>
    </xf>
    <xf numFmtId="3" fontId="1" fillId="4" borderId="0" applyAlignment="1" pivotButton="0" quotePrefix="0" xfId="0">
      <alignment vertical="center"/>
    </xf>
    <xf numFmtId="3" fontId="1" fillId="2" borderId="0" applyAlignment="1" pivotButton="0" quotePrefix="0" xfId="0">
      <alignment vertical="center"/>
    </xf>
    <xf numFmtId="0" fontId="4" fillId="2" borderId="0" applyAlignment="1" pivotButton="0" quotePrefix="0" xfId="0">
      <alignment vertical="center"/>
    </xf>
    <xf numFmtId="0" fontId="1" fillId="2" borderId="0" applyAlignment="1" pivotButton="0" quotePrefix="0" xfId="0">
      <alignment vertical="center" wrapText="1"/>
    </xf>
    <xf numFmtId="0" fontId="1" fillId="5" borderId="0" applyAlignment="1" pivotButton="0" quotePrefix="0" xfId="0">
      <alignment vertical="center"/>
    </xf>
    <xf numFmtId="0" fontId="1" fillId="5" borderId="0" applyAlignment="1" pivotButton="0" quotePrefix="0" xfId="0">
      <alignment vertical="center" wrapText="1"/>
    </xf>
    <xf numFmtId="0" fontId="1" fillId="6" borderId="0" applyAlignment="1" pivotButton="0" quotePrefix="0" xfId="0">
      <alignment vertical="center"/>
    </xf>
    <xf numFmtId="0" fontId="1" fillId="6" borderId="0"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vertical="center" wrapText="1"/>
    </xf>
    <xf numFmtId="0" fontId="1" fillId="0" borderId="1" applyAlignment="1" pivotButton="0" quotePrefix="0" xfId="0">
      <alignment vertical="center"/>
    </xf>
    <xf numFmtId="0" fontId="5" fillId="0" borderId="0" applyAlignment="1" pivotButton="0" quotePrefix="0" xfId="0">
      <alignment vertical="center"/>
    </xf>
    <xf numFmtId="0" fontId="4" fillId="6" borderId="0" applyAlignment="1" pivotButton="0" quotePrefix="0" xfId="0">
      <alignment vertical="center"/>
    </xf>
    <xf numFmtId="0" fontId="4" fillId="6" borderId="0" applyAlignment="1" pivotButton="0" quotePrefix="0" xfId="0">
      <alignment vertical="center" wrapText="1"/>
    </xf>
    <xf numFmtId="0" fontId="4" fillId="6" borderId="0" applyAlignment="1" pivotButton="0" quotePrefix="0" xfId="0">
      <alignment horizontal="center" vertical="center" wrapText="1"/>
    </xf>
    <xf numFmtId="0" fontId="6" fillId="3" borderId="0" applyAlignment="1" pivotButton="0" quotePrefix="0" xfId="0">
      <alignment vertical="center"/>
    </xf>
    <xf numFmtId="0" fontId="6" fillId="3" borderId="0" applyAlignment="1" pivotButton="0" quotePrefix="0" xfId="0">
      <alignment vertical="center" wrapText="1"/>
    </xf>
    <xf numFmtId="0" fontId="6" fillId="3" borderId="0" applyAlignment="1" pivotButton="0" quotePrefix="0" xfId="0">
      <alignment horizontal="center" vertical="center" wrapText="1"/>
    </xf>
    <xf numFmtId="0" fontId="1" fillId="5" borderId="0" applyAlignment="1" pivotButton="0" quotePrefix="0" xfId="0">
      <alignment vertical="top" wrapText="1"/>
    </xf>
    <xf numFmtId="164" fontId="1" fillId="5" borderId="0" applyAlignment="1" pivotButton="0" quotePrefix="0" xfId="0">
      <alignment vertical="top" wrapText="1"/>
    </xf>
    <xf numFmtId="164" fontId="1" fillId="5" borderId="0" applyAlignment="1" pivotButton="0" quotePrefix="0" xfId="0">
      <alignment horizontal="right" vertical="top" wrapText="1"/>
    </xf>
    <xf numFmtId="165" fontId="1" fillId="5" borderId="0" applyAlignment="1" pivotButton="0" quotePrefix="0" xfId="0">
      <alignment vertical="top" wrapText="1"/>
    </xf>
    <xf numFmtId="165" fontId="1" fillId="5" borderId="0" applyAlignment="1" pivotButton="0" quotePrefix="0" xfId="0">
      <alignment horizontal="right" vertical="top" wrapText="1"/>
    </xf>
    <xf numFmtId="1" fontId="1" fillId="5" borderId="0" applyAlignment="1" pivotButton="0" quotePrefix="0" xfId="0">
      <alignmen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0" fontId="1" fillId="0" borderId="0" applyAlignment="1" pivotButton="0" quotePrefix="0" xfId="0">
      <alignment wrapText="1"/>
    </xf>
    <xf numFmtId="0" fontId="1" fillId="0" borderId="0" applyAlignment="1" pivotButton="0" quotePrefix="0" xfId="0">
      <alignment vertical="top" wrapText="1"/>
    </xf>
    <xf numFmtId="0" fontId="7" fillId="0" borderId="0" applyAlignment="1" pivotButton="0" quotePrefix="0" xfId="0">
      <alignment vertical="top" wrapText="1"/>
    </xf>
    <xf numFmtId="0" fontId="1" fillId="7" borderId="0" applyAlignment="1" pivotButton="0" quotePrefix="0" xfId="0">
      <alignment vertical="top" wrapText="1"/>
    </xf>
    <xf numFmtId="0" fontId="4" fillId="7" borderId="0" applyAlignment="1" pivotButton="0" quotePrefix="0" xfId="0">
      <alignment vertical="top" wrapText="1"/>
    </xf>
    <xf numFmtId="0" fontId="1" fillId="8" borderId="0" applyAlignment="1" pivotButton="0" quotePrefix="0" xfId="0">
      <alignment vertical="top" wrapText="1"/>
    </xf>
    <xf numFmtId="0" fontId="6" fillId="8" borderId="0" applyAlignment="1" pivotButton="0" quotePrefix="0" xfId="0">
      <alignment vertical="top" wrapText="1"/>
    </xf>
    <xf numFmtId="0" fontId="1" fillId="9" borderId="0" applyAlignment="1" pivotButton="0" quotePrefix="0" xfId="0">
      <alignment vertical="top" wrapText="1"/>
    </xf>
    <xf numFmtId="0" fontId="1" fillId="7" borderId="0" applyAlignment="1" pivotButton="0" quotePrefix="0" xfId="0">
      <alignment vertical="center"/>
    </xf>
    <xf numFmtId="0" fontId="1" fillId="7" borderId="0" applyAlignment="1" pivotButton="0" quotePrefix="0" xfId="0">
      <alignment vertical="center" wrapText="1"/>
    </xf>
    <xf numFmtId="3" fontId="1" fillId="4" borderId="0" applyAlignment="1" pivotButton="0" quotePrefix="0" xfId="0">
      <alignment vertical="center"/>
    </xf>
    <xf numFmtId="3" fontId="1" fillId="2" borderId="0" applyAlignment="1" pivotButton="0" quotePrefix="0" xfId="0">
      <alignment vertical="center"/>
    </xf>
    <xf numFmtId="164" fontId="1" fillId="5" borderId="0" applyAlignment="1" pivotButton="0" quotePrefix="0" xfId="0">
      <alignment horizontal="right" vertical="top" wrapText="1"/>
    </xf>
    <xf numFmtId="165" fontId="1" fillId="5" borderId="0" applyAlignment="1" pivotButton="0" quotePrefix="0" xfId="0">
      <alignment horizontal="righ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cellXfs>
  <cellStyles count="1">
    <cellStyle name="Normal" xfId="0"/>
  </cellStyles>
  <dxfs count="157">
    <dxf>
      <font>
        <color rgb="FFA3412D"/>
      </font>
      <fill>
        <patternFill>
          <bgColor rgb="FFFFF0E9"/>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ables/table1.xml><?xml version="1.0" encoding="utf-8"?>
<table xmlns="http://schemas.openxmlformats.org/spreadsheetml/2006/main" id="1" name="CT_metadata" displayName="CT_metadata" ref="A7:I8" headerRowCount="1" totalsRowCount="0" totalsRowShown="0">
  <autoFilter ref="A7:I8"/>
  <tableColumns count="9">
    <tableColumn id="1" name="schema_version"/>
    <tableColumn id="2" name="delivery_id"/>
    <tableColumn id="3" name="city_id"/>
    <tableColumn id="4" name="editor"/>
    <tableColumn id="5" name="reviewer"/>
    <tableColumn id="6" name="scope"/>
    <tableColumn id="7" name="updated_on"/>
    <tableColumn id="8" name="editorial_status"/>
    <tableColumn id="9" name="notes"/>
  </tableColumns>
  <tableStyleInfo name="TableStyleMedium2" showFirstColumn="0" showLastColumn="0" showRowStripes="1" showColumnStripes="0"/>
</table>
</file>

<file path=xl/tables/table2.xml><?xml version="1.0" encoding="utf-8"?>
<table xmlns="http://schemas.openxmlformats.org/spreadsheetml/2006/main" id="2" name="CT_city" displayName="CT_city" ref="A7:AG8" headerRowCount="1" totalsRowCount="0" totalsRowShown="0">
  <autoFilter ref="A7:AG8"/>
  <tableColumns count="33">
    <tableColumn id="1" name="city_id"/>
    <tableColumn id="2" name="name"/>
    <tableColumn id="3" name="country"/>
    <tableColumn id="4" name="country_code"/>
    <tableColumn id="5" name="region"/>
    <tableColumn id="6" name="kind"/>
    <tableColumn id="7" name="title"/>
    <tableColumn id="8" name="intro"/>
    <tableColumn id="9" name="currency"/>
    <tableColumn id="10" name="currency_symbol"/>
    <tableColumn id="11" name="currency_label"/>
    <tableColumn id="12" name="language"/>
    <tableColumn id="13" name="timezone"/>
    <tableColumn id="14" name="latitude"/>
    <tableColumn id="15" name="longitude"/>
    <tableColumn id="16" name="coordinate_source_url"/>
    <tableColumn id="17" name="coordinate_checked_on"/>
    <tableColumn id="18" name="coordinate_note"/>
    <tableColumn id="19" name="source_url"/>
    <tableColumn id="20" name="source_checked_on"/>
    <tableColumn id="21" name="source_position"/>
    <tableColumn id="22" name="reviewed_on"/>
    <tableColumn id="23" name="priority"/>
    <tableColumn id="24" name="aliases"/>
    <tableColumn id="25" name="locality"/>
    <tableColumn id="26" name="tagline"/>
    <tableColumn id="27" name="directory_order"/>
    <tableColumn id="28" name="forecast_url"/>
    <tableColumn id="29" name="provider_url"/>
    <tableColumn id="30" name="forecast_label"/>
    <tableColumn id="31" name="hero_photo_id"/>
    <tableColumn id="32" name="editorial_notes"/>
    <tableColumn id="33" name="editorial_status"/>
  </tableColumns>
  <tableStyleInfo name="TableStyleMedium2" showFirstColumn="0" showLastColumn="0" showRowStripes="1" showColumnStripes="0"/>
</table>
</file>

<file path=xl/tables/table3.xml><?xml version="1.0" encoding="utf-8"?>
<table xmlns="http://schemas.openxmlformats.org/spreadsheetml/2006/main" id="3" name="CT_topics" displayName="CT_topics" ref="A7:H37" headerRowCount="1" totalsRowCount="0" totalsRowShown="0">
  <autoFilter ref="A7:H37"/>
  <tableColumns count="8">
    <tableColumn id="1" name="topic_id"/>
    <tableColumn id="2" name="city_id"/>
    <tableColumn id="3" name="slug"/>
    <tableColumn id="4" name="title"/>
    <tableColumn id="5" name="description"/>
    <tableColumn id="6" name="icon"/>
    <tableColumn id="7" name="order"/>
    <tableColumn id="8" name="used_count"/>
  </tableColumns>
  <tableStyleInfo name="TableStyleMedium2" showFirstColumn="0" showLastColumn="0" showRowStripes="1" showColumnStripes="0"/>
</table>
</file>

<file path=xl/tables/table4.xml><?xml version="1.0" encoding="utf-8"?>
<table xmlns="http://schemas.openxmlformats.org/spreadsheetml/2006/main" id="4" name="CT_answers" displayName="CT_answers" ref="A7:T307" headerRowCount="1" totalsRowCount="0" totalsRowShown="0">
  <autoFilter ref="A7:T307"/>
  <tableColumns count="20">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topic_id"/>
    <tableColumn id="15" name="steps"/>
    <tableColumn id="16" name="documents"/>
    <tableColumn id="17" name="timing"/>
    <tableColumn id="18" name="cost"/>
    <tableColumn id="19" name="note"/>
    <tableColumn id="20" name="visual_json"/>
  </tableColumns>
  <tableStyleInfo name="TableStyleMedium2" showFirstColumn="0" showLastColumn="0" showRowStripes="1" showColumnStripes="0"/>
</table>
</file>

<file path=xl/tables/table5.xml><?xml version="1.0" encoding="utf-8"?>
<table xmlns="http://schemas.openxmlformats.org/spreadsheetml/2006/main" id="5" name="CT_places" displayName="CT_places" ref="A7:W187" headerRowCount="1" totalsRowCount="0" totalsRowShown="0">
  <autoFilter ref="A7:W187"/>
  <tableColumns count="23">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group"/>
    <tableColumn id="15" name="district"/>
    <tableColumn id="16" name="setting"/>
    <tableColumn id="17" name="location"/>
    <tableColumn id="18" name="latitude"/>
    <tableColumn id="19" name="longitude"/>
    <tableColumn id="20" name="visit_status"/>
    <tableColumn id="21" name="note"/>
    <tableColumn id="22" name="collection"/>
    <tableColumn id="23" name="media_key"/>
  </tableColumns>
  <tableStyleInfo name="TableStyleMedium2" showFirstColumn="0" showLastColumn="0" showRowStripes="1" showColumnStripes="0"/>
</table>
</file>

<file path=xl/tables/table6.xml><?xml version="1.0" encoding="utf-8"?>
<table xmlns="http://schemas.openxmlformats.org/spreadsheetml/2006/main" id="6" name="CT_neighborhoods" displayName="CT_neighborhoods" ref="A7:R47" headerRowCount="1" totalsRowCount="0" totalsRowShown="0">
  <autoFilter ref="A7:R47"/>
  <tableColumns count="18">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location"/>
    <tableColumn id="15" name="tags"/>
    <tableColumn id="16" name="compare_json"/>
    <tableColumn id="17" name="note"/>
    <tableColumn id="18" name="media_key"/>
  </tableColumns>
  <tableStyleInfo name="TableStyleMedium2" showFirstColumn="0" showLastColumn="0" showRowStripes="1" showColumnStripes="0"/>
</table>
</file>

<file path=xl/tables/table7.xml><?xml version="1.0" encoding="utf-8"?>
<table xmlns="http://schemas.openxmlformats.org/spreadsheetml/2006/main" id="7" name="CT_actions" displayName="CT_actions" ref="A7:G807" headerRowCount="1" totalsRowCount="0" totalsRowShown="0">
  <autoFilter ref="A7:G807"/>
  <tableColumns count="7">
    <tableColumn id="1" name="action_id"/>
    <tableColumn id="2" name="city_id"/>
    <tableColumn id="3" name="entry_id"/>
    <tableColumn id="4" name="label"/>
    <tableColumn id="5" name="url"/>
    <tableColumn id="6" name="checked_on"/>
    <tableColumn id="7" name="order"/>
  </tableColumns>
  <tableStyleInfo name="TableStyleMedium2" showFirstColumn="0" showLastColumn="0" showRowStripes="1" showColumnStripes="0"/>
</table>
</file>

<file path=xl/tables/table8.xml><?xml version="1.0" encoding="utf-8"?>
<table xmlns="http://schemas.openxmlformats.org/spreadsheetml/2006/main" id="8" name="CT_routes" displayName="CT_routes" ref="A7:L37" headerRowCount="1" totalsRowCount="0" totalsRowShown="0">
  <autoFilter ref="A7:L37"/>
  <tableColumns count="12">
    <tableColumn id="1" name="route_id"/>
    <tableColumn id="2" name="city_id"/>
    <tableColumn id="3" name="title"/>
    <tableColumn id="4" name="tag"/>
    <tableColumn id="5" name="stops"/>
    <tableColumn id="6" name="stop_entry_ids"/>
    <tableColumn id="7" name="entry_id"/>
    <tableColumn id="8" name="note"/>
    <tableColumn id="9" name="reviewed_on"/>
    <tableColumn id="10" name="source_ids"/>
    <tableColumn id="11" name="order"/>
    <tableColumn id="12" name="editorial_status"/>
  </tableColumns>
  <tableStyleInfo name="TableStyleMedium2" showFirstColumn="0" showLastColumn="0" showRowStripes="1" showColumnStripes="0"/>
</table>
</file>

<file path=xl/tables/table9.xml><?xml version="1.0" encoding="utf-8"?>
<table xmlns="http://schemas.openxmlformats.org/spreadsheetml/2006/main" id="9" name="CT_glossary" displayName="CT_glossary" ref="A7:H107" headerRowCount="1" totalsRowCount="0" totalsRowShown="0">
  <autoFilter ref="A7:H107"/>
  <tableColumns count="8">
    <tableColumn id="1" name="term_id"/>
    <tableColumn id="2" name="city_id"/>
    <tableColumn id="3" name="term"/>
    <tableColumn id="4" name="definition"/>
    <tableColumn id="5" name="source_ids"/>
    <tableColumn id="6" name="reviewed_on"/>
    <tableColumn id="7" name="order"/>
    <tableColumn id="8" name="editorial_status"/>
  </tableColumns>
  <tableStyleInfo name="TableStyleMedium2" showFirstColumn="0" showLastColumn="0" showRowStripes="1" showColumnStripes="0"/>
</table>
</file>

<file path=xl/tables/table10.xml><?xml version="1.0" encoding="utf-8"?>
<table xmlns="http://schemas.openxmlformats.org/spreadsheetml/2006/main" id="10" name="CT_journey_steps" displayName="CT_journey_steps" ref="A7:G47" headerRowCount="1" totalsRowCount="0" totalsRowShown="0">
  <autoFilter ref="A7:G47"/>
  <tableColumns count="7">
    <tableColumn id="1" name="step_id"/>
    <tableColumn id="2" name="city_id"/>
    <tableColumn id="3" name="entry_id"/>
    <tableColumn id="4" name="title"/>
    <tableColumn id="5" name="when"/>
    <tableColumn id="6" name="description"/>
    <tableColumn id="7" name="order"/>
  </tableColumns>
  <tableStyleInfo name="TableStyleMedium2" showFirstColumn="0" showLastColumn="0" showRowStripes="1" showColumnStripes="0"/>
</table>
</file>

<file path=xl/tables/table11.xml><?xml version="1.0" encoding="utf-8"?>
<table xmlns="http://schemas.openxmlformats.org/spreadsheetml/2006/main" id="11" name="CT_sources" displayName="CT_sources" ref="A7:K507" headerRowCount="1" totalsRowCount="0" totalsRowShown="0">
  <autoFilter ref="A7:K507"/>
  <tableColumns count="11">
    <tableColumn id="1" name="source_id"/>
    <tableColumn id="2" name="city_id"/>
    <tableColumn id="3" name="title"/>
    <tableColumn id="4" name="publisher"/>
    <tableColumn id="5" name="url"/>
    <tableColumn id="6" name="checked_on"/>
    <tableColumn id="7" name="topic"/>
    <tableColumn id="8" name="summary"/>
    <tableColumn id="9" name="verified"/>
    <tableColumn id="10" name="snapshot_file"/>
    <tableColumn id="11" name="snapshot_sha256"/>
  </tableColumns>
  <tableStyleInfo name="TableStyleMedium2" showFirstColumn="0" showLastColumn="0" showRowStripes="1" showColumnStripes="0"/>
</table>
</file>

<file path=xl/tables/table12.xml><?xml version="1.0" encoding="utf-8"?>
<table xmlns="http://schemas.openxmlformats.org/spreadsheetml/2006/main" id="12" name="CT_photos" displayName="CT_photos" ref="A7:T357" headerRowCount="1" totalsRowCount="0" totalsRowShown="0">
  <autoFilter ref="A7:T357"/>
  <tableColumns count="20">
    <tableColumn id="1" name="photo_id"/>
    <tableColumn id="2" name="city_id"/>
    <tableColumn id="3" name="role"/>
    <tableColumn id="4" name="entry_id"/>
    <tableColumn id="5" name="file"/>
    <tableColumn id="6" name="sha256"/>
    <tableColumn id="7" name="caption"/>
    <tableColumn id="8" name="author"/>
    <tableColumn id="9" name="license"/>
    <tableColumn id="10" name="license_url"/>
    <tableColumn id="11" name="source_url"/>
    <tableColumn id="12" name="capture_date"/>
    <tableColumn id="13" name="source_checked_on"/>
    <tableColumn id="14" name="modifications"/>
    <tableColumn id="15" name="evidence_id"/>
    <tableColumn id="16" name="completion_credit"/>
    <tableColumn id="17" name="order"/>
    <tableColumn id="18" name="editorial_status"/>
    <tableColumn id="19" name="unique_venue_count"/>
    <tableColumn id="20" name="unique_hero_count"/>
  </tableColumns>
  <tableStyleInfo name="TableStyleMedium2" showFirstColumn="0" showLastColumn="0" showRowStripes="1" showColumnStripes="0"/>
</table>
</file>

<file path=xl/tables/table13.xml><?xml version="1.0" encoding="utf-8"?>
<table xmlns="http://schemas.openxmlformats.org/spreadsheetml/2006/main" id="13" name="CT_evidence" displayName="CT_evidence" ref="A7:W357" headerRowCount="1" totalsRowCount="0" totalsRowShown="0">
  <autoFilter ref="A7:W357"/>
  <tableColumns count="23">
    <tableColumn id="1" name="evidence_id"/>
    <tableColumn id="2" name="city_id"/>
    <tableColumn id="3" name="photo_id"/>
    <tableColumn id="4" name="source_url"/>
    <tableColumn id="5" name="source_title"/>
    <tableColumn id="6" name="author"/>
    <tableColumn id="7" name="license"/>
    <tableColumn id="8" name="license_url"/>
    <tableColumn id="9" name="usage_terms"/>
    <tableColumn id="10" name="attribution"/>
    <tableColumn id="11" name="restrictions"/>
    <tableColumn id="12" name="checked_on"/>
    <tableColumn id="13" name="metadata_review_status"/>
    <tableColumn id="14" name="pixel_review_status"/>
    <tableColumn id="15" name="pixel_review_file"/>
    <tableColumn id="16" name="pixel_review_note"/>
    <tableColumn id="17" name="rights_status"/>
    <tableColumn id="18" name="rights_basis"/>
    <tableColumn id="19" name="source_snapshot_file"/>
    <tableColumn id="20" name="source_snapshot_sha256"/>
    <tableColumn id="21" name="license_snapshot_file"/>
    <tableColumn id="22" name="license_snapshot_sha256"/>
    <tableColumn id="23" name="source_evidence_json"/>
  </tableColumns>
  <tableStyleInfo name="TableStyleMedium2" showFirstColumn="0" showLastColumn="0" showRowStripes="1" showColumnStripes="0"/>
</table>
</file>

<file path=xl/tables/table14.xml><?xml version="1.0" encoding="utf-8"?>
<table xmlns="http://schemas.openxmlformats.org/spreadsheetml/2006/main" id="14" name="CT_page_fields" displayName="CT_page_fields" ref="A7:G127" headerRowCount="1" totalsRowCount="0" totalsRowShown="0">
  <autoFilter ref="A7:G127"/>
  <tableColumns count="7">
    <tableColumn id="1" name="field_id"/>
    <tableColumn id="2" name="city_id"/>
    <tableColumn id="3" name="key"/>
    <tableColumn id="4" name="label"/>
    <tableColumn id="5" name="value_type"/>
    <tableColumn id="6" name="value"/>
    <tableColumn id="7" name="reviewed_on"/>
  </tableColumns>
  <tableStyleInfo name="TableStyleMedium2" showFirstColumn="0" showLastColumn="0" showRowStripes="1" showColumnStripes="0"/>
</table>
</file>

<file path=xl/tables/table15.xml><?xml version="1.0" encoding="utf-8"?>
<table xmlns="http://schemas.openxmlformats.org/spreadsheetml/2006/main" id="15" name="CT_entry_details" displayName="CT_entry_details" ref="A7:G207" headerRowCount="1" totalsRowCount="0" totalsRowShown="0">
  <autoFilter ref="A7:G207"/>
  <tableColumns count="7">
    <tableColumn id="1" name="detail_id"/>
    <tableColumn id="2" name="city_id"/>
    <tableColumn id="3" name="entry_id"/>
    <tableColumn id="4" name="key"/>
    <tableColumn id="5" name="label"/>
    <tableColumn id="6" name="value_type"/>
    <tableColumn id="7" name="value"/>
  </tableColumns>
  <tableStyleInfo name="TableStyleMedium2" showFirstColumn="0" showLastColumn="0" showRowStripes="1" showColumnStripes="0"/>
</table>
</file>

<file path=xl/tables/table16.xml><?xml version="1.0" encoding="utf-8"?>
<table xmlns="http://schemas.openxmlformats.org/spreadsheetml/2006/main" id="16" name="CT_photo_provenance" displayName="CT_photo_provenance" ref="A7:O607" headerRowCount="1" totalsRowCount="0" totalsRowShown="0">
  <autoFilter ref="A7:O607"/>
  <tableColumns count="15">
    <tableColumn id="1" name="photo_id"/>
    <tableColumn id="2" name="author_url"/>
    <tableColumn id="3" name="attribution_url"/>
    <tableColumn id="4" name="original_file_url"/>
    <tableColumn id="5" name="downloaded_file_url"/>
    <tableColumn id="6" name="downloaded_on"/>
    <tableColumn id="7" name="original_file"/>
    <tableColumn id="8" name="original_sha256"/>
    <tableColumn id="9" name="web_file"/>
    <tableColumn id="10" name="web_sha256"/>
    <tableColumn id="11" name="web_width"/>
    <tableColumn id="12" name="web_height"/>
    <tableColumn id="13" name="derivation"/>
    <tableColumn id="14" name="provenance_status"/>
    <tableColumn id="15" name="provenance_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sheet1.xml><?xml version="1.0" encoding="utf-8"?>
<worksheet xmlns="http://schemas.openxmlformats.org/spreadsheetml/2006/main">
  <sheetPr>
    <tabColor rgb="FF173B31"/>
    <outlinePr summaryBelow="1" summaryRight="1"/>
    <pageSetUpPr/>
  </sheetPr>
  <dimension ref="A1:I39"/>
  <sheetViews>
    <sheetView showGridLines="0" workbookViewId="0">
      <selection activeCell="A1" sqref="A1"/>
    </sheetView>
  </sheetViews>
  <sheetFormatPr baseColWidth="8" defaultRowHeight="15"/>
  <cols>
    <col width="31"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30" customHeight="1">
      <c r="A1" s="3" t="n"/>
      <c r="B1" s="3" t="n"/>
      <c r="C1" s="3" t="n"/>
      <c r="D1" s="3" t="n"/>
      <c r="E1" s="3" t="n"/>
      <c r="F1" s="3" t="n"/>
      <c r="G1" s="3" t="n"/>
      <c r="H1" s="3" t="n"/>
      <c r="I1" s="3" t="n"/>
    </row>
    <row r="2" ht="30" customHeight="1">
      <c r="A2" s="4" t="inlineStr">
        <is>
          <t>Corteqs · Şehir içerik teslimi</t>
        </is>
      </c>
      <c r="B2" s="3" t="n"/>
      <c r="C2" s="3" t="n"/>
      <c r="D2" s="3" t="n"/>
      <c r="E2" s="3" t="n"/>
      <c r="F2" s="3" t="n"/>
      <c r="G2" s="3" t="n"/>
      <c r="H2" s="3" t="n"/>
      <c r="I2" s="3" t="n"/>
    </row>
    <row r="3" ht="30" customHeight="1">
      <c r="A3" s="5" t="inlineStr">
        <is>
          <t>Málaga · İspanya · CITY-075</t>
        </is>
      </c>
      <c r="B3" s="5" t="n"/>
      <c r="C3" s="5" t="n"/>
      <c r="D3" s="5" t="n"/>
      <c r="E3" s="5" t="n"/>
      <c r="F3" s="5" t="n"/>
      <c r="G3" s="5" t="n"/>
      <c r="H3" s="5" t="n"/>
      <c r="I3" s="5" t="n"/>
    </row>
    <row r="4" ht="30" customHeight="1">
      <c r="A4" s="3" t="n"/>
      <c r="B4" s="3" t="n"/>
      <c r="C4" s="3" t="n"/>
      <c r="D4" s="3" t="n"/>
      <c r="E4" s="3" t="n"/>
      <c r="F4" s="3" t="n"/>
      <c r="G4" s="3" t="n"/>
      <c r="H4" s="3" t="n"/>
      <c r="I4" s="3" t="n"/>
    </row>
    <row r="5" ht="34" customHeight="1">
      <c r="A5" s="9" t="inlineStr">
        <is>
          <t>İçerik türü</t>
        </is>
      </c>
      <c r="B5" s="9" t="inlineStr">
        <is>
          <t>Dosyada</t>
        </is>
      </c>
      <c r="C5" s="9" t="inlineStr">
        <is>
          <t>Asgari</t>
        </is>
      </c>
      <c r="D5" s="9" t="inlineStr">
        <is>
          <t>Hedef</t>
        </is>
      </c>
      <c r="E5" s="9" t="inlineStr">
        <is>
          <t>Asgariye kalan</t>
        </is>
      </c>
      <c r="F5" s="9" t="inlineStr">
        <is>
          <t>Hedefe kalan</t>
        </is>
      </c>
      <c r="G5" s="3" t="n"/>
      <c r="H5" s="3" t="n"/>
      <c r="I5" s="3" t="n"/>
    </row>
    <row r="6" ht="30" customHeight="1">
      <c r="A6" s="10" t="inlineStr">
        <is>
          <t>Pratik yaşam yanıtı</t>
        </is>
      </c>
      <c r="B6" s="47">
        <f>COUNTA('Yanıtlar'!$A$8:$A$307)</f>
        <v/>
      </c>
      <c r="C6" s="47" t="n">
        <v>212</v>
      </c>
      <c r="D6" s="47" t="n">
        <v>240</v>
      </c>
      <c r="E6" s="47">
        <f>MAX(C6-B6,0)</f>
        <v/>
      </c>
      <c r="F6" s="47">
        <f>MAX(D6-B6,0)</f>
        <v/>
      </c>
      <c r="G6" s="3" t="n"/>
      <c r="H6" s="3" t="n"/>
      <c r="I6" s="3" t="n"/>
    </row>
    <row r="7" ht="30" customHeight="1">
      <c r="A7" s="3" t="inlineStr">
        <is>
          <t>Keşif noktası</t>
        </is>
      </c>
      <c r="B7" s="48">
        <f>COUNTA('Mekânlar'!$A$8:$A$187)</f>
        <v/>
      </c>
      <c r="C7" s="48" t="n">
        <v>92</v>
      </c>
      <c r="D7" s="48" t="n">
        <v>120</v>
      </c>
      <c r="E7" s="48">
        <f>MAX(C7-B7,0)</f>
        <v/>
      </c>
      <c r="F7" s="48">
        <f>MAX(D7-B7,0)</f>
        <v/>
      </c>
      <c r="G7" s="3" t="n"/>
      <c r="H7" s="3" t="n"/>
      <c r="I7" s="3" t="n"/>
    </row>
    <row r="8" ht="30" customHeight="1">
      <c r="A8" s="10" t="inlineStr">
        <is>
          <t>Mahalle / yerel bölge</t>
        </is>
      </c>
      <c r="B8" s="47">
        <f>COUNTA('Mahalleler'!$A$8:$A$47)</f>
        <v/>
      </c>
      <c r="C8" s="47" t="n">
        <v>12</v>
      </c>
      <c r="D8" s="47" t="n">
        <v>16</v>
      </c>
      <c r="E8" s="47">
        <f>MAX(C8-B8,0)</f>
        <v/>
      </c>
      <c r="F8" s="47">
        <f>MAX(D8-B8,0)</f>
        <v/>
      </c>
      <c r="G8" s="3" t="n"/>
      <c r="H8" s="3" t="n"/>
      <c r="I8" s="3" t="n"/>
    </row>
    <row r="9" ht="30" customHeight="1">
      <c r="A9" s="3" t="inlineStr">
        <is>
          <t>Yanıt içeren konu</t>
        </is>
      </c>
      <c r="B9" s="48">
        <f>SUM('Konular'!$H$8:$H$37)</f>
        <v/>
      </c>
      <c r="C9" s="48" t="n">
        <v>12</v>
      </c>
      <c r="D9" s="48" t="n">
        <v>12</v>
      </c>
      <c r="E9" s="48">
        <f>MAX(C9-B9,0)</f>
        <v/>
      </c>
      <c r="F9" s="48">
        <f>MAX(D9-B9,0)</f>
        <v/>
      </c>
      <c r="G9" s="3" t="n"/>
      <c r="H9" s="3" t="n"/>
      <c r="I9" s="3" t="n"/>
    </row>
    <row r="10" ht="30" customHeight="1">
      <c r="A10" s="10" t="inlineStr">
        <is>
          <t>Farklı mekân fotoğrafı</t>
        </is>
      </c>
      <c r="B10" s="47">
        <f>SUM('Fotoğraflar'!$S$8:$S$607)</f>
        <v/>
      </c>
      <c r="C10" s="47" t="n">
        <v>187</v>
      </c>
      <c r="D10" s="47" t="n">
        <v>250</v>
      </c>
      <c r="E10" s="47">
        <f>MAX(C10-B10,0)</f>
        <v/>
      </c>
      <c r="F10" s="47">
        <f>MAX(D10-B10,0)</f>
        <v/>
      </c>
      <c r="G10" s="3" t="n"/>
      <c r="H10" s="3" t="n"/>
      <c r="I10" s="3" t="n"/>
    </row>
    <row r="11" ht="30" customHeight="1">
      <c r="A11" s="3" t="inlineStr">
        <is>
          <t>Farklı kapak fotoğrafı</t>
        </is>
      </c>
      <c r="B11" s="48">
        <f>SUM('Fotoğraflar'!$T$8:$T$607)</f>
        <v/>
      </c>
      <c r="C11" s="48" t="n">
        <v>6</v>
      </c>
      <c r="D11" s="48" t="n">
        <v>8</v>
      </c>
      <c r="E11" s="48">
        <f>MAX(C11-B11,0)</f>
        <v/>
      </c>
      <c r="F11" s="48">
        <f>MAX(D11-B11,0)</f>
        <v/>
      </c>
      <c r="G11" s="3" t="n"/>
      <c r="H11" s="3" t="n"/>
      <c r="I11" s="3" t="n"/>
    </row>
    <row r="12" ht="30" customHeight="1">
      <c r="A12" s="10" t="inlineStr">
        <is>
          <t>Rota</t>
        </is>
      </c>
      <c r="B12" s="47">
        <f>COUNTA('Rotalar'!$A$8:$A$37)</f>
        <v/>
      </c>
      <c r="C12" s="47" t="n">
        <v>9</v>
      </c>
      <c r="D12" s="47" t="n">
        <v>12</v>
      </c>
      <c r="E12" s="47">
        <f>MAX(C12-B12,0)</f>
        <v/>
      </c>
      <c r="F12" s="47">
        <f>MAX(D12-B12,0)</f>
        <v/>
      </c>
      <c r="G12" s="3" t="n"/>
      <c r="H12" s="3" t="n"/>
      <c r="I12" s="3" t="n"/>
    </row>
    <row r="13" ht="30" customHeight="1">
      <c r="A13" s="3" t="inlineStr">
        <is>
          <t>Sözlük terimi</t>
        </is>
      </c>
      <c r="B13" s="48">
        <f>COUNTA('Sözlük'!$A$8:$A$107)</f>
        <v/>
      </c>
      <c r="C13" s="48" t="n">
        <v>48</v>
      </c>
      <c r="D13" s="48" t="n">
        <v>60</v>
      </c>
      <c r="E13" s="48">
        <f>MAX(C13-B13,0)</f>
        <v/>
      </c>
      <c r="F13" s="48">
        <f>MAX(D13-B13,0)</f>
        <v/>
      </c>
      <c r="G13" s="3" t="n"/>
      <c r="H13" s="3" t="n"/>
      <c r="I13" s="3" t="n"/>
    </row>
    <row r="14" ht="68" customHeight="1">
      <c r="A14" s="46" t="inlineStr">
        <is>
          <t>v7 · Kaynak zinciri: FotoğrafKaynakları. Miktar, onay değildir.</t>
        </is>
      </c>
      <c r="B14" s="46" t="n"/>
      <c r="C14" s="46" t="n"/>
      <c r="D14" s="46" t="n"/>
      <c r="E14" s="46" t="n"/>
      <c r="F14" s="46" t="n"/>
      <c r="G14" s="3" t="n"/>
      <c r="H14" s="3" t="n"/>
      <c r="I14" s="3" t="n"/>
    </row>
    <row r="15" ht="30" customHeight="1">
      <c r="A15" s="3" t="n"/>
      <c r="B15" s="3" t="n"/>
      <c r="C15" s="3" t="n"/>
      <c r="D15" s="3" t="n"/>
      <c r="E15" s="3" t="n"/>
      <c r="F15" s="3" t="n"/>
      <c r="G15" s="3" t="n"/>
      <c r="H15" s="3" t="n"/>
      <c r="I15" s="3" t="n"/>
    </row>
    <row r="16" ht="30" customHeight="1">
      <c r="A16" s="13" t="inlineStr">
        <is>
          <t>Dosyayı doldurma sırası</t>
        </is>
      </c>
      <c r="B16" s="3" t="n"/>
      <c r="C16" s="3" t="n"/>
      <c r="D16" s="3" t="n"/>
      <c r="E16" s="3" t="n"/>
      <c r="F16" s="3" t="n"/>
      <c r="G16" s="3" t="n"/>
      <c r="H16" s="3" t="n"/>
      <c r="I16" s="3" t="n"/>
    </row>
    <row r="17" ht="30" customHeight="1">
      <c r="A17" s="3" t="n"/>
      <c r="B17" s="3" t="n"/>
      <c r="C17" s="3" t="n"/>
      <c r="D17" s="3" t="n"/>
      <c r="E17" s="3" t="n"/>
      <c r="F17" s="3" t="n"/>
      <c r="G17" s="3" t="n"/>
      <c r="H17" s="3" t="n"/>
      <c r="I17" s="3" t="n"/>
    </row>
    <row r="18" ht="32" customHeight="1">
      <c r="A18" s="14" t="inlineStr">
        <is>
          <t>1. Teslimat ve Şehir alanlarını doldurun; şehir kimliğini tüm sayfalarda aynı kullanın.</t>
        </is>
      </c>
    </row>
    <row r="19" ht="32" customHeight="1">
      <c r="A19" s="14" t="inlineStr">
        <is>
          <t>2. Kaynaklar ve Konular kaydını açın. Yanıt, mekân ve mahalle satırlarını bu kimliklere bağlayın.</t>
        </is>
      </c>
    </row>
    <row r="20" ht="32" customHeight="1">
      <c r="A20" s="14" t="inlineStr">
        <is>
          <t>3. Bağlantılar, Fotoğraflar ve Kanıtlar satırlarını tamamlayın; rota ve sözlük kaynaklarını ekleyin.</t>
        </is>
      </c>
    </row>
    <row r="21" ht="32" customHeight="1">
      <c r="A21" s="14" t="inlineStr">
        <is>
          <t>4. Kaynak kontrol tarihini yazın. Çekim tarihi bilinmiyorsa boş bırakın; tarih uydurmayın.</t>
        </is>
      </c>
    </row>
    <row r="22" ht="54" customHeight="1">
      <c r="A22" s="14" t="inlineStr">
        <is>
          <t>5. Paketin tamamı insan editör tarafından incelenir; tek paket kararı yönetim ekranında verilir. Excel’de satır satır onay işaretlemek gerekmez.</t>
        </is>
      </c>
    </row>
    <row r="23" ht="30" customHeight="1">
      <c r="A23" s="3" t="n"/>
      <c r="B23" s="3" t="n"/>
      <c r="C23" s="3" t="n"/>
      <c r="D23" s="3" t="n"/>
      <c r="E23" s="3" t="n"/>
      <c r="F23" s="3" t="n"/>
      <c r="G23" s="3" t="n"/>
      <c r="H23" s="3" t="n"/>
      <c r="I23" s="3" t="n"/>
    </row>
    <row r="24" ht="30" customHeight="1">
      <c r="A24" s="3" t="n"/>
      <c r="B24" s="3" t="n"/>
      <c r="C24" s="3" t="n"/>
      <c r="D24" s="3" t="n"/>
      <c r="E24" s="3" t="n"/>
      <c r="F24" s="3" t="n"/>
      <c r="G24" s="3" t="n"/>
      <c r="H24" s="3" t="n"/>
      <c r="I24" s="3" t="n"/>
    </row>
    <row r="25" ht="29" customHeight="1">
      <c r="A25" s="16" t="inlineStr">
        <is>
          <t>Sarı alanlar düzenlenebilir. Koyu satırdaki makine sütun adları (7. satır) ve sayfa adları değişmez. Veri 8. satırdan başlar. Kimlik listelerinde ; kullanın; işlem, belge ve durakları hücre içinde ayrı satırlara yazın.</t>
        </is>
      </c>
    </row>
    <row r="26" ht="29" customHeight="1"/>
    <row r="27" ht="30" customHeight="1">
      <c r="A27" s="3" t="n"/>
      <c r="B27" s="3" t="n"/>
      <c r="C27" s="3" t="n"/>
      <c r="D27" s="3" t="n"/>
      <c r="E27" s="3" t="n"/>
      <c r="F27" s="3" t="n"/>
      <c r="G27" s="3" t="n"/>
      <c r="H27" s="3" t="n"/>
      <c r="I27" s="3" t="n"/>
    </row>
    <row r="28" ht="29" customHeight="1">
      <c r="A28" s="18" t="inlineStr">
        <is>
          <t>Fotoğraf miktarı dosya SHA-256 özeti ve rolüyle ölçülür; aynı kareye ait türevler ayrıca ayıklanır. Sayımda kullanılabilir eski alanı korunur, insan onayı yerine geçmez. Paket kararı yönetim ekranındadır.</t>
        </is>
      </c>
    </row>
    <row r="29" ht="29" customHeight="1"/>
    <row r="30" ht="30" customHeight="1">
      <c r="A30" s="3" t="n"/>
      <c r="B30" s="3" t="n"/>
      <c r="C30" s="3" t="n"/>
      <c r="D30" s="3" t="n"/>
      <c r="E30" s="3" t="n"/>
      <c r="F30" s="3" t="n"/>
      <c r="G30" s="3" t="n"/>
      <c r="H30" s="3" t="n"/>
      <c r="I30" s="3" t="n"/>
    </row>
    <row r="31" ht="29" customHeight="1">
      <c r="A31" s="14" t="inlineStr">
        <is>
          <t>Asgari eşikler: 212 yanıt, 92 mekân, 12 mahalle, 12 konu, 187 farklı mekân fotoğrafı, 6 kapak, 9 rota, 48 terim. Hedefler: 240 / 120 / 16 / 12 / 250 / 8 / 12 / 60. Bu dosya uygulamaya veya veritabanına içerik yayımlamaz.</t>
        </is>
      </c>
    </row>
    <row r="32" ht="29" customHeight="1"/>
    <row r="33" ht="30" customHeight="1">
      <c r="A33" s="3" t="n"/>
      <c r="B33" s="3" t="n"/>
      <c r="C33" s="3" t="n"/>
      <c r="D33" s="3" t="n"/>
      <c r="E33" s="3" t="n"/>
      <c r="F33" s="3" t="n"/>
      <c r="G33" s="3" t="n"/>
      <c r="H33" s="3" t="n"/>
      <c r="I33" s="3" t="n"/>
    </row>
    <row r="34" ht="30" customHeight="1">
      <c r="A34" s="3" t="n"/>
      <c r="B34" s="3" t="n"/>
      <c r="C34" s="3" t="n"/>
      <c r="D34" s="3" t="n"/>
      <c r="E34" s="3" t="n"/>
      <c r="F34" s="3" t="n"/>
      <c r="G34" s="3" t="n"/>
      <c r="H34" s="3" t="n"/>
      <c r="I34" s="3" t="n"/>
    </row>
    <row r="35" ht="30" customHeight="1">
      <c r="A35" s="3" t="n"/>
      <c r="B35" s="3" t="n"/>
      <c r="C35" s="3" t="n"/>
      <c r="D35" s="3" t="n"/>
      <c r="E35" s="3" t="n"/>
      <c r="F35" s="3" t="n"/>
      <c r="G35" s="3" t="n"/>
      <c r="H35" s="3" t="n"/>
      <c r="I35" s="3" t="n"/>
    </row>
    <row r="36" ht="30" customHeight="1">
      <c r="A36" s="3" t="n"/>
      <c r="B36" s="3" t="n"/>
      <c r="C36" s="3" t="n"/>
      <c r="D36" s="3" t="n"/>
      <c r="E36" s="3" t="n"/>
      <c r="F36" s="3" t="n"/>
      <c r="G36" s="3" t="n"/>
      <c r="H36" s="3" t="n"/>
      <c r="I36" s="3" t="n"/>
    </row>
    <row r="37" ht="30" customHeight="1">
      <c r="A37" s="3" t="n"/>
      <c r="B37" s="3" t="n"/>
      <c r="C37" s="3" t="n"/>
      <c r="D37" s="3" t="n"/>
      <c r="E37" s="3" t="n"/>
      <c r="F37" s="3" t="n"/>
      <c r="G37" s="3" t="n"/>
      <c r="H37" s="3" t="n"/>
      <c r="I37" s="3" t="n"/>
    </row>
    <row r="38" ht="30" customHeight="1">
      <c r="A38" s="3" t="n"/>
      <c r="B38" s="3" t="n"/>
      <c r="C38" s="3" t="n"/>
      <c r="D38" s="3" t="n"/>
      <c r="E38" s="3" t="n"/>
      <c r="F38" s="3" t="n"/>
      <c r="G38" s="3" t="n"/>
      <c r="H38" s="3" t="n"/>
      <c r="I38" s="3" t="n"/>
    </row>
    <row r="39" ht="30" customHeight="1">
      <c r="A39" s="3" t="n"/>
      <c r="B39" s="3" t="n"/>
      <c r="C39" s="3" t="n"/>
      <c r="D39" s="3" t="n"/>
      <c r="E39" s="3" t="n"/>
      <c r="F39" s="3" t="n"/>
      <c r="G39" s="3" t="n"/>
      <c r="H39" s="3" t="n"/>
      <c r="I39" s="3" t="n"/>
    </row>
  </sheetData>
  <mergeCells count="8">
    <mergeCell ref="A19:I19"/>
    <mergeCell ref="A31:I32"/>
    <mergeCell ref="A21:I21"/>
    <mergeCell ref="A18:I18"/>
    <mergeCell ref="A25:I26"/>
    <mergeCell ref="A22:I22"/>
    <mergeCell ref="A20:I20"/>
    <mergeCell ref="A28:I29"/>
  </mergeCells>
  <conditionalFormatting sqref="E6:F13">
    <cfRule type="cellIs" priority="1" operator="greaterThan" dxfId="0">
      <formula>0</formula>
    </cfRule>
  </conditionalFormatting>
  <pageMargins left="0.7" right="0.7" top="0.75" bottom="0.75" header="0.3" footer="0.3"/>
</worksheet>
</file>

<file path=xl/worksheets/sheet2.xml><?xml version="1.0" encoding="utf-8"?>
<worksheet xmlns="http://schemas.openxmlformats.org/spreadsheetml/2006/main">
  <sheetPr>
    <tabColor rgb="FFF66C4E"/>
    <outlinePr summaryBelow="1" summaryRight="1"/>
    <pageSetUpPr/>
  </sheetPr>
  <dimension ref="A1:I8"/>
  <sheetViews>
    <sheetView showGridLines="0" workbookViewId="0">
      <pane xSplit="2" ySplit="7" topLeftCell="C8" activePane="bottomRight" state="frozen"/>
      <selection activeCell="A1" sqref="A1"/>
    </sheetView>
  </sheetViews>
  <sheetFormatPr baseColWidth="8" defaultRowHeight="15"/>
  <cols>
    <col width="28" customWidth="1" min="1" max="1"/>
    <col width="32" customWidth="1" min="2" max="2"/>
    <col width="32" customWidth="1" min="3" max="3"/>
    <col width="28" customWidth="1" min="4" max="4"/>
    <col width="28" customWidth="1" min="5" max="5"/>
    <col width="28" customWidth="1" min="6" max="6"/>
    <col width="20" customWidth="1" min="7" max="7"/>
    <col width="28" customWidth="1" min="8" max="8"/>
    <col width="58" customWidth="1" min="9" max="9"/>
  </cols>
  <sheetData>
    <row r="1" ht="30" customHeight="1">
      <c r="A1" s="2" t="n"/>
      <c r="B1" s="2" t="n"/>
      <c r="C1" s="2" t="n"/>
      <c r="D1" s="2" t="n"/>
      <c r="E1" s="2" t="n"/>
      <c r="F1" s="2" t="n"/>
      <c r="G1" s="2" t="n"/>
      <c r="H1" s="2" t="n"/>
      <c r="I1" s="2" t="n"/>
    </row>
    <row r="2" ht="30" customHeight="1">
      <c r="A2" s="19" t="inlineStr">
        <is>
          <t>Corteqs · Teslimat bilgileri</t>
        </is>
      </c>
      <c r="B2" s="2" t="n"/>
      <c r="C2" s="2" t="n"/>
      <c r="D2" s="2" t="n"/>
      <c r="E2" s="2" t="n"/>
      <c r="F2" s="2" t="n"/>
      <c r="G2" s="2" t="n"/>
      <c r="H2" s="2" t="n"/>
      <c r="I2" s="2" t="n"/>
    </row>
    <row r="3" ht="36" customHeight="1">
      <c r="A3" s="20" t="inlineStr">
        <is>
          <t>Türkçe başlığı okuyun; veriyi 8. satırdan yazın. 7. satırdaki alan adını ve sayfa adını değiştirmeyin.</t>
        </is>
      </c>
      <c r="I3" s="2" t="n"/>
    </row>
    <row r="4" ht="30" customHeight="1">
      <c r="A4" s="21" t="n"/>
      <c r="B4" s="21" t="n"/>
      <c r="C4" s="21" t="n"/>
      <c r="D4" s="21" t="n"/>
      <c r="E4" s="21" t="n"/>
      <c r="F4" s="21" t="n"/>
      <c r="G4" s="21" t="n"/>
      <c r="H4" s="21" t="n"/>
      <c r="I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Zorunlu · tarih</t>
        </is>
      </c>
      <c r="H5" s="22" t="inlineStr">
        <is>
          <t>Zorunlu</t>
        </is>
      </c>
      <c r="I5" s="22" t="inlineStr">
        <is>
          <t>İsteğe bağlı</t>
        </is>
      </c>
    </row>
    <row r="6" ht="44" customHeight="1">
      <c r="A6" s="25" t="inlineStr">
        <is>
          <t>Şema sürümü</t>
        </is>
      </c>
      <c r="B6" s="25" t="inlineStr">
        <is>
          <t>Teslimat kimliği</t>
        </is>
      </c>
      <c r="C6" s="25" t="inlineStr">
        <is>
          <t>Şehir kimliği</t>
        </is>
      </c>
      <c r="D6" s="25" t="inlineStr">
        <is>
          <t>Hazırlayan</t>
        </is>
      </c>
      <c r="E6" s="25" t="inlineStr">
        <is>
          <t>İnceleyen</t>
        </is>
      </c>
      <c r="F6" s="25" t="inlineStr">
        <is>
          <t>Dosya kapsamı</t>
        </is>
      </c>
      <c r="G6" s="25" t="inlineStr">
        <is>
          <t>Dosya güncelleme tarihi</t>
        </is>
      </c>
      <c r="H6" s="25" t="inlineStr">
        <is>
          <t>Editör durumu</t>
        </is>
      </c>
      <c r="I6" s="25" t="inlineStr">
        <is>
          <t>Teslim notu</t>
        </is>
      </c>
    </row>
    <row r="7" ht="32" customHeight="1">
      <c r="A7" s="28" t="inlineStr">
        <is>
          <t>schema_version</t>
        </is>
      </c>
      <c r="B7" s="28" t="inlineStr">
        <is>
          <t>delivery_id</t>
        </is>
      </c>
      <c r="C7" s="28" t="inlineStr">
        <is>
          <t>city_id</t>
        </is>
      </c>
      <c r="D7" s="28" t="inlineStr">
        <is>
          <t>editor</t>
        </is>
      </c>
      <c r="E7" s="28" t="inlineStr">
        <is>
          <t>reviewer</t>
        </is>
      </c>
      <c r="F7" s="28" t="inlineStr">
        <is>
          <t>scope</t>
        </is>
      </c>
      <c r="G7" s="28" t="inlineStr">
        <is>
          <t>updated_on</t>
        </is>
      </c>
      <c r="H7" s="28" t="inlineStr">
        <is>
          <t>editorial_status</t>
        </is>
      </c>
      <c r="I7" s="28" t="inlineStr">
        <is>
          <t>notes</t>
        </is>
      </c>
    </row>
    <row r="8" ht="54" customHeight="1">
      <c r="A8" s="29" t="inlineStr">
        <is>
          <t>1.0</t>
        </is>
      </c>
      <c r="B8" s="29" t="inlineStr">
        <is>
          <t>city-075-v001</t>
        </is>
      </c>
      <c r="C8" s="29" t="inlineStr">
        <is>
          <t>malaga</t>
        </is>
      </c>
      <c r="D8" s="29" t="inlineStr">
        <is>
          <t>Atınç</t>
        </is>
      </c>
      <c r="E8" s="29" t="n"/>
      <c r="F8" s="29" t="inlineStr">
        <is>
          <t>Tam teslim</t>
        </is>
      </c>
      <c r="G8" s="49" t="n">
        <v>46307</v>
      </c>
      <c r="H8" s="29" t="inlineStr">
        <is>
          <t>Taslak</t>
        </is>
      </c>
      <c r="I8" s="29" t="inlineStr">
        <is>
          <t>Çalışma dosyası; içerik üretilmedi; UAT durumu: Üretilecek. Katalog tarihleri kaynak kaydını gösterir; rehber doğrulaması değildir.</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F8">
    <cfRule type="expression" priority="5" dxfId="1">
      <formula>AND($A8&lt;&gt;"",ISBLANK(F8))</formula>
    </cfRule>
  </conditionalFormatting>
  <conditionalFormatting sqref="G8">
    <cfRule type="expression" priority="6" dxfId="1">
      <formula>AND($A8&lt;&gt;"",ISBLANK(G8))</formula>
    </cfRule>
  </conditionalFormatting>
  <conditionalFormatting sqref="H8">
    <cfRule type="expression" priority="7" dxfId="1">
      <formula>AND($A8&lt;&gt;"",ISBLANK(H8))</formula>
    </cfRule>
  </conditionalFormatting>
  <dataValidations count="2">
    <dataValidation sqref="F8" showDropDown="0" showInputMessage="0" showErrorMessage="0" allowBlank="0" type="list">
      <formula1>"Tam teslim,Kısmi örnek"</formula1>
    </dataValidation>
    <dataValidation sqref="H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G8"/>
  <sheetViews>
    <sheetView showGridLines="0" workbookViewId="0">
      <pane xSplit="2" ySplit="7" topLeftCell="C8" activePane="bottomRight" state="frozen"/>
      <selection activeCell="A1" sqref="A1"/>
    </sheetView>
  </sheetViews>
  <sheetFormatPr baseColWidth="8" defaultRowHeight="15"/>
  <cols>
    <col width="32"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48" customWidth="1" min="16" max="16"/>
    <col width="20" customWidth="1" min="17" max="17"/>
    <col width="28" customWidth="1" min="18" max="18"/>
    <col width="48" customWidth="1" min="19" max="19"/>
    <col width="20" customWidth="1" min="20" max="20"/>
    <col width="28" customWidth="1" min="21" max="21"/>
    <col width="20" customWidth="1" min="22" max="22"/>
    <col width="28" customWidth="1" min="23" max="23"/>
    <col width="28" customWidth="1" min="24" max="24"/>
    <col width="28" customWidth="1" min="25" max="25"/>
    <col width="28" customWidth="1" min="26" max="26"/>
    <col width="28" customWidth="1" min="27" max="27"/>
    <col width="48" customWidth="1" min="28" max="28"/>
    <col width="48" customWidth="1" min="29" max="29"/>
    <col width="28" customWidth="1" min="30" max="30"/>
    <col width="32" customWidth="1" min="31" max="31"/>
    <col width="28" customWidth="1" min="32" max="32"/>
    <col width="28" customWidth="1" min="33" max="3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30" customHeight="1">
      <c r="A2" s="19" t="inlineStr">
        <is>
          <t>Corteqs · Şehir profili</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t>
        </is>
      </c>
      <c r="M5" s="22" t="inlineStr">
        <is>
          <t>Zorunlu</t>
        </is>
      </c>
      <c r="N5" s="22" t="inlineStr">
        <is>
          <t>Zorunlu</t>
        </is>
      </c>
      <c r="O5" s="22" t="inlineStr">
        <is>
          <t>Zorunlu</t>
        </is>
      </c>
      <c r="P5" s="22" t="inlineStr">
        <is>
          <t>Zorunlu</t>
        </is>
      </c>
      <c r="Q5" s="22" t="inlineStr">
        <is>
          <t>Zorunlu · tarih</t>
        </is>
      </c>
      <c r="R5" s="22" t="inlineStr">
        <is>
          <t>İsteğe bağlı</t>
        </is>
      </c>
      <c r="S5" s="22" t="inlineStr">
        <is>
          <t>Zorunlu</t>
        </is>
      </c>
      <c r="T5" s="22" t="inlineStr">
        <is>
          <t>Zorunlu · tarih</t>
        </is>
      </c>
      <c r="U5" s="22" t="inlineStr">
        <is>
          <t>Zorunlu</t>
        </is>
      </c>
      <c r="V5" s="22" t="inlineStr">
        <is>
          <t>Zorunlu · tarih</t>
        </is>
      </c>
      <c r="W5" s="22" t="inlineStr">
        <is>
          <t>Zorunlu</t>
        </is>
      </c>
      <c r="X5" s="22" t="inlineStr">
        <is>
          <t>İsteğe bağlı</t>
        </is>
      </c>
      <c r="Y5" s="22" t="inlineStr">
        <is>
          <t>İsteğe bağlı</t>
        </is>
      </c>
      <c r="Z5" s="22" t="inlineStr">
        <is>
          <t>İsteğe bağlı</t>
        </is>
      </c>
      <c r="AA5" s="22" t="inlineStr">
        <is>
          <t>İsteğe bağlı</t>
        </is>
      </c>
      <c r="AB5" s="22" t="inlineStr">
        <is>
          <t>İsteğe bağlı</t>
        </is>
      </c>
      <c r="AC5" s="22" t="inlineStr">
        <is>
          <t>İsteğe bağlı</t>
        </is>
      </c>
      <c r="AD5" s="22" t="inlineStr">
        <is>
          <t>İsteğe bağlı</t>
        </is>
      </c>
      <c r="AE5" s="22" t="inlineStr">
        <is>
          <t>İsteğe bağlı</t>
        </is>
      </c>
      <c r="AF5" s="22" t="inlineStr">
        <is>
          <t>İsteğe bağlı</t>
        </is>
      </c>
      <c r="AG5" s="22" t="inlineStr">
        <is>
          <t>Zorunlu</t>
        </is>
      </c>
    </row>
    <row r="6" ht="44" customHeight="1">
      <c r="A6" s="25" t="inlineStr">
        <is>
          <t>Şehir kimliği</t>
        </is>
      </c>
      <c r="B6" s="25" t="inlineStr">
        <is>
          <t>Şehir adı</t>
        </is>
      </c>
      <c r="C6" s="25" t="inlineStr">
        <is>
          <t>Ülke</t>
        </is>
      </c>
      <c r="D6" s="25" t="inlineStr">
        <is>
          <t>Ülke kodu</t>
        </is>
      </c>
      <c r="E6" s="25" t="inlineStr">
        <is>
          <t>Dünya bölgesi</t>
        </is>
      </c>
      <c r="F6" s="25" t="inlineStr">
        <is>
          <t>Coğrafi kapsam</t>
        </is>
      </c>
      <c r="G6" s="25" t="inlineStr">
        <is>
          <t>Rehber başlığı</t>
        </is>
      </c>
      <c r="H6" s="25" t="inlineStr">
        <is>
          <t>Rehber giriş metni</t>
        </is>
      </c>
      <c r="I6" s="25" t="inlineStr">
        <is>
          <t>Para birimi kodu</t>
        </is>
      </c>
      <c r="J6" s="25" t="inlineStr">
        <is>
          <t>Para simgesi</t>
        </is>
      </c>
      <c r="K6" s="25" t="inlineStr">
        <is>
          <t>Para birimi adı</t>
        </is>
      </c>
      <c r="L6" s="25" t="inlineStr">
        <is>
          <t>Yerel dil</t>
        </is>
      </c>
      <c r="M6" s="25" t="inlineStr">
        <is>
          <t>Saat dilimi</t>
        </is>
      </c>
      <c r="N6" s="25" t="inlineStr">
        <is>
          <t>Enlem</t>
        </is>
      </c>
      <c r="O6" s="25" t="inlineStr">
        <is>
          <t>Boylam</t>
        </is>
      </c>
      <c r="P6" s="25" t="inlineStr">
        <is>
          <t>Konum kaynağı</t>
        </is>
      </c>
      <c r="Q6" s="25" t="inlineStr">
        <is>
          <t>Konum kontrol tarihi</t>
        </is>
      </c>
      <c r="R6" s="25" t="inlineStr">
        <is>
          <t>Konum açıklaması</t>
        </is>
      </c>
      <c r="S6" s="25" t="inlineStr">
        <is>
          <t>Kapsam kaynağı</t>
        </is>
      </c>
      <c r="T6" s="25" t="inlineStr">
        <is>
          <t>Kapsam kontrol tarihi</t>
        </is>
      </c>
      <c r="U6" s="25" t="inlineStr">
        <is>
          <t>Katalog sıra numarası</t>
        </is>
      </c>
      <c r="V6" s="25" t="inlineStr">
        <is>
          <t>Rehber kontrol tarihi</t>
        </is>
      </c>
      <c r="W6" s="25" t="inlineStr">
        <is>
          <t>Öncelik</t>
        </is>
      </c>
      <c r="X6" s="25" t="inlineStr">
        <is>
          <t>Diğer adlar</t>
        </is>
      </c>
      <c r="Y6" s="25" t="inlineStr">
        <is>
          <t>Yerel ad</t>
        </is>
      </c>
      <c r="Z6" s="25" t="inlineStr">
        <is>
          <t>Şehir cümlesi</t>
        </is>
      </c>
      <c r="AA6" s="25" t="inlineStr">
        <is>
          <t>Şehir dizini sırası</t>
        </is>
      </c>
      <c r="AB6" s="25" t="inlineStr">
        <is>
          <t>Hava tahmini bağlantısı</t>
        </is>
      </c>
      <c r="AC6" s="25" t="inlineStr">
        <is>
          <t>Hava veri sağlayıcısı</t>
        </is>
      </c>
      <c r="AD6" s="25" t="inlineStr">
        <is>
          <t>Tahmin bağlantı metni</t>
        </is>
      </c>
      <c r="AE6" s="25" t="inlineStr">
        <is>
          <t>Ana kapak kimliği</t>
        </is>
      </c>
      <c r="AF6" s="25" t="inlineStr">
        <is>
          <t>Editoryal şehir notları</t>
        </is>
      </c>
      <c r="AG6" s="25" t="inlineStr">
        <is>
          <t>Editör durumu</t>
        </is>
      </c>
    </row>
    <row r="7" ht="32" customHeight="1">
      <c r="A7" s="28" t="inlineStr">
        <is>
          <t>city_id</t>
        </is>
      </c>
      <c r="B7" s="28" t="inlineStr">
        <is>
          <t>name</t>
        </is>
      </c>
      <c r="C7" s="28" t="inlineStr">
        <is>
          <t>country</t>
        </is>
      </c>
      <c r="D7" s="28" t="inlineStr">
        <is>
          <t>country_code</t>
        </is>
      </c>
      <c r="E7" s="28" t="inlineStr">
        <is>
          <t>region</t>
        </is>
      </c>
      <c r="F7" s="28" t="inlineStr">
        <is>
          <t>kind</t>
        </is>
      </c>
      <c r="G7" s="28" t="inlineStr">
        <is>
          <t>title</t>
        </is>
      </c>
      <c r="H7" s="28" t="inlineStr">
        <is>
          <t>intro</t>
        </is>
      </c>
      <c r="I7" s="28" t="inlineStr">
        <is>
          <t>currency</t>
        </is>
      </c>
      <c r="J7" s="28" t="inlineStr">
        <is>
          <t>currency_symbol</t>
        </is>
      </c>
      <c r="K7" s="28" t="inlineStr">
        <is>
          <t>currency_label</t>
        </is>
      </c>
      <c r="L7" s="28" t="inlineStr">
        <is>
          <t>language</t>
        </is>
      </c>
      <c r="M7" s="28" t="inlineStr">
        <is>
          <t>timezone</t>
        </is>
      </c>
      <c r="N7" s="28" t="inlineStr">
        <is>
          <t>latitude</t>
        </is>
      </c>
      <c r="O7" s="28" t="inlineStr">
        <is>
          <t>longitude</t>
        </is>
      </c>
      <c r="P7" s="28" t="inlineStr">
        <is>
          <t>coordinate_source_url</t>
        </is>
      </c>
      <c r="Q7" s="28" t="inlineStr">
        <is>
          <t>coordinate_checked_on</t>
        </is>
      </c>
      <c r="R7" s="28" t="inlineStr">
        <is>
          <t>coordinate_note</t>
        </is>
      </c>
      <c r="S7" s="28" t="inlineStr">
        <is>
          <t>source_url</t>
        </is>
      </c>
      <c r="T7" s="28" t="inlineStr">
        <is>
          <t>source_checked_on</t>
        </is>
      </c>
      <c r="U7" s="28" t="inlineStr">
        <is>
          <t>source_position</t>
        </is>
      </c>
      <c r="V7" s="28" t="inlineStr">
        <is>
          <t>reviewed_on</t>
        </is>
      </c>
      <c r="W7" s="28" t="inlineStr">
        <is>
          <t>priority</t>
        </is>
      </c>
      <c r="X7" s="28" t="inlineStr">
        <is>
          <t>aliases</t>
        </is>
      </c>
      <c r="Y7" s="28" t="inlineStr">
        <is>
          <t>locality</t>
        </is>
      </c>
      <c r="Z7" s="28" t="inlineStr">
        <is>
          <t>tagline</t>
        </is>
      </c>
      <c r="AA7" s="28" t="inlineStr">
        <is>
          <t>directory_order</t>
        </is>
      </c>
      <c r="AB7" s="28" t="inlineStr">
        <is>
          <t>forecast_url</t>
        </is>
      </c>
      <c r="AC7" s="28" t="inlineStr">
        <is>
          <t>provider_url</t>
        </is>
      </c>
      <c r="AD7" s="28" t="inlineStr">
        <is>
          <t>forecast_label</t>
        </is>
      </c>
      <c r="AE7" s="28" t="inlineStr">
        <is>
          <t>hero_photo_id</t>
        </is>
      </c>
      <c r="AF7" s="28" t="inlineStr">
        <is>
          <t>editorial_notes</t>
        </is>
      </c>
      <c r="AG7" s="28" t="inlineStr">
        <is>
          <t>editorial_status</t>
        </is>
      </c>
    </row>
    <row r="8" ht="54" customHeight="1">
      <c r="A8" s="29" t="inlineStr">
        <is>
          <t>malaga</t>
        </is>
      </c>
      <c r="B8" s="29" t="inlineStr">
        <is>
          <t>Málaga</t>
        </is>
      </c>
      <c r="C8" s="29" t="inlineStr">
        <is>
          <t>İspanya</t>
        </is>
      </c>
      <c r="D8" s="29" t="inlineStr">
        <is>
          <t>ES</t>
        </is>
      </c>
      <c r="E8" s="29" t="inlineStr">
        <is>
          <t>EU</t>
        </is>
      </c>
      <c r="F8" s="29" t="inlineStr">
        <is>
          <t>city</t>
        </is>
      </c>
      <c r="G8" s="29" t="inlineStr">
        <is>
          <t>Málaga'da yaşam rehberi: taşınma, resmî işlemler ve mahalleler</t>
        </is>
      </c>
      <c r="H8" s="29" t="inlineStr">
        <is>
          <t>Málaga'ya taşınmayı planlıyorsan ya da yeni geldiysen; kayıt işlemleri, ulaşım, sağlık, okul ve semt seçimi için yerel resmî kaynaklardan derlenmiş sade bir rehber burada.</t>
        </is>
      </c>
      <c r="I8" s="29" t="inlineStr">
        <is>
          <t>EUR</t>
        </is>
      </c>
      <c r="J8" s="29" t="inlineStr">
        <is>
          <t>€</t>
        </is>
      </c>
      <c r="K8" s="29" t="inlineStr">
        <is>
          <t>Euro</t>
        </is>
      </c>
      <c r="L8" s="29" t="inlineStr">
        <is>
          <t>İspanyolca</t>
        </is>
      </c>
      <c r="M8" s="29" t="inlineStr">
        <is>
          <t>Europe/Madrid</t>
        </is>
      </c>
      <c r="N8" s="50" t="n">
        <v>36.720406</v>
      </c>
      <c r="O8" s="50" t="n">
        <v>-4.419999</v>
      </c>
      <c r="P8" s="29" t="inlineStr">
        <is>
          <t>https://www.naturalearthdata.com/downloads/10m-cultural-vectors/10m-populated-places/</t>
        </is>
      </c>
      <c r="Q8" s="49" t="n">
        <v>46305</v>
      </c>
      <c r="R8" s="29" t="n"/>
      <c r="S8" s="29" t="inlineStr">
        <is>
          <t>https://www.internations.org/all-internations-cities/</t>
        </is>
      </c>
      <c r="T8" s="49" t="n">
        <v>46305</v>
      </c>
      <c r="U8" s="51" t="n">
        <v>75</v>
      </c>
      <c r="V8" s="49" t="n">
        <v>46322</v>
      </c>
      <c r="W8" s="51" t="n">
        <v>3</v>
      </c>
      <c r="X8" s="29" t="inlineStr">
        <is>
          <t>Málaga</t>
        </is>
      </c>
      <c r="Y8" s="29" t="n"/>
      <c r="Z8" s="29" t="inlineStr">
        <is>
          <t>Yeni gelenler için sade Málaga rehberi</t>
        </is>
      </c>
      <c r="AA8" s="51" t="n"/>
      <c r="AB8" s="29" t="inlineStr">
        <is>
          <t>https://www.aemet.es/es/eltiempo/prediccion/municipios/malaga-id29067</t>
        </is>
      </c>
      <c r="AC8" s="29" t="inlineStr">
        <is>
          <t>https://www.aemet.es</t>
        </is>
      </c>
      <c r="AD8" s="29" t="inlineStr">
        <is>
          <t>AEMET'te Málaga hava tahmini</t>
        </is>
      </c>
      <c r="AE8" s="29" t="n"/>
      <c r="AF8" s="29" t="n"/>
      <c r="AG8" s="29" t="inlineStr">
        <is>
          <t>Taslak</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E8">
    <cfRule type="expression" priority="5" dxfId="1">
      <formula>AND($A8&lt;&gt;"",ISBLANK(E8))</formula>
    </cfRule>
  </conditionalFormatting>
  <conditionalFormatting sqref="F8">
    <cfRule type="expression" priority="6" dxfId="1">
      <formula>AND($A8&lt;&gt;"",ISBLANK(F8))</formula>
    </cfRule>
  </conditionalFormatting>
  <conditionalFormatting sqref="G8">
    <cfRule type="expression" priority="7" dxfId="1">
      <formula>AND($A8&lt;&gt;"",ISBLANK(G8))</formula>
    </cfRule>
  </conditionalFormatting>
  <conditionalFormatting sqref="H8">
    <cfRule type="expression" priority="8" dxfId="1">
      <formula>AND($A8&lt;&gt;"",ISBLANK(H8))</formula>
    </cfRule>
  </conditionalFormatting>
  <conditionalFormatting sqref="I8">
    <cfRule type="expression" priority="9" dxfId="1">
      <formula>AND($A8&lt;&gt;"",ISBLANK(I8))</formula>
    </cfRule>
  </conditionalFormatting>
  <conditionalFormatting sqref="L8">
    <cfRule type="expression" priority="10" dxfId="1">
      <formula>AND($A8&lt;&gt;"",ISBLANK(L8))</formula>
    </cfRule>
  </conditionalFormatting>
  <conditionalFormatting sqref="M8">
    <cfRule type="expression" priority="11" dxfId="1">
      <formula>AND($A8&lt;&gt;"",ISBLANK(M8))</formula>
    </cfRule>
  </conditionalFormatting>
  <conditionalFormatting sqref="N8">
    <cfRule type="expression" priority="12" dxfId="1">
      <formula>AND($A8&lt;&gt;"",ISBLANK(N8))</formula>
    </cfRule>
  </conditionalFormatting>
  <conditionalFormatting sqref="O8">
    <cfRule type="expression" priority="13" dxfId="1">
      <formula>AND($A8&lt;&gt;"",ISBLANK(O8))</formula>
    </cfRule>
  </conditionalFormatting>
  <conditionalFormatting sqref="P8">
    <cfRule type="expression" priority="14" dxfId="1">
      <formula>AND($A8&lt;&gt;"",ISBLANK(P8))</formula>
    </cfRule>
  </conditionalFormatting>
  <conditionalFormatting sqref="Q8">
    <cfRule type="expression" priority="15" dxfId="1">
      <formula>AND($A8&lt;&gt;"",ISBLANK(Q8))</formula>
    </cfRule>
  </conditionalFormatting>
  <conditionalFormatting sqref="S8">
    <cfRule type="expression" priority="16" dxfId="1">
      <formula>AND($A8&lt;&gt;"",ISBLANK(S8))</formula>
    </cfRule>
  </conditionalFormatting>
  <conditionalFormatting sqref="T8">
    <cfRule type="expression" priority="17" dxfId="1">
      <formula>AND($A8&lt;&gt;"",ISBLANK(T8))</formula>
    </cfRule>
  </conditionalFormatting>
  <conditionalFormatting sqref="U8">
    <cfRule type="expression" priority="18" dxfId="1">
      <formula>AND($A8&lt;&gt;"",ISBLANK(U8))</formula>
    </cfRule>
  </conditionalFormatting>
  <conditionalFormatting sqref="V8">
    <cfRule type="expression" priority="19" dxfId="1">
      <formula>AND($A8&lt;&gt;"",ISBLANK(V8))</formula>
    </cfRule>
  </conditionalFormatting>
  <conditionalFormatting sqref="W8">
    <cfRule type="expression" priority="20" dxfId="1">
      <formula>AND($A8&lt;&gt;"",ISBLANK(W8))</formula>
    </cfRule>
  </conditionalFormatting>
  <conditionalFormatting sqref="AG8">
    <cfRule type="expression" priority="21" dxfId="1">
      <formula>AND($A8&lt;&gt;"",ISBLANK(AG8))</formula>
    </cfRule>
  </conditionalFormatting>
  <dataValidations count="3">
    <dataValidation sqref="E8" showDropDown="0" showInputMessage="0" showErrorMessage="0" allowBlank="0" type="list">
      <formula1>"EU,AS,AF,NA,SA,OC"</formula1>
    </dataValidation>
    <dataValidation sqref="F8" showDropDown="0" showInputMessage="0" showErrorMessage="0" allowBlank="0" type="list">
      <formula1>"city,region,island,country"</formula1>
    </dataValidation>
    <dataValidation sqref="AG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58" customWidth="1" min="5" max="5"/>
    <col width="28" customWidth="1" min="6" max="6"/>
    <col width="28" customWidth="1" min="7" max="7"/>
    <col width="26" customWidth="1" min="8" max="8"/>
  </cols>
  <sheetData>
    <row r="1" ht="30" customHeight="1">
      <c r="A1" s="2" t="n"/>
      <c r="B1" s="2" t="n"/>
      <c r="C1" s="2" t="n"/>
      <c r="D1" s="2" t="n"/>
      <c r="E1" s="2" t="n"/>
      <c r="F1" s="2" t="n"/>
      <c r="G1" s="2" t="n"/>
      <c r="H1" s="2" t="n"/>
    </row>
    <row r="2" ht="30" customHeight="1">
      <c r="A2" s="19" t="inlineStr">
        <is>
          <t>Corteqs · Pratik yaşam konuları</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Hesap · değiştirmeyin</t>
        </is>
      </c>
    </row>
    <row r="6" ht="44" customHeight="1">
      <c r="A6" s="25" t="inlineStr">
        <is>
          <t>Konu kimliği</t>
        </is>
      </c>
      <c r="B6" s="25" t="inlineStr">
        <is>
          <t>Şehir kimliği</t>
        </is>
      </c>
      <c r="C6" s="25" t="inlineStr">
        <is>
          <t>Konu adres adı</t>
        </is>
      </c>
      <c r="D6" s="25" t="inlineStr">
        <is>
          <t>Konu başlığı</t>
        </is>
      </c>
      <c r="E6" s="25" t="inlineStr">
        <is>
          <t>Açıklama</t>
        </is>
      </c>
      <c r="F6" s="25" t="inlineStr">
        <is>
          <t>Simge anahtarı</t>
        </is>
      </c>
      <c r="G6" s="25" t="inlineStr">
        <is>
          <t>Sıra</t>
        </is>
      </c>
      <c r="H6" s="25" t="inlineStr">
        <is>
          <t>Yanıt içeren konu (hesap)</t>
        </is>
      </c>
    </row>
    <row r="7" ht="32" customHeight="1">
      <c r="A7" s="28" t="inlineStr">
        <is>
          <t>topic_id</t>
        </is>
      </c>
      <c r="B7" s="28" t="inlineStr">
        <is>
          <t>city_id</t>
        </is>
      </c>
      <c r="C7" s="28" t="inlineStr">
        <is>
          <t>slug</t>
        </is>
      </c>
      <c r="D7" s="28" t="inlineStr">
        <is>
          <t>title</t>
        </is>
      </c>
      <c r="E7" s="28" t="inlineStr">
        <is>
          <t>description</t>
        </is>
      </c>
      <c r="F7" s="28" t="inlineStr">
        <is>
          <t>icon</t>
        </is>
      </c>
      <c r="G7" s="28" t="inlineStr">
        <is>
          <t>order</t>
        </is>
      </c>
      <c r="H7" s="28" t="inlineStr">
        <is>
          <t>used_count</t>
        </is>
      </c>
    </row>
    <row r="8" ht="54" customHeight="1">
      <c r="A8" s="29" t="inlineStr">
        <is>
          <t>malaga:planlama</t>
        </is>
      </c>
      <c r="B8" s="29" t="inlineStr">
        <is>
          <t>malaga</t>
        </is>
      </c>
      <c r="C8" s="29" t="inlineStr">
        <is>
          <t>planlama</t>
        </is>
      </c>
      <c r="D8" s="29" t="inlineStr">
        <is>
          <t>Taşınmadan önce plan</t>
        </is>
      </c>
      <c r="E8" s="29" t="inlineStr">
        <is>
          <t>Málaga'ya gelmeden önce hazırlanacak belgeler, ilk haftanın sırası, yaz sıcağı ve yeni gelenlere resmî destek veren yerler.</t>
        </is>
      </c>
      <c r="F8" s="29" t="inlineStr">
        <is>
          <t>book</t>
        </is>
      </c>
      <c r="G8" s="51" t="n">
        <v>1</v>
      </c>
      <c r="H8" s="52">
        <f>IF(A8="",0,IF(COUNTIFS('Yanıtlar'!$N$8:$N$307,A8)&gt;0,1,0))</f>
        <v/>
      </c>
    </row>
    <row r="9" ht="54" customHeight="1">
      <c r="A9" s="29" t="inlineStr">
        <is>
          <t>malaga:oturum</t>
        </is>
      </c>
      <c r="B9" s="29" t="inlineStr">
        <is>
          <t>malaga</t>
        </is>
      </c>
      <c r="C9" s="29" t="inlineStr">
        <is>
          <t>oturum</t>
        </is>
      </c>
      <c r="D9" s="29" t="inlineStr">
        <is>
          <t>Vize, oturum ve çalışma izni</t>
        </is>
      </c>
      <c r="E9" s="29" t="inlineStr">
        <is>
          <t>Oturum vizeleri, TIE ve NIE, AB kayıt sertifikası, Málaga'daki yabancılar ofisi ve polis randevusu, aile birleşimi.</t>
        </is>
      </c>
      <c r="F9" s="29" t="inlineStr">
        <is>
          <t>plane</t>
        </is>
      </c>
      <c r="G9" s="51" t="n">
        <v>2</v>
      </c>
      <c r="H9" s="52">
        <f>IF(A9="",0,IF(COUNTIFS('Yanıtlar'!$N$8:$N$307,A9)&gt;0,1,0))</f>
        <v/>
      </c>
    </row>
    <row r="10" ht="54" customHeight="1">
      <c r="A10" s="29" t="inlineStr">
        <is>
          <t>malaga:resmi</t>
        </is>
      </c>
      <c r="B10" s="29" t="inlineStr">
        <is>
          <t>malaga</t>
        </is>
      </c>
      <c r="C10" s="29" t="inlineStr">
        <is>
          <t>resmi</t>
        </is>
      </c>
      <c r="D10" s="29" t="inlineStr">
        <is>
          <t>Kimlik ve resmî işlemler</t>
        </is>
      </c>
      <c r="E10" s="29" t="inlineStr">
        <is>
          <t>Málaga'da nüfus kaydı (empadronamiento), sosyal güvenlik numarası, Cl@ve ve dijital sertifika, belge tercümesi, ehliyet.</t>
        </is>
      </c>
      <c r="F10" s="29" t="inlineStr">
        <is>
          <t>shield</t>
        </is>
      </c>
      <c r="G10" s="51" t="n">
        <v>3</v>
      </c>
      <c r="H10" s="52">
        <f>IF(A10="",0,IF(COUNTIFS('Yanıtlar'!$N$8:$N$307,A10)&gt;0,1,0))</f>
        <v/>
      </c>
    </row>
    <row r="11" ht="54" customHeight="1">
      <c r="A11" s="29" t="inlineStr">
        <is>
          <t>malaga:ev</t>
        </is>
      </c>
      <c r="B11" s="29" t="inlineStr">
        <is>
          <t>malaga</t>
        </is>
      </c>
      <c r="C11" s="29" t="inlineStr">
        <is>
          <t>ev</t>
        </is>
      </c>
      <c r="D11" s="29" t="inlineStr">
        <is>
          <t>Ev ve kira</t>
        </is>
      </c>
      <c r="E11" s="29" t="inlineStr">
        <is>
          <t>Málaga'da kiralık ev arama, kira sözleşmesi ve depozito, kiracı hakları, kira yardımları ve ev satın alma.</t>
        </is>
      </c>
      <c r="F11" s="29" t="inlineStr">
        <is>
          <t>home</t>
        </is>
      </c>
      <c r="G11" s="51" t="n">
        <v>4</v>
      </c>
      <c r="H11" s="52">
        <f>IF(A11="",0,IF(COUNTIFS('Yanıtlar'!$N$8:$N$307,A11)&gt;0,1,0))</f>
        <v/>
      </c>
    </row>
    <row r="12" ht="54" customHeight="1">
      <c r="A12" s="29" t="inlineStr">
        <is>
          <t>malaga:fatura</t>
        </is>
      </c>
      <c r="B12" s="29" t="inlineStr">
        <is>
          <t>malaga</t>
        </is>
      </c>
      <c r="C12" s="29" t="inlineStr">
        <is>
          <t>fatura</t>
        </is>
      </c>
      <c r="D12" s="29" t="inlineStr">
        <is>
          <t>Elektrik, gaz, su ve internet</t>
        </is>
      </c>
      <c r="E12" s="29" t="inlineStr">
        <is>
          <t>Elektrik ve doğalgaz aboneliği, Málaga'da su (EMASA) ve çöp, fatura indirimleri, internet ve mobil hat.</t>
        </is>
      </c>
      <c r="F12" s="29" t="inlineStr">
        <is>
          <t>bolt</t>
        </is>
      </c>
      <c r="G12" s="51" t="n">
        <v>5</v>
      </c>
      <c r="H12" s="52">
        <f>IF(A12="",0,IF(COUNTIFS('Yanıtlar'!$N$8:$N$307,A12)&gt;0,1,0))</f>
        <v/>
      </c>
    </row>
    <row r="13" ht="54" customHeight="1">
      <c r="A13" s="29" t="inlineStr">
        <is>
          <t>malaga:para</t>
        </is>
      </c>
      <c r="B13" s="29" t="inlineStr">
        <is>
          <t>malaga</t>
        </is>
      </c>
      <c r="C13" s="29" t="inlineStr">
        <is>
          <t>para</t>
        </is>
      </c>
      <c r="D13" s="29" t="inlineStr">
        <is>
          <t>Banka, vergi ve destekler</t>
        </is>
      </c>
      <c r="E13" s="29" t="inlineStr">
        <is>
          <t>Banka hesabı, gelir vergisi beyanı, Endülüs bölge vergileri, Málaga belediye vergileri ve sosyal yardımlar.</t>
        </is>
      </c>
      <c r="F13" s="29" t="inlineStr">
        <is>
          <t>transfer</t>
        </is>
      </c>
      <c r="G13" s="51" t="n">
        <v>6</v>
      </c>
      <c r="H13" s="52">
        <f>IF(A13="",0,IF(COUNTIFS('Yanıtlar'!$N$8:$N$307,A13)&gt;0,1,0))</f>
        <v/>
      </c>
    </row>
    <row r="14" ht="54" customHeight="1">
      <c r="A14" s="29" t="inlineStr">
        <is>
          <t>malaga:saglik</t>
        </is>
      </c>
      <c r="B14" s="29" t="inlineStr">
        <is>
          <t>malaga</t>
        </is>
      </c>
      <c r="C14" s="29" t="inlineStr">
        <is>
          <t>saglik</t>
        </is>
      </c>
      <c r="D14" s="29" t="inlineStr">
        <is>
          <t>Sağlık ve sigorta</t>
        </is>
      </c>
      <c r="E14" s="29" t="inlineStr">
        <is>
          <t>Endülüs sağlık kartı, aile hekimi ve sağlık merkezi, Málaga'daki hastaneler, acil servis, eczane ve aşılar.</t>
        </is>
      </c>
      <c r="F14" s="29" t="inlineStr">
        <is>
          <t>heart</t>
        </is>
      </c>
      <c r="G14" s="51" t="n">
        <v>7</v>
      </c>
      <c r="H14" s="52">
        <f>IF(A14="",0,IF(COUNTIFS('Yanıtlar'!$N$8:$N$307,A14)&gt;0,1,0))</f>
        <v/>
      </c>
    </row>
    <row r="15" ht="54" customHeight="1">
      <c r="A15" s="29" t="inlineStr">
        <is>
          <t>malaga:is</t>
        </is>
      </c>
      <c r="B15" s="29" t="inlineStr">
        <is>
          <t>malaga</t>
        </is>
      </c>
      <c r="C15" s="29" t="inlineStr">
        <is>
          <t>is</t>
        </is>
      </c>
      <c r="D15" s="29" t="inlineStr">
        <is>
          <t>İş ve çalışma hakları</t>
        </is>
      </c>
      <c r="E15" s="29" t="inlineStr">
        <is>
          <t>İş arama ve SAE kaydı, asgari ücret ve sözleşmeler, işsizlik ödeneği, Málaga'da iş kurma ve diploma denkliği.</t>
        </is>
      </c>
      <c r="F15" s="29" t="inlineStr">
        <is>
          <t>briefcase</t>
        </is>
      </c>
      <c r="G15" s="51" t="n">
        <v>8</v>
      </c>
      <c r="H15" s="52">
        <f>IF(A15="",0,IF(COUNTIFS('Yanıtlar'!$N$8:$N$307,A15)&gt;0,1,0))</f>
        <v/>
      </c>
    </row>
    <row r="16" ht="54" customHeight="1">
      <c r="A16" s="29" t="inlineStr">
        <is>
          <t>malaga:aile</t>
        </is>
      </c>
      <c r="B16" s="29" t="inlineStr">
        <is>
          <t>malaga</t>
        </is>
      </c>
      <c r="C16" s="29" t="inlineStr">
        <is>
          <t>aile</t>
        </is>
      </c>
      <c r="D16" s="29" t="inlineStr">
        <is>
          <t>Aile, okul ve çocuk</t>
        </is>
      </c>
      <c r="E16" s="29" t="inlineStr">
        <is>
          <t>Endülüs'te okul kaydı, okul öncesi eğitim, İspanyolca desteği, çocuk yardımları ve doğum kaydı.</t>
        </is>
      </c>
      <c r="F16" s="29" t="inlineStr">
        <is>
          <t>family</t>
        </is>
      </c>
      <c r="G16" s="51" t="n">
        <v>9</v>
      </c>
      <c r="H16" s="52">
        <f>IF(A16="",0,IF(COUNTIFS('Yanıtlar'!$N$8:$N$307,A16)&gt;0,1,0))</f>
        <v/>
      </c>
    </row>
    <row r="17" ht="54" customHeight="1">
      <c r="A17" s="29" t="inlineStr">
        <is>
          <t>malaga:ulasim</t>
        </is>
      </c>
      <c r="B17" s="29" t="inlineStr">
        <is>
          <t>malaga</t>
        </is>
      </c>
      <c r="C17" s="29" t="inlineStr">
        <is>
          <t>ulasim</t>
        </is>
      </c>
      <c r="D17" s="29" t="inlineStr">
        <is>
          <t>Ulaşım ve araç</t>
        </is>
      </c>
      <c r="E17" s="29" t="inlineStr">
        <is>
          <t>Málaga metrosu ve EMT otobüsleri, Cercanías treni, bisiklet, ehliyet ve araç, havalimanı ve şehirlerarası yolculuk.</t>
        </is>
      </c>
      <c r="F17" s="29" t="inlineStr">
        <is>
          <t>train</t>
        </is>
      </c>
      <c r="G17" s="51" t="n">
        <v>10</v>
      </c>
      <c r="H17" s="52">
        <f>IF(A17="",0,IF(COUNTIFS('Yanıtlar'!$N$8:$N$307,A17)&gt;0,1,0))</f>
        <v/>
      </c>
    </row>
    <row r="18" ht="54" customHeight="1">
      <c r="A18" s="29" t="inlineStr">
        <is>
          <t>malaga:gunluk</t>
        </is>
      </c>
      <c r="B18" s="29" t="inlineStr">
        <is>
          <t>malaga</t>
        </is>
      </c>
      <c r="C18" s="29" t="inlineStr">
        <is>
          <t>gunluk</t>
        </is>
      </c>
      <c r="D18" s="29" t="inlineStr">
        <is>
          <t>Günlük yaşam ve güvenlik</t>
        </is>
      </c>
      <c r="E18" s="29" t="inlineStr">
        <is>
          <t>Acil numaralar, çöp ve geri dönüşüm, plajlar, kütüphaneler, İspanyolca kursları, yaz sıcağı ve yerel bayramlar.</t>
        </is>
      </c>
      <c r="F18" s="29" t="inlineStr">
        <is>
          <t>bag</t>
        </is>
      </c>
      <c r="G18" s="51" t="n">
        <v>11</v>
      </c>
      <c r="H18" s="52">
        <f>IF(A18="",0,IF(COUNTIFS('Yanıtlar'!$N$8:$N$307,A18)&gt;0,1,0))</f>
        <v/>
      </c>
    </row>
    <row r="19" ht="54" customHeight="1">
      <c r="A19" s="29" t="inlineStr">
        <is>
          <t>malaga:kesif</t>
        </is>
      </c>
      <c r="B19" s="29" t="inlineStr">
        <is>
          <t>malaga</t>
        </is>
      </c>
      <c r="C19" s="29" t="inlineStr">
        <is>
          <t>kesif</t>
        </is>
      </c>
      <c r="D19" s="29" t="inlineStr">
        <is>
          <t>Keşif, kültür, doğa ve spor</t>
        </is>
      </c>
      <c r="E19" s="29" t="inlineStr">
        <is>
          <t>Málaga'nın anıtları ve müzeleri, sahil ve limanı, parklar ve Montes de Málaga, çocuklarla gezilecek yerler ve spor.</t>
        </is>
      </c>
      <c r="F19" s="29" t="inlineStr">
        <is>
          <t>people</t>
        </is>
      </c>
      <c r="G19" s="51" t="n">
        <v>12</v>
      </c>
      <c r="H19" s="52">
        <f>IF(A19="",0,IF(COUNTIFS('Yanıtlar'!$N$8:$N$307,A19)&gt;0,1,0))</f>
        <v/>
      </c>
    </row>
    <row r="20" ht="54" customHeight="1">
      <c r="A20" s="29" t="n"/>
      <c r="B20" s="29" t="n"/>
      <c r="C20" s="29" t="n"/>
      <c r="D20" s="29" t="n"/>
      <c r="E20" s="29" t="n"/>
      <c r="F20" s="29" t="n"/>
      <c r="G20" s="51" t="n"/>
      <c r="H20" s="52">
        <f>IF(A20="",0,IF(COUNTIFS('Yanıtlar'!$N$8:$N$307,A20)&gt;0,1,0))</f>
        <v/>
      </c>
    </row>
    <row r="21" ht="54" customHeight="1">
      <c r="A21" s="29" t="n"/>
      <c r="B21" s="29" t="n"/>
      <c r="C21" s="29" t="n"/>
      <c r="D21" s="29" t="n"/>
      <c r="E21" s="29" t="n"/>
      <c r="F21" s="29" t="n"/>
      <c r="G21" s="51" t="n"/>
      <c r="H21" s="52">
        <f>IF(A21="",0,IF(COUNTIFS('Yanıtlar'!$N$8:$N$307,A21)&gt;0,1,0))</f>
        <v/>
      </c>
    </row>
    <row r="22" ht="54" customHeight="1">
      <c r="A22" s="29" t="n"/>
      <c r="B22" s="29" t="n"/>
      <c r="C22" s="29" t="n"/>
      <c r="D22" s="29" t="n"/>
      <c r="E22" s="29" t="n"/>
      <c r="F22" s="29" t="n"/>
      <c r="G22" s="51" t="n"/>
      <c r="H22" s="52">
        <f>IF(A22="",0,IF(COUNTIFS('Yanıtlar'!$N$8:$N$307,A22)&gt;0,1,0))</f>
        <v/>
      </c>
    </row>
    <row r="23" ht="54" customHeight="1">
      <c r="A23" s="29" t="n"/>
      <c r="B23" s="29" t="n"/>
      <c r="C23" s="29" t="n"/>
      <c r="D23" s="29" t="n"/>
      <c r="E23" s="29" t="n"/>
      <c r="F23" s="29" t="n"/>
      <c r="G23" s="51" t="n"/>
      <c r="H23" s="52">
        <f>IF(A23="",0,IF(COUNTIFS('Yanıtlar'!$N$8:$N$307,A23)&gt;0,1,0))</f>
        <v/>
      </c>
    </row>
    <row r="24" ht="54" customHeight="1">
      <c r="A24" s="29" t="n"/>
      <c r="B24" s="29" t="n"/>
      <c r="C24" s="29" t="n"/>
      <c r="D24" s="29" t="n"/>
      <c r="E24" s="29" t="n"/>
      <c r="F24" s="29" t="n"/>
      <c r="G24" s="51" t="n"/>
      <c r="H24" s="52">
        <f>IF(A24="",0,IF(COUNTIFS('Yanıtlar'!$N$8:$N$307,A24)&gt;0,1,0))</f>
        <v/>
      </c>
    </row>
    <row r="25" ht="54" customHeight="1">
      <c r="A25" s="29" t="n"/>
      <c r="B25" s="29" t="n"/>
      <c r="C25" s="29" t="n"/>
      <c r="D25" s="29" t="n"/>
      <c r="E25" s="29" t="n"/>
      <c r="F25" s="29" t="n"/>
      <c r="G25" s="51" t="n"/>
      <c r="H25" s="52">
        <f>IF(A25="",0,IF(COUNTIFS('Yanıtlar'!$N$8:$N$307,A25)&gt;0,1,0))</f>
        <v/>
      </c>
    </row>
    <row r="26" ht="54" customHeight="1">
      <c r="A26" s="29" t="n"/>
      <c r="B26" s="29" t="n"/>
      <c r="C26" s="29" t="n"/>
      <c r="D26" s="29" t="n"/>
      <c r="E26" s="29" t="n"/>
      <c r="F26" s="29" t="n"/>
      <c r="G26" s="51" t="n"/>
      <c r="H26" s="52">
        <f>IF(A26="",0,IF(COUNTIFS('Yanıtlar'!$N$8:$N$307,A26)&gt;0,1,0))</f>
        <v/>
      </c>
    </row>
    <row r="27" ht="54" customHeight="1">
      <c r="A27" s="29" t="n"/>
      <c r="B27" s="29" t="n"/>
      <c r="C27" s="29" t="n"/>
      <c r="D27" s="29" t="n"/>
      <c r="E27" s="29" t="n"/>
      <c r="F27" s="29" t="n"/>
      <c r="G27" s="51" t="n"/>
      <c r="H27" s="52">
        <f>IF(A27="",0,IF(COUNTIFS('Yanıtlar'!$N$8:$N$307,A27)&gt;0,1,0))</f>
        <v/>
      </c>
    </row>
    <row r="28" ht="54" customHeight="1">
      <c r="A28" s="29" t="n"/>
      <c r="B28" s="29" t="n"/>
      <c r="C28" s="29" t="n"/>
      <c r="D28" s="29" t="n"/>
      <c r="E28" s="29" t="n"/>
      <c r="F28" s="29" t="n"/>
      <c r="G28" s="51" t="n"/>
      <c r="H28" s="52">
        <f>IF(A28="",0,IF(COUNTIFS('Yanıtlar'!$N$8:$N$307,A28)&gt;0,1,0))</f>
        <v/>
      </c>
    </row>
    <row r="29" ht="54" customHeight="1">
      <c r="A29" s="29" t="n"/>
      <c r="B29" s="29" t="n"/>
      <c r="C29" s="29" t="n"/>
      <c r="D29" s="29" t="n"/>
      <c r="E29" s="29" t="n"/>
      <c r="F29" s="29" t="n"/>
      <c r="G29" s="51" t="n"/>
      <c r="H29" s="52">
        <f>IF(A29="",0,IF(COUNTIFS('Yanıtlar'!$N$8:$N$307,A29)&gt;0,1,0))</f>
        <v/>
      </c>
    </row>
    <row r="30" ht="54" customHeight="1">
      <c r="A30" s="29" t="n"/>
      <c r="B30" s="29" t="n"/>
      <c r="C30" s="29" t="n"/>
      <c r="D30" s="29" t="n"/>
      <c r="E30" s="29" t="n"/>
      <c r="F30" s="29" t="n"/>
      <c r="G30" s="51" t="n"/>
      <c r="H30" s="52">
        <f>IF(A30="",0,IF(COUNTIFS('Yanıtlar'!$N$8:$N$307,A30)&gt;0,1,0))</f>
        <v/>
      </c>
    </row>
    <row r="31" ht="54" customHeight="1">
      <c r="A31" s="29" t="n"/>
      <c r="B31" s="29" t="n"/>
      <c r="C31" s="29" t="n"/>
      <c r="D31" s="29" t="n"/>
      <c r="E31" s="29" t="n"/>
      <c r="F31" s="29" t="n"/>
      <c r="G31" s="51" t="n"/>
      <c r="H31" s="52">
        <f>IF(A31="",0,IF(COUNTIFS('Yanıtlar'!$N$8:$N$307,A31)&gt;0,1,0))</f>
        <v/>
      </c>
    </row>
    <row r="32" ht="54" customHeight="1">
      <c r="A32" s="29" t="n"/>
      <c r="B32" s="29" t="n"/>
      <c r="C32" s="29" t="n"/>
      <c r="D32" s="29" t="n"/>
      <c r="E32" s="29" t="n"/>
      <c r="F32" s="29" t="n"/>
      <c r="G32" s="51" t="n"/>
      <c r="H32" s="52">
        <f>IF(A32="",0,IF(COUNTIFS('Yanıtlar'!$N$8:$N$307,A32)&gt;0,1,0))</f>
        <v/>
      </c>
    </row>
    <row r="33" ht="54" customHeight="1">
      <c r="A33" s="29" t="n"/>
      <c r="B33" s="29" t="n"/>
      <c r="C33" s="29" t="n"/>
      <c r="D33" s="29" t="n"/>
      <c r="E33" s="29" t="n"/>
      <c r="F33" s="29" t="n"/>
      <c r="G33" s="51" t="n"/>
      <c r="H33" s="52">
        <f>IF(A33="",0,IF(COUNTIFS('Yanıtlar'!$N$8:$N$307,A33)&gt;0,1,0))</f>
        <v/>
      </c>
    </row>
    <row r="34" ht="54" customHeight="1">
      <c r="A34" s="29" t="n"/>
      <c r="B34" s="29" t="n"/>
      <c r="C34" s="29" t="n"/>
      <c r="D34" s="29" t="n"/>
      <c r="E34" s="29" t="n"/>
      <c r="F34" s="29" t="n"/>
      <c r="G34" s="51" t="n"/>
      <c r="H34" s="52">
        <f>IF(A34="",0,IF(COUNTIFS('Yanıtlar'!$N$8:$N$307,A34)&gt;0,1,0))</f>
        <v/>
      </c>
    </row>
    <row r="35" ht="54" customHeight="1">
      <c r="A35" s="29" t="n"/>
      <c r="B35" s="29" t="n"/>
      <c r="C35" s="29" t="n"/>
      <c r="D35" s="29" t="n"/>
      <c r="E35" s="29" t="n"/>
      <c r="F35" s="29" t="n"/>
      <c r="G35" s="51" t="n"/>
      <c r="H35" s="52">
        <f>IF(A35="",0,IF(COUNTIFS('Yanıtlar'!$N$8:$N$307,A35)&gt;0,1,0))</f>
        <v/>
      </c>
    </row>
    <row r="36" ht="54" customHeight="1">
      <c r="A36" s="29" t="n"/>
      <c r="B36" s="29" t="n"/>
      <c r="C36" s="29" t="n"/>
      <c r="D36" s="29" t="n"/>
      <c r="E36" s="29" t="n"/>
      <c r="F36" s="29" t="n"/>
      <c r="G36" s="51" t="n"/>
      <c r="H36" s="52">
        <f>IF(A36="",0,IF(COUNTIFS('Yanıtlar'!$N$8:$N$307,A36)&gt;0,1,0))</f>
        <v/>
      </c>
    </row>
    <row r="37" ht="54" customHeight="1">
      <c r="A37" s="29" t="n"/>
      <c r="B37" s="29" t="n"/>
      <c r="C37" s="29" t="n"/>
      <c r="D37" s="29" t="n"/>
      <c r="E37" s="29" t="n"/>
      <c r="F37" s="29" t="n"/>
      <c r="G37" s="51" t="n"/>
      <c r="H37" s="52">
        <f>IF(A37="",0,IF(COUNTIFS('Yanıtlar'!$N$8:$N$307,A37)&gt;0,1,0))</f>
        <v/>
      </c>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F8:F37">
    <cfRule type="expression" priority="6" dxfId="1">
      <formula>AND($A8&lt;&gt;"",ISBLANK(F8))</formula>
    </cfRule>
  </conditionalFormatting>
  <conditionalFormatting sqref="G8:G3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T3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32" customWidth="1" min="14" max="14"/>
    <col width="58" customWidth="1" min="15" max="15"/>
    <col width="58" customWidth="1" min="16" max="16"/>
    <col width="28" customWidth="1" min="17" max="17"/>
    <col width="28" customWidth="1" min="18" max="18"/>
    <col width="58" customWidth="1" min="19" max="19"/>
    <col width="48"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Pratik yaşam yanıtları</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 · alt satır</t>
        </is>
      </c>
      <c r="P5" s="22" t="inlineStr">
        <is>
          <t>İsteğe bağlı · alt satır</t>
        </is>
      </c>
      <c r="Q5" s="22" t="inlineStr">
        <is>
          <t>İsteğe bağlı</t>
        </is>
      </c>
      <c r="R5" s="22" t="inlineStr">
        <is>
          <t>İsteğe bağlı</t>
        </is>
      </c>
      <c r="S5" s="22" t="inlineStr">
        <is>
          <t>İsteğe bağlı</t>
        </is>
      </c>
      <c r="T5" s="22" t="inlineStr">
        <is>
          <t>İsteğe bağlı · JSON</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Konu kimliği</t>
        </is>
      </c>
      <c r="O6" s="25" t="inlineStr">
        <is>
          <t>İşlem adımları</t>
        </is>
      </c>
      <c r="P6" s="25" t="inlineStr">
        <is>
          <t>Gereken belgeler</t>
        </is>
      </c>
      <c r="Q6" s="25" t="inlineStr">
        <is>
          <t>Süre / son tarih</t>
        </is>
      </c>
      <c r="R6" s="25" t="inlineStr">
        <is>
          <t>Ücret / maliyet</t>
        </is>
      </c>
      <c r="S6" s="25" t="inlineStr">
        <is>
          <t>İstisna ve dikkat notu</t>
        </is>
      </c>
      <c r="T6" s="25" t="inlineStr">
        <is>
          <t>Görsel açıklama yapısı (JSON)</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topic_id</t>
        </is>
      </c>
      <c r="O7" s="28" t="inlineStr">
        <is>
          <t>steps</t>
        </is>
      </c>
      <c r="P7" s="28" t="inlineStr">
        <is>
          <t>documents</t>
        </is>
      </c>
      <c r="Q7" s="28" t="inlineStr">
        <is>
          <t>timing</t>
        </is>
      </c>
      <c r="R7" s="28" t="inlineStr">
        <is>
          <t>cost</t>
        </is>
      </c>
      <c r="S7" s="28" t="inlineStr">
        <is>
          <t>note</t>
        </is>
      </c>
      <c r="T7" s="28" t="inlineStr">
        <is>
          <t>visual_json</t>
        </is>
      </c>
    </row>
    <row r="8" ht="54" customHeight="1">
      <c r="A8" s="29" t="inlineStr">
        <is>
          <t>malaga:egitim-sistemi-zorunlu-egitim-ve-okul-turleri</t>
        </is>
      </c>
      <c r="B8" s="29" t="inlineStr">
        <is>
          <t>malaga</t>
        </is>
      </c>
      <c r="C8" s="29" t="inlineStr">
        <is>
          <t>egitim-sistemi-zorunlu-egitim-ve-okul-turleri</t>
        </is>
      </c>
      <c r="D8" s="29" t="inlineStr">
        <is>
          <t>İspanya'da zorunlu eğitim hangi yaşları kapsar, okul türleri nelerdir ve okula kayıt nasıl işler?</t>
        </is>
      </c>
      <c r="E8" s="29" t="inlineStr">
        <is>
          <t>Temel eğitim 6–16 yaş arasıdır, kanunda zorunlu ve ücretsizdir; okullar kamu ve özel (bir kısmı sözleşmeli, concertado); kayıt takvimi bölgene göre değişir</t>
        </is>
      </c>
      <c r="F8" s="29" t="inlineStr">
        <is>
          <t>Zorunlu temel eğitim (enseñanza básica) 6 ile 16 yaş arasında, toplam on yıllık okullaşmadır; LOE md. 4 onu herkes için zorunlu ve ücretsiz bir eğitim olarak tanımlar. Temel eğitimi ilkokul (educación primaria), zorunlu ortaöğretim (ESO) ve temel düzey meslek eğitimi döngüleri oluşturur; ESO dört sınıftır ve genellikle 12–16 yaşları arasında okunur. 0–6 yaş okul öncesi eğitim (educación infantil) isteğe bağlıdır. Okullar kamu okulları (sahibi bir kamu idaresi olanlar) ve özel okullar olarak ayrılır; devletle sözleşme rejimine alınan özel okullara centro concertado denir; kamu eğitim hizmeti kamu ve concertado okullar aracılığıyla verilir. Kamu ve concertado okullara kabulü eğitim idareleri düzenler; başvuru takvimi ve puanlama bölgene göre değişir.</t>
        </is>
      </c>
      <c r="G8" s="29" t="inlineStr">
        <is>
          <t>zorunlu eğitim, eğitim sistemi, okul türleri, escolarización, admisión, centro concertado, ESO, educación infantil</t>
        </is>
      </c>
      <c r="H8" s="29" t="inlineStr">
        <is>
          <t>planning;new</t>
        </is>
      </c>
      <c r="I8" s="29" t="inlineStr">
        <is>
          <t>malaga:kaynak:103</t>
        </is>
      </c>
      <c r="J8" s="49" t="n">
        <v>46319</v>
      </c>
      <c r="K8" s="51" t="n">
        <v>9081</v>
      </c>
      <c r="L8" s="29" t="inlineStr">
        <is>
          <t>Hayır</t>
        </is>
      </c>
      <c r="M8" s="29" t="inlineStr">
        <is>
          <t>Taslak</t>
        </is>
      </c>
      <c r="N8" s="29" t="inlineStr">
        <is>
          <t>malaga:aile</t>
        </is>
      </c>
      <c r="O8" s="29" t="inlineStr">
        <is>
          <t>Çocuğunun yaşına göre etabı belirle: 0–6 yaş okul öncesi eğitim isteğe bağlıdır, 6–16 yaş temel eğitim kanunda zorunlu ve ücretsiz olarak tanımlanır.
Okul türünü seç: kamu okulu, özel okul ya da concertado okul; ebeveyn olarak kamu okulunu da, kamu idarelerinin kurmadığı bir okulu da seçme hakkın var.
Kamu ya da concertado okul istiyorsan başvuruyu bölgenin eğitim idaresinin düzenlediği kabul (admisión) süreci üzerinden yap; takvim ve puanlama bölgene göre değişir.
Yer yetersizse sıralamayı öncelikli ölçütler belirler: okulda kayıtlı kardeşin, evinin ya da ebeveynlerinden birinin iş yerinin okula yakınlığı ve ailenin kişi başı geliri.
Kamu okullarında yer yetersizse, okulun kendisine bağlı (adscrito) okullardan gelen öğrenciler öncelik alır; concertado okullarda benzer bir usul uygulanır.</t>
        </is>
      </c>
      <c r="P8" s="29" t="n"/>
      <c r="Q8" s="29" t="n"/>
      <c r="R8" s="29" t="inlineStr">
        <is>
          <t>Kanun, temel eğitimi (6–16 yaş) herkes için zorunlu ve ücretsiz olarak tanımlar (LOE md. 4).</t>
        </is>
      </c>
      <c r="S8" s="29" t="inlineStr">
        <is>
          <t>Kabulde doğum, ırk veya etnik köken, cinsiyet, din, görüş, engellilik, yaş gibi nedenlerle ayrımcılık yapılamaz. Ebeveynlerinden birinin zorunlu görev değişikliği, ailede sonradan gelişen engellilik ya da toplumsal cinsiyete dayalı şiddet nedeniyle ikamet değişikliği yüzünden taşındıysan, oturduğun ya da çalıştığın bölgeye göre kabulde tercih hakkın vardır. Zorunlu eğitimden sonraki lise düzeyi (educación secundaria postobligatoria) bachillerato ve orta düzey meslek eğitimi (FP grado medio) gibi öğrenimleri kapsar.</t>
        </is>
      </c>
      <c r="T8" s="29" t="n"/>
    </row>
    <row r="9" ht="54" customHeight="1">
      <c r="A9" s="29" t="inlineStr">
        <is>
          <t>malaga:yabanci-lise-diplomasi-ile-universiteye-giris</t>
        </is>
      </c>
      <c r="B9" s="29" t="inlineStr">
        <is>
          <t>malaga</t>
        </is>
      </c>
      <c r="C9" s="29" t="inlineStr">
        <is>
          <t>yabanci-lise-diplomasi-ile-universiteye-giris</t>
        </is>
      </c>
      <c r="D9" s="29" t="inlineStr">
        <is>
          <t>İspanya'da yabancı lise diplomasıyla üniversiteye girmek için ne gerekir, hangi diplomalar giriş sınavından ve denklik (homologación) yaptırmaktan muaftır?</t>
        </is>
      </c>
      <c r="E9" s="29" t="inlineStr">
        <is>
          <t>Diplomanın eğitim sistemine bağlı: RD 534/2024 md. 6 kapsamındakilerde sınav ve homologación gerekmez; diğerleri için homologación, UNEDasiss ve PCE</t>
        </is>
      </c>
      <c r="F9" s="29" t="inlineStr">
        <is>
          <t>Yol diplomanın geldiği eğitim sistemine göre değişir. AB üye devletlerinin ve karşılıklılık esasıyla uluslararası anlaşma yapılmış devletlerin sistemlerinden gelenler (kendi sistemlerinde üniversiteye giriş şartlarını karşılamaları koşuluyla), Avrupa Okulları'nın Avrupa Bakalorya diploması sahipleri ve Uluslararası Bakalorya (IB) diploması sahipleri giriş sınavı (prueba de acceso) olmadan üniversiteye girebilir ve diplomalarının homologación (resmî denklik) işlemini yaptırmak zorunda değildir (RD 534/2024 md. 6); UNEDasiss bu gruptakiler için de, yabancı notları İspanyol ölçeğine çeviren Acreditación UNEDasiss ve Calificación de Acceso'yu şart koşar. UNEDasiss bu yolu 'AB, Avrupa Yükseköğretim Alanı, IB, Avrupa Okulları, Çin ve Kolombiya' başlığı altında verir; saydığı sistemlerin listesi nottadır. UNEDasiss'in 'AB dışı ülkeler' yolunda, yani diğer uluslararası eğitim sistemlerinden gelenler için UNEDasiss'in aradığı şart şudur: İspanyol bachillerato'suna homologación için gereken şartları karşılıyor olmak; devlet üniversitesi için ayrıca Calificación de Acceso ve PCE sınavları gerekir. Özel üniversitelerde kabul sistemi devlet üniversitelerinden farklıdır.</t>
        </is>
      </c>
      <c r="G9" s="29" t="inlineStr">
        <is>
          <t>yabancı diploma, üniversiteye giriş, UNEDasiss, PCE, homologación, prueba de acceso, RD 534/2024, Calificación de Acceso</t>
        </is>
      </c>
      <c r="H9" s="29" t="inlineStr">
        <is>
          <t>before;planning;new</t>
        </is>
      </c>
      <c r="I9" s="29" t="inlineStr">
        <is>
          <t>malaga:kaynak:104;malaga:kaynak:105</t>
        </is>
      </c>
      <c r="J9" s="49" t="n">
        <v>46319</v>
      </c>
      <c r="K9" s="51" t="n">
        <v>9082</v>
      </c>
      <c r="L9" s="29" t="inlineStr">
        <is>
          <t>Hayır</t>
        </is>
      </c>
      <c r="M9" s="29" t="inlineStr">
        <is>
          <t>Taslak</t>
        </is>
      </c>
      <c r="N9" s="29" t="inlineStr">
        <is>
          <t>malaga:aile</t>
        </is>
      </c>
      <c r="O9" s="29" t="inlineStr">
        <is>
          <t>Diplomanın hangi eğitim sistemine ait olduğuna bak: AB üye devleti, karşılıklılık anlaşmalı devlet, Avrupa Okulları ya da Uluslararası Bakalorya (IB) ise RD 534/2024 md. 6'ya göre sınavsız giriş grubundasın ve homologación yaptırman gerekmez; genel lise diplomanda kendi sisteminde üniversiteye giriş şartlarını karşılamış olman gerekir, meslek diplomaları için ek koşul notta yazılıdır.
Bu gruptaysan UNEDasiss'ten Acreditación UNEDasiss'i ve notlarını İspanyol ölçeğine çeviren Calificación de Acceso'yu al.
Giriş notunu yükseltmek istersen PCE sınavlarına gir (en az 2 ders önerilir) ve/ya da derslerinin tanınmasını (Reconocimiento de asignaturas) iste.
UNEDasiss'in 'Otros países fuera de la UE' yolundaysan, yani diplomanın sistemi yukarıdaki 'AB, EHEA, IB, Avrupa Okulları, Çin ve Kolombiya' grubunda sayılmayan diğer uluslararası bir eğitim sistemindense: İspanyol bachillerato'suna homologación için gereken şartları karşılıyor olmalısın; meslek lisesi mezunuysan Técnico Superior unvanına homologación almış olmalısın.
Devlet üniversitesi için Calificación de Acceso'ya ek olarak PCE sınavlarına gir (en az 4 ders önerilir); hangi derslere gireceğini üniversitenin kabul kriterleri belirler: bachillerato modalitesi (4 PCE dersi), PCE'yi İspanyol öğrencilerin PAU'su gibi yapılandırmak (en az 4 zorunlu ders, 1 ya da 2 isteğe bağlı ders) ya da dil belgesi.</t>
        </is>
      </c>
      <c r="P9" s="29" t="inlineStr">
        <is>
          <t>Acreditación UNEDasiss (Calificación de Acceso ile)
PCE sınavları (ülke dışı diploma için devlet üniversitesinde)</t>
        </is>
      </c>
      <c r="Q9" s="29" t="n"/>
      <c r="R9" s="29" t="n"/>
      <c r="S9" s="29" t="inlineStr">
        <is>
          <t>UNEDasiss'in 'AB, Avrupa Yükseköğretim Alanı, IB, Avrupa Okulları, Çin ve Kolombiya' grubunda saydığı sistemler: Almanya, Andorra, Avusturya, Uluslararası Bakalorya, Belçika, Bulgaristan, Çekya, Çin, Kıbrıs, Kolombiya, Hırvatistan, Danimarka, Avrupa Okulları, Slovakya, Slovenya, Estonya, Finlandiya, Fransa, Yunanistan, Macaristan, İrlanda, İzlanda, İtalya, Letonya, Lihtenştayn, Litvanya, Lüksemburg, Malta, Norveç, Hollanda, Polonya, Portekiz, Birleşik Krallık, Romanya, İsveç ve İsviçre. Giriş sınavını geçmesi gereken yabancı sistem öğrencileri RD 534/2024'te ayrı bir grup olarak sayılır ve kabulleri LOE'nin ilgili ek maddesini geliştiren yönetmeliğe göre yapılır. UNEDasiss'in 'AB, Avrupa Yükseköğretim Alanı, IB, Avrupa Okulları, Çin ve Kolombiya' grubunda meslek diplomaları için diplomanın Orden EFD/550/2025'te yer alması ya da Eğitim, Meslek Eğitimi ve Spor Bakanlığı'nın olumlu raporunu alması gerekir.</t>
        </is>
      </c>
      <c r="T9" s="29" t="n"/>
    </row>
    <row r="10" ht="54" customHeight="1">
      <c r="A10" s="29" t="inlineStr">
        <is>
          <t>malaga:ingreso-minimo-vital-ve-cocuk-destegi</t>
        </is>
      </c>
      <c r="B10" s="29" t="inlineStr">
        <is>
          <t>malaga</t>
        </is>
      </c>
      <c r="C10" s="29" t="inlineStr">
        <is>
          <t>ingreso-minimo-vital-ve-cocuk-destegi</t>
        </is>
      </c>
      <c r="D10" s="29" t="inlineStr">
        <is>
          <t>İspanya'da Ingreso Mínimo Vital ve çocuk yardımı eki (complemento de ayuda para la infancia) kimlere verilir, yabancı için ikamet şartı nedir?</t>
        </is>
      </c>
      <c r="E10" s="29" t="inlineStr">
        <is>
          <t>Başvurudan önceki en az 1 yıl yasal ve fiilî ikamet aranır; AB dışı yabancıda oturum izniyle kanıtlanır; 2026 çocuk eki aylık 115, 80,50 ya da 57,50 €</t>
        </is>
      </c>
      <c r="F10" s="29" t="inlineStr">
        <is>
          <t>Ingreso Mínimo Vital (IMV, asgari yaşamsal gelir), ekonomik açıdan kırılgan durumdaki kişilere ve birlikte yaşayan birimlere (unidad de convivencia) verilir; yararlanıcılar (bireysel başvuranlar ve birim üyeleri) için başvurudan önceki en az bir yıl boyunca İspanya'da yasal ve fiilî, kesintisiz ikamet şarttır. Gelirin yanında varlık da aranır: oturduğun ev (vivienda habitual) hariç net varlığı bireysel yararlanıcıda 2026'da 26.409,60 € ve üzerinde olanlar ekonomik kırılgan sayılmaz (ayrıntı notta). AB, AEA ya da İsviçre vatandaşı olmayan yabancıda yasal ikamet, oturum izniyle (autorización de residencia, her türü) ya da AB vatandaşı aile üyesi kartıyla kanıtlanır; Türk vatandaşı bu ikinci gruba girer, yani oturum izninle ya da AB vatandaşının aile üyesiysen aile üyesi kartınla kanıtlarsın. Bir yıl şartı doğum, evlat edinme, çocukların aile birleşimi (reagrupación familiar), evlat edinme amaçlı koruma ya da kalıcı aile yanında bakımla birime katılan reşit olmayanlar için, ayrıca insan ticareti ve cinsel sömürü mağdurları ile toplumsal cinsiyete dayalı şiddet mağduru kadınlar için aranmaz. Reşit olmayan çocuğu olan birimler için çocuk eki (complemento de ayuda para la infancia) de vardır; 2026 için tutarı çocuğun 1 Ocak'ta tamamlanmış yaşına göre aylık 115 €, 80,50 € ya da 57,50 €'dur.</t>
        </is>
      </c>
      <c r="G10" s="29" t="inlineStr">
        <is>
          <t>ingreso mínimo vital, IMV, complemento de ayuda para la infancia, çocuk yardımı, Seguridad Social, ikamet şartı, aile yardımı</t>
        </is>
      </c>
      <c r="H10" s="29" t="inlineStr">
        <is>
          <t>new;settled</t>
        </is>
      </c>
      <c r="I10" s="29" t="inlineStr">
        <is>
          <t>malaga:kaynak:106;malaga:kaynak:107</t>
        </is>
      </c>
      <c r="J10" s="49" t="n">
        <v>46319</v>
      </c>
      <c r="K10" s="51" t="n">
        <v>9083</v>
      </c>
      <c r="L10" s="29" t="inlineStr">
        <is>
          <t>Hayır</t>
        </is>
      </c>
      <c r="M10" s="29" t="inlineStr">
        <is>
          <t>Taslak</t>
        </is>
      </c>
      <c r="N10" s="29" t="inlineStr">
        <is>
          <t>malaga:aile</t>
        </is>
      </c>
      <c r="O10" s="29" t="inlineStr">
        <is>
          <t>Birimin (unidad de convivencia) başvurudan önceki en az altı ay kesintisiz oluşmuş olmalı; başvuru sahibi (titular) genel olarak en az 23 yaşında ve hukuki ehliyetli olmalı.
Yasal ve fiilî ikametini en az bir yıllık kesintisiz süre için oturum izninle (her türü) ya da AB vatandaşı aile üyesi kartınla, İspanya'daki adresini ise empadronamiento (belediye nüfus kaydı) belgesiyle kanıtla.
Kimlik olarak ülkenin kimlik belgesi, yabancı kimlik kartı (TIE) ya da pasaportunu ver; NIE belgelerde yoksa ayrıca ver.
Çocukların için libro de familia ya da Registro Civil'in verdiği doğum belgesini ekle.
Başvuruyu Seguridad Social'ın elektronik şubesindeki Servicio Ingreso Mínimo Vital üzerinden yap; IMV'yi ve çocuk ekini buradan talep edersin. Bilgi hattı 020'dir.
Aynı çocuk için, engeli olmayan ya da engel oranı %33'ün altında olan çocuk başına aile yardımı (asignación económica por hijo o menor a cargo) alıyorsan IMV ile birlikte alamazsın. IMV tutarı aile yardımından yüksekse IMV tanınır ve aile yardımı hakkı sona erer; IMV daha düşükse ve aile yardımını seçersen IMV başvurusu reddedilir.</t>
        </is>
      </c>
      <c r="P10" s="29" t="inlineStr">
        <is>
          <t>Kimlik belgesi: ülkenin kimlik belgesi, yabancı kimlik kartı (TIE) ya da pasaport (ve NIE)
Oturum izni (yasal ikamet için)
Empadronamiento belgesi (belediye nüfus kaydı)
Libro de familia ya da Registro Civil doğum belgesi (çocuklar için)</t>
        </is>
      </c>
      <c r="Q10" s="29" t="n"/>
      <c r="R10" s="29" t="inlineStr">
        <is>
          <t>2026 için çocuk eki, reşit olmayan her çocuk için aylık: 3 yaşından küçük 115 €; 3 yaşından büyük, 6 yaşından küçük 80,50 €; 6 yaşından büyük, 18 yaşından küçük 57,50 € (yaş, ilgili yılın 1 Ocak'ında tamamlanmış yaşa göre).</t>
        </is>
      </c>
      <c r="S10" s="29" t="inlineStr">
        <is>
          <t>2026'da bireysel yararlanıcı için aylık garantili gelir 733,6 €'dur; bir yetişkin ve bir çocuktan ya da iki yetişkinden oluşan birim için 953,68 €'dur. IMV tutarı, garantili gelirle kişinin ya da birimin gelirleri arasındaki farktır ve bu fark aylık 10 € ya da daha fazla olmalıdır. Çocuk eki, önceki yılın hesaba katılan geliri IMV'nin garantili tutarının %300'ünün altında ve net varlığı ilgili sınırların %150'sinin altında olan birimlere tanınır. Varlık sınırı: oturduğun ev (vivienda habitual) hariç net varlığı bireysel yararlanıcıda 2026'da 26.409,60 € ve üzerinde olanlar ekonomik kırılgan sayılmaz; birimlerde sınır, birimin büyüklüğüne ve yapısına göre yükselir (bir yetişkin ve bir çocuk için 36.973,44 €). Bunun yanında, oturduğun ev (vivienda habitual) hariç şirket dışı varlıkların değeri tek yetişkinli birimde 52.819,20 €'yu (bir yetişkin ve bir çocukta 73.946,88 €'yu) aşıyorsa net varlık değerlendirmesinden bağımsız olarak IMV'ye erişilemez. Birim üyelerinden biri faaliyeti sona ermemiş bir ticari şirketin yöneticisiyse (administrador de derecho) de ekonomik kırılgan sayılmazsın. Sayfa 2026 için geçerlidir.</t>
        </is>
      </c>
      <c r="T10" s="29" t="n"/>
    </row>
    <row r="11" ht="54" customHeight="1">
      <c r="A11" s="29" t="inlineStr">
        <is>
          <t>malaga:mec-burslari-ab-disi-sart-ve-basvuru-donemi</t>
        </is>
      </c>
      <c r="B11" s="29" t="inlineStr">
        <is>
          <t>malaga</t>
        </is>
      </c>
      <c r="C11" s="29" t="inlineStr">
        <is>
          <t>mec-burslari-ab-disi-sart-ve-basvuru-donemi</t>
        </is>
      </c>
      <c r="D11" s="29" t="inlineStr">
        <is>
          <t>İspanya'da Eğitim Bakanlığı (MEC) üniversite bursuna AB dışı vatandaş olarak başvurabilir miyim, hangi tutarlar verilir?</t>
        </is>
      </c>
      <c r="E11" s="29" t="inlineStr">
        <is>
          <t>AB dışı için üniversite bursu şartı: 18 yaşından küçük olmak ya da 31 Aralık 2025'te oturum izni almış olmak; tutarlar gelir eşiğine göre değişir (2026-2027)</t>
        </is>
      </c>
      <c r="F11" s="29" t="inlineStr">
        <is>
          <t>Koşullu evet: Bakanlığın üniversite (grado ve máster) bursunda genel şart İspanyol ya da AB üyesi devlet vatandaşı olmaktır; AB vatandaşı değilsen yabancıların hak ve özgürlüklerine ilişkin mevzuat uygulanır ve 18 yaşından küçüksen ya da 31 Aralık 2025 itibarıyla oturum izni (permiso de residencia) almışsan bursa hak kazanabilirsin; yalnız estancia izni (autorización de estancia) yetmez. 2026-2027 çağrısında üniversite bursunun tutarı aile gelirinin hangi eşikte olduğuna göre değişir; eşik değerleri aile biriminin üye sayısına göre belirlenir (örneğin 1 kişilik aile için yıllık 8.843 / 13.898 / 14.818 €, 4 kişilik aile için 22.107 / 38.242 / 40.773 €). Eşik 1'de ve altında: üniversiteye telafi edilen kayıt bursu, en az 1.700 € (gelire göre), öğrenim sırasında ikamet değiştirmen gerekiyorsa 2.700 €, 8 ve üzeri not için 50–125 € ve gelire ile nota göre hesaplanan değişken tutar. Eşik 2'de 1.700 € yoktur: kayıt bursu, değişken tutar, ikamet değişikliği için 2.700 € ve 8 ve üzeri not için 50–125 € verilir. Eşik 3'te kayıt bursu ve 8 ve üzeri not için en çok 125 € verilir; burs hakkı şu durumlarda yoktur: aile geliri eşik 3'ün üstündeyse; sermaye gelirleri ile değer artışı kazançları toplamı 2025'te 1.900 €'yu aşıyorsa; oturduğun ev dışındaki mülklerin katastro değeri çağrıdaki sınırları aşıyorsa; ticari faaliyet ve ortaklık gelirleri 2025'te 172.000 €'yu aşıyorsa. FP, bachillerato ve diğer üniversite dışı öğrenimlerin bursu için başvuru, Bakanlığın elektronik şubesi (sede electrónica) üzerinden yapılır ve süresi 19 Mayıs'ta sona ermiştir.</t>
        </is>
      </c>
      <c r="G11" s="29" t="inlineStr">
        <is>
          <t>MEC bursu, beca, becas y ayudas, AB dışı, oturum izni, sede electrónica, Ministerio de Educación, beca de matrícula</t>
        </is>
      </c>
      <c r="H11" s="29" t="inlineStr">
        <is>
          <t>planning;new;settled</t>
        </is>
      </c>
      <c r="I11" s="29" t="inlineStr">
        <is>
          <t>malaga:kaynak:108;malaga:kaynak:109</t>
        </is>
      </c>
      <c r="J11" s="49" t="n">
        <v>46319</v>
      </c>
      <c r="K11" s="51" t="n">
        <v>9084</v>
      </c>
      <c r="L11" s="29" t="inlineStr">
        <is>
          <t>Hayır</t>
        </is>
      </c>
      <c r="M11" s="29" t="inlineStr">
        <is>
          <t>Taslak</t>
        </is>
      </c>
      <c r="N11" s="29" t="inlineStr">
        <is>
          <t>malaga:aile</t>
        </is>
      </c>
      <c r="O11" s="29" t="inlineStr">
        <is>
          <t>Önce uyruğuna bak: İspanyol ya da AB üyesi devlet vatandaşıysan genel şartı karşılarsın; AB vatandaşı değilsen 18 yaşından küçük olmalı ya da 31 Aralık 2025 itibarıyla oturum izni (permiso de residencia) almış olmalısın.
Üniversite bursunda diğer genel şartı da gör: aynı seviyede ya da daha yüksek bir diploman olmamalı.
Akademik şartları gör: ilk yıl grado için 60 kredi kaydı ve üniversiteye girişi sağlayan sınavda ya da öğrenimde en az 5 puan; sonraki yıllarda önceki yıl kredilerinin alana göre belirli yüzdesini başarmış olmak gerekir (ayrıntı notta).
FP, bachillerato ve diğer üniversite dışı bursların başvurusu Bakanlığın elektronik şubesinden (sede electrónica) yapılır: Cl@ve ya da elektronik sertifikanla ya da şubeye kayıtlı kullanıcı adı ve şifrenle giriş yap, çevrimiçi formu doldur.
FP, bachillerato ve diğer üniversite dışı öğrenimlerde başvuru süresi 19 Mayıs'ta sona erdi; form doldurulurken belge istenmez, gerekli verileri bursları yürüten birimler kendileri sorgular.</t>
        </is>
      </c>
      <c r="P11" s="29" t="n"/>
      <c r="Q11" s="29" t="n"/>
      <c r="R11" s="29" t="inlineStr">
        <is>
          <t>2026-2027 çağrısında üniversite bursu bileşenleri (kayıt bursu üniversiteye telafi edilir, hesabına yatmaz). Eşik 1'de ve altında: en az 1.700 €; öğrenim sırasında ikamet değiştirmen gerekiyorsa 2.700 €; 8 ve üzeri not için 50 € – 125 €; ayrıca gelire ve nota göre hesaplanan değişken tutar. Eşik 2: kayıt bursu, değişken tutar, ikamet değişikliği için 2.700 €, 8 ve üzeri not için 50 € – 125 €. Eşik 3: kayıt bursu ve 8 ve üzeri not için en çok 125 €.</t>
        </is>
      </c>
      <c r="S11" s="29" t="inlineStr">
        <is>
          <t>Ekonomik şart olarak 2025 yılı aile birimi geliri esas alınır. AB vatandaşıysan ve sen ya da ailen İspanya'da sürekli ikamet etmiyor veya çalıştığını göstermiyorsa yalnız kayıt bedelini alabilirsin. Alana göre sonraki yıl şartı: mühendislik, mimarlık ve fen bilimlerinde önceki yıl kredilerinin en az %65'ini, sağlık bilimlerinde en az %80'ini, sosyal ve hukuk bilimleri, sanat ve beşeri bilimlerde en az %90'ını başarmış olmak gerekir. Tutarlar Real Decreto 179/2026 ile belirlenen 2026-2027 dönemine aittir.</t>
        </is>
      </c>
      <c r="T11" s="29" t="n"/>
    </row>
    <row r="12" ht="54" customHeight="1">
      <c r="A12" s="29" t="inlineStr">
        <is>
          <t>malaga:endulus-okul-kaydi-basvuru-donemi-ve-gec-gelen-ogrenci</t>
        </is>
      </c>
      <c r="B12" s="29" t="inlineStr">
        <is>
          <t>malaga</t>
        </is>
      </c>
      <c r="C12" s="29" t="inlineStr">
        <is>
          <t>endulus-okul-kaydi-basvuru-donemi-ve-gec-gelen-ogrenci</t>
        </is>
      </c>
      <c r="D12" s="29" t="inlineStr">
        <is>
          <t>Endülüs'te okul kaydı ne zaman ve nasıl yapılır, eğitim yılı ortasında gelen çocuk nasıl kaydolur?</t>
        </is>
      </c>
      <c r="E12" s="29" t="inlineStr">
        <is>
          <t>Genel kural Mart ayı başvurusu ve Secretaría Virtual; yıl ortasında gelen öğrenci için olağanüstü usul (Decreto 21/2020 md. 51)</t>
        </is>
      </c>
      <c r="F12" s="29" t="inlineStr">
        <is>
          <t>Genel kural: Endülüs'te kamu ve devlet destekli özel (concertado) okullara başvuru Mart ayında yapılır; 2026/27 için dönem 1-31 Mart (ikisi dahil) olarak açıklanmıştır. Mart başvurusu 2. kademe Educación Infantil (3-5 yaş), Educación Primaria, ESO ve Bachillerato içindir. O yıl kamu ya da concertado bir okulda kayıtlı olup aynı okulda devam edecek öğrenci Mart'ta başvuru vermez. Bir etabın son sınıfında okuyup sonraki etabın ilk sınıfına bağlı (adscrito) olduğu okulda devam edecek öğrenci de Mart'ta başvuru vermez; çoklu bağlantı (adscripción múltiple) durumu bunun dışındadır. Başvuru okula kâğıtla (Anexo III) ya da elektronik olarak Secretaría Virtual üzerinden verilir; her öğrenci için tek başvuru yapılır ve süre dışı başvuru öncelik kaybettirir. Genel usul bittikten sonra gelen öğrenci (incorporación tardía) için olağanüstü usul vardır: başvuru, çocuğun kabul edilmek istendiği okula ya da eğitim idaresinin il organına yapılır; boş yer varsa okul müdürü kabul eder ve kaydı Séneca sistemiyle yapar, boş yer yoksa başvuru il organına gönderilir. İl organı yer gösterirse matrikül, bildirimden sonraki günden başlayarak iki iş günü içinde yapılmalıdır. Genelleştirilmesi zor (difícil generalización) özel kaynaklar gerektiren çocukta, okulda boş yer olsa bile başvuru yalnız okulun bu kaynakları varsa kabul edilir; yoksa başvuru il organına gönderilir ve il organı bu kaynaklara sahip bir okulda yer verir.</t>
        </is>
      </c>
      <c r="G12" s="29" t="inlineStr">
        <is>
          <t>okul kaydı, escolarización, admisión, Secretaría Virtual, incorporación tardía, procedimiento extraordinario, Decreto 21/2020, plaza escolar</t>
        </is>
      </c>
      <c r="H12" s="29" t="inlineStr">
        <is>
          <t>planning;new;settled</t>
        </is>
      </c>
      <c r="I12" s="29" t="inlineStr">
        <is>
          <t>malaga:kaynak:136;malaga:kaynak:137</t>
        </is>
      </c>
      <c r="J12" s="49" t="n">
        <v>46319</v>
      </c>
      <c r="K12" s="51" t="n">
        <v>9101</v>
      </c>
      <c r="L12" s="29" t="inlineStr">
        <is>
          <t>Hayır</t>
        </is>
      </c>
      <c r="M12" s="29" t="inlineStr">
        <is>
          <t>Taslak</t>
        </is>
      </c>
      <c r="N12" s="29" t="inlineStr">
        <is>
          <t>malaga:aile</t>
        </is>
      </c>
      <c r="O12" s="29" t="inlineStr">
        <is>
          <t>Mart ayındaki genel başvuru döneminde tek bir başvuru formu doldur ve çocuğun öncelikle istediğin okulda (prioritario) başvurusunu ver; kâğıt için Anexo III'ü doldur, elektronik için Secretaría Virtual'ı kullan. Çocuk zaten kayıtlı olduğu okulda devam edecekse ya da bağlı (adscrito) okulda sonraki etabın ilk sınıfına geçecekse (çoklu bağlantı hariç) bu başvuru gerekmez.
Başvuruda en çok dört yedek (subsidiario) okul yazabilirsin; okulun kayıtlı başvuru kopyasını sakla.
Genel usul bittikten sonra geldiysen (taşınma, evlat edinme gibi acil okullaşma ihtiyacında) başvuruyu çocuğun gireceği okula ya da il eğitim organına ver.
Okulda boş yer varsa müdür başvuruyu kabul eder ve kaydı Séneca sisteminde yapar; yer yoksa başvuru il organına gider. Çocuk genelleştirilmesi zor özel kaynaklar gerektiriyorsa başvuru yalnız okulun bu kaynakları varsa kabul edilir; yoksa il organı bu kaynaklara sahip bir okulda yer verir.
İl organı sana yer gösterirse bildirimi izleyen günden başlayarak iki iş günü içinde atanan okulda matrikül yaptır.</t>
        </is>
      </c>
      <c r="P12" s="29" t="inlineStr">
        <is>
          <t>Başvuru formu: kâğıt için Anexo III, elektronik için Secretaría Virtual</t>
        </is>
      </c>
      <c r="Q12" s="29" t="inlineStr">
        <is>
          <t>Genel başvuru: Mart ayı (2026/27 için 1-31 Mart, ikisi dahil). Yıl ortası olağanüstü usul: genel usul bittikten sonra; il organı yer gösterirse matrikül için iki iş günü.</t>
        </is>
      </c>
      <c r="R12" s="29" t="n"/>
      <c r="S12" s="29" t="inlineStr">
        <is>
          <t>Mart başvurusu genel kuraldır; 2026/27 dönemi 1–31 Mart'tır. Yıl ortasındaki başvuru için belirli bir tarih yoktur; usul genel usul bittikten sonra başlar. Genelleştirilmesi zor özel kaynaklar gerektiren çocuk için başvuru yalnız okulun bu kaynakları varsa kabul edilir; yoksa başvuru il organına gönderilir ve il organı bu kaynaklara sahip bir okulda yer verir.</t>
        </is>
      </c>
      <c r="T12" s="29" t="n"/>
    </row>
    <row r="13" ht="54" customHeight="1">
      <c r="A13" s="29" t="inlineStr">
        <is>
          <t>malaga:okul-basvurusu-sonrasi-puanlama-kura-ve-kesin-kayit</t>
        </is>
      </c>
      <c r="B13" s="29" t="inlineStr">
        <is>
          <t>malaga</t>
        </is>
      </c>
      <c r="C13" s="29" t="inlineStr">
        <is>
          <t>okul-basvurusu-sonrasi-puanlama-kura-ve-kesin-kayit</t>
        </is>
      </c>
      <c r="D13" s="29" t="inlineStr">
        <is>
          <t>Málaga'da okul başvurusundan sonra puanlama, kura ve kesin kayıt (matrícula) ne zaman olur (2026/27 takvimi)?</t>
        </is>
      </c>
      <c r="E13" s="29" t="inlineStr">
        <is>
          <t>2026/27: puanlı liste 17–20 Nisan, kura 13 Mayıs, kesin liste 14 Mayıs; kesin kayıt 1–8 Haziran ya da 1–10 Temmuz</t>
        </is>
      </c>
      <c r="F13" s="29" t="inlineStr">
        <is>
          <t>Endülüs'te (Málaga dahil) 2026/27 takviminde puanlı liste 17–20 Nisan'da ilan edildi, itiraz süresi 21 Nisan'dan itibaren 10 ders günü sürdü, eşitlik kurası 13 Mayıs'ta çekildi ve kabul edilenlerin kesin listesi 14 Mayıs'ta yayımlandı. Bachillerato'da eşit puanlarda önce akademik not (expediente académico) dikkate alınır; eşitlik sürerse kura çekilir. Kesin kayıt (matrícula) ikinci kademe okul öncesi, ilkokul ve özel eğitim için 1–8 Haziran'da, ESO, özel eğitim ve bachillerato için 1–10 Temmuz'da yapıldı. Yer verilen okulda belirlenen süre içinde kesin kayıt yaptırmak zorundasın.</t>
        </is>
      </c>
      <c r="G13" s="29" t="inlineStr">
        <is>
          <t>okul kaydı, matrícula, baremación, sorteo, reubicación, escolarización, Málaga okul takvimi</t>
        </is>
      </c>
      <c r="H13" s="29" t="inlineStr">
        <is>
          <t>planning;new</t>
        </is>
      </c>
      <c r="I13" s="29" t="inlineStr">
        <is>
          <t>malaga:kaynak:216;malaga:kaynak:136</t>
        </is>
      </c>
      <c r="J13" s="49" t="n">
        <v>46322</v>
      </c>
      <c r="K13" s="51" t="n">
        <v>901</v>
      </c>
      <c r="L13" s="29" t="inlineStr">
        <is>
          <t>Hayır</t>
        </is>
      </c>
      <c r="M13" s="29" t="inlineStr">
        <is>
          <t>Taslak</t>
        </is>
      </c>
      <c r="N13" s="29" t="inlineStr">
        <is>
          <t>malaga:aile</t>
        </is>
      </c>
      <c r="O13" s="29" t="inlineStr">
        <is>
          <t>Puanlı listeyi okulun ilan tahtasında ara; 2026/27'de liste 17–20 Nisan arasında yayımlandı.
Puanına itirazın varsa 21 Nisan'dan itibaren 10 ders günü içinde itiraz (alegación) ver; recurso de alzada açmak için önceden itiraz vermiş olman gerekmez.
Eşit puanlarda 13 Mayıs 2026 kurasının sonucu uygulanır; Bachillerato'da kuradan önce akademik not bakılır. Kabul edilen ve edilmeyenlerin kesin listesi 14 Mayıs'ta yayımlandı.
Seçtiğin öncelikli okulda yer çıkmadıysa yeniden yerleştirme (reubicación) sonucu 25 Mayıs'ta yayımlandı; recurso de alzada ve itirazlar için süre 26 Mayıs–25 Haziran'dı.
Yer verilen okulda kesin kaydı yaptır: ikinci kademe okul öncesi, ilkokul ve özel eğitimde 1–8 Haziran, ESO, özel eğitim ve bachillerato'da 1–10 Temmuz; eylülde sınavla sınıf geçecek bachillerato öğrencileri için 1–8 Eylül.
Kayıt formunu okuldan ücretsiz al; Consejería'nın sitesinde de bulunur.</t>
        </is>
      </c>
      <c r="P13" s="29" t="inlineStr">
        <is>
          <t>Matrícula (kesin kayıt) formu: okullar ücretsiz verir</t>
        </is>
      </c>
      <c r="Q13" s="29" t="inlineStr">
        <is>
          <t>2026/27: puanlı liste 17–20 Nisan; itiraz 21 Nisan'dan itibaren 10 ders günü; kura 13 Mayıs; kesin liste 14 Mayıs; matrícula 1–8 Haziran ve 1–10 Temmuz.</t>
        </is>
      </c>
      <c r="R13" s="29" t="inlineStr">
        <is>
          <t>Matrícula formları ücretsizdir.</t>
        </is>
      </c>
      <c r="S13" s="29" t="inlineStr">
        <is>
          <t>Tarihler 2026/27 eğitim yılının takvimidir.</t>
        </is>
      </c>
      <c r="T13" s="29" t="n"/>
    </row>
    <row r="14" ht="54" customHeight="1">
      <c r="A14" s="29" t="inlineStr">
        <is>
          <t>malaga:okul-bulma-iescolariza-ve-etki-alani</t>
        </is>
      </c>
      <c r="B14" s="29" t="inlineStr">
        <is>
          <t>malaga</t>
        </is>
      </c>
      <c r="C14" s="29" t="inlineStr">
        <is>
          <t>okul-bulma-iescolariza-ve-etki-alani</t>
        </is>
      </c>
      <c r="D14" s="29" t="inlineStr">
        <is>
          <t>Málaga'da çocuğum için hangi okulda yer var, etki alanımdaki (área de influencia) okulu nasıl bulurum?</t>
        </is>
      </c>
      <c r="E14" s="29" t="inlineStr">
        <is>
          <t>iEscolariza uygulaması puanı adrese göre gösterir; etki alanları il haritasında; okullar boş yer listesini yayımlar</t>
        </is>
      </c>
      <c r="F14" s="29" t="inlineStr">
        <is>
          <t>Junta'nın iEscolariza uygulamasıyla okulları ve ev adresine göre baremo puanını sorgularsın; escolarización sayfasında il haritasından Málaga'yı seçince Delegación Territorial'in yayımladığı etki alanları ve okullar açılır. Okullar boş yer listesini ve etki alanları ile komşu alanlardaki kadastro adreslerini yayımlar; her okul etki alanlarını başvuru dönemi başlamadan önce kendi ilan tahtasında da yayımlar. Başvuruyu Secretaría Virtual'dan elektronik ya da Anexo III ile kâğıt olarak verirsin; Junta'nın sıkça sorulan sorular sayfasına göre 2026/27 başvuru dönemi 1–31 Mart'tır. İnternetteki etki alanı bilgisi bilgilendirme amaçlıdır, hak doğurmaz. Süreçle ilgili sorular için ücretsiz 900 848 000 hattı 8:00–19:00 arasında kesintisiz açıktır.</t>
        </is>
      </c>
      <c r="G14" s="29" t="inlineStr">
        <is>
          <t>iEscolariza, área de influencia, etki alanı, okul bulma, vacante, baremo, Secretaría Virtual, Málaga okul</t>
        </is>
      </c>
      <c r="H14" s="29" t="inlineStr">
        <is>
          <t>planning;new</t>
        </is>
      </c>
      <c r="I14" s="29" t="inlineStr">
        <is>
          <t>malaga:kaynak:215;malaga:kaynak:136</t>
        </is>
      </c>
      <c r="J14" s="49" t="n">
        <v>46322</v>
      </c>
      <c r="K14" s="51" t="n">
        <v>902</v>
      </c>
      <c r="L14" s="29" t="inlineStr">
        <is>
          <t>Hayır</t>
        </is>
      </c>
      <c r="M14" s="29" t="inlineStr">
        <is>
          <t>Taslak</t>
        </is>
      </c>
      <c r="N14" s="29" t="inlineStr">
        <is>
          <t>malaga:aile</t>
        </is>
      </c>
      <c r="O14" s="29" t="inlineStr">
        <is>
          <t>iEscolariza uygulamasını indir; okulları ve ev adresine göre puanını sorgula.
Escolarización sayfasındaki 'Consulta centros y áreas de influencia' bölümünde il haritasından Málaga'yı seç ve etki alanlarını gör.
İlgilendiğin okulların yayımladığı boş yer listesine ve etki alanı adres listesine bak (etki alanları okulun ilan tahtasında da asılıdır); yer sayısı talebe eşit ya da fazlaysa başvuranların hepsi kabul edilir, puanlama yalnız talep fazlaysa yapılır.
Başvuru formu Anexo III'te puanlamada aile adresini mi yoksa velinin iş yerini mi esas alacağını sen seçersin.
Başvuruyu Secretaría Virtual üzerinden elektronik olarak ya da Anexo III ile kâğıt olarak ver; 2026/27 başvuru dönemi 1–31 Mart'tır. Sorular için 900 848 000'i ara.</t>
        </is>
      </c>
      <c r="P14" s="29" t="inlineStr">
        <is>
          <t>Başvuru: Secretaría Virtual (elektronik) ya da Anexo III (kâğıt)</t>
        </is>
      </c>
      <c r="Q14" s="29" t="inlineStr">
        <is>
          <t>Başvuru dönemi 2026/27: 1–31 Mart. Etki alanları Mart başından önce Delegación Territorial'in ilan tahtasında yayımlanır; bilgi hattı 8:00–19:00.</t>
        </is>
      </c>
      <c r="R14" s="29" t="inlineStr">
        <is>
          <t>Bilgi hattı (900 848 000) ücretsizdir.</t>
        </is>
      </c>
      <c r="S14" s="29" t="inlineStr">
        <is>
          <t>İnternetteki etki alanı bilgisi bilgilendirme amaçlıdır; hak ya da hak beklentisi doğurmaz.</t>
        </is>
      </c>
      <c r="T14" s="29" t="n"/>
    </row>
    <row r="15" ht="54" customHeight="1">
      <c r="A15" s="29" t="inlineStr">
        <is>
          <t>malaga:okul-puanlama-olcutleri-kardes-adres-engel-ve-belgeler</t>
        </is>
      </c>
      <c r="B15" s="29" t="inlineStr">
        <is>
          <t>malaga</t>
        </is>
      </c>
      <c r="C15" s="29" t="inlineStr">
        <is>
          <t>okul-puanlama-olcutleri-kardes-adres-engel-ve-belgeler</t>
        </is>
      </c>
      <c r="D15" s="29" t="inlineStr">
        <is>
          <t>Endülüs'te (Málaga) okullarda yer yetmezse başvurular hangi ölçütlerle puanlanır, hangi belgeler istenir?</t>
        </is>
      </c>
      <c r="E15" s="29" t="inlineStr">
        <is>
          <t>Kardeş, adres ya da iş yeri, engellilik, gelir, çok çocuklu ve tek ebeveynli aile, çalışma; çoğu veri idarece otomatik alınır</t>
        </is>
      </c>
      <c r="F15" s="29" t="inlineStr">
        <is>
          <t>Talep yerden fazlaysa kamu ve concertado okullar başvuruları şu ölçütlerle puanlar: okulda kardeş, aile adresine ya da velinin iş yerine yakınlık, engellilik, kişi başı gelir, çok çocuklu ya da tek ebeveynli aile olmak, velayet sahiplerinin ücretli çalışması, kreşe kayıtlı olmak, çok çocuklu ya da tek ebeveynli olmayan ve tek kardeşi bulunan aile olmak (tek kardeş) ve çoklu doğum. Bachillerato'da bunlara ek olarak öğrencinin akademik notu (expediente académico) da dikkate alınır. Kardeşlerden biri kabul edilirse farklı sınıfa başvuran diğer kardeşlere 14 puan (birikmez) verilir; aynı sınıfa başvuran kardeşlerden birinin kabulü hepsinin kabulü demektir. Çoğu bilgiyi idare kurumlardan kendisi alır; belgeyi yalnız bilgi alınamazsa ya da buna itiraz edersen ve okul müdürü isteyince sen verirsin.</t>
        </is>
      </c>
      <c r="G15" s="29" t="inlineStr">
        <is>
          <t>baremo, puanlama, kardeş, hermanos, familia numerosa, monoparental, renta per cápita, Decreto 21/2020, okul kabul ölçütleri</t>
        </is>
      </c>
      <c r="H15" s="29" t="inlineStr">
        <is>
          <t>planning;new</t>
        </is>
      </c>
      <c r="I15" s="29" t="inlineStr">
        <is>
          <t>malaga:kaynak:136</t>
        </is>
      </c>
      <c r="J15" s="49" t="n">
        <v>46322</v>
      </c>
      <c r="K15" s="51" t="n">
        <v>903</v>
      </c>
      <c r="L15" s="29" t="inlineStr">
        <is>
          <t>Hayır</t>
        </is>
      </c>
      <c r="M15" s="29" t="inlineStr">
        <is>
          <t>Taslak</t>
        </is>
      </c>
      <c r="N15" s="29" t="inlineStr">
        <is>
          <t>malaga:aile</t>
        </is>
      </c>
      <c r="O15" s="29" t="inlineStr">
        <is>
          <t>Okulda kayıtlı kardeşin varsa başvuruda belirt; farklı sınıf için başvuran kardeşler, biri kabul edilince 14 puan alır.
Adres bilgisi Nüfus İstatistik Kurumu (INE) üzerinden otomatik alınır; başvurudaki adresle uyuşmazsa okul müdürü isteyince belediyenin verdiği empadronamiento belgesini ver.
Kişi başı gelir ölçütünün puanlanmasını istiyorsan Vergi İdaresi'nin gelir bilgisini vermesi için gereken izni imzala; bu izin yalnız ölçüt değerlendirilsin istiyorsan gereklidir.
Çok çocuklu aile bilgisini idare otomatik doğrular; yalnız buna itiraz edersen ya da bilgi alınamazsa ve okul müdürü isteyince yürürlükteki título de familia numerosa'nın onaylı kopyasını ver; belgenin süresi dolmuşsa yenileme başvurusunu yap ve belgeyi karar çıkmadan önce ver.
Verilerin alınmasına itiraz edersen tek ebeveynli aile durumunu, yazılı sayfaların tamamını içeren Libro de familia onaylı kopyasıyla kanıtlarsın.
Velayet sahibi herkes başvuru döneminden önce en az altı ay kesintisiz, haftada en az 20 saat ücretli çalışıyorsa çalışma ölçütü puanlanır.
Verilerin kurumlardan alınmasına karşıysan başvuruda hangi ölçüte itiraz ettiğini ve nedenini yaz; belgeleri sen verirsin.</t>
        </is>
      </c>
      <c r="P15" s="29" t="inlineStr">
        <is>
          <t>Empadronamiento belgesi (yalnız adres bilgisi uyuşmazsa)
Título de familia numerosa (çok çocuklu aile; yalnız itiraz edersen ya da bilgi alınamazsa)
Libro de familia onaylı kopyası (tek ebeveynli aile için verilerin alınmasına itiraz edersen; çoklu doğum)</t>
        </is>
      </c>
      <c r="Q15" s="29" t="inlineStr">
        <is>
          <t>Başvuru dönemi 2026/27: 1–31 Mart. Çalışma ölçütü: başvuru döneminin başlangıcından önce en az altı ay kesintisiz çalışma.</t>
        </is>
      </c>
      <c r="R15" s="29" t="n"/>
      <c r="S15" s="29" t="inlineStr">
        <is>
          <t>Engellilik puanları: öğrencide %33–%66 arası engel ya da (yalnız okul öncesi 2. kademede) gelişim bozukluğu 3 puan, %66 ve üzeri 4 puan; veli ya da vasi için 2 ve 3 puan; engelli kardeşler için kişi başı yarım puan, en çok 2 puan. Başlıca öncelik hakkı olanlar: bağlı (adscrito) okullardan gelenler, velisi o okulda haftada en az on saat çalışanlar ve müzik ya da dans eğitimini ortaöğretimle birlikte görenler; liste bunlarla sınırlı değildir.</t>
        </is>
      </c>
      <c r="T15" s="29" t="n"/>
    </row>
    <row r="16" ht="54" customHeight="1">
      <c r="A16" s="29" t="inlineStr">
        <is>
          <t>malaga:kres-0-3-yas-basvuru-takvimi-ve-ucretsiz-yer</t>
        </is>
      </c>
      <c r="B16" s="29" t="inlineStr">
        <is>
          <t>malaga</t>
        </is>
      </c>
      <c r="C16" s="29" t="inlineStr">
        <is>
          <t>kres-0-3-yas-basvuru-takvimi-ve-ucretsiz-yer</t>
        </is>
      </c>
      <c r="D16" s="29" t="inlineStr">
        <is>
          <t>Málaga'da 0–3 yaş için kreşe (escuela infantil) nasıl başvurulur, 1 ve 2 yaşta kreş ücretsiz mi?</t>
        </is>
      </c>
      <c r="E16" s="29" t="inlineStr">
        <is>
          <t>2026/27: 1 ve 2 yaş ücretsiz; ilk kez girenler 1–30 Nisan; mevcut öğrenciler yer ayırtmayı 16 Mart'ta başlatır (bitiş 27 Mart ya da 6 Nisan)</t>
        </is>
      </c>
      <c r="F16" s="29" t="inlineStr">
        <is>
          <t>Evet: Endülüs'te Junta'nın escuelas infantiles'inde ve Programa de ayuda a las familias'a bağlı kreş ve okul öncesi merkezlerinde 2 yaş 2025/26'dan beri, 1 yaş ise 2026/27'den itibaren ücretsizdir. Kreşe ilk kez girecek 16 haftalık ile 3 yaş arası çocuklar için olağan başvuru 2026/27'de 1–30 Nisan'daydı; zaten kreşe giden çocukların yer ayırtma dönemi 16 Mart'ta başladı; bitişini Junta'nın giriş sayfası 27 Mart, takvim sayfası 6 Nisan olarak yazar. Aile yardımı başvurusu 7 Nisan–6 Mayıs'ta, yer ayırtma ve olağan kabul sonucu 27 Mayıs'ta açıklandı; kayıt ise 1–10 Haziran'da yapıldı.</t>
        </is>
      </c>
      <c r="G16" s="29" t="inlineStr">
        <is>
          <t>kreş, escuela infantil, 0-3 yaş, guardería, ayuda a las familias, reserva de plaza, gratuidad, Málaga kreş</t>
        </is>
      </c>
      <c r="H16" s="29" t="inlineStr">
        <is>
          <t>planning;new</t>
        </is>
      </c>
      <c r="I16" s="29" t="inlineStr">
        <is>
          <t>malaga:kaynak:217;malaga:kaynak:301</t>
        </is>
      </c>
      <c r="J16" s="49" t="n">
        <v>46322</v>
      </c>
      <c r="K16" s="51" t="n">
        <v>904</v>
      </c>
      <c r="L16" s="29" t="inlineStr">
        <is>
          <t>Evet</t>
        </is>
      </c>
      <c r="M16" s="29" t="inlineStr">
        <is>
          <t>Taslak</t>
        </is>
      </c>
      <c r="N16" s="29" t="inlineStr">
        <is>
          <t>malaga:aile</t>
        </is>
      </c>
      <c r="O16" s="29" t="inlineStr">
        <is>
          <t>Başvuru formunu Junta'nın 0–3 yaş escolarización sayfasındaki Impresos bölümünden bul; kreşlerin teklifi (oferta educativa) 2026/27'de 30 Mart'ta ilan edildi.
Kreşe ilk kez gireceksen olağan başvuruyu 1–30 Nisan arasında (2026/27) ver; çocuğun 16 haftalıktan büyük, üç yaşından küçük olmalı.
Çocuğun zaten kayıtlı olduğu kreşte devam edecekse yer ayırtma başvurusunu 16 Mart'tan itibaren ver; bitiş tarihini Junta'nın giriş sayfası 27 Mart, takvim sayfası 6 Nisan olarak yazar.
Aile yardımı için 7 Nisan–6 Mayıs arasında ayrıca başvur; geçici puanlama 7 Mayıs'ta yayımlandı, itiraz süresi 8–21 Mayıs'tı.
Yer ayırtma ve olağan kabul sonucu 27 Mayıs'ta açıklandı; kabul edilenler 1–10 Haziran, bekleme listesindekiler 11–17 Haziran arasında kayıt yaptırdı. Kabul edilip 18 Haziran'a kadar matrícula yaptırılmayan başvurular için takvimde feragat (renuncia) adımı vardır; yani yeri kaydettirmezsen yerin gider.
Reubicación başvuru süresi 19–25 Haziran 2026'ydı; olağanüstü kabul usulü 1 Temmuz'da başladı.
Başvurunun hangi kanaldan verileceğini ve hangi belgelerin gerektiğini kreşten ya da süreç soruları için 900 848 000 hattından öğren.</t>
        </is>
      </c>
      <c r="P16" s="29" t="n"/>
      <c r="Q16" s="29" t="inlineStr">
        <is>
          <t>2026/27: yer ayırtma 16 Mart'ta başladı (bitiş 27 Mart ya da 6 Nisan); olağan başvuru 1–30 Nisan; aile yardımı 7 Nisan–6 Mayıs; yer ayırtma ve kabul sonucu 27 Mayıs; kayıt 1–10 Haziran; feragat 18 Haziran.</t>
        </is>
      </c>
      <c r="R16" s="29" t="inlineStr">
        <is>
          <t>2026/27'de 1 ve 2 yaş için eğitim ücretsizdir.</t>
        </is>
      </c>
      <c r="S16" s="29" t="inlineStr">
        <is>
          <t>Bilgi hattı (900 848 000) ücretsizdir ve 8:00–19:00 arası kesintisiz açıktır.</t>
        </is>
      </c>
      <c r="T16" s="29" t="n"/>
    </row>
    <row r="17" ht="54" customHeight="1">
      <c r="A17" s="29" t="inlineStr">
        <is>
          <t>malaga:ispanyolca-bilmeyen-cocuga-okulda-dil-destegi-atal</t>
        </is>
      </c>
      <c r="B17" s="29" t="inlineStr">
        <is>
          <t>malaga</t>
        </is>
      </c>
      <c r="C17" s="29" t="inlineStr">
        <is>
          <t>ispanyolca-bilmeyen-cocuga-okulda-dil-destegi-atal</t>
        </is>
      </c>
      <c r="D17" s="29" t="inlineStr">
        <is>
          <t>Çocuğum İspanyolca bilmiyor: Málaga'daki okullarda ATAL ve başka dil destekleri var mı?</t>
        </is>
      </c>
      <c r="E17" s="29" t="inlineStr">
        <is>
          <t>ATAL okul saatinde İspanyolca öğretir ve her yıl delegasyonun belirlediği okullarda verilir; ücretsiz çevrimiçi Aula Virtual de Español de var</t>
        </is>
      </c>
      <c r="F17" s="29" t="inlineStr">
        <is>
          <t>Evet: Endülüs ilkokul ve ESO'da ATAL (Aulas Temporales de Adaptación Lingüística) adlı programla İspanyolca bilmeyen yabancı öğrencilere okul saatinde, özel öğretmenle İspanyolca öğretilir. Hangi okullarda ATAL olacağını her eğitim yılı başında Eğitim Consejería'sının il delegasyonları belirler. Buna ek olarak öğleden sonra yapılan göçmenler için dil destek etkinlikleri (PALI) ve Instituto Cervantes ortaklığıyla ücretsiz, dört seviyeli Aula Virtual de Español vardır. Endülüs, orada yaşayan herkese eğitime ücretsiz erişimi güvence altına alır.</t>
        </is>
      </c>
      <c r="G17" s="29" t="inlineStr">
        <is>
          <t>ATAL, İspanyolca desteği, dil desteği, PALI, Aula Virtual de Español, yabancı öğrenci, PROA Andalucía</t>
        </is>
      </c>
      <c r="H17" s="29" t="inlineStr">
        <is>
          <t>new;settled</t>
        </is>
      </c>
      <c r="I17" s="29" t="inlineStr">
        <is>
          <t>malaga:kaynak:273</t>
        </is>
      </c>
      <c r="J17" s="49" t="n">
        <v>46322</v>
      </c>
      <c r="K17" s="51" t="n">
        <v>905</v>
      </c>
      <c r="L17" s="29" t="inlineStr">
        <is>
          <t>Hayır</t>
        </is>
      </c>
      <c r="M17" s="29" t="inlineStr">
        <is>
          <t>Taslak</t>
        </is>
      </c>
      <c r="N17" s="29" t="inlineStr">
        <is>
          <t>malaga:aile</t>
        </is>
      </c>
      <c r="O17" s="29" t="inlineStr">
        <is>
          <t>ATAL, il delegasyonunun her eğitim yılı başında belirlediği okullarda, ilkokul ve ESO öğrencilerine verilir.
Málaga'da hangi okullarda ATAL olduğunu 012 ya da 955 012 012 hattından sor.
Okulun tutoru gözetiminde ücretsiz Aula Virtual de Español'u kullan; kurs başlangıçtan ileri düzeye dört seviyedir.
Okulda öğleden sonra göçmenler için dil destek etkinliği (PALI) varsa çocuğu yazdır.</t>
        </is>
      </c>
      <c r="P17" s="29" t="n"/>
      <c r="Q17" s="29" t="inlineStr">
        <is>
          <t>ATAL okul saatinde, PALI öğleden sonra yapılır.</t>
        </is>
      </c>
      <c r="R17" s="29" t="inlineStr">
        <is>
          <t>Aula Virtual de Español ücretsizdir.</t>
        </is>
      </c>
      <c r="S17" s="29" t="inlineStr">
        <is>
          <t>ATAL yalnız ilkokul ve ortaöğretimde (primaria ve ESO) verilir.</t>
        </is>
      </c>
      <c r="T17" s="29" t="n"/>
    </row>
    <row r="18" ht="54" customHeight="1">
      <c r="A18" s="29" t="inlineStr">
        <is>
          <t>malaga:ucretsiz-ders-kitabi-cheque-libro-ve-ipasen</t>
        </is>
      </c>
      <c r="B18" s="29" t="inlineStr">
        <is>
          <t>malaga</t>
        </is>
      </c>
      <c r="C18" s="29" t="inlineStr">
        <is>
          <t>ucretsiz-ders-kitabi-cheque-libro-ve-ipasen</t>
        </is>
      </c>
      <c r="D18" s="29" t="inlineStr">
        <is>
          <t>Endülüs'te (Málaga) kamu ve concertado okullarda ders kitapları ücretsiz mi, çek-kitap (cheque-libro) nasıl alınır?</t>
        </is>
      </c>
      <c r="E18" s="29" t="inlineStr">
        <is>
          <t>İlkokul, ESO ve temel meslek döngülerinde ücretsiz; çek-kitap PASEN'den indirilir, kitaplar yıl sonunda okula iade edilir</t>
        </is>
      </c>
      <c r="F18" s="29" t="inlineStr">
        <is>
          <t>Evet: Endülüs'te kamu ve concertado okullarda ilkokul, ESO ve temel düzey meslek döngülerindeki öğrenciler ders kitaplarını ücretsiz kullanabilir. Kitaplar idarenin malıdır ve yıl sonunda okulda kalır; kitaplar dört eğitim yılında bir yenilenir, ilkokul 1. ve 2. sınıf kitapları ise her yıl. Yeni kitap alman gereken yıl çek-kitabı PASEN platformundan ya da iPasen uygulamasından indirir, kitapları istediğin bir satış yerinde bu çekle alırsın.</t>
        </is>
      </c>
      <c r="G18" s="29" t="inlineStr">
        <is>
          <t>ders kitabı, gratuidad de libros, cheque-libro, PASEN, iPasen, ücretsiz kitap, Endülüs okul</t>
        </is>
      </c>
      <c r="H18" s="29" t="inlineStr">
        <is>
          <t>new;settled</t>
        </is>
      </c>
      <c r="I18" s="29" t="inlineStr">
        <is>
          <t>malaga:kaynak:219;malaga:kaynak:218</t>
        </is>
      </c>
      <c r="J18" s="49" t="n">
        <v>46322</v>
      </c>
      <c r="K18" s="51" t="n">
        <v>906</v>
      </c>
      <c r="L18" s="29" t="inlineStr">
        <is>
          <t>Hayır</t>
        </is>
      </c>
      <c r="M18" s="29" t="inlineStr">
        <is>
          <t>Taslak</t>
        </is>
      </c>
      <c r="N18" s="29" t="inlineStr">
        <is>
          <t>malaga:aile</t>
        </is>
      </c>
      <c r="O18" s="29" t="inlineStr">
        <is>
          <t>PASEN platformuna ya da iPasen uygulamasına gir, öğrencinin kartında Trámites/Punto de recogida bölümüne git ve 'Cheque libro (electrónico)'yu indir.
Çek-kitabı doldurup istediğin bir kitapçıda ya da satış yerinde okulun belirlediği ders kitapları ile değiştir; satış yeri faturayı okula gönderir.
Yıl sonunda kitapları okula iade et; okuldan ayrılırsan ayrıldığın anda iade et.
Kaybolan ya da kasten zarar verilen kitapları yerine koy.
Programa katılmak istemiyorsan velisi olarak bunu kayıt sırasında okula bildir.</t>
        </is>
      </c>
      <c r="P18" s="29" t="inlineStr">
        <is>
          <t>Çek-kitap (PASEN'den elektronik olarak indirilir)</t>
        </is>
      </c>
      <c r="Q18" s="29" t="inlineStr">
        <is>
          <t>Kitaplar dört eğitim yılında bir yenilenir; ilkokul 1. ve 2. sınıf kitapları her yıl yenilenir. Hangi sınıfların kitap yenileyeceğini Consejería her yıl duyurur; yeni kitap alman gereken yıl çek-kitabı PASEN'den indirirsin.</t>
        </is>
      </c>
      <c r="R18" s="29" t="inlineStr">
        <is>
          <t>Ders kitapları ücretsizdir; tamamlayıcı ve yeniden kullanılamayan sarf malzemelerini aile alır.</t>
        </is>
      </c>
      <c r="S18" s="29" t="inlineStr">
        <is>
          <t>Málaga'da burs, okul ulaşımı yardımı ve kitap ücretsizliği işleri için Eğitim Delegasyonu'nun e-posta adresi becas.dpma.ced@juntadeandalucia.es.</t>
        </is>
      </c>
      <c r="T18" s="29" t="n"/>
    </row>
    <row r="19" ht="54" customHeight="1">
      <c r="A19" s="29" t="inlineStr">
        <is>
          <t>malaga:okul-yemegi-aula-matinal-ve-etkinlik-basvurusu-ve-bonificacion</t>
        </is>
      </c>
      <c r="B19" s="29" t="inlineStr">
        <is>
          <t>malaga</t>
        </is>
      </c>
      <c r="C19" s="29" t="inlineStr">
        <is>
          <t>okul-yemegi-aula-matinal-ve-etkinlik-basvurusu-ve-bonificacion</t>
        </is>
      </c>
      <c r="D19" s="29" t="inlineStr">
        <is>
          <t>Okul yemeği (comedor), erken giriş (aula matinal) ve okul sonrası etkinlikler için ne zaman başvurulur?</t>
        </is>
      </c>
      <c r="E19" s="29" t="inlineStr">
        <is>
          <t>2026/27: hizmet başvurusu 1–10 Haziran (ilkokul düzeyi) ya da 1–10 Temmuz (ortaöğretim); ücretsizlik ve indirim (bonificación) başvurusu 1–7 Eylül</t>
        </is>
      </c>
      <c r="F19" s="29" t="inlineStr">
        <is>
          <t>Bu hizmetlerin başvurusu 2026/27'de, ikinci kademe okul öncesi, ilkokul ve özel eğitim veren kamu okullarında 1–10 Haziran, ortaöğretim okullarında (instituto) 1–10 Temmuz arasındaydı. Ücretsizlik ya da indirim (gratuidad/bonificación) başvurusu için süre 1–7 Eylül'dü; bu pencereler geçti. Okulun hangi hizmetleri verdiği okulun ilan tahtasında yayımlanır; indirimin formunu, koşulunu ve hizmet ücretlerini okuldan öğren. Bu hizmetleri isteme niyeti okul kabulünde ölçüt sayılmaz.</t>
        </is>
      </c>
      <c r="G19" s="29" t="inlineStr">
        <is>
          <t>comedor, aula matinal, actividades extraescolares, bonificación, gratuidad, servicios complementarios, okul yemeği</t>
        </is>
      </c>
      <c r="H19" s="29" t="inlineStr">
        <is>
          <t>new;settled</t>
        </is>
      </c>
      <c r="I19" s="29" t="inlineStr">
        <is>
          <t>malaga:kaynak:136</t>
        </is>
      </c>
      <c r="J19" s="49" t="n">
        <v>46322</v>
      </c>
      <c r="K19" s="51" t="n">
        <v>907</v>
      </c>
      <c r="L19" s="29" t="inlineStr">
        <is>
          <t>Hayır</t>
        </is>
      </c>
      <c r="M19" s="29" t="inlineStr">
        <is>
          <t>Taslak</t>
        </is>
      </c>
      <c r="N19" s="29" t="inlineStr">
        <is>
          <t>malaga:aile</t>
        </is>
      </c>
      <c r="O19" s="29" t="inlineStr">
        <is>
          <t>Okulun verdiği hizmetleri okulun ilan tahtasından öğren.
2026/27'de hizmet başvurusu, kamu okullarında ikinci kademe okul öncesi, ilkokul ve özel eğitim için 1–10 Haziran, ortaöğretim okullarında 1–10 Temmuz arasındaydı.
Ücretsizlik ya da indirim için ayrı başvuru süresi 1–7 Eylül'dü; bu pencereler geçti.
İndirimin formunu, koşulunu ve hizmet ücretlerini okulun ilan tahtasından ve okuldan öğren.</t>
        </is>
      </c>
      <c r="P19" s="29" t="n"/>
      <c r="Q19" s="29" t="inlineStr">
        <is>
          <t>2026/27: hizmet başvurusu 1–10 Haziran ya da 1–10 Temmuz; indirim başvurusu 1–7 Eylül; bu pencereler geçti.</t>
        </is>
      </c>
      <c r="R19" s="29" t="n"/>
      <c r="S19" s="29" t="inlineStr">
        <is>
          <t>Eğitim hizmetleri için kamu ve concertado okullar aileden ücret alamaz; okul etkinlikleri, tamamlayıcı etkinlikler ve okul hizmetleri gönüllüdür.</t>
        </is>
      </c>
      <c r="T19" s="29" t="n"/>
    </row>
    <row r="20" ht="54" customHeight="1">
      <c r="A20" s="29" t="inlineStr">
        <is>
          <t>malaga:dogan-bebegin-registro-civil-kaydi-sure-belge-ve-ucret</t>
        </is>
      </c>
      <c r="B20" s="29" t="inlineStr">
        <is>
          <t>malaga</t>
        </is>
      </c>
      <c r="C20" s="29" t="inlineStr">
        <is>
          <t>dogan-bebegin-registro-civil-kaydi-sure-belge-ve-ucret</t>
        </is>
      </c>
      <c r="D20" s="29" t="inlineStr">
        <is>
          <t>Sağlık merkezi doğumu bildirmediyse Málaga'da doğan bebeğin Registro Civil kaydı ne kadar sürede yapılır, hangi belgeler gerekir, ücret var mı?</t>
        </is>
      </c>
      <c r="E20" s="29" t="inlineStr">
        <is>
          <t>Sağlık merkezi bildirmediyse 10 gün (haklı nedenle 30 gün); kayıt ücretsiz; resmî form ve hekim raporu gerekir</t>
        </is>
      </c>
      <c r="F20" s="29" t="inlineStr">
        <is>
          <t>Doğumu sağlık merkezi Registro Civil'e bildirmediyse, beyan etmekle yükümlü ebeveyn olarak doğumu 10 gün içinde beyan edersin; haklı bir neden varsa süre 30 güne kadar uzayabilir. Beyan, resmî formla ve hekimin elektronik imzalı tıbbi raporuyla yapılır, kayıt ücretsizdir. Süre geçtiyse kayıt için expediente gerekir ve Junta'ya göre iki tanık ister.</t>
        </is>
      </c>
      <c r="G20" s="29" t="inlineStr">
        <is>
          <t>Registro Civil, doğum kaydı, inscripción de nacimiento, libro de familia, bebek kaydı, certificado médico, Málaga</t>
        </is>
      </c>
      <c r="H20" s="29" t="inlineStr">
        <is>
          <t>new</t>
        </is>
      </c>
      <c r="I20" s="29" t="inlineStr">
        <is>
          <t>malaga:kaynak:298;malaga:kaynak:221</t>
        </is>
      </c>
      <c r="J20" s="49" t="n">
        <v>46322</v>
      </c>
      <c r="K20" s="51" t="n">
        <v>909</v>
      </c>
      <c r="L20" s="29" t="inlineStr">
        <is>
          <t>Evet</t>
        </is>
      </c>
      <c r="M20" s="29" t="inlineStr">
        <is>
          <t>Taslak</t>
        </is>
      </c>
      <c r="N20" s="29" t="inlineStr">
        <is>
          <t>malaga:aile</t>
        </is>
      </c>
      <c r="O20" s="29" t="inlineStr">
        <is>
          <t>Doğumu sağlık merkezi Registro Civil'e bildirmediyse, beyan etmekle yükümlü olarak doğumu 10 gün içinde Registro Civil'e beyan et; haklı nedenin varsa süre 30 güne kadar çıkabilir.
Resmî beyan formunu bebeğin adı, soyadı sırası ve babalık bilgileri ile beyan edenlerin kimlik ve uyruğuyla doldur.
Forma hekimin elektronik imzaladığı tıbbi raporu ekle.
Kaydı doğum yerinin Registro Civil'inde yaptır; süre içinde başvurursan ebeveynlerden birinin oturduğu yerin Registro Civil'inde de yaptırabilirsin, süre geçtiyse doğum yeri esastır. Evli değilsen işlemi iki ebeveyn birlikte yapar.
Libro de familia'n varsa doğum oraya işlenir, yoksa kayıtla birlikte hemen verilir.
Süre geçtiyse kayıt için expediente (soruşturma dosyası) gerekir; Junta'ya göre 30 günden sonra iki tanık, tıbbi rapor ve bebeğin o tarihte orada doğduğunu gösteren belgeler gerekir.</t>
        </is>
      </c>
      <c r="P20" s="29" t="inlineStr">
        <is>
          <t>Resmî doğum beyan formu: bebeğin adı, soyadı sırası, babalık bilgisi, beyan edenlerin kimliği ve uyruğu
Hekimin elektronik imzaladığı tıbbi rapor
30 günden sonra: iki tanık ve doğumu gösteren belgeler (kimlik fotokopisi, vaftiz belgesi ya da empadronamiento belgesi gibi)</t>
        </is>
      </c>
      <c r="Q20" s="29" t="inlineStr">
        <is>
          <t>Beyan süresi 10 gün (haklı nedenle 30 gün).</t>
        </is>
      </c>
      <c r="R20" s="29" t="inlineStr">
        <is>
          <t>Ücretsiz.</t>
        </is>
      </c>
      <c r="S20" s="29" t="n"/>
      <c r="T20" s="29" t="n"/>
    </row>
    <row r="21" ht="54" customHeight="1">
      <c r="A21" s="29" t="inlineStr">
        <is>
          <t>malaga:malaga-registro-civil-ofisi-ve-bebegin-padron-kaydi</t>
        </is>
      </c>
      <c r="B21" s="29" t="inlineStr">
        <is>
          <t>malaga</t>
        </is>
      </c>
      <c r="C21" s="29" t="inlineStr">
        <is>
          <t>malaga-registro-civil-ofisi-ve-bebegin-padron-kaydi</t>
        </is>
      </c>
      <c r="D21" s="29" t="inlineStr">
        <is>
          <t>Málaga'da bebeğin kaydı için nereye gidilir: Registro Civil ofisi nerede, bebeği belediye nüfus kaydına (padrón) nasıl yazdırırım?</t>
        </is>
      </c>
      <c r="E21" s="29" t="inlineStr">
        <is>
          <t>Oficina General del Registro Civil: Fiscal Luis Portero García s/n; padrón için OMAC ofisleri ya da randevuyla Gestión Tributaria</t>
        </is>
      </c>
      <c r="F21" s="29" t="inlineStr">
        <is>
          <t>Málaga'da Registro Civil işleri için Oficina General del Registro Civil'e gidersin: adres Fiscal Luis Portero García, s/n, 29010 Málaga, telefon 951 939 006. Bebeği belediye nüfus kaydına (padrón) yazdırmak için belediyenin OMAC ofislerine gidersin ya da Gestión Tributaria'nın ofisinde randevuyla işlem yaparsın. Padrón bilgisi için 951 92 60 10'u ya da özel tarifeli 010'u (08:00–22:00 arası yanıtlar) arayabilirsin ya da gestrisam@malaga.eu adresine yazabilirsin. Padrón kaydı, okul ve üniversite kaydında adres kanıtı olarak da gerekir.</t>
        </is>
      </c>
      <c r="G21" s="29" t="inlineStr">
        <is>
          <t>Registro Civil Málaga, padrón, empadronamiento, OMAC, Gestión Tributaria, bebek kaydı, nüfus kaydı</t>
        </is>
      </c>
      <c r="H21" s="29" t="inlineStr">
        <is>
          <t>new</t>
        </is>
      </c>
      <c r="I21" s="29" t="inlineStr">
        <is>
          <t>malaga:kaynak:222;malaga:kaynak:223</t>
        </is>
      </c>
      <c r="J21" s="49" t="n">
        <v>46322</v>
      </c>
      <c r="K21" s="51" t="n">
        <v>910</v>
      </c>
      <c r="L21" s="29" t="inlineStr">
        <is>
          <t>Hayır</t>
        </is>
      </c>
      <c r="M21" s="29" t="inlineStr">
        <is>
          <t>Taslak</t>
        </is>
      </c>
      <c r="N21" s="29" t="inlineStr">
        <is>
          <t>malaga:aile</t>
        </is>
      </c>
      <c r="O21" s="29" t="inlineStr">
        <is>
          <t>Doğum kaydı için Oficina General del Registro Civil'e (Fiscal Luis Portero García, s/n, 29010 Málaga) git ya da 951 939 006'yı ara.
Bebeği padrón'a yazdırmak için belediyenin OMAC (oficinas municipales de atención a la ciudadanía) ofislerinden birine git.
Gestión Tributaria'nın ofisi yalnız randevuyla hizmet verir; belediyenin padrón sayfasında "Cita Previa - Padrón Municipal de Habitantes" başlıklı bir randevu bağlantısı var. Padrón bilgisi için 951 92 60 10'u ya da özel tarifeli 010'u ara.
Padrón bilgisi için gestrisam@malaga.eu adresine yazabilirsin.</t>
        </is>
      </c>
      <c r="P21" s="29" t="n"/>
      <c r="Q21" s="29" t="inlineStr">
        <is>
          <t>Padrón bilgi hattı 010 (özel tarifeli) 08:00–22:00 arası yanıtlar.</t>
        </is>
      </c>
      <c r="R21" s="29" t="n"/>
      <c r="S21" s="29" t="inlineStr">
        <is>
          <t>Padrón işlemleri hakkında bilgi telefonla 951 92 60 10 ve 010 hatlarından verilir; bebek için gereken belgeleri OMAC ofislerinde ya da bu hatlardan öğren.</t>
        </is>
      </c>
      <c r="T21" s="29" t="n"/>
    </row>
    <row r="22" ht="54" customHeight="1">
      <c r="A22" s="29" t="inlineStr">
        <is>
          <t>malaga:3-yas-alti-cocuk-anne-vergi-indirimi-deduccion-por-maternidad</t>
        </is>
      </c>
      <c r="B22" s="29" t="inlineStr">
        <is>
          <t>malaga</t>
        </is>
      </c>
      <c r="C22" s="29" t="inlineStr">
        <is>
          <t>3-yas-alti-cocuk-anne-vergi-indirimi-deduccion-por-maternidad</t>
        </is>
      </c>
      <c r="D22" s="29" t="inlineStr">
        <is>
          <t>3 yaşından küçük çocuğu olan anneye tanınan vergi indirimi (deducción por maternidad) yılda en çok ne kadardır, peşin alınabilir mi?</t>
        </is>
      </c>
      <c r="E22" s="29" t="inlineStr">
        <is>
          <t>En çok yılda çocuk başına 1.200 €; koşulları sağlanan aylara göre orantılı; peşin ödeme için Modelo 140</t>
        </is>
      </c>
      <c r="F22" s="29" t="inlineStr">
        <is>
          <t>Anne vergi indirimi (deducción por maternidad), 3 yaşından küçük ve kendisi için descendiente indirimi hakkı bulunan çocuğu olan kadınlara tanınır: doğum anında işsizlik ödeneği alıyor ya da Sosyal Güvenlik veya mutualidad'a kayıtlı olmalısın; doğumdan sonra herhangi bir zamanda kayıt olduysan en az 30 gün prim ödemiş olman gerekir. Tutar yılda çocuk başına en çok 1.200 €'dur ve koşulları sağladığın ay sayısıyla orantılı hesaplanır. Sosyal güvenliğe ya da mutualidad'a doğumdan sonra kayıt olduysan, asgari 30 günlük prim süresine ulaştığın ay için tutar 150 € artar. Ebeveynlerden biri o çocuk için ingreso mínimo vital'in çocuk ekini aldığı aylarda indirim hesaplanmaz; bu eke 1 Ocak 2023'ten önce hak kazanılmışsa istisna vardır. Peşin ödeme (abono anticipado) için Modelo 140 ile başvurulur. Bu kurallar 1 Ocak 2023'ten itibaren geçerlidir.</t>
        </is>
      </c>
      <c r="G22" s="29" t="inlineStr">
        <is>
          <t>deducción por maternidad, anne vergi indirimi, Modelo 140, abono anticipado, Agencia Tributaria, IRPF, çocuk vergi</t>
        </is>
      </c>
      <c r="H22" s="29" t="inlineStr">
        <is>
          <t>new;settled</t>
        </is>
      </c>
      <c r="I22" s="29" t="inlineStr">
        <is>
          <t>malaga:kaynak:299;malaga:kaynak:432</t>
        </is>
      </c>
      <c r="J22" s="49" t="n">
        <v>46322</v>
      </c>
      <c r="K22" s="51" t="n">
        <v>911</v>
      </c>
      <c r="L22" s="29" t="inlineStr">
        <is>
          <t>Hayır</t>
        </is>
      </c>
      <c r="M22" s="29" t="inlineStr">
        <is>
          <t>Taslak</t>
        </is>
      </c>
      <c r="N22" s="29" t="inlineStr">
        <is>
          <t>malaga:aile</t>
        </is>
      </c>
      <c r="O22" s="29" t="inlineStr">
        <is>
          <t>Hak koşullarını gör: doğum anında işsizlik ödeneği alıyor ya da Sosyal Güvenlik/mutualidad'a kayıtlı olmalısın; doğumdan sonra kayıt olduysan en az 30 gün prim ödemiş olmalısın.
Tutarı hesapla: en çok 1.200 € yıllık, koşulları sağladığın ayların sayısına göre orantılı.
Sosyal güvenliğe doğumdan sonra kayıt olduysan, asgari 30 günlük prim süresine ulaştığın ay için tutarın 150 € arttığını hesaba kat.
Peşin ödemeyi istiyorsan Agencia Tributaria'nın elektronik şubesinden (sede electrónica) Modelo 140 ile başvur.
Peşin ödemeyi zaten alıyorsan aynı çocuk için yeni başvuru yapma.</t>
        </is>
      </c>
      <c r="P22" s="29" t="n"/>
      <c r="Q22" s="29" t="n"/>
      <c r="R22" s="29" t="n"/>
      <c r="S22" s="29" t="inlineStr">
        <is>
          <t>Kurallar 1 Ocak 2023'ten itibaren geçerlidir.</t>
        </is>
      </c>
      <c r="T22" s="29" t="n"/>
    </row>
    <row r="23" ht="54" customHeight="1">
      <c r="A23" s="29" t="inlineStr">
        <is>
          <t>malaga:endulus-cocuklu-aileler-icin-yardim-ve-destek-listesi</t>
        </is>
      </c>
      <c r="B23" s="29" t="inlineStr">
        <is>
          <t>malaga</t>
        </is>
      </c>
      <c r="C23" s="29" t="inlineStr">
        <is>
          <t>endulus-cocuklu-aileler-icin-yardim-ve-destek-listesi</t>
        </is>
      </c>
      <c r="D23" s="29" t="inlineStr">
        <is>
          <t>Endülüs'te (Málaga dahil) çocuklu aileler hangi yardım ve desteklerden yararlanabilir?</t>
        </is>
      </c>
      <c r="E23" s="29" t="inlineStr">
        <is>
          <t>Gelire bağlı ve primli aile ödenekleri, Endülüs'e özgü doğum yardımları, okul hizmetleri, 1 yaş altı ilaç ve 6–15 yaş diş bakımı, vergi indirimi</t>
        </is>
      </c>
      <c r="F23" s="29" t="inlineStr">
        <is>
          <t>Junta de Andalucía'nın anne ve çocuk hakları sayfası şu desteklerin varlığını sayar: sosyal güvenliğin gelire bağlı aile ödenekleri (çocuk başına, üçüncü ve sonraki çocuk, çoklu doğum), primli anne ve baba ödenekleri, Endülüs'e özgü üçüncü çocuk ve çoklu doğum yardımları, çok çocuklu aile unvanı, okullarda aula matinal, etkinlik ve yemek hizmetleri, 6–16 yaş için ücretsiz ders kitabı ve bazı durumlarda okul ulaşımı, 1 yaş altı çocuklara ücretsiz ilaç, 6–15 yaş çocuklara ücretsiz temel diş bakımı ve 3 yaşından küçük çocuğu olan ve koşulları sağlayan kadınlar için çocuk başına yılda en çok 1.200 € anne vergi indirimi.</t>
        </is>
      </c>
      <c r="G23" s="29" t="inlineStr">
        <is>
          <t>çocuk yardımı, aile ödeneği, familia numerosa, prestación por hijo a cargo, doğum yardımı, ücretsiz diş bakımı, Endülüs aile</t>
        </is>
      </c>
      <c r="H23" s="29" t="inlineStr">
        <is>
          <t>new;settled</t>
        </is>
      </c>
      <c r="I23" s="29" t="inlineStr">
        <is>
          <t>malaga:kaynak:220</t>
        </is>
      </c>
      <c r="J23" s="49" t="n">
        <v>46322</v>
      </c>
      <c r="K23" s="51" t="n">
        <v>912</v>
      </c>
      <c r="L23" s="29" t="inlineStr">
        <is>
          <t>Hayır</t>
        </is>
      </c>
      <c r="M23" s="29" t="inlineStr">
        <is>
          <t>Taslak</t>
        </is>
      </c>
      <c r="N23" s="29" t="inlineStr">
        <is>
          <t>malaga:aile</t>
        </is>
      </c>
      <c r="O23" s="29" t="inlineStr">
        <is>
          <t>Junta'nın sayfasına göre gelire bağlı (primsiz) aile ödenekleri İspanya'da yaşayan, ihtiyaç içindeki ve yıllık geliri belirli sınırı aşmayan kişiler içindir; çocuk başına ödenek, üçüncü ve sonraki çocuk ödeneği ve çoklu doğum ödeneği bu gruptadır.
Sosyal güvenliğe kayıtlıysan Junta'nın saydığı primli ödeneklere bak: anne ve baba ödenekleri (prestaciones económicas por maternidad y paternidad) ile gebelik ve emzirme riski ödeneği.
Endülüs'e özgü olanları öğren: üçüncü ve sonraki çocuk doğduğunda 3 yaşından küçük başka çocuğu olan ailelere ekonomik yardım, çoklu doğum yardımı ve çok çocuklu aile unvanı.
Okullarda aula matinal, etkinlik ve yemek hizmetleri ile 6–16 yaş için ücretsiz ders kitabı vardır; bazı durumlarda okul ulaşımı da sağlanır.
1 yaşından küçük çocuğun ilaç ve sağlık ürünlerini, 6–15 yaş çocuğunun temel diş bakımını ücretsiz al.
3 yaşından küçük çocuğu olan ve belirli koşulları sağlayan kadınlar, çocuk başına yılda en çok 1.200 € anne vergi indiriminden yararlanabilir.</t>
        </is>
      </c>
      <c r="P23" s="29" t="n"/>
      <c r="Q23" s="29" t="n"/>
      <c r="R23" s="29" t="n"/>
      <c r="S23" s="29" t="inlineStr">
        <is>
          <t>Bu kart yardımların listesidir; tutar, koşul ve başvuru ayrıntısı içermez. Bu ayrıntılar için ilgili yardımın adını Seguridad Social ya da Junta de Andalucía sitesinde ara.</t>
        </is>
      </c>
      <c r="T23" s="29" t="n"/>
    </row>
    <row r="24" ht="54" customHeight="1">
      <c r="A24" s="29" t="inlineStr">
        <is>
          <t>malaga:malaga-sosyal-hizmetler-merkezi-cssc-ve-aile-ekonomik-yardimi</t>
        </is>
      </c>
      <c r="B24" s="29" t="inlineStr">
        <is>
          <t>malaga</t>
        </is>
      </c>
      <c r="C24" s="29" t="inlineStr">
        <is>
          <t>malaga-sosyal-hizmetler-merkezi-cssc-ve-aile-ekonomik-yardimi</t>
        </is>
      </c>
      <c r="D24" s="29" t="inlineStr">
        <is>
          <t>Málaga'da çocuklu aile için hangi sosyal hizmetler merkezine (CSSC) gidilir, belediye çocuklu aileye ekonomik yardım verir mi?</t>
        </is>
      </c>
      <c r="E24" s="29" t="inlineStr">
        <is>
          <t>12 merkez, hafta içi 9:00–14:00; merkez ikamet adresine göre belirlenir; belediyenin 'ayuda económica familiar' yardımı geçicidir</t>
        </is>
      </c>
      <c r="F24" s="29" t="inlineStr">
        <is>
          <t>Evet: Málaga Belediyesi'nin 'prestación de ayuda económica familiar' adlı yardımı, geliri yetersiz ailelerde reşit olmayan çocukların temel ihtiyaçları için verilen geçici, nakdi ya da ayni bir destektir. Başvuru ve yönlendirme, ikamet ettiğin adrese bağlı olan 12 Centro de Servicios Sociales Comunitarios'tan (CSSC) birinde yapılır; padrón adresin değil, fiilen oturduğun adres belirleyicidir. Merkezler hafta içi 9:00–14:00 arası açıktır ve sosyal hizmet, eğitim ve psikoloji ekipleri hangi hizmet ve yardımdan yararlanabileceğini değerlendirir. Belediye süreklilik gerektiren temel ihtiyaçları karşılamaz; bunun için Ingreso Mínimo Vital, Renta Mínima de Inserción Social gibi yardımlara yönlendirir.</t>
        </is>
      </c>
      <c r="G24" s="29" t="inlineStr">
        <is>
          <t>sosyal hizmetler, CSSC, ayuda económica familiar, Servicios Sociales Comunitarios, aile yardımı, Málaga belediyesi, çocuk yardımı</t>
        </is>
      </c>
      <c r="H24" s="29" t="inlineStr">
        <is>
          <t>new;settled</t>
        </is>
      </c>
      <c r="I24" s="29" t="inlineStr">
        <is>
          <t>malaga:kaynak:183;malaga:kaynak:184</t>
        </is>
      </c>
      <c r="J24" s="49" t="n">
        <v>46322</v>
      </c>
      <c r="K24" s="51" t="n">
        <v>913</v>
      </c>
      <c r="L24" s="29" t="inlineStr">
        <is>
          <t>Hayır</t>
        </is>
      </c>
      <c r="M24" s="29" t="inlineStr">
        <is>
          <t>Taslak</t>
        </is>
      </c>
      <c r="N24" s="29" t="inlineStr">
        <is>
          <t>malaga:aile</t>
        </is>
      </c>
      <c r="O24" s="29" t="inlineStr">
        <is>
          <t>Oturduğun adrese hangi merkezin bağlı olduğunu belediyenin 'Guía callejero' belgesiyle bul.
Merkezi hafta içi 9:00–14:00 arasında ziyaret et ya da telefonla ara; Cruz de Humilladero merkezi (No. 6) için randevu telefonu ayrıdır.
Merkezde durumunu anlat; ekip uygun hizmeti ve yardımı değerlendirir.
Çocuklu aile için "ayuda económica familiar" yardımının sana uygun olup olmadığını, gereken belgeyi ve gelir koşulunu merkezde sor; bunlar belediyenin Ordenanza Reguladora de Prestaciones Económicas belgesinde düzenlenir.</t>
        </is>
      </c>
      <c r="P24" s="29" t="n"/>
      <c r="Q24" s="29" t="inlineStr">
        <is>
          <t>Merkezler hafta içi 9:00–14:00 açıktır.</t>
        </is>
      </c>
      <c r="R24" s="29" t="n"/>
      <c r="S24" s="29" t="inlineStr">
        <is>
          <t>Merkezler (numara, bölge, adres, telefon):
1. Centro: C/ Jorge Lamothe, 4, 29007; 951 926 071
2. Este: C/ Dánvila y Collado, 4; 951 926 072
3. Ciudad Jardín: C/ Las Moreras, 6, 29014; 951 926 073
4. Bailén-Miraflores: C/ Tejares, 50, 29009; 951 926 074
5. Palma-Palmilla: C/ Alonso Cruzado, s/n, 29011; 951 926 075
6. Cruz de Humilladero: C/ Fernández Fermina, 7, 29006; 951 926 076 (bilgi), 951 926 236 (randevu)
7. Carretera de Cádiz: Avenida Isaac Peral, 23, 29002; 951 926 077
8. Churriana: C/ Maestro Usandizaga, 15, 29140; 951 926 078
9. Campanillas: C/ Cristobalina Fernández, 4, 29590; 951 926 079
10. Puerto de la Torre: C/ Lara Castañeda, 61, 29190; 951 926 070
11. Teatinos-Universidad: C/ Juan de Robles, 38, 29010; 951 926 171
12. Huelin: C/ Emilio de la Cerda, 24, 29002; 951 926 185</t>
        </is>
      </c>
      <c r="T24" s="29" t="n"/>
    </row>
    <row r="25" ht="54" customHeight="1">
      <c r="A25" s="29" t="inlineStr">
        <is>
          <t>malaga:egitim-delegasyonu-malaga-konulara-gore-iletisim-adresleri</t>
        </is>
      </c>
      <c r="B25" s="29" t="inlineStr">
        <is>
          <t>malaga</t>
        </is>
      </c>
      <c r="C25" s="29" t="inlineStr">
        <is>
          <t>egitim-delegasyonu-malaga-konulara-gore-iletisim-adresleri</t>
        </is>
      </c>
      <c r="D25" s="29" t="inlineStr">
        <is>
          <t>Málaga'da okul yeri, geç okullaşma, özel eğitim ihtiyacı, burs ya da meslek eğitimi için Eğitim Delegasyonu'nun hangi birimine yazarım?</t>
        </is>
      </c>
      <c r="E25" s="29" t="inlineStr">
        <is>
          <t>Konuya göre ayrı e-posta adresleri: okullaşma, özel eğitim ve geç okullaşma, burs ve ders kitabı, diploma, meslek eğitimi, müfettişlik</t>
        </is>
      </c>
      <c r="F25" s="29" t="inlineStr">
        <is>
          <t>Málaga'daki Eğitim Delegasyonu (Delegación Territorial de Educación) iletişim sayfasında konuya göre ayrı birimlerin e-posta adresleri vardır: okullaşma planlaması için planificacion.dpma.ced@juntadeandalucia.es, özel eğitim ihtiyaçları ve geç okullaşma (escolarización extemporánea) için nee.dpma.ced@juntadeandalucia.es, burs, okul ulaşımı yardımı ve ders kitabı ücretsizliği için becas.dpma.ced@juntadeandalucia.es. Diploma işlemleri için titulos.dpma.ced@juntadeandalucia.es, meslek eğitimi için formacionprofesional.dpma.ced@juntadeandalucia.es, eğitim müfettişliği için inspeccioneducativamalaga.dpma.ced@juntadeandalucia.es kullanılır. Okullaşma süreciyle ilgili genel sorularda 900 848 000 ücretsiz hattı 8:00–19:00 arası açıktır.</t>
        </is>
      </c>
      <c r="G25" s="29" t="inlineStr">
        <is>
          <t>Delegación Territorial Educación Málaga, escolarización extemporánea, NEE, becas, planificación, eğitim iletişim</t>
        </is>
      </c>
      <c r="H25" s="29" t="inlineStr">
        <is>
          <t>planning;new;settled</t>
        </is>
      </c>
      <c r="I25" s="29" t="inlineStr">
        <is>
          <t>malaga:kaynak:218;malaga:kaynak:215</t>
        </is>
      </c>
      <c r="J25" s="49" t="n">
        <v>46322</v>
      </c>
      <c r="K25" s="51" t="n">
        <v>914</v>
      </c>
      <c r="L25" s="29" t="inlineStr">
        <is>
          <t>Hayır</t>
        </is>
      </c>
      <c r="M25" s="29" t="inlineStr">
        <is>
          <t>Taslak</t>
        </is>
      </c>
      <c r="N25" s="29" t="inlineStr">
        <is>
          <t>malaga:aile</t>
        </is>
      </c>
      <c r="O25" s="29" t="inlineStr">
        <is>
          <t>Okul yeri bulma ve okullaşma planlaması için planificacion.dpma.ced@juntadeandalucia.es adresine yaz.
Özel eğitim ihtiyacı olan ya da okullaşma süreci dışında (geç) gelen çocuk için nee.dpma.ced@juntadeandalucia.es adresine yaz.
Burs, okul ulaşımı yardımı ve ders kitabı ücretsizliği için becas.dpma.ced@juntadeandalucia.es adresine yaz.
Diploma işlemlerinde titulos.dpma.ced@juntadeandalucia.es, meslek eğitiminde formacionprofesional.dpma.ced@juntadeandalucia.es adresini kullan.
Okullaşma süreci hakkında genel sorun için ücretsiz 900 848 000 hattını 8:00–19:00 arasında ara.</t>
        </is>
      </c>
      <c r="P25" s="29" t="n"/>
      <c r="Q25" s="29" t="inlineStr">
        <is>
          <t>Bilgi hattı 8:00–19:00 arası kesintisiz açıktır.</t>
        </is>
      </c>
      <c r="R25" s="29" t="inlineStr">
        <is>
          <t>Bilgi hattı ücretsizdir.</t>
        </is>
      </c>
      <c r="S25" s="29" t="n"/>
      <c r="T25" s="29" t="n"/>
    </row>
    <row r="26" ht="54" customHeight="1">
      <c r="A26" s="29" t="inlineStr">
        <is>
          <t>malaga:kira-sozlesmesi-suresi-ve-uzama</t>
        </is>
      </c>
      <c r="B26" s="29" t="inlineStr">
        <is>
          <t>malaga</t>
        </is>
      </c>
      <c r="C26" s="29" t="inlineStr">
        <is>
          <t>kira-sozlesmesi-suresi-ve-uzama</t>
        </is>
      </c>
      <c r="D26" s="29" t="inlineStr">
        <is>
          <t>İspanya'da konut kira sözleşmesi en az kaç yıl sürer ve nasıl uzar?</t>
        </is>
      </c>
      <c r="E26" s="29" t="inlineStr">
        <is>
          <t>Konut kirasında en az süre 5 yıl (kiraya veren tüzel kişiyse 7); sözleşme yıllık uzar, kiracı 30 gün önceden bildirerek uzamayı durdurabilir</t>
        </is>
      </c>
      <c r="F26" s="29" t="inlineStr">
        <is>
          <t>Konut kira sözleşmesinde en az süre kural olarak 5 yıldır (kiraya veren tüzel kişiyse 7 yıl): taraflar süreyi özgürce belirler, ancak süre bundan kısa yazılırsa vade gününde sözleşme, bu en az süreye ulaşana dek yıllık dönemlerle zorunlu olarak uzar. İstisnalar vardır. Kiraya veren gerçek kişiyse ve sözleşmeye baştan açıkça, kendisi ya da birinci derece (kan ya da evlat edinme yoluyla) yakınları için (kesinleşmiş ayrılık, boşanma ya da evlilik iptali kararı hâlinde eşi için de) evi kalıcı konut olarak ihtiyaç duyduğunu yazmışsa, ilk yıldan sonra nedenini belirterek en az 2 ay önceden bildirip evi geri isteyebilir; bu durumda zorunlu uzama işlemez (md. 9.3). Kiraya veren ya da yakınları evi çıkıştan sonraki 3 ay içinde kullanmazsa kiracı 30 gün içinde eve geri konulmayı ya da tazminat almayı seçebilir. Geçici konut sözleşmeleri (kiracının asıl evinden haklı ve belgelenebilir bir nedenle geçici olarak ayrı kaldığı dönemde konut ihtiyacını karşılayan kira) bu en az süre kurallarına tabi değildir; süreleri 31 günden uzun olmalı ve kural olarak 12 ayı aşmaz (md. 9 bis). Uzamasını istemiyorsan, en az süre dolana dek vade gününden en az 30 gün önce kiraya verene yenilemek istemediğini bildirirsin. Süre yazılmamışsa ya da belirsizse sözleşme bir yıllık sayılır ve yıllık uzatma hakkın yine geçerlidir. Geçici konut hükümleri 6 Ekim 2026 tarihli Real Decreto-ley 29/2026 ile geldi; kararname (Real Decreto-ley) olduğu için ileride değişebilir ve aynı hükmü getiren daha önceki Real Decreto-ley 26/2026 Meclis kararıyla kaldırılmıştı (2 Ekim 2026 tarihli Resolución). Kira yasası 2026'da değişiyor; bu kart 7 Ekim 2026 tarihli konsolide metne göre (yayım 7 Ekim, yürürlük 8 Ekim).</t>
        </is>
      </c>
      <c r="G26" s="29" t="inlineStr">
        <is>
          <t>kira sözleşmesi, alquiler, Ley de Arrendamientos Urbanos, LAU, kira süresi, prórroga, arrendamiento de vivienda</t>
        </is>
      </c>
      <c r="H26" s="29" t="inlineStr">
        <is>
          <t>planning;new</t>
        </is>
      </c>
      <c r="I26" s="29" t="inlineStr">
        <is>
          <t>malaga:kaynak:090</t>
        </is>
      </c>
      <c r="J26" s="49" t="n">
        <v>46319</v>
      </c>
      <c r="K26" s="51" t="n">
        <v>9066</v>
      </c>
      <c r="L26" s="29" t="inlineStr">
        <is>
          <t>Hayır</t>
        </is>
      </c>
      <c r="M26" s="29" t="inlineStr">
        <is>
          <t>Taslak</t>
        </is>
      </c>
      <c r="N26" s="29" t="inlineStr">
        <is>
          <t>malaga:ev</t>
        </is>
      </c>
      <c r="O26" s="29" t="inlineStr">
        <is>
          <t>Sözleşmedeki süreye bak: taraflar süreyi özgürce belirler; süre 5 yıldan (kiraya veren tüzel kişiyse 7 yıldan) kısaysa vade gününde sözleşme en az süreye ulaşana dek yıllık dönemlerle zorunlu olarak uzar.
Kiraya veren gerçek kişiyse, sözleşmede kendisi ya da birinci derece yakınları için evi kalıcı konut olarak isteme ihtiyacının baştan açıkça yazılıp yazılmadığına bak; yazılmışsa ilk yıldan sonra, nedeni belirtilerek en az 2 ay önceden yapılan bildirimle ev geri istenebilir ve zorunlu uzama işlemez.
Sürenin sözleşme tarihinden ya da ev sana teslim edildiği tarihten (hangisi sonraysa) başladığını bil; teslim tarihini ispat etmek kiracıya düşer, bu yüzden teslim tarihini gösteren bir kayıt tut.
En az süre dolmadan gelen bir vade gününde uzamak istemiyorsan, sözleşmenin bitiş tarihinden ya da yıllık uzamalardan birinin bitişinden en az 30 gün önce kiraya verene yenilemek istemediğini bildir.
Sözleşmede süre yazmıyorsa ya da süre belirsizse, sözleşmenin bir yıllık yapıldığını bil; yıllık uzatma hakkın bu durumda da geçerlidir.
Geçici konut sözleşmesi yapıyorsan en az süre kuralının işlemediğini bil: süre 31 günden uzun olmalı ve kural olarak 12 ayı aşmaz.</t>
        </is>
      </c>
      <c r="P26" s="29" t="n"/>
      <c r="Q26" s="29" t="inlineStr">
        <is>
          <t>Kira yasası 2026'da değişiyor; bu kart 7 Ekim 2026 tarihli konsolide metne göre (yayım 7 Ekim, yürürlük 8 Ekim). Geçici konut hükümleri (md. 2.3, 9.4, 9 bis) 6 Ekim 2026 tarihli Real Decreto-ley 29/2026 ile geldi; kararname (Real Decreto-ley) olduğu için ileride değişebilir. En az süre 5 yıl (kiraya veren tüzel kişiyse 7 yıl); uzamayı durdurma bildirimi vade gününden en az 30 gün önce.</t>
        </is>
      </c>
      <c r="R26" s="29" t="n"/>
      <c r="S26" s="29" t="n"/>
      <c r="T26" s="29" t="n"/>
    </row>
    <row r="27" ht="54" customHeight="1">
      <c r="A27" s="29" t="inlineStr">
        <is>
          <t>malaga:kira-depozitosu-fianza-ve-iade</t>
        </is>
      </c>
      <c r="B27" s="29" t="inlineStr">
        <is>
          <t>malaga</t>
        </is>
      </c>
      <c r="C27" s="29" t="inlineStr">
        <is>
          <t>kira-depozitosu-fianza-ve-iade</t>
        </is>
      </c>
      <c r="D27" s="29" t="inlineStr">
        <is>
          <t>İspanya'da kira depozitosu (fianza) ne kadardır ve nasıl geri alınır?</t>
        </is>
      </c>
      <c r="E27" s="29" t="inlineStr">
        <is>
          <t>Konutta fianza bir aylık kiradır; bakiye anahtar tesliminden bir ay sonra iade edilmemişse yasal faiz işler; fianza dışında ek güvence de kararlaştırılabilir</t>
        </is>
      </c>
      <c r="F27" s="29" t="inlineStr">
        <is>
          <t>Konutta fianza bir aylık kiradır ve sözleşme yapılırken para olarak verilmesi zorunludur. Sözleşme bitince iade edilecek bakiye, anahtarların tesliminden bir ay sonra hâlâ iade edilmemişse yasal faiz işler. Sözleşme bitince taraflar evin durumunu imzalı yazılı bir belgeyle kaydeder; belge hiç imzalanmazsa ya da belgede hiçbir kusur yazılmazsa, aksi ispatlanmadıkça ev uygun durumda teslim edilmiş sayılır. İlk 5 yıl (kiraya veren tüzel kişiyse ilk 7 yıl) fianza güncellenmez; her uzamada kiraya veren artırılmasını, kiracı azaltılmasını isteyebilir. Fianza dışında taraflar ek bir güvence kararlaştırabilir: konut sözleşmelerinde 5 yıla kadar (kiraya veren tüzel kişiyse 7 yıla kadar) süreli sözleşmede bu ek güvence en çok iki aylık kira, geçici kiralamalarda en çok bir aylık kiradır; kiracıdan kira ödememe sigortası ya da benzeri bir sigorta kapsamı yaptırması istenemez. Özerk bölgeler, kiraya verenin fianza'yı faizsiz olarak bölge idaresine ya da belirlenen kuruma yatırma zorunluluğu koyabilir; bu zorunluluk bölgeye göre değişir. Ek güvence sınırı ve çıkış belgesi 6 Ekim 2026 tarihli Real Decreto-ley 29/2026 ile geldi; kararname (Real Decreto-ley) olduğu için ileride değişebilir. Kira yasası 2026'da değişiyor; bu kart 7 Ekim 2026 tarihli konsolide metne göre (yayım 7 Ekim, yürürlük 8 Ekim).</t>
        </is>
      </c>
      <c r="G27" s="29" t="inlineStr">
        <is>
          <t>fianza, kira depozitosu, depozito iadesi, depósito de fianzas, alquiler, yasal faiz, LAU</t>
        </is>
      </c>
      <c r="H27" s="29" t="inlineStr">
        <is>
          <t>new;settled</t>
        </is>
      </c>
      <c r="I27" s="29" t="inlineStr">
        <is>
          <t>malaga:kaynak:090</t>
        </is>
      </c>
      <c r="J27" s="49" t="n">
        <v>46319</v>
      </c>
      <c r="K27" s="51" t="n">
        <v>9067</v>
      </c>
      <c r="L27" s="29" t="inlineStr">
        <is>
          <t>Hayır</t>
        </is>
      </c>
      <c r="M27" s="29" t="inlineStr">
        <is>
          <t>Taslak</t>
        </is>
      </c>
      <c r="N27" s="29" t="inlineStr">
        <is>
          <t>malaga:ev</t>
        </is>
      </c>
      <c r="O27" s="29" t="inlineStr">
        <is>
          <t>Sözleşmeyi imzalarken bir aylık kira tutarında fianza ver; konut kiralamada bu zorunludur.
Fianza dışında bir ek güvence kararlaştırılıyorsa sınırı bil: konutta 5 yıla kadar (kiraya veren tüzel kişiyse 7 yıla kadar) süreli sözleşmede en çok iki aylık kira, geçici kiralamalarda en çok bir aylık kira; kira ödememe sigortası ya da benzeri bir sigorta kapsamı yaptırman senden istenemez.
İlk 5 yıl (kiraya veren tüzel kişiyse ilk 7 yıl) fianza'nın güncellenmediğini bil; sözleşme uzadığında kiraya veren artırılmasını, sen azaltılmasını isteyebilirsin, tutar konutta bir aylık güncel kiraya eşitlenene dek.
Evden çıkarken evin durumunu iki tarafın imzaladığı yazılı bir belgeyle kaydet; belge imzalanmazsa ya da belgede kusur yazılmazsa, aksi ispatlanmadıkça ev uygun durumda teslim edilmiş sayılır.
Anahtarları teslim et ve teslim tarihini not et; iade edilecek fianza bakiyesi anahtar tesliminden bir ay sonra hâlâ ödenmemişse bu tutar yasal faiz işler.
Bölgende fianza'nın idareye yatırılması zorunluysa bu yükümlülük kiraya verene aittir; idare, sözleşmenin bitiminden bir ay sonra yatırılan tutarı iade etmezse tutar yasal faiz işler.</t>
        </is>
      </c>
      <c r="P27" s="29" t="n"/>
      <c r="Q27" s="29" t="inlineStr">
        <is>
          <t>Kira yasası 2026'da değişiyor; bu kart 7 Ekim 2026 tarihli konsolide metne göre (yayım 7 Ekim, yürürlük 8 Ekim). Ek güvence sınırı (md. 36.5) ve çıkış belgesi (md. 36.7) 6 Ekim 2026 tarihli Real Decreto-ley 29/2026 ile geldi; kararname (Real Decreto-ley) olduğu için ileride değişebilir. Faiz, anahtar tesliminden bir ay sonra başlar.</t>
        </is>
      </c>
      <c r="R27" s="29" t="inlineStr">
        <is>
          <t>Konutta fianza: bir aylık kira. Ek güvence (tarafların anlaşmasıyla): 5 yıla kadar (kiraya veren tüzel kişiyse 7 yıla kadar) süreli konut sözleşmesinde en çok iki aylık kira, geçici kiralamalarda en çok bir aylık kira.</t>
        </is>
      </c>
      <c r="S27" s="29" t="n"/>
      <c r="T27" s="29" t="n"/>
    </row>
    <row r="28" ht="54" customHeight="1">
      <c r="A28" s="29" t="inlineStr">
        <is>
          <t>malaga:kira-artisi-siniri-irav</t>
        </is>
      </c>
      <c r="B28" s="29" t="inlineStr">
        <is>
          <t>malaga</t>
        </is>
      </c>
      <c r="C28" s="29" t="inlineStr">
        <is>
          <t>kira-artisi-siniri-irav</t>
        </is>
      </c>
      <c r="D28" s="29" t="inlineStr">
        <is>
          <t>İspanya'da ev sahibi kirayı yılda en çok ne kadar artırabilir?</t>
        </is>
      </c>
      <c r="E28" s="29" t="inlineStr">
        <is>
          <t>Artış son yayımlanmış IRAV değişimini aşamaz; yalnız sözleşmede açıkça yazılıysa ve yıldönümünde yapılır; IRAV her ay yayımlanır</t>
        </is>
      </c>
      <c r="F28" s="29" t="inlineStr">
        <is>
          <t>Güncelleme yapılsa bile kira artışı, güncelleme tarihinde yayımlanmış son IRAV endeksinin yüzde değişimini aşamaz. Kira yalnızca sözleşmenin her yıldönümünde ve sözleşmede kararlaştırılan biçimde güncellenebilir; sözleşmede açık bir güncelleme anlaşması yoksa güncelleme uygulanmaz. IRAV'ı INE hesaplar; INE'ye göre 26 Mayıs 2023'ten sonra imzalanan sözleşmeler IRAV'a göre güncellenir, bu kart bu sözleşmeler içindir. INE sayfasında IRAV için son veri Eylül 2026'dır (14/10/2026'da yayımlandı) ve yıllık değişim %2,54'tür; bu değer her ay değişir. Konut piyasası gergin ilan edilen bölgelerde kira için ayrıca kurallar vardır; böyle bir ilanın olup olmadığı bölgeye göre değişir. Kira yasası 2026'da değişiyor; bu kart 7 Ekim 2026 tarihli konsolide metne göre (yayım 7 Ekim, yürürlük 8 Ekim). Md. 18.1, 6 Ekim 2026 tarihli Real Decreto-ley 29/2026 (art. 3.11) ile değiştirilmiştir; aynı maddeyi değiştiren daha önceki Real Decreto-ley 26/2026 (29 Eylül 2026) ise Meclisin kararnameyi yürürlükten kaldırmasıyla (2 Ekim 2026 tarihli Resolución) geçersiz kılındı. Kararnameyle yapılan değişikliğin kalıcılığı bu nedenle kesin değildir.</t>
        </is>
      </c>
      <c r="G28" s="29" t="inlineStr">
        <is>
          <t>kira artışı, IRAV, kira güncelleme, actualización de la renta, INE, zona tensionada, alquiler</t>
        </is>
      </c>
      <c r="H28" s="29" t="inlineStr">
        <is>
          <t>settled</t>
        </is>
      </c>
      <c r="I28" s="29" t="inlineStr">
        <is>
          <t>malaga:kaynak:090;malaga:kaynak:091</t>
        </is>
      </c>
      <c r="J28" s="49" t="n">
        <v>46319</v>
      </c>
      <c r="K28" s="51" t="n">
        <v>9068</v>
      </c>
      <c r="L28" s="29" t="inlineStr">
        <is>
          <t>Hayır</t>
        </is>
      </c>
      <c r="M28" s="29" t="inlineStr">
        <is>
          <t>Taslak</t>
        </is>
      </c>
      <c r="N28" s="29" t="inlineStr">
        <is>
          <t>malaga:ev</t>
        </is>
      </c>
      <c r="O28" s="29" t="inlineStr">
        <is>
          <t>Sözleşmende kira güncelleme maddesi olup olmadığına bak; açık bir anlaşma yoksa kira güncellenmez.
Güncelleme maddesi var ama endeks ya da yöntem yazmıyorsa kira IRAV'ın yıllık değişimine göre güncellenir; her durumda artış IRAV'ın yüzde değişimini aşamaz.
Referans ay olarak, güncelleme tarihinde yayımlanmış son endeksin ayı alınır; güncelleme sözleşmenin yıldönümünde yapılabilir.
Güncellenen kira, ilgili tarafın karşı tarafa yazılı bildirmesinden sonraki aydan itibaren istenebilir; kiracı isterse bildirime INE'nin uygun belgesi eklenir.
Bildirim, önceki ayın kira makbuzuna yazılan bir notla da geçerli biçimde yapılabilir.</t>
        </is>
      </c>
      <c r="P28" s="29" t="n"/>
      <c r="Q28" s="29" t="inlineStr">
        <is>
          <t>IRAV değeri her ay değişir: INE sayfasında son veri Eylül 2026 (14/10/2026'da yayımlandı), yıllık değişim %2,54. Kira yasası 2026'da değişiyor; bu kart 7 Ekim 2026 tarihli konsolide metne göre (yayım 7 Ekim, yürürlük 8 Ekim). Md. 18.1, 6 Ekim 2026 tarihli Real Decreto-ley 29/2026 ile değiştirilmiştir; daha önceki Real Decreto-ley 26/2026'nın aynı maddeye ilişkin değişikliği Meclis kararıyla kaldırıldı, bu yüzden kararnameyle yapılan değişikliğin kalıcılığı kesin değildir.</t>
        </is>
      </c>
      <c r="R28" s="29" t="n"/>
      <c r="S28" s="29" t="inlineStr">
        <is>
          <t>Konut piyasası gergin ilan edilen bölgelerde kira için ayrıca kurallar vardır; ilanın olup olmadığı bölgeye göre değişir.</t>
        </is>
      </c>
      <c r="T28" s="29" t="n"/>
    </row>
    <row r="29" ht="54" customHeight="1">
      <c r="A29" s="29" t="inlineStr">
        <is>
          <t>malaga:kirada-onarim-ve-hasar-sorumlulugu</t>
        </is>
      </c>
      <c r="B29" s="29" t="inlineStr">
        <is>
          <t>malaga</t>
        </is>
      </c>
      <c r="C29" s="29" t="inlineStr">
        <is>
          <t>kirada-onarim-ve-hasar-sorumlulugu</t>
        </is>
      </c>
      <c r="D29" s="29" t="inlineStr">
        <is>
          <t>İspanya'da kirada onarım masrafını kim öder?</t>
        </is>
      </c>
      <c r="E29" s="29" t="inlineStr">
        <is>
          <t>Yaşanabilirlik için gerekli onarımlar ev sahibine; olağan kullanımdan doğan küçük onarımlar konut kirasında kiracıya, geçici konutta ev sahibine aittir</t>
        </is>
      </c>
      <c r="F29" s="29" t="inlineStr">
        <is>
          <t>Evi yaşanabilir durumda tutmak için gereken onarımları ev sahibi yapar; konut kira sözleşmesinde bunun için kirayı artıramaz. Olağan kullanımdan doğan aşınmanın gerektirdiği küçük onarımlar konut kira sözleşmesinde kiracıya aittir; geçici konut sözleşmesinde ise bu küçük onarımlar da ev sahibine aittir (md. 21 bis). Bozulma İspanyol Medeni Kanunu'nun (Código Civil) 1563 ve 1564. maddelerine göre kiracıya yüklenebiliyorsa, o onarım ev sahibinin yükümlülüğü dışında kalır. Konut kira sözleşmesinde kiracı onarım gerektiğini en kısa sürede ev sahibine bildirir; yakın bir zarar ya da ağır bir rahatsızlık varsa ev sahibine haber vererek acil onarımı kendisi yaptırıp tutarını hemen ev sahibinden isteyebilir. Geçici konutta kiracı onarımı yine en kısa sürede bildirir; ev sahibi en çok 5 iş günü içinde yanıt vermek zorundadır, yanıt gelmezse kiracı gerekli onarımları yaptırıp tutarını hemen ev sahibinden isteyebilir; ödenmezse gerekçesini bildirdikten sonra tutarı ertesi ayın kirasından düşebilir. Geçici konut hükümleri 6 Ekim 2026 tarihli Real Decreto-ley 29/2026 ile geldi; kararname (Real Decreto-ley) olduğu için ileride değişebilir. Kira yasası 2026'da değişiyor; bu kart 7 Ekim 2026 tarihli konsolide metne göre (yayım 7 Ekim, yürürlük 8 Ekim).</t>
        </is>
      </c>
      <c r="G29" s="29" t="inlineStr">
        <is>
          <t>kira onarım, hasar sorumluluğu, conservación de la vivienda, pequeñas reparaciones, ev sahibi, kiracı, habitabilidad</t>
        </is>
      </c>
      <c r="H29" s="29" t="inlineStr">
        <is>
          <t>settled</t>
        </is>
      </c>
      <c r="I29" s="29" t="inlineStr">
        <is>
          <t>malaga:kaynak:090</t>
        </is>
      </c>
      <c r="J29" s="49" t="n">
        <v>46319</v>
      </c>
      <c r="K29" s="51" t="n">
        <v>9069</v>
      </c>
      <c r="L29" s="29" t="inlineStr">
        <is>
          <t>Hayır</t>
        </is>
      </c>
      <c r="M29" s="29" t="inlineStr">
        <is>
          <t>Taslak</t>
        </is>
      </c>
      <c r="N29" s="29" t="inlineStr">
        <is>
          <t>malaga:ev</t>
        </is>
      </c>
      <c r="O29" s="29" t="inlineStr">
        <is>
          <t>Onarım gerektiğini fark ettiğinde en kısa sürede ev sahibine bildir.
Konut kira sözleşmesinde ev sahibinin kendisinin ya da görevlendirdiği teknisyenlerin evin durumunu doğrudan görmesine izin ver.
Konut kira sözleşmesinde yaşanabilirlik için gereken onarımı ev sahibinden bekle; bunun için kira artırılamaz.
Konut kira sözleşmesinde olağan kullanımdan doğan aşınmanın gerektirdiği küçük onarımları kendin üstlen; geçici konut sözleşmesinde bunlar da ev sahibine aittir.
Konut kira sözleşmesinde yakın bir zarar ya da ağır bir rahatsızlığı önlemek için acil onarım gerekiyorsa, ev sahibine önceden haber vererek onarımı yaptır ve tutarını hemen ev sahibinden iste.
Geçici konutta ev sahibi 5 iş günü içinde yanıt vermezse gerekli onarımları yaptırabilir, tutarı hemen ev sahibinden isteyebilirsin; ödemezse gerekçeni bildirip ertesi ayın kirasından düşebilirsin.</t>
        </is>
      </c>
      <c r="P29" s="29" t="n"/>
      <c r="Q29" s="29" t="inlineStr">
        <is>
          <t>Kira yasası 2026'da değişiyor; bu kart 7 Ekim 2026 tarihli konsolide metne göre (yayım 7 Ekim, yürürlük 8 Ekim). Geçici konut hükümleri (md. 21 bis) 6 Ekim 2026 tarihli Real Decreto-ley 29/2026 ile geldi; kararname (Real Decreto-ley) olduğu için ileride değişebilir.</t>
        </is>
      </c>
      <c r="R29" s="29" t="n"/>
      <c r="S29" s="29" t="inlineStr">
        <is>
          <t>Bozulma kiracıya yüklenebiliyorsa (İspanyol Código Civil md. 1563 ve 1564) ev sahibi o onarımı yapmak zorunda değildir.</t>
        </is>
      </c>
      <c r="T29" s="29" t="n"/>
    </row>
    <row r="30" ht="54" customHeight="1">
      <c r="A30" s="29" t="inlineStr">
        <is>
          <t>malaga:kiralik-evden-cikis-ve-ihbar-suresi</t>
        </is>
      </c>
      <c r="B30" s="29" t="inlineStr">
        <is>
          <t>malaga</t>
        </is>
      </c>
      <c r="C30" s="29" t="inlineStr">
        <is>
          <t>kiralik-evden-cikis-ve-ihbar-suresi</t>
        </is>
      </c>
      <c r="D30" s="29" t="inlineStr">
        <is>
          <t>İspanya'da kiracı sözleşme bitmeden evden çıkabilir mi?</t>
        </is>
      </c>
      <c r="E30" s="29" t="inlineStr">
        <is>
          <t>Evet: konut kiracısı en az altı ay geçtikten sonra, kiraya verene en az 30 gün önceden bildirerek çıkabilir (geçici konutta: bir ay sonra, 10 gün önceden)</t>
        </is>
      </c>
      <c r="F30" s="29" t="inlineStr">
        <is>
          <t>Evet. Konut kiracısı, en az altı ay geçtikten sonra kiraya verene en az 30 gün önceden bildirmek koşuluyla kira sözleşmesinden çıkabilir (desistimiento; md. 11.1). Geçici konut sözleşmesinde çıkış, sözleşmenin yapılmasından en az bir ay sonra ve kiraya verene en az 10 gün önceden bildirmekle yapılır; bu hüküm 6 Ekim 2026 tarihli Real Decreto-ley 29/2026 ile geldi, kararname (Real Decreto-ley) olduğu için ileride değişebilir. Sözleşmenin ilk 5 yılında (kiraya veren tüzel kişiyse ilk 7 yılında) bir vade gününde ayrılmak istiyorsan, uzamayı durdurmak için vade gününden en az 30 gün önce yenilemek istemediğini bildirirsin (md. 9.1). Bugünkü metne göre (8 Ekim 2026'dan beri yürürlükte) 5 yıl (kiraya veren tüzel kişiyse 7 yıl) dolduktan sonraki vadelerde md. 10.1 geçerlidir: yenilememe isteğini kiracı en az 2 ay önceden bildirir; sonraki yıllık uzamaların bitişinde bu süre 1 aydır. 15 Kasım 2026'dan itibaren ise md. 10.1, 6 Ekim 2026 tarihli Real Decreto-ley 28/2026 ile yeni bir metne bağlanıyor ve bugünkü metnin yerine geçiyor: 5 yıl (tüzel kişi kiraya verende 7 yıl) sonrasında yenilememe bildirimini kiraya veren en az 6 ay, kiracı en az 2 ay önceden yapar; bildirim yapılmazsa sözleşme yıllık değil, 5'er (tüzel kişi kiraya verende 7'şer) yıllık sürelerle kendiliğinden uzar. Kiraya veren yenilememeyi geçerli biçimde bildirirse, kanunda sayılan istisnalar dışında kiracıya tazminat ödemek zorundadır. Bu değişikliklerin kalıcılığı kesin değildir: md. 10 ve md. 11 için daha önce çıkan 26/2026 ve 27/2026 sayılı kararnamelerin değişiklikleri, Meclisin bu kararnameleri yürürlükten kaldırması üzerine 2 Ekim 2026 tarihli Resolución'larla geçersiz kılındı. Kiraya veren, çıkıştan sonra iade etmesi gereken fianza bakiyesini anahtar tesliminden itibaren bir ay içinde iade etmezse bakiye yasal faiz işler. Kira yasası 2026'da değişiyor; bu kart 7 Ekim 2026 tarihli konsolide metne göre (yayım 7 Ekim, yürürlük 8 Ekim).</t>
        </is>
      </c>
      <c r="G30" s="29" t="inlineStr">
        <is>
          <t>evden çıkış, erken çıkış, desistimiento, ihbar süresi, kira feshi, alquiler, anahtar teslimi</t>
        </is>
      </c>
      <c r="H30" s="29" t="inlineStr">
        <is>
          <t>settled</t>
        </is>
      </c>
      <c r="I30" s="29" t="inlineStr">
        <is>
          <t>malaga:kaynak:090</t>
        </is>
      </c>
      <c r="J30" s="49" t="n">
        <v>46319</v>
      </c>
      <c r="K30" s="51" t="n">
        <v>9070</v>
      </c>
      <c r="L30" s="29" t="inlineStr">
        <is>
          <t>Hayır</t>
        </is>
      </c>
      <c r="M30" s="29" t="inlineStr">
        <is>
          <t>Taslak</t>
        </is>
      </c>
      <c r="N30" s="29" t="inlineStr">
        <is>
          <t>malaga:ev</t>
        </is>
      </c>
      <c r="O30" s="29" t="inlineStr">
        <is>
          <t>En az altı ay geçtiğinden emin ol; konut kira sözleşmesinde çıkış hakkı bu süre geçtikten sonra kullanılır (geçici konutta bir ay).
Kiraya verene çıkmak istediğini, çıkış tarihinden en az 30 gün önce bildir (geçici konutta en az 10 gün önce).
Sözleşmenin ilk 5 yılında (kiraya veren tüzel kişiyse ilk 7 yılında) bir vade gününde ayrılıyorsan, vade gününden en az 30 gün önce yenilemek istemediğini kiraya verene bildir; 5 yıl (7 yıl) dolduktan sonraki vadelerde bu bildirim kiracı için en az 2 ay önce yapılır. 15 Kasım 2026'dan sonra bu vadelerde sözleşme yıllık değil 5'er (tüzel kişi kiraya verende 7'şer) yıllık sürelerle kendiliğinden uzar; kiracının bildirimi yine en az 2 ay önce yapılır.
Anahtarları teslim ederken teslim tarihini not et; fianza bakiyesi bir ay içinde iade edilmezse yasal faiz işler.</t>
        </is>
      </c>
      <c r="P30" s="29" t="n"/>
      <c r="Q30" s="29" t="inlineStr">
        <is>
          <t>Kira yasası 2026'da değişiyor; bu kart 7 Ekim 2026 tarihli konsolide metne göre (yayım 7 Ekim, yürürlük 8 Ekim). Geçici konutta çıkış hükümü (md. 11.2) 6 Ekim 2026 tarihli Real Decreto-ley 29/2026 ile geldi; kararname (Real Decreto-ley) olduğu için ileride değişebilir; aynı konudaki önceki kararname (Real Decreto-ley 26/2026) Meclis kararıyla kaldırılmıştır. Md. 10.1'in yeni metni 15 Kasım 2026'da yürürlüğe girer (Real Decreto-ley 28/2026). Konutta çıkış bildirimi en az 30 gün önce; çıkış hakkı en az altı ay geçtikten sonra.</t>
        </is>
      </c>
      <c r="R30" s="29" t="n"/>
      <c r="S30" s="29" t="n"/>
      <c r="T30" s="29" t="n"/>
    </row>
    <row r="31" ht="54" customHeight="1">
      <c r="A31" s="29" t="inlineStr">
        <is>
          <t>malaga:kiralik-ilan-dolandiriciligini-tanima</t>
        </is>
      </c>
      <c r="B31" s="29" t="inlineStr">
        <is>
          <t>malaga</t>
        </is>
      </c>
      <c r="C31" s="29" t="inlineStr">
        <is>
          <t>kiralik-ilan-dolandiriciligini-tanima</t>
        </is>
      </c>
      <c r="D31" s="29" t="inlineStr">
        <is>
          <t>Ev ararken sahte kiralık ilan dolandırıcılığını nasıl tanırsın?</t>
        </is>
      </c>
      <c r="E31" s="29" t="inlineStr">
        <is>
          <t>Çok düşük fiyat, kopya fotoğraf, evi gösteremeyen yurtdışındaki ev sahibi, aracıyla anahtar teslimi ve acele anonim ödeme isteği uyarı işaretidir</t>
        </is>
      </c>
      <c r="F31" s="29" t="inlineStr">
        <is>
          <t>INCIBE'ye göre sahte kiralık ilanların başlıca işaretleri şunlardır: bölgedeki benzer evlere göre çok düşük fiyat, başka siteden kopyalanmış ya da başka ilanlarda da görülen fotoğraflar, yurtdışında oturduğu için evi şahsen gösteremeyen ev sahibi, anahtar ya da sözleşme teslimi için aracı önerilmesi ve acele ettirilme. MoneyGram ya da Western Union gibi anonim para gönderme hizmetiyle ödeme istenirse ya da ev sahibi görünen kişinin uyruğuyla aynı ülkeden olmayan bir bankaya havale istenirse süreci sürdürme.</t>
        </is>
      </c>
      <c r="G31" s="29" t="inlineStr">
        <is>
          <t>kiralık ilan dolandırıcılığı, estafa alquiler, sahte ilan, INCIBE, MoneyGram, Western Union, ev arama</t>
        </is>
      </c>
      <c r="H31" s="29" t="inlineStr">
        <is>
          <t>planning;new</t>
        </is>
      </c>
      <c r="I31" s="29" t="inlineStr">
        <is>
          <t>malaga:kaynak:092;malaga:kaynak:090</t>
        </is>
      </c>
      <c r="J31" s="49" t="n">
        <v>46319</v>
      </c>
      <c r="K31" s="51" t="n">
        <v>9071</v>
      </c>
      <c r="L31" s="29" t="inlineStr">
        <is>
          <t>Hayır</t>
        </is>
      </c>
      <c r="M31" s="29" t="inlineStr">
        <is>
          <t>Taslak</t>
        </is>
      </c>
      <c r="N31" s="29" t="inlineStr">
        <is>
          <t>malaga:ev</t>
        </is>
      </c>
      <c r="O31" s="29" t="inlineStr">
        <is>
          <t>Çok düşük fiyatlı ilanda dikkatli ol; ilgilendiğin yerin fiyatını bölgedeki diğer kiralarla karşılaştır.
Fotoğraflarda başka bir siteden alındığını gösteren filigran var mı ya da aynı fotoğraflar başka ilanlarda da çıkıyor mu diye bak.
Yurtdışında oturduğu için evi şahsen gösteremeyen ev sahibine güvenme.
Anahtar ya da sözleşme teslimi için aracı önerilirse güvenme; Airbnb gibi şirketlerin adı süreçle ilgisi olmadan kullanılabiliyor. Aracı şirket adına gelen e-posta Outlook ya da Gmail gibi ücretsiz bir alan adından geliyorsa bu da uyarı işaretidir.
Aceleye getirilmeye karşı dikkatli ol; dolandırıcılar anlaşmayı bir an önce kapatmak ister.
MoneyGram ya da Western Union gibi anonim para gönderme hizmetiyle ödeme istenirse süreci sürdürme; ev sahibi görünen kişinin uyruğuyla aynı ülkeden olmayan bir bankaya havale istenirse de sürdürme.
İlanın adresini Google'da ara; sonuçlarda dolandırıcılıkla ilgili haber ya da başka kullanıcıların yorumları çıkabilir.</t>
        </is>
      </c>
      <c r="P31" s="29" t="n"/>
      <c r="Q31" s="29" t="n"/>
      <c r="R31" s="29" t="n"/>
      <c r="S31" s="29" t="inlineStr">
        <is>
          <t>Bilgi olarak: İspanyol kira yasasına (LAU md. 17.3) göre kira ödemesi elektronik araçlarla yapılır; taraflardan birinin banka hesabı ya da elektronik ödeme erişimi yoksa ve onun talebi üzerine nakit ödeme kiralanan evde mümkündür. Bu bir dolandırıcılık ölçütü değildir; bu kartın ölçütleri INCIBE'nin saydığı işaretlerdir. Yasal bilgi 7 Ekim 2026 tarihli konsolide metne göre (yayım 7 Ekim, yürürlük 8 Ekim).</t>
        </is>
      </c>
      <c r="T31" s="29" t="n"/>
    </row>
    <row r="32" ht="54" customHeight="1">
      <c r="A32" s="29" t="inlineStr">
        <is>
          <t>malaga:endulus-kira-depozitosu-fianza-avra-yatirma-zorunlulugu</t>
        </is>
      </c>
      <c r="B32" s="29" t="inlineStr">
        <is>
          <t>malaga</t>
        </is>
      </c>
      <c r="C32" s="29" t="inlineStr">
        <is>
          <t>endulus-kira-depozitosu-fianza-avra-yatirma-zorunlulugu</t>
        </is>
      </c>
      <c r="D32" s="29" t="inlineStr">
        <is>
          <t>Endülüs'te kira depozitosu (fianza) AVRA'ya yatırılır mı: 24 Ocak 2026 öncesi ve sonrası sözleşmeler</t>
        </is>
      </c>
      <c r="E32" s="29" t="inlineStr">
        <is>
          <t>24 Ocak 2026 ve sonrasındaki yeni sözleşmelerde yatırma zorunluluğu kalktı; 23 Ocak 2026 dahil öncesindeki sözleşmelerde sürüyor</t>
        </is>
      </c>
      <c r="F32" s="29" t="inlineStr">
        <is>
          <t>Sözleşme tarihine bağlıdır. 24 Ocak 2026 dahil bu tarihten sonra yapılan kira sözleşmelerinde depozitoyu Endülüs yönetimine (AVRA) yatırma zorunluluğu kaldırılmıştır. 23 Ocak 2026 dahil bu tarihe kadar yapılan sözleşmelerde depozitoyu yatırma zorunluluğu sürer. Kaldırma, 16 Aralık 2025 tarihli Ley 5/2025 (Endülüs Konut Yasası) ek hüküm altıdan (Disposición Adicional Sexta) gelir.</t>
        </is>
      </c>
      <c r="G32" s="29" t="inlineStr">
        <is>
          <t>fianza, kira depozitosu, AVRA, Ley 5/2025, Endülüs konut yasası, depozito iadesi, kira sözleşmesi</t>
        </is>
      </c>
      <c r="H32" s="29" t="inlineStr">
        <is>
          <t>new;settled</t>
        </is>
      </c>
      <c r="I32" s="29" t="inlineStr">
        <is>
          <t>malaga:kaynak:133</t>
        </is>
      </c>
      <c r="J32" s="49" t="n">
        <v>46319</v>
      </c>
      <c r="K32" s="51" t="n">
        <v>9099</v>
      </c>
      <c r="L32" s="29" t="inlineStr">
        <is>
          <t>Hayır</t>
        </is>
      </c>
      <c r="M32" s="29" t="inlineStr">
        <is>
          <t>Taslak</t>
        </is>
      </c>
      <c r="N32" s="29" t="inlineStr">
        <is>
          <t>malaga:ev</t>
        </is>
      </c>
      <c r="O32" s="29" t="inlineStr">
        <is>
          <t>Kira sözleşmesinin tarihine bak: sözleşme 24 Ocak 2026 ya da sonrasındaysa depozito için AVRA'ya yatırma yükümlülüğü yoktur.
Sözleşme 23 Ocak 2026 dahil öncesine aitse depozitonun yatırılması zorunluluğu devam eder.
Eski rejimde yatırılmış bir depozitoyu geri almak için, sözleşme sona erince AVRA'ya iade talebinde bulun.</t>
        </is>
      </c>
      <c r="P32" s="29" t="n"/>
      <c r="Q32" s="29" t="inlineStr">
        <is>
          <t>Eski rejimde yatırılmış depozitonun iadesi için yönetim, iade talebinden itibaren bir ay içinde öder.</t>
        </is>
      </c>
      <c r="R32" s="29" t="n"/>
      <c r="S32" s="29" t="inlineStr">
        <is>
          <t>İki rejim: (1) Sözleşme tarihi 24 Ocak 2026 ya da sonrası: AVRA'ya yatırma zorunluluğu yok. (2) Sözleşme tarihi 23 Ocak 2026 dahil öncesi: yatırma zorunluluğu sürer. Yasaya göre Endülüs yönetimi, eski mevzuata göre yasal olarak yatırılmış depozitoları, sözleşmeler sona erdikçe ve ilgililerin talebi üzerine iade eder.</t>
        </is>
      </c>
      <c r="T32" s="29" t="n"/>
    </row>
    <row r="33" ht="54" customHeight="1">
      <c r="A33" s="29" t="inlineStr">
        <is>
          <t>malaga:konut-hakki-ofisi-imv-kira-ipotek-sorunu</t>
        </is>
      </c>
      <c r="B33" s="29" t="inlineStr">
        <is>
          <t>malaga</t>
        </is>
      </c>
      <c r="C33" s="29" t="inlineStr">
        <is>
          <t>konut-hakki-ofisi-imv-kira-ipotek-sorunu</t>
        </is>
      </c>
      <c r="D33" s="29" t="inlineStr">
        <is>
          <t>Kira ya da ipotek borcunu ödeyemiyorsan Málaga'da hangi belediye ofisine başvurursun?</t>
        </is>
      </c>
      <c r="E33" s="29" t="inlineStr">
        <is>
          <t>Málaga Konut Enstitüsü (IMV) bünyesindeki Oficina del Derecho a la Vivienda ipotek, kira tahliyesi ve usulsüz işgal dosyalarına bakar</t>
        </is>
      </c>
      <c r="F33" s="29" t="inlineStr">
        <is>
          <t>Başvuracağın yer Málaga Belediyesi'ne bağlı Konut Enstitüsü'nün (IMV) Oficina del Derecho a la Vivienda (Konut Hakkı Ofisi) birimidir; ofis konutunun ödemesinde sorun yaşayanlar için kuruldu. Ofis üç konuda çalışır: ipotek sorunlarında bankayla arabuluculuk yapıp borcun yeniden yapılandırılmasını arar ve ipotek davası mahkemedeyse seni baro (Colegio de Abogados) ile buluşturur; kira borcundan doğan tahliyelerde ev sahibiyle kirayı yeniden düzenlemeye çalışır, olmazsa dosyayı Comité FRES'e gönderir ve onaylanırsa sana kira yardımı verilir; evin usulsüz işgali durumlarında dosyayı Comité FRES'e ve korumalı konut talep sicili Registro de Demandantes'e iletir. Ofisin adresi IMV'nin C/ Saint Exupery 22, 29007 Málaga binasıdır; çevrimiçi bilgi ve destek için e-posta adresi oficina.derecho.vivienda@malaga.eu.</t>
        </is>
      </c>
      <c r="G33" s="29" t="inlineStr">
        <is>
          <t>Oficina del Derecho a la Vivienda, IMV, kira borcu, tahliye, desahucio, ipotek, Comité FRES, Málaga</t>
        </is>
      </c>
      <c r="H33" s="29" t="inlineStr">
        <is>
          <t>settled</t>
        </is>
      </c>
      <c r="I33" s="29" t="inlineStr">
        <is>
          <t>malaga:kaynak:144;malaga:kaynak:146</t>
        </is>
      </c>
      <c r="J33" s="49" t="n">
        <v>46322</v>
      </c>
      <c r="K33" s="51" t="n">
        <v>400</v>
      </c>
      <c r="L33" s="29" t="inlineStr">
        <is>
          <t>Evet</t>
        </is>
      </c>
      <c r="M33" s="29" t="inlineStr">
        <is>
          <t>Taslak</t>
        </is>
      </c>
      <c r="N33" s="29" t="inlineStr">
        <is>
          <t>malaga:ev</t>
        </is>
      </c>
      <c r="O33" s="29" t="inlineStr">
        <is>
          <t>Durumunu ayır: ipotek borcu mu, kira ödenmediği için tahliye mi, evin usulsüz işgali mi.
Ofise yazmak için oficina.derecho.vivienda@malaga.eu adresini kullan; yüz yüze görüşeceksen IMV'nin yüz yüze işlemler için randevu sistemi citaprevia.malaga.eu üzerinden ya da 951 926 010 numaralı telefondan randevu al (IMV: C/ Saint Exupery 22).
İpotek davan mahkemeye taşınmışsa ofisin seni baro (Colegio de Abogados) ile buluşturmasını iste; tahliye (lanzamiento) aşamasına gelmişse dosyan korumalı konuta erişim için Comité FRES'e ve Registro de Demandantes'e gönderilir.
Kira borcunda ev sahibiyle anlaşma çıkmazsa dosyanın Comité FRES'e gitmesini ve onaylanırsa kira yardımı verilmesini bekle.</t>
        </is>
      </c>
      <c r="P33" s="29" t="n"/>
      <c r="Q33" s="29" t="n"/>
      <c r="R33" s="29" t="n"/>
      <c r="S33" s="29" t="inlineStr">
        <is>
          <t>Hangi belgeyle gideceğini, hizmetin ücretli olup olmadığını ve sürenin ne kadar olduğunu öğrenmek için ofise oficina.derecho.vivienda@malaga.eu adresinden yaz.</t>
        </is>
      </c>
      <c r="T33" s="29" t="n"/>
    </row>
    <row r="34" ht="54" customHeight="1">
      <c r="A34" s="29" t="inlineStr">
        <is>
          <t>malaga:imv-randevu-telefon-ve-evrak-kayit-noktalari</t>
        </is>
      </c>
      <c r="B34" s="29" t="inlineStr">
        <is>
          <t>malaga</t>
        </is>
      </c>
      <c r="C34" s="29" t="inlineStr">
        <is>
          <t>imv-randevu-telefon-ve-evrak-kayit-noktalari</t>
        </is>
      </c>
      <c r="D34" s="29" t="inlineStr">
        <is>
          <t>Konut Enstitüsü (IMV) ile Málaga'da randevu nasıl alınır, hangi numara hangi işe bakar?</t>
        </is>
      </c>
      <c r="E34" s="29" t="inlineStr">
        <is>
          <t>Yüz yüze işlem için randevu şart: citaprevia.malaga.eu ya da 951 926 010; konu hatları 9:30-13:30; dijital sertifika randevusuz</t>
        </is>
      </c>
      <c r="F34" s="29" t="inlineStr">
        <is>
          <t>IMV'de yüz yüze işlem için randevu alırsın: citaprevia.malaga.eu adresinden ya da 951 926 010 numaralı telefondan. Konu hatları 9:30-13:30 arasında açıktır: genel bilgi 951 926 153 ve 951 926 010, konut arıza ve bakımı 951 926 156, konut denetimi 951 926 158, kentsel rehabilitasyon 951 926 162, promosyon yönetimi 951 926 145. 24 saat e-posta ile ulaşabilirsin: imv@malaga.eu (951 926 010 sayfada genel bilgi için 24 saat hizmet başlığı altında da geçer); IMV kira yardımı planı için imv.paa@malaga.eu. Evrak kaydı için randevuyu 010 (özel tarifeli) ya da 951 926 010 (yerel tarifeli; Málaga dışından yapılan aramalarda da bu numara) üzerinden alabilirsin. Dijital sertifika (firma electrónica) düzenletmek için randevuya gerek yok, doğrudan bilgi ofisine gidersin. Evrakını elden vermek için randevusuz gidebileceğin belediye noktalarından bazıları: Junta de Distrito 1 Centro (Calle La Merced 1), Málaga Este (Calle Real 18), Palma-Palmilla (Calle Doctor Gálvez Moll 11) ve Teatinos (Calle Diego López de Zúñiga 12); dijital sertifikan varsa evrakı devletin elektronik genel kayıt sistemi üzerinden de verebilirsin.</t>
        </is>
      </c>
      <c r="G34" s="29" t="inlineStr">
        <is>
          <t>IMV, cita previa, randevu, Instituto Municipal de la Vivienda, imv@malaga.eu, registro, telefon</t>
        </is>
      </c>
      <c r="H34" s="29" t="inlineStr">
        <is>
          <t>new;settled</t>
        </is>
      </c>
      <c r="I34" s="29" t="inlineStr">
        <is>
          <t>malaga:kaynak:146</t>
        </is>
      </c>
      <c r="J34" s="49" t="n">
        <v>46322</v>
      </c>
      <c r="K34" s="51" t="n">
        <v>401</v>
      </c>
      <c r="L34" s="29" t="inlineStr">
        <is>
          <t>Hayır</t>
        </is>
      </c>
      <c r="M34" s="29" t="inlineStr">
        <is>
          <t>Taslak</t>
        </is>
      </c>
      <c r="N34" s="29" t="inlineStr">
        <is>
          <t>malaga:ev</t>
        </is>
      </c>
      <c r="O34" s="29" t="inlineStr">
        <is>
          <t>citaprevia.malaga.eu adresine gir ya da 951 926 010 numaralı telefonu ara (evrak kaydı için 010'dan da alabilirsin) ve IMV için randevu al.
Konuna göre doğru hattı ara: genel bilgi 951 926 153, arıza ve bakım 951 926 156, denetim 951 926 158, rehabilitasyon 951 926 162, promosyon yönetimi 951 926 145; hatlar 9:30-13:30 arasında açık.
Yazılı sormak için imv@malaga.eu adresine, kira yardımı planı için imv.paa@malaga.eu adresine e-posta gönder.
Dijital sertifika düzenletmek istiyorsan randevu almadan doğrudan IMV bilgi ofisine git.
Evrakı elden vereceksen yakınındaki Junta de Distrito ya da belediye vatandaş hizmet noktasına randevusuz git; dijital sertifikan varsa Registro General Electrónico üzerinden de verebilirsin.</t>
        </is>
      </c>
      <c r="P34" s="29" t="n"/>
      <c r="Q34" s="29" t="inlineStr">
        <is>
          <t>Konu hatları 9:30-13:30; e-posta 24 saat; 951 926 010 genel bilgi için 24 saat başlığı altında da geçiyor.</t>
        </is>
      </c>
      <c r="R34" s="29" t="n"/>
      <c r="S34" s="29" t="n"/>
      <c r="T34" s="29" t="n"/>
    </row>
    <row r="35" ht="54" customHeight="1">
      <c r="A35" s="29" t="inlineStr">
        <is>
          <t>malaga:korumali-konut-talep-sicili-registro-demandantes</t>
        </is>
      </c>
      <c r="B35" s="29" t="inlineStr">
        <is>
          <t>malaga</t>
        </is>
      </c>
      <c r="C35" s="29" t="inlineStr">
        <is>
          <t>korumali-konut-talep-sicili-registro-demandantes</t>
        </is>
      </c>
      <c r="D35" s="29" t="inlineStr">
        <is>
          <t>Málaga'da korumalı konut (VPO) için belediyenin talep sicili Registro de Demandantes'e yazılmak gerekir mi?</t>
        </is>
      </c>
      <c r="E35" s="29" t="inlineStr">
        <is>
          <t>Evet: satılık ya da kiralık VPO için sicile kayıt şart; hak sahibi çağrıya göre kura ya da başvuru sırasıyla belirlenir</t>
        </is>
      </c>
      <c r="F35" s="29" t="inlineStr">
        <is>
          <t>Evet: Málaga'da satılık ya da kiralık korumalı konuta (VPO) başvurmak için Registro de Demandantes'e (korumalı konut talep sicili) kayıtlı olman gerekir. IMV'ye göre sicil, her VPO rejimindeki ve kamu ya da özel her yapımcının konutları için kura (sorteo) yoluyla hak sahiplerinin belirlenmesini sağlar; bazı çağrılarda ise seçim başvuru giriş sırasına göre yapılıyor. Kooperatifle konut almak istiyorsan sicil başvurusunda 'Conformidad a constituirse en cooperativa' seçeneğini işaretlersin; diğer kooperatif adaylarıyla iletişim kurmak istiyorsan ayrıca kooperatif talep sicilinde (Registro de Demandantes de Vivienda en Cooperativa) kayıt olursun. Başvuruyu randevuyla belediyenin vatandaş hizmet ofislerinde ya da IMV'de yüz yüze, ya da dijital sertifikayla devletin genel elektronik kayıt sistemi üzerinden yaparsın; başvurun sunumundan iki ay sonra kura çekilişlerine katılmaya başlar. Çağrıya kayıtlı başvuran olmak tek başına konut hakkı vermez.</t>
        </is>
      </c>
      <c r="G35" s="29" t="inlineStr">
        <is>
          <t>Registro de Demandantes, VPO, vivienda protegida, korumalı konut, sorteo, kura, IMV, Málaga</t>
        </is>
      </c>
      <c r="H35" s="29" t="inlineStr">
        <is>
          <t>planning;new</t>
        </is>
      </c>
      <c r="I35" s="29" t="inlineStr">
        <is>
          <t>malaga:kaynak:145;malaga:kaynak:429</t>
        </is>
      </c>
      <c r="J35" s="49" t="n">
        <v>46322</v>
      </c>
      <c r="K35" s="51" t="n">
        <v>402</v>
      </c>
      <c r="L35" s="29" t="inlineStr">
        <is>
          <t>Hayır</t>
        </is>
      </c>
      <c r="M35" s="29" t="inlineStr">
        <is>
          <t>Taslak</t>
        </is>
      </c>
      <c r="N35" s="29" t="inlineStr">
        <is>
          <t>malaga:ev</t>
        </is>
      </c>
      <c r="O35" s="29" t="inlineStr">
        <is>
          <t>Randevu al (citaprevia.malaga.eu, 951 926 010 ya da 951 926 153) ve başvurunu herhangi bir belediye vatandaş hizmet ofisinde ya da IMV'de yüz yüze ver; ya da 'Solicitud de Inscripción en Registro Municipal de la Vivienda' formunu indirip doldur ve dijital sertifikanla Registro General Electrónico üzerinden Instituto Municipal de la Vivienda'ya (kod LA0000584) gönder.
Yürürlükteki kimlik belgesinin fotokopisini ekle (18 yaş üstü her başvuran için); durumuna göre tam aile cüzdanı (libro de familia), boşanma ya da ayrılık kararı veya bağımlılık kararı gibi belgeleri de ekle.
Kooperatifle konut istiyorsan başvuruda 'Conformidad a constituirse en cooperativa' seçeneğini işaretle; diğer kooperatif adaylarıyla iletişim için kooperatif talep sicilinde ayrıca kayıt ol.
Yeni bir VPO çağrısı açıldığında çağrının koşullarını (gelir sınırı, padrón süresi) kendi durumunla karşılaştır; sicil başvurunun yapılmış olması koşuldur.
Çağrıda seçilirsen çağrının koşullarını sağladığını göstermen gerekir; kayıtlı başvuran olmak tek başına konut hakkı vermez.</t>
        </is>
      </c>
      <c r="P35" s="29" t="inlineStr">
        <is>
          <t>Yürürlükteki kimlik belgesinin fotokopisi (18 yaş üstü her başvuran için)
Durumuna göre: tam aile cüzdanı (libro de familia), boşanma ya da ayrılık kararı, bağımlılık kararı</t>
        </is>
      </c>
      <c r="Q35" s="29" t="inlineStr">
        <is>
          <t>Başvuru, sunumundan iki ay sonra kura çekilişlerine katılmaya başlar.</t>
        </is>
      </c>
      <c r="R35" s="29" t="n"/>
      <c r="S35" s="29" t="n"/>
      <c r="T35" s="29" t="n"/>
    </row>
    <row r="36" ht="54" customHeight="1">
      <c r="A36" s="29" t="inlineStr">
        <is>
          <t>malaga:r12-universidad-202-kiralik-vpo-kira-ve-sartlar</t>
        </is>
      </c>
      <c r="B36" s="29" t="inlineStr">
        <is>
          <t>malaga</t>
        </is>
      </c>
      <c r="C36" s="29" t="inlineStr">
        <is>
          <t>r12-universidad-202-kiralik-vpo-kira-ve-sartlar</t>
        </is>
      </c>
      <c r="D36" s="29" t="inlineStr">
        <is>
          <t>Málaga'da uygun fiyatlı kiralık konut: Universidad bölgesindeki 202 daireli R12 projesinin kirası ve koşulları nedir?</t>
        </is>
      </c>
      <c r="E36" s="29" t="inlineStr">
        <is>
          <t>Kira 446-512 €/ay (garaj ve depo dahil, giderler ayrı); 1 yıllık Málaga padrón kaydı, gelir alt ve üst sınırı, kura ile dağıtım</t>
        </is>
      </c>
      <c r="F36" s="29" t="inlineStr">
        <is>
          <t>R12 Universidad projesinde 1 yatak odalı daireler ayda 446,28-455,96 €, 2 yatak odalı daireler 494,77-511,55 €'dur; garaj ve depo kiraya dahildir, yansıtılabilir giderler ayrıca ödenir. Başvuru yapabilmek için reşit olmak, mülkiyetinde ya da kullanım/intifa hakkın olan bir konut bulunmamak, başvuru tarihinde Málaga'da 1 yıllık padrón kaydı bulunmak ve Registro de Demandantes'e kayıt başvurusu yapmış olmak gerekir; konut sürekli ikametgâh olmalıdır ve yıllık kira hane net gelirinin %30'unu aşamaz. Hane geliri bir önceki mali yılda en az 21.000 € (1 yatak) ya da 23.300 € (2 yatak) olmalı, 2,5 IPREM'i aşmamalıdır: tek kişilik hanede yıllık 24.418,60 €, 2 ve daha fazla kişilik hanede 32.307,69 €. 1 yatak odalı daireler en çok 2, 2 yatak odalı daireler en çok 4 kişilik haneler içindir. Bu çağrının başvuru dönemi 13-31 Temmuz 2026'ydı (kapandı) ve kura 16 Eylül 2026'da çekildi; başvuru belediyenin elektronik ofisinden dijital sertifikayla yapılıyordu.</t>
        </is>
      </c>
      <c r="G36" s="29" t="inlineStr">
        <is>
          <t>R12 Universidad, kiralık VPO, alquiler asequible, Lagoom Living, IPREM, Málaga, sosyal kiralık konut</t>
        </is>
      </c>
      <c r="H36" s="29" t="inlineStr">
        <is>
          <t>planning;new</t>
        </is>
      </c>
      <c r="I36" s="29" t="inlineStr">
        <is>
          <t>malaga:kaynak:147</t>
        </is>
      </c>
      <c r="J36" s="49" t="n">
        <v>46322</v>
      </c>
      <c r="K36" s="51" t="n">
        <v>403</v>
      </c>
      <c r="L36" s="29" t="inlineStr">
        <is>
          <t>Evet</t>
        </is>
      </c>
      <c r="M36" s="29" t="inlineStr">
        <is>
          <t>Taslak</t>
        </is>
      </c>
      <c r="N36" s="29" t="inlineStr">
        <is>
          <t>malaga:ev</t>
        </is>
      </c>
      <c r="O36" s="29" t="inlineStr">
        <is>
          <t>Registro de Demandantes'e kayıt başvurunu yap; çağrı açıldığında bu başvuru şarttır.
Málaga'da 1 yıllık padrón kaydı olduğundan ve mülkiyetinde ya da kullanım/intifa hakkına sahip olduğun bir konut bulunmadığından emin ol.
Hane gelirini bir önceki mali yılın verisiyle hesapla: 1 yatak için en az 21.000 €, 2 yatak için en az 23.300 €; üst sınır 2,5 IPREM (1 kişi 24.418,60 €, 2 ve üzeri kişi 32.307,69 €).
Çağrı açıkken belediyenin elektronik ofisi (sede electrónica) üzerinden dijital sertifikanla başvur; bu çağrıda dönem 13-31 Temmuz 2026'ydı.
Kura (sorteo) çekilir; seçilirsen şartları kanıtlayan belgeleri ver, kanıtlayana kadar hak sahibi sayılmazsın.</t>
        </is>
      </c>
      <c r="P36" s="29" t="inlineStr">
        <is>
          <t>Dijital sertifika (elektronik başvuru için)</t>
        </is>
      </c>
      <c r="Q36" s="29" t="inlineStr">
        <is>
          <t>Bu çağrıda başvuru 13 Temmuz 2026 00:00 - 31 Temmuz 2026 23:59 arasındaydı; kura 16 Eylül 2026'da çekildi.</t>
        </is>
      </c>
      <c r="R36" s="29" t="inlineStr">
        <is>
          <t>Aylık kira: 1 yatak 446,28-455,96 €, 2 yatak 494,77-511,55 € (garaj ve depo dahil, yansıtılabilir giderler ayrı).</t>
        </is>
      </c>
      <c r="S36" s="29" t="inlineStr">
        <is>
          <t>Bu çağrı kapandı; başvuru bağlantısı bir çağrının başvuru dönemi açıldığında belediyenin elektronik ofisinde (sede electrónica) yayımlanıyor.</t>
        </is>
      </c>
      <c r="T36" s="29" t="n"/>
    </row>
    <row r="37" ht="54" customHeight="1">
      <c r="A37" s="29" t="inlineStr">
        <is>
          <t>malaga:korumali-konut-cagrilari-sira-mi-kura-mi</t>
        </is>
      </c>
      <c r="B37" s="29" t="inlineStr">
        <is>
          <t>malaga</t>
        </is>
      </c>
      <c r="C37" s="29" t="inlineStr">
        <is>
          <t>korumali-konut-cagrilari-sira-mi-kura-mi</t>
        </is>
      </c>
      <c r="D37" s="29" t="inlineStr">
        <is>
          <t>Málaga'da korumalı konut çağrılarında hak sahibini başvuru sırası mı yoksa kura mı belirler?</t>
        </is>
      </c>
      <c r="E37" s="29" t="inlineStr">
        <is>
          <t>Çağrıya göre değişir: Lagoom başvuru sırasıyla, Zoë noter kurasıyla, kooperatifler başvuru sırasıyla; Galivivienda'da üyelik de gerekir</t>
        </is>
      </c>
      <c r="F37" s="29" t="inlineStr">
        <is>
          <t>Çağrıya göre değişir. Universidad bölgesindeki 62 kiralık VPO dairede (Lagoom Living, 16-30 Mart 2026 başvuru dönemi) başvurular kayıt giriş sırasına göre dizildi; Distrito Zeta'daki 123 satılık daireli Residencial Zoë'de (15-30 Eylül 2025) başvuranlar arasında noter huzurunda kura çekildi; 202 kiralık R12 projesinde de kura vardı. Kooperatif projelerinde (Ora Gestión'un 55 satılık dairesi, Galivivienda'nın kira ve satın alma opsiyonlu 278 dairesi) başvuru sırası esas alındı; Galivivienda çağrısında seçilenler kooperatife üyelik başvurusu yapıp kabul edildikten sonra hak sahibi oldu. Çağrıya kayıtlı başvuran olmak tek başına hak vermez. 62 kiralık dairede gelir tavanı 5,5 IPREM'di. Residencial Zoë daireleri garaj ve depo dahil 159.900 € artı KDV'den başlıyordu. Bu çağrıların hepsi kapanmıştır; yenisi açıldığında koşulları aynı biçimde okuyabilirsin.</t>
        </is>
      </c>
      <c r="G37" s="29" t="inlineStr">
        <is>
          <t>VPO, sorteo, kura, Lagoom Living, Residencial Zoë, kooperatif, Distrito Zeta, Registro de Demandantes</t>
        </is>
      </c>
      <c r="H37" s="29" t="inlineStr">
        <is>
          <t>planning;new</t>
        </is>
      </c>
      <c r="I37" s="29" t="inlineStr">
        <is>
          <t>malaga:kaynak:145;malaga:kaynak:147</t>
        </is>
      </c>
      <c r="J37" s="49" t="n">
        <v>46322</v>
      </c>
      <c r="K37" s="51" t="n">
        <v>404</v>
      </c>
      <c r="L37" s="29" t="inlineStr">
        <is>
          <t>Hayır</t>
        </is>
      </c>
      <c r="M37" s="29" t="inlineStr">
        <is>
          <t>Taslak</t>
        </is>
      </c>
      <c r="N37" s="29" t="inlineStr">
        <is>
          <t>malaga:ev</t>
        </is>
      </c>
      <c r="O37" s="29" t="inlineStr">
        <is>
          <t>Çağrı duyurusunda seçim yönteminin 'Selección' satırına bak: sıra mı (orden cronológico), kura mı (sorteo) yazıyor; başvuru yeri de aynı duyurudaki 'Lugar de inscripción' satırında yazar (Lagoom çağrısında lagoomliving.es, Zoë'de residencialzoe.com, Galivivienda'da cooperopen.org/distritoz).
Sıra esaslı çağrıda başvuru dönemi açılır açılmaz başvur; sıralama giriş sırasına göredir.
Kura esaslı çağrıda dönem içinde başvurman yeterli; sıra önemli değil.
Galivivienda gibi bir kooperatif projesinde seçilirsen kooperatife üyelik başvurusu yap; kabulden sonra konut hak sahibi olursun.</t>
        </is>
      </c>
      <c r="P37" s="29" t="n"/>
      <c r="Q37" s="29" t="n"/>
      <c r="R37" s="29" t="n"/>
      <c r="S37" s="29" t="n"/>
      <c r="T37" s="29" t="n"/>
    </row>
    <row r="38" ht="54" customHeight="1">
      <c r="A38" s="29" t="inlineStr">
        <is>
          <t>malaga:bono-alquiler-joven-endulus-2026-kimler-alir</t>
        </is>
      </c>
      <c r="B38" s="29" t="inlineStr">
        <is>
          <t>malaga</t>
        </is>
      </c>
      <c r="C38" s="29" t="inlineStr">
        <is>
          <t>bono-alquiler-joven-endulus-2026-kimler-alir</t>
        </is>
      </c>
      <c r="D38" s="29" t="inlineStr">
        <is>
          <t>Endülüs'te 35 yaşına kadarsan (35 dahil) Bono Alquiler Joven kira yardımı nedir, kim başvurabilir?</t>
        </is>
      </c>
      <c r="E38" s="29" t="inlineStr">
        <is>
          <t>Ayda en çok 250 €, en çok 24 ay; 2026 başvuru dönemi 22 Haziran 2026'da kapandı; AB dışından gelenler düzenli ikametle başvurabilir</t>
        </is>
      </c>
      <c r="F38" s="29" t="inlineStr">
        <is>
          <t>Bono Alquiler Joven ile ayda en çok 250 € kira yardımı alırsın, ancak 2026'da yeniden açılan başvuru dönemi 22 Haziran 2026'da 15.000 başvuruya ulaşılınca kapandı. Yardım en çok 24 ay sürer ve aylar takvim ayı olarak tam ve ardışık olmalıdır. Başvuran reşit ve başvuru anında en çok 35 yaşında (35 dahil) olmalı; İspanyol, AB/AEA ya da İsviçre vatandaşı olmalı, AB dışından gelenlerin İspanya'da düzenli ikamet ya da kalış durumunda olması gerekir. Kira sözleşmesi (ya da oda kirası) sahibi olmalı, düzenli bir gelir kaynağın bulunmalı, evin ve odanın ana ve sürekli ikametin olduğunu padrón kaydıyla kanıtlamalısın. Gelir sınırı bir önceki vergi dönemi için tek kişide 3 IPREM, birden fazla kişilik hanede 4 IPREM'dir; Junta bunu 2024 geliri için örnek olarak 14 maaşla 25.200 € ve 33.600 € diye hesaplıyor. Kira üst sınırı Plan Vive'in V. ekindeki 1, 2 ve 3. grup belediyelerde ayda 900 €, öteki Endülüs belediyelerinde 600 €'dur; Oda kirasında ve birden çok bağımsız kiracının imzaladığı kısmi sözleşmede (tip 4) kişi başı sınır aynı gruplarda 380 €, diğer belediyelerde 300 €'dur. Başvuran ya da seninle oturan biri İspanya'da konut sahibi ya da intifa hakkı sahibiyse (istisnalar var), ya da kiraya verenle 1. veya 2. derece akrabaysa ya da kiraya verenin ortağıysa yardım verilmez. Kira sözleşmesi yerine, kiraya verenle imzalanmış sözleşme taahhüdü (compromiso de contrato) de kabul edilir. Başvuru yalnız elektronik ortamda, FNMT dijital sertifikası ve Autofirma ile yapılır.</t>
        </is>
      </c>
      <c r="G38" s="29" t="inlineStr">
        <is>
          <t>Bono Alquiler Joven, kira yardımı, 35 yaş, Junta de Andalucía, IPREM, VEAJA, Autofirma, kira desteği</t>
        </is>
      </c>
      <c r="H38" s="29" t="inlineStr">
        <is>
          <t>new;settled</t>
        </is>
      </c>
      <c r="I38" s="29" t="inlineStr">
        <is>
          <t>malaga:kaynak:152</t>
        </is>
      </c>
      <c r="J38" s="49" t="n">
        <v>46322</v>
      </c>
      <c r="K38" s="51" t="n">
        <v>405</v>
      </c>
      <c r="L38" s="29" t="inlineStr">
        <is>
          <t>Hayır</t>
        </is>
      </c>
      <c r="M38" s="29" t="inlineStr">
        <is>
          <t>Taslak</t>
        </is>
      </c>
      <c r="N38" s="29" t="inlineStr">
        <is>
          <t>malaga:ev</t>
        </is>
      </c>
      <c r="O38" s="29" t="inlineStr">
        <is>
          <t>Yaşını, kira sözleşmeni (ya da oda kiralama sözleşmeni) ve padrón kaydını kontrol et; padrón kaydı yardım döneminin başından beri geçerli olmalı. Hanede kimsenin İspanya'da konut sahibi olmadığını ve kiraya verenle 1. ya da 2. derece akrabalığın bulunmadığını kontrol et.
Bir önceki vergi dönemindeki gelirini hesapla: tek kişi için 3 IPREM (25.200 €), birden çok kişilik hane için 4 IPREM (33.600 €) aşılmamalı.
FNMT'den dijital sertifika al ve Autofirma'yı kur; başvuru Junta de Andalucía'nın elektronik penceresi VEAJA üzerinden yapılır.
2026 başvuru dönemi kapandı; yeni bir dönem açılırsa Junta de Andalucía'nın Bono Alquiler Joven sayfasını izle.
Yardım alırsan kira ödemelerini makbuz, banka dekontu ya da otomatik ödeme kaydıyla belgele; koşullarda değişiklik olursa 15 gün içinde bildir.</t>
        </is>
      </c>
      <c r="P38" s="29" t="inlineStr">
        <is>
          <t>Kira sözleşmesi ya da oda kiralama sözleşmesi (ya da kiraya verenle imzalanmış sözleşme taahhüdü)
Padrón (empadronamiento) kaydı
FNMT dijital sertifikası ve Autofirma
Kira ödeme belgesi (makbuz, banka dekontu ya da otomatik ödeme kaydı)</t>
        </is>
      </c>
      <c r="Q38" s="29" t="inlineStr">
        <is>
          <t>2026 başvuru dönemi 13 Ocak 2026'da açıldı, 22 Haziran 2026'da kapandı. Yardım en çok 24 ay sürer.</t>
        </is>
      </c>
      <c r="R38" s="29" t="inlineStr">
        <is>
          <t>Yardım tutarı: ayda en çok 250 €.</t>
        </is>
      </c>
      <c r="S38" s="29" t="n"/>
      <c r="T38" s="29" t="n"/>
    </row>
    <row r="39" ht="54" customHeight="1">
      <c r="A39" s="29" t="inlineStr">
        <is>
          <t>malaga:yeni-turistik-daire-yasagi-43-mahalle</t>
        </is>
      </c>
      <c r="B39" s="29" t="inlineStr">
        <is>
          <t>malaga</t>
        </is>
      </c>
      <c r="C39" s="29" t="inlineStr">
        <is>
          <t>yeni-turistik-daire-yasagi-43-mahalle</t>
        </is>
      </c>
      <c r="D39" s="29" t="inlineStr">
        <is>
          <t>Málaga'da yeni turistik daire (vivienda turística) kaydı kaç mahallede yasak, nerede izin var?</t>
        </is>
      </c>
      <c r="E39" s="29" t="inlineStr">
        <is>
          <t>14 Ocak 2025'ten beri 43 mahallede yeni turistik daire kaydı yasak; 32 mahallede %8 tavanına kadar izin var; üçüncü bölgede izin var</t>
        </is>
      </c>
      <c r="F39" s="29" t="inlineStr">
        <is>
          <t>Málaga Belediyesi'nin duyurusuna göre, imar planı (PGOU) değişikliğinin ilk onayıyla (aprobación inicial) 14 Ocak 2025'ten itibaren 43 mahallede yeni turistik daire kaydı yasaktır. Şehir 417 mahalleye bölündü ve bölge, konut stokunda turistik dairenin payına göre belirlendi: turistik dairelerin konut stokunun %8'ini aştığı mahallelerde tam yasak var; payı %4,53 ya da üzeri olan 32 mahallede yeni kayıt ancak pay %8 tavanına ulaşana dek yapılabilir; payı %4,53'ün altında kalan mahallelerde yeni turistik daire açılabilir. İkinci ve üçüncü bölgede yeni turistik daire, belediyenin giriş ve bağımsız hizmetler talimatına uyma şartıyla açılabilir.</t>
        </is>
      </c>
      <c r="G39" s="29" t="inlineStr">
        <is>
          <t>vivienda turística, turistik daire, PGOU, 43 barrio, Airbnb, VUT, Málaga, imar planı</t>
        </is>
      </c>
      <c r="H39" s="29" t="inlineStr">
        <is>
          <t>planning;new</t>
        </is>
      </c>
      <c r="I39" s="29" t="inlineStr">
        <is>
          <t>malaga:kaynak:155;malaga:kaynak:156</t>
        </is>
      </c>
      <c r="J39" s="49" t="n">
        <v>46322</v>
      </c>
      <c r="K39" s="51" t="n">
        <v>406</v>
      </c>
      <c r="L39" s="29" t="inlineStr">
        <is>
          <t>Hayır</t>
        </is>
      </c>
      <c r="M39" s="29" t="inlineStr">
        <is>
          <t>Taslak</t>
        </is>
      </c>
      <c r="N39" s="29" t="inlineStr">
        <is>
          <t>malaga:ev</t>
        </is>
      </c>
      <c r="O39" s="29" t="inlineStr">
        <is>
          <t>Yasak, yeni turistik daire kaydı yaptırmak isteyen işletmeciye uygulanır; turistik dairelerin konut stokundaki payı %8'i aşan mahallelerde yeni kayıt tamamen yasaktır.
Pay %4,53 ya da üzerindeyse (32 mahalle) yeni kayıt yalnız pay %8 tavanına ulaşana kadar yapılabilir.
Pay %4,53'ün altındaysa yeni turistik daire açılabilir; belediyenin giriş ve bağımsız hizmetler talimatına uyması gerekir.</t>
        </is>
      </c>
      <c r="P39" s="29" t="n"/>
      <c r="Q39" s="29" t="n"/>
      <c r="R39" s="29" t="n"/>
      <c r="S39" s="29" t="n"/>
      <c r="T39" s="29" t="n"/>
    </row>
    <row r="40" ht="54" customHeight="1">
      <c r="A40" s="29" t="inlineStr">
        <is>
          <t>malaga:kiraladigin-daire-turistik-mi-konut-kirasi-mi</t>
        </is>
      </c>
      <c r="B40" s="29" t="inlineStr">
        <is>
          <t>malaga</t>
        </is>
      </c>
      <c r="C40" s="29" t="inlineStr">
        <is>
          <t>kiraladigin-daire-turistik-mi-konut-kirasi-mi</t>
        </is>
      </c>
      <c r="D40" s="29" t="inlineStr">
        <is>
          <t>Kiraladığın daire turistik daire (VUT) mi, normal konut kirası mı; Endülüs'te nasıl anlarsın?</t>
        </is>
      </c>
      <c r="E40" s="29" t="inlineStr">
        <is>
          <t>Aynı kiracıya kesintisiz 2 aydan uzun kiralanan daire turistik sayılmaz; VUT'un kayıt kodu reklamda yazılmak zorundadır</t>
        </is>
      </c>
      <c r="F40" s="29" t="inlineStr">
        <is>
          <t>Aynı kiracıya kesintisiz 2 aydan uzun süreyle kiralanan daire Endülüs'te turistik daire (VUT) kaydı kapsamında sayılmaz. Turistik daire (vivienda de uso turístico, VUT) ise turizm kanallarında tanıtılan ve rezervasyona açılan, Registro de Turismo de Andalucía'ya kaydı zorunlu olan dairedir; kayıt kodu her reklamda ve çevrimiçi platformda yazılmak zorundadır. Kayıtlı mı diye Registro de Turismo'nun arama sayfasından bakabilirsin: bir faaliyet türü seçilir, yalnız kayıtlı hizmetler görünür (iptal edilmiş kayıtlar görünmez) ve sayfa adresi yalnız sokak adına göre filtreler; tam adres için Excel dosyasını indirmen gerekir. Korumalı konut (VPO) turistik daire olamaz. Aynı daire hem turistik kayıtta durup hem 1 yıl ya da daha uzun konut kirasına verilemez. Kayıt beyanı vermeden faaliyet yürütülürse kaçak (clandestina) sayılır. Turistik dairenin işletme sahibi (ev sahibi ya da konaklama hizmetlerini yürüten bir işletme) konuğa 24 saat ulaşılan bir telefon vermek ve girişte-çıkışta temizlik yapmak zorundadır; 14 yaşından büyük her konuk kimlik kaydına girer.</t>
        </is>
      </c>
      <c r="G40" s="29" t="inlineStr">
        <is>
          <t>VUT, vivienda de uso turístico, Registro de Turismo de Andalucía, alquiler de temporada, konut kirası, kayıt kodu</t>
        </is>
      </c>
      <c r="H40" s="29" t="inlineStr">
        <is>
          <t>planning;new</t>
        </is>
      </c>
      <c r="I40" s="29" t="inlineStr">
        <is>
          <t>malaga:kaynak:157</t>
        </is>
      </c>
      <c r="J40" s="49" t="n">
        <v>46322</v>
      </c>
      <c r="K40" s="51" t="n">
        <v>407</v>
      </c>
      <c r="L40" s="29" t="inlineStr">
        <is>
          <t>Hayır</t>
        </is>
      </c>
      <c r="M40" s="29" t="inlineStr">
        <is>
          <t>Taslak</t>
        </is>
      </c>
      <c r="N40" s="29" t="inlineStr">
        <is>
          <t>malaga:ev</t>
        </is>
      </c>
      <c r="O40" s="29" t="inlineStr">
        <is>
          <t>Sözleşme süresine bak: aynı kiracıya kesintisiz 2 aydan uzunsa daire turistik sayılmaz.
Daire turistik amaçla sunuluyorsa ilandaki kayıt kodunu iste; kod her reklamda yazmak zorundadır.
Kodu Registro de Turismo de Andalucía'nın arama sayfasında sorgula; adres için sokak adıyla filtrele ve Excel dosyasını indir.
Ev sahibi dairesini VPO olarak edinmişse turistik kiraya vermesinin yasak olduğunu bil.
Turistik dairede kalıyorsan 24 saat ulaşılan telefonu ve şikâyet formunu (hoja de reclamaciones) iste.</t>
        </is>
      </c>
      <c r="P40" s="29" t="n"/>
      <c r="Q40" s="29" t="n"/>
      <c r="R40" s="29" t="n"/>
      <c r="S40" s="29" t="n"/>
      <c r="T40" s="29" t="n"/>
    </row>
    <row r="41" ht="54" customHeight="1">
      <c r="A41" s="29" t="inlineStr">
        <is>
          <t>malaga:kiraci-giderleri-aidat-ibi-cop-ve-faturalar</t>
        </is>
      </c>
      <c r="B41" s="29" t="inlineStr">
        <is>
          <t>malaga</t>
        </is>
      </c>
      <c r="C41" s="29" t="inlineStr">
        <is>
          <t>kiraci-giderleri-aidat-ibi-cop-ve-faturalar</t>
        </is>
      </c>
      <c r="D41" s="29" t="inlineStr">
        <is>
          <t>Kiracı olarak hangi giderleri ödersin: apartman aidatı, IBI, çöp harcı, su ve elektrik?</t>
        </is>
      </c>
      <c r="E41" s="29" t="inlineStr">
        <is>
          <t>Sayaçlı faturalar ve sözleşmede kararlaştırılan yükler kiracıya; aksi yazılmadıysa IBI ve çöp harcı Junta'ya göre ev sahibine aittir</t>
        </is>
      </c>
      <c r="F41" s="29" t="inlineStr">
        <is>
          <t>Su, elektrik, gaz ve telefon gibi tüketimini sayaçla ölçebildiğin giderleri kiracı olarak sen ödersin. Apartman aidatı (comunidad), havuz, asansör, garaj ve güvenlik gibi genel giderleri Junta de Andalucía'ya göre ev sahibi öder; ancak sözleşmede açıkça kararlaştırılmışsa bunları kiracı üstlenir. Junta'ya göre IBI, çöp harcı ve konut sigortası ev sahibinin yükümlülüğüdür; ancak kiracı yükümlülükleri arasında 'sözleşmede kararlaştırılmış vergi ve yükler' de geçtiği için bunların sana yüklenip yüklenmediğini sözleşmede kontrol et. Junta'ya göre sözleşme süreyi, fianza'yı, kirayı, giderleri ve sözleşmenin nasıl biteceğini açıkça yazmalıdır. Aksi kararlaştırılmadıkça kira ödemesi aylıktır ve ayın ilk yedi günü içinde yapılır.</t>
        </is>
      </c>
      <c r="G41" s="29" t="inlineStr">
        <is>
          <t>kira giderleri, comunidad aidat, IBI, çöp harcı, kiracı, gastos, alquiler, Junta de Andalucía</t>
        </is>
      </c>
      <c r="H41" s="29" t="inlineStr">
        <is>
          <t>new;settled</t>
        </is>
      </c>
      <c r="I41" s="29" t="inlineStr">
        <is>
          <t>malaga:kaynak:150;malaga:kaynak:151</t>
        </is>
      </c>
      <c r="J41" s="49" t="n">
        <v>46322</v>
      </c>
      <c r="K41" s="51" t="n">
        <v>408</v>
      </c>
      <c r="L41" s="29" t="inlineStr">
        <is>
          <t>Hayır</t>
        </is>
      </c>
      <c r="M41" s="29" t="inlineStr">
        <is>
          <t>Taslak</t>
        </is>
      </c>
      <c r="N41" s="29" t="inlineStr">
        <is>
          <t>malaga:ev</t>
        </is>
      </c>
      <c r="O41" s="29" t="inlineStr">
        <is>
          <t>Sözleşmedeki gider maddesini oku: aidat ve genel giderlerin kime ait olduğu yazılı mı.
Su, elektrik, gaz ve telefon sayaçlarının okumasını teslim günü not etmek iyi bir önlemdir; sayaçla ölçülen bu tüketim giderleri sana aittir.
Sözleşmede IBI ve çöp harcı gibi vergilerin sana yüklenip yüklenmediğine bak; yüklenmemişse Junta'ya göre bunlar ev sahibine aittir. Aidat sözleşmede sana yüklenmemişse yine ev sahibi öder.
Kirayı ayın ilk yedi günü içinde öde, aksini sözleşmede yazmadıysan.</t>
        </is>
      </c>
      <c r="P41" s="29" t="n"/>
      <c r="Q41" s="29" t="n"/>
      <c r="R41" s="29" t="n"/>
      <c r="S41" s="29" t="n"/>
      <c r="T41" s="29" t="n"/>
    </row>
    <row r="42" ht="54" customHeight="1">
      <c r="A42" s="29" t="inlineStr">
        <is>
          <t>malaga:ibi-emlak-vergisi-malaga-kim-oder-takvim</t>
        </is>
      </c>
      <c r="B42" s="29" t="inlineStr">
        <is>
          <t>malaga</t>
        </is>
      </c>
      <c r="C42" s="29" t="inlineStr">
        <is>
          <t>ibi-emlak-vergisi-malaga-kim-oder-takvim</t>
        </is>
      </c>
      <c r="D42" s="29" t="inlineStr">
        <is>
          <t>Málaga'da IBI (emlak vergisi) kim öder, ne zaman ve nasıl ödenir?</t>
        </is>
      </c>
      <c r="E42" s="29" t="inlineStr">
        <is>
          <t>Taşınmazın 1 Ocak'taki sahibi öder; 2026 gönüllü dönemleri 5 Ekim'de bitti, bankadan çekimde kalan tarih 9 Aralık; idareye karşı vergi bölünmez</t>
        </is>
      </c>
      <c r="F42" s="29" t="inlineStr">
        <is>
          <t>IBI'yi Málaga'da taşınmazın sahibi, intifa ya da yüzey hakkı sahibi ya da idari imtiyaz sahibi öder; vergi katastral değer üzerinden hesaplanır ve her yıl 1 Ocak'ta doğar. Yıl içinde satış olursa idareye karşı 1 Ocak'taki sahip tam yıllık tutardan sorumludur; alıcı ile satıcı kendi aralarında özel olarak paylaşabilir ama bu idareye karşı geçmez. Satıcı ödemezse taşınmaz borca karşı ikincil olarak (responsabilidad subsidiaria) bağlı kalır. 2026'da bankadan otomatik çekim yoksa ödeme iki dönemdi: 1 Nisan-5 Haziran (%50) ve 3 Ağustos-5 Ekim (%50); ikisi de bitti ve ödenmeyen makbuzlar icra yoluna geçip gecikme zammı işler. Bankadan çekimde tutar 5 Haziran, 5 Ağustos, 5 Ekim ve 9 Aralık'ta dörde bölünerek (%25'er) çekilir; kalan tarih 9 Aralık'tır. Bankadan çekim yaptıranlar isterse iki ya da altı taksit seçebilir. Gestrisam sayfasında yayımlanan kentsel konut oranı 2024 için %0,4510'dur. Çok çocuklu aile (familia numerosa) bonifikasyonu, VPO bonifikasyonu ve sınırlı kiralı uzun dönem konut bonifikasyonu gibi işlemler belediyenin elektronik ofisi üzerinden yapılır.</t>
        </is>
      </c>
      <c r="G42" s="29" t="inlineStr">
        <is>
          <t>IBI, emlak vergisi, Impuesto sobre Bienes Inmuebles, Gestrisam, domiciliación, flexipago, Málaga</t>
        </is>
      </c>
      <c r="H42" s="29" t="inlineStr">
        <is>
          <t>new;settled</t>
        </is>
      </c>
      <c r="I42" s="29" t="inlineStr">
        <is>
          <t>malaga:kaynak:175;malaga:kaynak:177</t>
        </is>
      </c>
      <c r="J42" s="49" t="n">
        <v>46322</v>
      </c>
      <c r="K42" s="51" t="n">
        <v>409</v>
      </c>
      <c r="L42" s="29" t="inlineStr">
        <is>
          <t>Hayır</t>
        </is>
      </c>
      <c r="M42" s="29" t="inlineStr">
        <is>
          <t>Taslak</t>
        </is>
      </c>
      <c r="N42" s="29" t="inlineStr">
        <is>
          <t>malaga:ev</t>
        </is>
      </c>
      <c r="O42" s="29" t="inlineStr">
        <is>
          <t>Satın alıyorsan: yıl içi satışta idareye karşı o yılın tamamından 1 Ocak'taki sahip sorumludur; satıcı ödemezse taşınmaz borca karşı ikincil olarak bağlı kalır.
Bankadan çekim yaptırmıyorsan 2026'da iki dönem vardı: 1 Nisan-5 Haziran ve 3 Ağustos-5 Ekim. İkisi de bitti; ödenmeyen makbuz icra yoluna geçer ve gecikme zammı işler.
Bankadan çekimde kalan tarih 9 Aralık (%25). İki ya da altı taksit için Gestrisam'ın işlem listesindeki 'IBI. Flexipago' işlemini kullan: iki taksit 5 Haziran ve 5 Ekim (%50'şer), altı taksit 5 Haziran, 6 Temmuz, 5 Ağustos, 5 Ekim, 5 Kasım ve 9 Aralık (altıda birer).
Çok çocuklu aile bonifikasyonu, mülkiyet devri ya da taksit talebi gibi işlemleri belediyenin elektronik ofisinden (Sede Electrónica) yap.</t>
        </is>
      </c>
      <c r="P42" s="29" t="inlineStr">
        <is>
          <t>Ödeme belgesi (makbuz)</t>
        </is>
      </c>
      <c r="Q42" s="29" t="inlineStr">
        <is>
          <t>2026: bankadan çekim yoksa 1 Nisan-5 Haziran (%50) ve 3 Ağustos-5 Ekim (%50), ikisi de bitti; banka çekimi 5 Haziran, 5 Ağustos, 5 Ekim, 9 Aralık (%25'er).</t>
        </is>
      </c>
      <c r="R42" s="29" t="inlineStr">
        <is>
          <t>Tutar katastral değerden hesaplanır; Gestrisam sayfasında yayımlanan kentsel konut oranı 2024 için %0,4510. 6 €'nun altındaki borçlar için tahakkuk yapılmaz.</t>
        </is>
      </c>
      <c r="S42" s="29" t="n"/>
      <c r="T42" s="29" t="n"/>
    </row>
    <row r="43" ht="54" customHeight="1">
      <c r="A43" s="29" t="inlineStr">
        <is>
          <t>malaga:konteyner-renkleri-ev-cop-ayirma-limasam</t>
        </is>
      </c>
      <c r="B43" s="29" t="inlineStr">
        <is>
          <t>malaga</t>
        </is>
      </c>
      <c r="C43" s="29" t="inlineStr">
        <is>
          <t>konteyner-renkleri-ev-cop-ayirma-limasam</t>
        </is>
      </c>
      <c r="D43" s="29" t="inlineStr">
        <is>
          <t>Málaga'da ev çöpünü hangi renkteki konteynere atarsın: mavi, sarı, yeşil, kahverengi, gri?</t>
        </is>
      </c>
      <c r="E43" s="29" t="inlineStr">
        <is>
          <t>Mavi kâğıt-karton, sarı ambalaj, yeşil cam, kahverengi organik, gri geri kalan her şey; ne atılır, ne atılmaz</t>
        </is>
      </c>
      <c r="F43" s="29" t="inlineStr">
        <is>
          <t>Limpieza de Málaga'ya (Limasam) göre mavi konteynere kâğıt-karton, sarı konteynere plastik-metal ambalaj ve brik, yeşil konteynere cam şişe-kavanoz, kahverengi konteynere organik atık, gri konteynere ambalaj olmayan ve özel toplama sistemi bulunmayan her şeyi (bebek bezi dahil) atarsın. Mavi konteynere gazete, dergi, broşür, katlanmış koli ve kâğıt torba girer; alüminyum folyo, brik, bebek bezi, kirli peçete ve yağlı kâğıt girmez. Sarı konteynere su-süt-deterjan şişesi, plastik torba, konserve ve içecek kutusu, aerosol, brik girer; giysi, cam, karton, organik atık ve bebek bezi girmez. Yeşil konteynere içki-şarap-bira şişesi, parfüm ve krem kavanozu ile boş ve temiz yiyecek kavanozu girer; ampul, floresan, porselen, seramik, pencere camı, bardak ve kadeh girmez. Kahverengi konteynere yemek artığı, kahve telvesi, bitki artığı ve yağlı kâğıt girer; süpürge tozu, izmarit ve kül, hijyenik bez, ıslak mendil ve yara bandı girmez. Hangisine atacağını bilmediğin atık için Limasam'ın sanal asistanı Limasín'e sorabilirsin.</t>
        </is>
      </c>
      <c r="G43" s="29" t="inlineStr">
        <is>
          <t>geri dönüşüm, konteyner renkleri, Limasam, reciclaje, contenedor azul amarillo verde marrón gris, Málaga çöp</t>
        </is>
      </c>
      <c r="H43" s="29" t="inlineStr">
        <is>
          <t>new;settled</t>
        </is>
      </c>
      <c r="I43" s="29" t="inlineStr">
        <is>
          <t>malaga:kaynak:167</t>
        </is>
      </c>
      <c r="J43" s="49" t="n">
        <v>46322</v>
      </c>
      <c r="K43" s="51" t="n">
        <v>410</v>
      </c>
      <c r="L43" s="29" t="inlineStr">
        <is>
          <t>Hayır</t>
        </is>
      </c>
      <c r="M43" s="29" t="inlineStr">
        <is>
          <t>Taslak</t>
        </is>
      </c>
      <c r="N43" s="29" t="inlineStr">
        <is>
          <t>malaga:ev</t>
        </is>
      </c>
      <c r="O43" s="29" t="inlineStr">
        <is>
          <t>Kâğıt ve katlanmış kartonu mavi konteynere at; yağlı ya da kirli kâğıdı atma.
Plastik şişe, konserve kutusu ve briki boşaltıp sarı konteynere at; kapakları şişeden ayırıp aynı konteynere koy.
Cam şişe ve kavanozu boş, temiz ve kapaksız olarak yeşil konteynere at; ampul ve pencere camını buraya atma.
Yemek artığını ve kahve telvesini kahverengi konteynere at; yeterli miktar birikene kadar sakla.
Ambalaj olmayan ve ayrı toplama sistemi bulunmayan atıkları (bebek bezi dahil) gri konteynere at.</t>
        </is>
      </c>
      <c r="P43" s="29" t="n"/>
      <c r="Q43" s="29" t="n"/>
      <c r="R43" s="29" t="n"/>
      <c r="S43" s="29" t="n"/>
      <c r="T43" s="29" t="n"/>
    </row>
    <row r="44" ht="54" customHeight="1">
      <c r="A44" s="29" t="inlineStr">
        <is>
          <t>malaga:eski-mobilya-atma-gunu-ve-saati-malaga</t>
        </is>
      </c>
      <c r="B44" s="29" t="inlineStr">
        <is>
          <t>malaga</t>
        </is>
      </c>
      <c r="C44" s="29" t="inlineStr">
        <is>
          <t>eski-mobilya-atma-gunu-ve-saati-malaga</t>
        </is>
      </c>
      <c r="D44" s="29" t="inlineStr">
        <is>
          <t>Málaga'da eski mobilyayı sokağa ne zaman ve nasıl bırakırsın?</t>
        </is>
      </c>
      <c r="E44" s="29" t="inlineStr">
        <is>
          <t>Mahallene atanan haftalık günde, 21:00-24:00 arası konteynerin yanına; elektrikli eşya mobilya değildir; ceza 750 €'ya kadar</t>
        </is>
      </c>
      <c r="F44" s="29" t="inlineStr">
        <is>
          <t>Eski mobilyanı yalnız mahallene atanan haftalık toplama iş gününde, 21:00 ile 24:00 arasında en yakın konteynerin yanına bırakırsın. Limpieza de Málaga her mahallede haftada bir gün mobilya ve eşya toplar; günü konteynerlerdeki etiketten ya da Limasam sitesindeki formdan öğrenirsin. Mobilyayı konteynerin yanına, mümkün olduğunca kaldırım ya da yolu kapatmayacak şekilde koy. Elektrikli ev aletleri ve diğer elektrikli cihazlar mobilya sayılmaz, bunları punto limpio'ya götürürsün; gidemiyorsan 900 900 000 numarasını arayıp randevu alırsın. Moloz ve inşaat artığı bu hizmete girmez. Kuralları ihlal edene belediye mevzuatına göre 750 €'ya kadar ceza kesilebilir.</t>
        </is>
      </c>
      <c r="G44" s="29" t="inlineStr">
        <is>
          <t>mobilya toplama, recogida de muebles, enseres, Limasam, eski eşya, punto limpio, Málaga</t>
        </is>
      </c>
      <c r="H44" s="29" t="inlineStr">
        <is>
          <t>new;settled</t>
        </is>
      </c>
      <c r="I44" s="29" t="inlineStr">
        <is>
          <t>malaga:kaynak:166</t>
        </is>
      </c>
      <c r="J44" s="49" t="n">
        <v>46322</v>
      </c>
      <c r="K44" s="51" t="n">
        <v>411</v>
      </c>
      <c r="L44" s="29" t="inlineStr">
        <is>
          <t>Hayır</t>
        </is>
      </c>
      <c r="M44" s="29" t="inlineStr">
        <is>
          <t>Taslak</t>
        </is>
      </c>
      <c r="N44" s="29" t="inlineStr">
        <is>
          <t>malaga:ev</t>
        </is>
      </c>
      <c r="O44" s="29" t="inlineStr">
        <is>
          <t>Mahallendeki konteynerin üzerindeki etiketten toplama gününü oku ya da Limasam sitesindeki formdan öğren.
Mobilyayı yalnız o gün, 21:00-24:00 arasında en yakın konteynerin yanına bırak; mümkün olduğunca kaldırımı ve yolu kapatma.
Elektrikli aletleri sokağa bırakma, punto limpio'ya götür; gidemiyorsan 900 900 000'ı arayıp randevu al.
Moloz ve inşaat artığını bu hizmete verme.</t>
        </is>
      </c>
      <c r="P44" s="29" t="n"/>
      <c r="Q44" s="29" t="inlineStr">
        <is>
          <t>Her mahallede haftada bir iş günü; bırakma saati 21:00-24:00.</t>
        </is>
      </c>
      <c r="R44" s="29" t="inlineStr">
        <is>
          <t>Ceza: kuralı ihlal edene 750 €'ya kadar.</t>
        </is>
      </c>
      <c r="S44" s="29" t="n"/>
      <c r="T44" s="29" t="n"/>
    </row>
    <row r="45" ht="54" customHeight="1">
      <c r="A45" s="29" t="inlineStr">
        <is>
          <t>malaga:punto-limpio-malaga-adresler-ve-kabul-edilenler</t>
        </is>
      </c>
      <c r="B45" s="29" t="inlineStr">
        <is>
          <t>malaga</t>
        </is>
      </c>
      <c r="C45" s="29" t="inlineStr">
        <is>
          <t>punto-limpio-malaga-adresler-ve-kabul-edilenler</t>
        </is>
      </c>
      <c r="D45" s="29" t="inlineStr">
        <is>
          <t>Málaga'da elektrikli eşya ve konteynere uymayan evsel atıkları nereye bırakırsın (punto limpio)?</t>
        </is>
      </c>
      <c r="E45" s="29" t="inlineStr">
        <is>
          <t>Her ilçede 24 saat açık yakın noktalar (PLP) ve iki büyük sabit nokta: Polígono Guadalhorce ve Las Virreinas; yalnız evsel atık</t>
        </is>
      </c>
      <c r="F45" s="29" t="inlineStr">
        <is>
          <t>Elektrikli ev aletleri dahil konteynere uymayan evsel atıkları punto limpio'ya (belediyenin ücretsiz atık merkezi) bırakırsın; bu noktalar yalnız evsel atık kabul eder, sanayi atığı kabul etmez. Her ilçede 24 saat, haftanın 7 günü, bayramlar dahil açık yakın noktalar (puntos limpios de proximidad, PLP) vardır; konumları Limasam sitesindeki haritadadır. Çok miktarda atığın varsa iki sabit noktaya gidersin: C/ Hermanas Bronte (Polígono Guadalhorce) ve C/ Werther s/n (Las Virreinas); sabit noktalar Pazartesi-Cumartesi 7:00-21:00, Pazar ve bayramlarda 7:30-14:30 açıktır (sayfanın bir bölümünde Pazar saati 9:00-16:00 olarak da geçiyor). Elektrikli ev aletlerini sokağa mobilya gibi bırakamazsın; punto limpio'ya götürürsün, gidemiyorsan 900 900 000 numarasını arayıp randevu alırsın.</t>
        </is>
      </c>
      <c r="G45" s="29" t="inlineStr">
        <is>
          <t>punto limpio, atık merkezi, elektrikli eşya atığı, Limasam, Hermanas Bronte, Las Virreinas, Málaga</t>
        </is>
      </c>
      <c r="H45" s="29" t="inlineStr">
        <is>
          <t>new;settled</t>
        </is>
      </c>
      <c r="I45" s="29" t="inlineStr">
        <is>
          <t>malaga:kaynak:168;malaga:kaynak:166</t>
        </is>
      </c>
      <c r="J45" s="49" t="n">
        <v>46322</v>
      </c>
      <c r="K45" s="51" t="n">
        <v>412</v>
      </c>
      <c r="L45" s="29" t="inlineStr">
        <is>
          <t>Hayır</t>
        </is>
      </c>
      <c r="M45" s="29" t="inlineStr">
        <is>
          <t>Taslak</t>
        </is>
      </c>
      <c r="N45" s="29" t="inlineStr">
        <is>
          <t>malaga:ev</t>
        </is>
      </c>
      <c r="O45" s="29" t="inlineStr">
        <is>
          <t>Limasam sitesindeki haritadan sana en yakın punto limpio de proximidad (PLP) noktasını bul; 24 saat açıktır.
Çok miktarda atığın varsa Pazartesi-Cumartesi 7:00-21:00, Pazar ve bayramlarda 7:30-14:30 arasında Polígono Guadalhorce'deki (C/ Hermanas Bronte) ya da Las Virreinas'taki (C/ Werther s/n) sabit noktaya git.
Tek seferde birden çok atığı birleştir; sanayi atığı götürme, yalnız evsel atık kabul edilir.
Elektrikli aleti taşıyamıyorsan 900 900 000'ı arayıp randevu al.</t>
        </is>
      </c>
      <c r="P45" s="29" t="n"/>
      <c r="Q45" s="29" t="inlineStr">
        <is>
          <t>PLP: 24 saat, haftanın 7 günü, 365 gün; sabit noktalar Pazartesi-Cumartesi 7:00-21:00, Pazar ve bayramlarda 7:30-14:30.</t>
        </is>
      </c>
      <c r="R45" s="29" t="inlineStr">
        <is>
          <t>Ücretsiz.</t>
        </is>
      </c>
      <c r="S45" s="29" t="n"/>
      <c r="T45" s="29" t="n"/>
    </row>
    <row r="46" ht="54" customHeight="1">
      <c r="A46" s="29" t="inlineStr">
        <is>
          <t>malaga:belediye-makbuzu-banka-atm-kart-bizum-odeme-malaga</t>
        </is>
      </c>
      <c r="B46" s="29" t="inlineStr">
        <is>
          <t>malaga</t>
        </is>
      </c>
      <c r="C46" s="29" t="inlineStr">
        <is>
          <t>belediye-makbuzu-banka-atm-kart-bizum-odeme-malaga</t>
        </is>
      </c>
      <c r="D46" s="29" t="inlineStr">
        <is>
          <t>Málaga'da belediye makbuzunu (recibo) banka şubesinde, ATM'de ya da kartla nasıl ödersin?</t>
        </is>
      </c>
      <c r="E46" s="29" t="inlineStr">
        <is>
          <t>Ödeme belgesiyle anlaşmalı banka şubesi ya da ATM; internetten kart veya Bizum; sede.malaga.eu'da Mi Carpeta; Correos'ta giro postal</t>
        </is>
      </c>
      <c r="F46" s="29" t="inlineStr">
        <is>
          <t>Belediye makbuzunu (recibo) ödeme belgesiyle (carta de pago) ödersin; belgen yoksa Gestrisam sitesinin 'Recibos' bölümünden alırsın. Nakit ödemeyi BBVA, Banco Santander, Caixabank, Cajamar, Caja Rural del Sur, Kutxabank ve Unicaja Banco şubelerinde yaparsın; bu bankaların kartı varsa aynı bankaların ATM'lerinden de ödersin. Kart ya da Bizum ile ödemek için bankaların ödeme sayfalarını kullanırsın (dijital sertifika gerekmez) ya da sede.malaga.eu'da 'Mi Carpeta' bölümüne dijital sertifika veya Cl@ve ile girersin. Correos şubelerinde giro postalle de ödeyebilirsin. Gönüllü ödeme döneminin (período voluntario) son günü öğleden sonra bankaların ATM ve internet işlemlerinde saat sınırı olabilir, ödemeyi son güne bırakma; Banco Santander ATM'lerinde son gün 20:00'ye kadar ödeme yapılır.</t>
        </is>
      </c>
      <c r="G46" s="29" t="inlineStr">
        <is>
          <t>belediye makbuzu, recibos, carta de pago, Gestrisam, Bizum, cajero automático, Correos giro postal, Málaga</t>
        </is>
      </c>
      <c r="H46" s="29" t="inlineStr">
        <is>
          <t>settled</t>
        </is>
      </c>
      <c r="I46" s="29" t="inlineStr">
        <is>
          <t>malaga:kaynak:430</t>
        </is>
      </c>
      <c r="J46" s="49" t="n">
        <v>46322</v>
      </c>
      <c r="K46" s="51" t="n">
        <v>413</v>
      </c>
      <c r="L46" s="29" t="inlineStr">
        <is>
          <t>Hayır</t>
        </is>
      </c>
      <c r="M46" s="29" t="inlineStr">
        <is>
          <t>Taslak</t>
        </is>
      </c>
      <c r="N46" s="29" t="inlineStr">
        <is>
          <t>malaga:ev</t>
        </is>
      </c>
      <c r="O46" s="29" t="inlineStr">
        <is>
          <t>Ödeme belgeni (carta de pago) hazırla; yoksa Gestrisam sitesindeki 'Recibos' bölümünden al.
Nakit ödeyeceksen belgeyle anlaşmalı bankalardan birinin şubesine git; şube ve çalışma saatleri için Gestrisam sayfasındaki 'Consultar oficinas y horarios de las entidades colaboradoras' bağlantısını kullan.
Bu bankalardan birinin kartın varsa aynı bankanın ATM'sinden öde.
İnternetten ödeyeceksen bankanın ödeme sayfasında kart ya da Bizum kullan (dijital sertifika gerekmez) ya da sede.malaga.eu'da 'Mi Carpeta'ya sertifika veya Cl@ve ile girip öde.
Correos şubesinde ödeme belgenle giro postal yap; olağan tarife ayrıca ödenir.
Gönüllü ödeme döneminin son günü öğleden sonra ATM ve internet işlemlerinde saat sınırı olabileceğinden ödemeyi son güne bırakma.</t>
        </is>
      </c>
      <c r="P46" s="29" t="inlineStr">
        <is>
          <t>Ödeme belgesi (carta de pago)</t>
        </is>
      </c>
      <c r="Q46" s="29" t="inlineStr">
        <is>
          <t>Gönüllü ödeme döneminin (período voluntario) içinde öde; son güne bırakma, çünkü son günün öğleden sonrası bankaların ATM ve internet işlemlerinde saat sınırı olabilir.</t>
        </is>
      </c>
      <c r="R46" s="29" t="inlineStr">
        <is>
          <t>Correos'ta giro postalle ödemede yürürlükteki olağan tarife ayrıca ödenir.</t>
        </is>
      </c>
      <c r="S46" s="29" t="n"/>
      <c r="T46" s="29" t="n"/>
    </row>
    <row r="47" ht="54" customHeight="1">
      <c r="A47" s="29" t="inlineStr">
        <is>
          <t>malaga:elektrik-aboneligi-serbest-piyasa-pvpc</t>
        </is>
      </c>
      <c r="B47" s="29" t="inlineStr">
        <is>
          <t>malaga</t>
        </is>
      </c>
      <c r="C47" s="29" t="inlineStr">
        <is>
          <t>elektrik-aboneligi-serbest-piyasa-pvpc</t>
        </is>
      </c>
      <c r="D47" s="29" t="inlineStr">
        <is>
          <t>Elektrik aboneliği nasıl yapılır; serbest piyasa ile PVPC arasındaki fark nedir?</t>
        </is>
      </c>
      <c r="E47" s="29" t="inlineStr">
        <is>
          <t>Serbest piyasa herkese açık; regüle fiyat PVPC yalnız 10 kW ve altı gerçek kişi ve mikro işletmelere</t>
        </is>
      </c>
      <c r="F47" s="29" t="inlineStr">
        <is>
          <t>Elektrik için iki yol var: serbest piyasada fiyat ve koşulları tedarikçiyle serbestçe kararlaştırırsın; regüle piyasada ise yalnız PVPC (küçük tüketici gönüllü fiyatı) sözleşmesi yaparsın. Serbest piyasa herkese açıktır; PVPC'ye yalnız sözleşmeli gücü 10 kW ve altı olan gerçek kişiler ile mikro işletmeler girebilir ve PVPC yalnız "comercializadora de referencia" (referans tedarikçi) ile yapılır. PVPC'de güç ve enerji için ayrı fiyatlar vardır; enerji fiyatı günün saatine göre değişir. Elektrik almak için hem şebeke erişim sözleşmesi (ATR) hem enerji sözleşmesi gerekir; çoğu kişi ikisini de tedarikçi üzerinden yapar.</t>
        </is>
      </c>
      <c r="G47" s="29" t="inlineStr">
        <is>
          <t>elektrik aboneliği, PVPC, serbest piyasa, mercado libre, comercializadora, CUPS, contrato de luz</t>
        </is>
      </c>
      <c r="H47" s="29" t="inlineStr">
        <is>
          <t>new</t>
        </is>
      </c>
      <c r="I47" s="29" t="inlineStr">
        <is>
          <t>malaga:kaynak:067;malaga:kaynak:068</t>
        </is>
      </c>
      <c r="J47" s="49" t="n">
        <v>46319</v>
      </c>
      <c r="K47" s="51" t="n">
        <v>9050</v>
      </c>
      <c r="L47" s="29" t="inlineStr">
        <is>
          <t>Hayır</t>
        </is>
      </c>
      <c r="M47" s="29" t="inlineStr">
        <is>
          <t>Taslak</t>
        </is>
      </c>
      <c r="N47" s="29" t="inlineStr">
        <is>
          <t>malaga:fatura</t>
        </is>
      </c>
      <c r="O47" s="29" t="inlineStr">
        <is>
          <t>Serbest piyasa mı PVPC mi istediğine karar ver; sözleşmeli gücün 10 kW'ın üzerindeyse ya da gerçek kişi veya mikro işletme değilsen PVPC'ye giremezsin.
Aboneliği kendi adına yap: kiracıysan da elektrik noktasının abonesi (sözleşme sahibi) sen olmalısın; evin sahibi kim olursa olsun fark etmez.
Seçtiğin tedarikçiye CUPS kodunu, sözleşme sahibinin adını ve DNI'sini (kimlik numarası), yeni abonelik adresini, Certificado de Instalación ya da Boletín Eléctrico'yu, istediğin gücü ve faturaların çekileceği hesabın IBAN kodunu ver.
Elektrik noktası yeniyse bunlara ek olarak ilk iskân ya da işyeri açma ruhsatını, oturulabilirlik belgesini ve mülkiyet senedi ya da kira sözleşmesini ver.
Sözleşmeyi imzalamadan önce tedarikçinin sözleşmeden ayrı gönderdiği özet belgeyi oku; ana koşullar orada sade dille yazılıdır.</t>
        </is>
      </c>
      <c r="P47" s="29" t="inlineStr">
        <is>
          <t>CUPS kodu (her elektrik faturasında yazar)
Sözleşme sahibinin adı ve DNI (kimlik numarası)
Yeni abonelik adresi
Certificado de Instalación ya da Boletín Eléctrico
Başlatmak istediğin güç
Faturaların çekileceği hesabın IBAN kodu
Elektrik noktası yeniyse: licencia de primera ocupación ya da licencia de apertura
Elektrik noktası yeniyse: cédula de habitabilidad ya da cédula de calificación definitiva
Elektrik noktası yeniyse: mülkiyet senedi ya da kira sözleşmesi</t>
        </is>
      </c>
      <c r="Q47" s="29" t="inlineStr">
        <is>
          <t>CNMC'ye göre elektriğin açılması için yasal azami süre 5 ile 7 iş günüdür; bu süre tedarikçiden bağımsızdır.</t>
        </is>
      </c>
      <c r="R47" s="29" t="n"/>
      <c r="S47" s="29" t="inlineStr">
        <is>
          <t>Sözleşme genelde bir yıllıktır ve aynı sürelerle kendiliğinden uzar. CNMC'ye göre sözleşmede taahhüt (permanencia) şartı varsa tedarikçi, bir yıl dolmadan feshe ceza uygulayabilir; bu ceza düşük gerilimde sözleşmenin kalan enerji maliyetinin %5'ini aşamaz. PVPC'yi seçersen enerjin için başka bir sözleşme biçimine başvuramazsın ve birden fazla tedarikçiyle çalışamazsın. PVPC ile serbest piyasa arasındaki geçişin kendisi, sözleşmenin teknik koşulları aynı kaldıkça ek ücret doğurmaz.</t>
        </is>
      </c>
      <c r="T47" s="29" t="n"/>
    </row>
    <row r="48" ht="54" customHeight="1">
      <c r="A48" s="29" t="inlineStr">
        <is>
          <t>malaga:elektrik-faturasi-nasil-okunur</t>
        </is>
      </c>
      <c r="B48" s="29" t="inlineStr">
        <is>
          <t>malaga</t>
        </is>
      </c>
      <c r="C48" s="29" t="inlineStr">
        <is>
          <t>elektrik-faturasi-nasil-okunur</t>
        </is>
      </c>
      <c r="D48" s="29" t="inlineStr">
        <is>
          <t>Elektrik faturası nasıl okunur: potencia, enerji ve vergiler neyi gösterir?</t>
        </is>
      </c>
      <c r="E48" s="29" t="inlineStr">
        <is>
          <t>Sabit güç bedeli, tüketime bağlı enerji bedeli, şebeke giderleri ve vergiler faturada ayrı kalemlerdir</t>
        </is>
      </c>
      <c r="F48" s="29" t="inlineStr">
        <is>
          <t>Elektrik faturası enerji maliyetinden, düzenlenmiş giderlerden (şebeke, yenilenebilir enerji teşviki gibi), tedarikçinin marjından ve vergilerden (elektrik özel vergisi ile IVA) oluşur; sayaç kirası ve ek hizmetler varsa ayrıca eklenir. Tedarikçiler bu maliyetleri genelde iki terimle yansıtır: sabit güç terimi (sözleşmeli güce bağlıdır, hiç elektrik tüketmesen de ödenir) ve değişken enerji terimi (ne kadar ve hangi saatte tükettiğine bağlıdır; serbest piyasada tedarikçiyle sabit fiyat formülü sözleşmediysen). Düzenlenmiş maliyetler şebeke erişim bedelleri (peajes) ve cargos yoluyla yansıtılır; ikisi faturada ayrı gösterilmek zorundadır. PVPC'de vergiler PVPC fiyatının içinde değil, üstüne eklenir.</t>
        </is>
      </c>
      <c r="G48" s="29" t="inlineStr">
        <is>
          <t>elektrik faturası, factura de la luz, potencia, término de energía, peajes, cargos, IVA, Entiende tu factura</t>
        </is>
      </c>
      <c r="H48" s="29" t="inlineStr">
        <is>
          <t>new;settled</t>
        </is>
      </c>
      <c r="I48" s="29" t="inlineStr">
        <is>
          <t>malaga:kaynak:068;malaga:kaynak:069</t>
        </is>
      </c>
      <c r="J48" s="49" t="n">
        <v>46319</v>
      </c>
      <c r="K48" s="51" t="n">
        <v>9051</v>
      </c>
      <c r="L48" s="29" t="inlineStr">
        <is>
          <t>Hayır</t>
        </is>
      </c>
      <c r="M48" s="29" t="inlineStr">
        <is>
          <t>Taslak</t>
        </is>
      </c>
      <c r="N48" s="29" t="inlineStr">
        <is>
          <t>malaga:fatura</t>
        </is>
      </c>
      <c r="O48" s="29" t="inlineStr">
        <is>
          <t>Faturada sözleşme sahibini, sözleşme ve fatura numarasını, CUPS kodunu ve fatura dönemini kontrol et; CNMC'ye göre bunlar faturada yazılı olmak zorundadır.
Potencia (güç) satırına bak: bu tutar sözleşmeli güce bağlıdır ve hiç elektrik tüketmesen de ödenir.
Enerji satırına bak: serbest piyasada tedarikçiyle sabit fiyat formülü sözleşmediysen tutar ne kadar ve hangi saatte tükettiğine bağlıdır.
Peajes ve cargos kalemlerinin ayrı satırda gösterildiğini kontrol et; vergileri (elektrik özel vergisi ve IVA) de faturada bul. PVPC'deysen vergiler PVPC fiyatının üstüne uygulanır.
Sayaç kirası ve bakım ya da sigorta gibi ek hizmetleri ayrı satırda ara; ek hizmetlerin bedeli faturada ayrı yazılmak zorundadır.
Anlamadığın bir kalem olursa CNMC'nin "Entiende tu factura" aracını kullan; tedarikçin kim olursa olsun faturanı anlamana yardım eder.</t>
        </is>
      </c>
      <c r="P48" s="29" t="n"/>
      <c r="Q48" s="29" t="n"/>
      <c r="R48" s="29" t="n"/>
      <c r="S48" s="29" t="inlineStr">
        <is>
          <t>PVPC'deki, bono social'deki ve geçici olarak serbest piyasa sözleşmesi olmayan tüketicilerin faturalarının biçimi ve içeriği düzenlenmiştir. Diğer tüketicilerde tedarikçi fatura tasarımını serbestçe belirler, ama sayılan kalemleri içermek zorundadır.</t>
        </is>
      </c>
      <c r="T48" s="29" t="n"/>
    </row>
    <row r="49" ht="54" customHeight="1">
      <c r="A49" s="29" t="inlineStr">
        <is>
          <t>malaga:sozlesmeli-elektrik-gucu-nasil-secilir</t>
        </is>
      </c>
      <c r="B49" s="29" t="inlineStr">
        <is>
          <t>malaga</t>
        </is>
      </c>
      <c r="C49" s="29" t="inlineStr">
        <is>
          <t>sozlesmeli-elektrik-gucu-nasil-secilir</t>
        </is>
      </c>
      <c r="D49" s="29" t="inlineStr">
        <is>
          <t>Sözleşmeli elektrik gücü (potencia contratada) nasıl seçilir ve değiştirilir?</t>
        </is>
      </c>
      <c r="E49" s="29" t="inlineStr">
        <is>
          <t>Güç bedeli tüketmesen de ödenir; gücü ihtiyacına göre tut, değişikliği tedarikçi üzerinden iste</t>
        </is>
      </c>
      <c r="F49" s="29" t="inlineStr">
        <is>
          <t>Sözleşmeli gücü (potencia contratada) fiilen ihtiyacın kadar tut: güç terimi sabittir ve hiç elektrik tüketmesen de ödenir. Aynı anda çalışan cihazları azaltmak daha düşük bir güç seçmene imkân verir. Gücü tedarikçi üzerinden değiştirirsin; 12 ayda en az bir kez güç değişikliği yapma hakkın vardır. Güç artırımı ücretli olabilir; diğer sözleşme değişiklikleri genelde ücretsizdir.</t>
        </is>
      </c>
      <c r="G49" s="29" t="inlineStr">
        <is>
          <t>potencia contratada, elektrik gücü, kW, güç artırma, güç azaltma, comercializadora, contador</t>
        </is>
      </c>
      <c r="H49" s="29" t="inlineStr">
        <is>
          <t>new;settled</t>
        </is>
      </c>
      <c r="I49" s="29" t="inlineStr">
        <is>
          <t>malaga:kaynak:068;malaga:kaynak:067</t>
        </is>
      </c>
      <c r="J49" s="49" t="n">
        <v>46319</v>
      </c>
      <c r="K49" s="51" t="n">
        <v>9052</v>
      </c>
      <c r="L49" s="29" t="inlineStr">
        <is>
          <t>Hayır</t>
        </is>
      </c>
      <c r="M49" s="29" t="inlineStr">
        <is>
          <t>Taslak</t>
        </is>
      </c>
      <c r="N49" s="29" t="inlineStr">
        <is>
          <t>malaga:fatura</t>
        </is>
      </c>
      <c r="O49" s="29" t="inlineStr">
        <is>
          <t>Dağıtım şirketinin internet sitesinden maksimum güç ve tüketim verilerine bak; dağıtım şirketini seçemezsin, CNMC bütün dağıtım şirketlerinin tüketici portalı sitelerini yayımlar.
Aynı anda çalıştırdığın cihazları gözden geçir; birlikte kullanımı azaltırsan daha düşük bir güç yeter.
Güç değişikliği talebini tedarikçine ilet; tedarikçi dağıtım şirketiyle gereken işlemleri senin adına yapar.
Gücü seçerken şunu hesaba kat: güç değişikliği hakkın 12 ayda en az bir kez tanınır.</t>
        </is>
      </c>
      <c r="P49" s="29" t="n"/>
      <c r="Q49" s="29" t="inlineStr">
        <is>
          <t>12 ayda en az bir kez güç değişikliği yapma hakkın vardır.</t>
        </is>
      </c>
      <c r="R49" s="29" t="inlineStr">
        <is>
          <t>Sözleşme değişiklikleri genelde ücretsizdir; güç artırımı ücretli olabilir.</t>
        </is>
      </c>
      <c r="S49" s="29" t="inlineStr">
        <is>
          <t>Sözleşmeli gücü 15 kW'ın altında olan ve saatlik ayrım ile uzaktan okuma yapabilen sayaca sahip tüketici gücü 0,1 kW'ın katları olarak seçebilir.</t>
        </is>
      </c>
      <c r="T49" s="29" t="n"/>
    </row>
    <row r="50" ht="54" customHeight="1">
      <c r="A50" s="29" t="inlineStr">
        <is>
          <t>malaga:dogalgaz-aboneligi-tur-ve-fatura</t>
        </is>
      </c>
      <c r="B50" s="29" t="inlineStr">
        <is>
          <t>malaga</t>
        </is>
      </c>
      <c r="C50" s="29" t="inlineStr">
        <is>
          <t>dogalgaz-aboneligi-tur-ve-fatura</t>
        </is>
      </c>
      <c r="D50" s="29" t="inlineStr">
        <is>
          <t>Doğalgaz aboneliği nasıl yapılır; TUR (regüle tarife) ile serbest piyasa arasındaki fark ve fatura kalemleri nelerdir?</t>
        </is>
      </c>
      <c r="E50" s="29" t="inlineStr">
        <is>
          <t>Yılda 50.000 kWh'a kadar tüketenler regüle TUR tarifesine girebilir; tedarikçi değişimi ücretsizdir</t>
        </is>
      </c>
      <c r="F50" s="29" t="inlineStr">
        <is>
          <t>Doğalgazda iki yol var: serbest piyasada fiyatı tedarikçiyle serbestçe kararlaştırırsın; TUR'da (tarifa de último recurso) ise fiyatı idare belirler ve fiyat üç ayda bir belirlenir. CNMC'nin güncel rehberine göre TUR'a yıllık tüketimi 50.000 kWh'a kadar olanlar (en çok 4 bar basınçta) girebilir ve TUR yalnız son çare tedarikçileriyle (comercializador de último recurso) yapılır. Sözleşme için konutuna atanmış CUPS kodu gerekir. Gazı henüz açılmamış konutta tedarikçi sözleşmesinden sonra aboneliği dağıtım şirketi açar. Tedarikçi değiştirmek ücretsizdir ve en geç 3 hafta içinde yapılır.</t>
        </is>
      </c>
      <c r="G50" s="29" t="inlineStr">
        <is>
          <t>doğalgaz, gas natural, TUR, tarifa de último recurso, mercado libre, CUPS, factura del gas</t>
        </is>
      </c>
      <c r="H50" s="29" t="inlineStr">
        <is>
          <t>new;settled</t>
        </is>
      </c>
      <c r="I50" s="29" t="inlineStr">
        <is>
          <t>malaga:kaynak:070</t>
        </is>
      </c>
      <c r="J50" s="49" t="n">
        <v>46319</v>
      </c>
      <c r="K50" s="51" t="n">
        <v>9053</v>
      </c>
      <c r="L50" s="29" t="inlineStr">
        <is>
          <t>Hayır</t>
        </is>
      </c>
      <c r="M50" s="29" t="inlineStr">
        <is>
          <t>Taslak</t>
        </is>
      </c>
      <c r="N50" s="29" t="inlineStr">
        <is>
          <t>malaga:fatura</t>
        </is>
      </c>
      <c r="O50" s="29" t="inlineStr">
        <is>
          <t>Yıllık tüketimini kWh olarak belirle; TUR kademesini yıllık tüketim belirler: TUR.1 yılda 5.000 kWh'ın altı (örneğin gaz ocağı ve/veya şofben olan konut), TUR.2 5.000 ile 15.000 kWh arası (örneğin doğalgaz kaloriferli konut), TUR.3 15.000 ile 50.000 kWh arası (örneğin kalorifer ve yüksek tüketimli konut ya da soğuk bölge).
Serbest piyasa ile TUR'u karşılaştır; TUR'u yalnız son çare tedarikçilerinden biriyle yapabilirsin ve koşulları hepsinde aynıdır.
Gazı henüz açılmamış bir konutta bireysel gaz tesisatı yapılmışsa ve yetkili kurulumcunun verdiği tesisat sertifikan varsa tedarikçini seç; tedarikçi abonelik ve hizmete alma talebini senin adına dağıtım şirketine iletir. Dağıtım şirketi talebi en çok 6 iş günü içinde doğrular, kontroller olumluysa başka en çok 6 iş günü içinde aboneliği açar. Yeni abonelikte dağıtım şirketine abonelik hakkı (derechos de alta) ve bağlantı (enganche) bedellerini, ayrıca tesisat doğrulaması bedelini ödersin; ancak tesisat için yetkili gaz kurulumcusunun boletín'inin sunulması gerekiyorsa ya da tesisatın yapımında proje ve nihai iş sertifikası sunulması gerekmişse doğrulama bedeli ödenmez. Binanın gaz şebekesine bağlantısı yoksa dağıtım şirketinden bağlantı hattı (acometida) istemen gerekir.
Sözleşmeyi tedarikçinin satış ofisinde, telefonla ya da internetten yap; evde satış yasaktır. Telefonla arandıysan ve sözleşme yapmaktan emin değilsen satıcıya banka hesap numaranı verme.
Konutuna atanmış CUPS kodunu hazırla; kod bütün gaz faturalarında yazar.
Sözleşmeyi imzalayınca yeni tedarikçi geçişi dağıtım şirketiyle yürütür; geçiş ücretsizdir ve en geç 3 hafta içinde yapılır, istersen daha uzun bir süre isteyebilirsin.
Telefon ya da internetten sözleşme yaptıysan 14 gün içinde sözleşmeden cayabilirsin; cayarsan önceki tedarikçine dönersin.</t>
        </is>
      </c>
      <c r="P50" s="29" t="inlineStr">
        <is>
          <t>CUPS kodu (gaz faturalarında yazar)</t>
        </is>
      </c>
      <c r="Q50" s="29" t="inlineStr">
        <is>
          <t>Tedarikçi değişimi en geç 3 hafta sürer. Gazı henüz açılmamış konutta dağıtım şirketi talebi doğrulamak için en çok 6, aboneliği açmak için başka en çok 6 iş günü kullanır. TUR'un değişken terimi Ocak, Nisan, Temmuz ve Ekim ayının 1'inde güncellenebilir; her yıl Ekim ayında tüketiciler son yıl tüketimine uygun TUR kademesine yeniden yerleştirilir.</t>
        </is>
      </c>
      <c r="R50" s="29" t="n"/>
      <c r="S50" s="29" t="inlineStr">
        <is>
          <t>Gaz faturası şu kalemleri içerir: sabit terim (yıllık ücret, fatura dönemindeki gün sayısına göre uygulanır), değişken terim (tüketilen kWh ile sözleşmedeki fiyatın çarpımı), hidrokarbür vergisi, tedarikçiden aldığın ek hizmetler (ayrı yazılmalıdır) ve IVA. Dağıtım şirketi sayaç tüketiciye ait değilse sayaç kirası, 5 yılda bir yapılan tesisat denetimi, ortak tesisat kirası (canon IRC) ve yeni bağlantıda bağlantı hakları gibi hizmetleri de faturalayabilir. Faturada sayaçtaki m3 okuması (gerçek mi tahmini mi olduğuyla birlikte) ve m3'ü kWh'a çeviren faktör yazılmalıdır. Konut amaçlı apartman yönetimleri (comunidad de propietarios) tüketimlerinden bağımsız olarak TUR'a girebilir; bunun için iki şartı taşımaları gerekir: bireysel kalorifer sayacı ya da maliyet paylaştırıcısı olması (teknik olarak imkânsızsa muaftır) ve enerji verimliliği denetimini süresi içinde olumlu sonuçlandırmış olması.</t>
        </is>
      </c>
      <c r="T50" s="29" t="n"/>
    </row>
    <row r="51" ht="54" customHeight="1">
      <c r="A51" s="29" t="inlineStr">
        <is>
          <t>malaga:bono-social-elektrik-kimler-alir</t>
        </is>
      </c>
      <c r="B51" s="29" t="inlineStr">
        <is>
          <t>malaga</t>
        </is>
      </c>
      <c r="C51" s="29" t="inlineStr">
        <is>
          <t>bono-social-elektrik-kimler-alir</t>
        </is>
      </c>
      <c r="D51" s="29" t="inlineStr">
        <is>
          <t>Bono social eléctrico (elektrik faturası indirimi) kimlere verilir?</t>
        </is>
      </c>
      <c r="E51" s="29" t="inlineStr">
        <is>
          <t>Oturduğun konutta PVPC sözleşmen olmalı; gelir, aile ya da emeklilik durumun resmî ölçütlerden birine uymalı</t>
        </is>
      </c>
      <c r="F51" s="29" t="inlineStr">
        <is>
          <t>Bono social (elektrik faturası indirimi) için oturduğun asıl konutta PVPC sözleşmen olmalı ve gelir ya da aile durumun MITECO'nun sıraladığı ölçütlerden birine uymalı. MITECO'nun 2026 sayfasına göre 31 Aralık 2026'ya kadar indirim savunmasız tüketicide %42,5, ağır savunmasız tüketicide %57,5'tir; olağan oranlar ise %35 ve %50'dir. İndirim enerji terimi üzerine ve yıllık kWh sınırları dahilinde uygulanır. Savunmasız sayılmak için şunlardan biri yeter: birlikte yaşayanların yıllık toplam geliri IPREM'in 1,5 katını aşmamak (sayfada 14 maaşlı 1 IPREM = 8.400 euro), büyük aile (familia numerosa) belgesi, gelir sahibi bütün hane üyelerinin Sosyal Güvenlik emeklisi olup asgari emekli maaşı alması ve başka yıllık gelirlerinin toplamda 500 euroyu aşmaması ya da hanede birinin Ingreso Mínimo Vital yararlanıcısı olması. Birlikte yaşayan her ek yetişkin için gelir çarpanı 0,3, her çocuk için 0,5 artar.</t>
        </is>
      </c>
      <c r="G51" s="29" t="inlineStr">
        <is>
          <t>bono social, bono social eléctrico, elektrik indirimi, consumidor vulnerable, IPREM, PVPC, familia numerosa</t>
        </is>
      </c>
      <c r="H51" s="29" t="inlineStr">
        <is>
          <t>new;settled</t>
        </is>
      </c>
      <c r="I51" s="29" t="inlineStr">
        <is>
          <t>malaga:kaynak:071;malaga:kaynak:072</t>
        </is>
      </c>
      <c r="J51" s="49" t="n">
        <v>46319</v>
      </c>
      <c r="K51" s="51" t="n">
        <v>9054</v>
      </c>
      <c r="L51" s="29" t="inlineStr">
        <is>
          <t>Hayır</t>
        </is>
      </c>
      <c r="M51" s="29" t="inlineStr">
        <is>
          <t>Taslak</t>
        </is>
      </c>
      <c r="N51" s="29" t="inlineStr">
        <is>
          <t>malaga:fatura</t>
        </is>
      </c>
      <c r="O51" s="29" t="inlineStr">
        <is>
          <t>Elektrik sözleşmenin oturduğun asıl konutta (vivienda habitual) ve PVPC üzerinde olduğunu kontrol et.
Savunmasız tüketici ölçütlerinden birine uyup uymadığına bak: birlikte yaşayanların toplam yıllık geliri en çok IPREM'in 1,5 katı (sayfada 14 maaşlı 1 IPREM = 8.400 euro olarak verilir; her ek yetişkin için +0,3, her çocuk için +0,5), büyük aile belgesi, gelir sahibi bütün hane üyelerinin Sosyal Güvenlik emeklisi (yaşlılık ya da kalıcı iş göremezlik) olup ilgili emeklilik türünün asgari tutarını alması ve başka yıllık gelirlerinin toplamda 500 euroyu aşmaması ya da hanede birinin Ingreso Mínimo Vital yararlanıcısı olması.
Hanende biri en az yüzde 33 oranında tanınmış engelli, cinsiyete dayalı şiddet mağduru, terör mağduru ya da II. veya III. derece bakım bağımlılığı durumundaysa, ya da tek ebeveyn ve en az bir çocuktan oluşan bir aileysen gelir sınırları 1 IPREM puanı (sayfada 8.400 euro daha) artar.
Ağır savunmasız tüketici için gelirin savunmasız eşiklerinin yarısını aşmaması gerekir; büyük ailede sınır 2 IPREM (sayfada 16.800 euro), gelir sahibi bütün üyeleri asgari emekli maaşı alan ve başka yıllık geliri toplamda 500 euroyu aşmayan hanede 1 IPREM'dir (sayfada 8.400 euro).
Ağır savunmasız ölçütlerini karşılıyorsan ve bir kamu idaresinin (özerk bölge ya da yerel) sosyal hizmetleri seni izleyip PVPC faturanın en az yüzde 50'sini finanse ediyorsa sosyal dışlanma riski altındaki tüketici sayılırsın; geçici ödeme güçlüğünde elektriğin kesilmesi yasaktır.
İndirim enerji terimi üzerine ve yıllık kWh sınırları dahilinde uygulanır. Yıllık sınırlar (Real Decreto 897/2017 Anexo I tablosu, hane bileşimine göre): bireysel talep ya da iki kişilik hane 1.587 kWh; üç kişilik hane, asgari emekli maaşı alan emekliler ya da iki kişilik ve biri çocuk olan hane 2.222 kWh; dört kişilik hane ya da üç kişilik ve ikisi çocuk olan hane 2.698 kWh; beş ve daha fazla kişilik hane, dört kişilik ve üçü çocuk olan hane ya da büyük aile 4.761 kWh.</t>
        </is>
      </c>
      <c r="P51" s="29" t="n"/>
      <c r="Q51" s="29" t="inlineStr">
        <is>
          <t>MITECO'nun 2026 sayfasına göre %42,5 ve %57,5 oranları 31 Aralık 2026'ya kadar geçerlidir.</t>
        </is>
      </c>
      <c r="R51" s="29" t="n"/>
      <c r="S51" s="29" t="inlineStr">
        <is>
          <t>IPREM, Indicador Público de Renta de Efectos Múltiples'in kısaltmasıdır; gelir sınırları bu göstergenin katları olarak verilir. MITECO sayfasında 1 IPREM (14 maaşlı) 8.400 euro, 2 IPREM 16.800 euro olarak yazılıdır.</t>
        </is>
      </c>
      <c r="T51" s="29" t="n"/>
    </row>
    <row r="52" ht="54" customHeight="1">
      <c r="A52" s="29" t="inlineStr">
        <is>
          <t>malaga:internet-mobil-hat-sozlesmesi-taahhut-cayma</t>
        </is>
      </c>
      <c r="B52" s="29" t="inlineStr">
        <is>
          <t>malaga</t>
        </is>
      </c>
      <c r="C52" s="29" t="inlineStr">
        <is>
          <t>internet-mobil-hat-sozlesmesi-taahhut-cayma</t>
        </is>
      </c>
      <c r="D52" s="29" t="inlineStr">
        <is>
          <t>İnternet ve mobil hat sözleşmesi: taahhüt süresi, süre dolmadan fesih ve 14 günlük cayma hakkı nasıl işler?</t>
        </is>
      </c>
      <c r="E52" s="29" t="inlineStr">
        <is>
          <t>Sözleşme en çok 24 ay sürer; 14 günlük cayma yalnız uzaktan ve işyeri dışı sözleşmelerde vardır ve istisnaları vardır</t>
        </is>
      </c>
      <c r="F52" s="29" t="inlineStr">
        <is>
          <t>Bireysel tüketici için internet ve mobil hat sözleşmesi en çok 24 ay sürebilir; yalnız fiziksel hat (örneğin fiber) kurulumunu ayrı bir sözleşmeyle taksitle ödediysen bu üst sınır o taksit sözleşmesine uygulanmaz. 14 günlük cayma hakkı yalnız uzaktan (telefon, internet, posta gibi) ve işyeri dışında yapılan sözleşmelerde geçerlidir; operatörün dükkânında imzaladığın sözleşmeye otomatik uygulanmaz. Cayma hakkının istisnaları vardır: hizmet tamamen verilmişse cayamazsın; ödemeli hizmette bu, hizmetin başlamasına önceden açık onay verdiğin ve tamamlanınca cayma hakkını yitireceğini bildiğin durumda geçerlidir; hizmetin cayma süresi içinde başlamasını açıkça istediysen cayarken o ana kadar verilen hizmetin orantılı bedelini ödersin. Süre dolunca sözleşme aynı süre kadar kendiliğinden uzar; bundan sonra en çok bir ay önceden haber vererek, haber süresindeki hizmet bedeli dışında maliyetsiz her an feshedebilirsin. Süre dolmadan, fesih hakkın doğmadan kendi isteğinle bitirirsen maliyet ve cezalar olabilir; operatör bunları sözleşme özetinde yazmak zorundadır.</t>
        </is>
      </c>
      <c r="G52" s="29" t="inlineStr">
        <is>
          <t>internet sözleşmesi, mobil hat, taahhüt, permanencia, cayma hakkı, desistimiento, 24 ay, operatör</t>
        </is>
      </c>
      <c r="H52" s="29" t="inlineStr">
        <is>
          <t>new;settled</t>
        </is>
      </c>
      <c r="I52" s="29" t="inlineStr">
        <is>
          <t>malaga:kaynak:073;malaga:kaynak:074</t>
        </is>
      </c>
      <c r="J52" s="49" t="n">
        <v>46319</v>
      </c>
      <c r="K52" s="51" t="n">
        <v>9055</v>
      </c>
      <c r="L52" s="29" t="inlineStr">
        <is>
          <t>Hayır</t>
        </is>
      </c>
      <c r="M52" s="29" t="inlineStr">
        <is>
          <t>Taslak</t>
        </is>
      </c>
      <c r="N52" s="29" t="inlineStr">
        <is>
          <t>malaga:fatura</t>
        </is>
      </c>
      <c r="O52" s="29" t="inlineStr">
        <is>
          <t>Sözleşmeyi nasıl yaptığını netleştir: telefon, internet ya da posta gibi uzaktan veya işyeri dışında yaptıysan 14 takvim günü içinde gerekçe göstermeden cayabilirsin; bu hakkın istisnası ve olası bir bedeli vardır (sonraki adım).
Hizmet tamamen verilmişse cayma hakkı uygulanmaz; ödemeli hizmette bu, hizmetin başlamasına önceden açık onay verdiğin ve tamamlanınca cayma hakkını yitireceğini bildiğin durumda geçerlidir. Hizmetin cayma süresi içinde başlamasını açıkça istediysen, cayarken o ana kadar verilen hizmetin orantılı bedelini ödersin. Cayma hakkını kullandığın için ceza koyan sözleşme hükümleri tamamen geçersizdir.
Evine istenmeden gelen satıcıyla ya da operatörün satış amaçlı düzenlediği bir gezide imzaladıysan cayma süresi 30 takvim günüdür.
Dükkânda yüz yüze imzaladıysan yasal 14 günlük cayma hakkın yoktur; ancak işyeri dışında seninle kişisel görüşme yapıldıktan hemen sonra dükkânda ya da uzaktan imzalanan sözleşmeler de bu kuralların kapsamındadır.
Sözleşme süresini kontrol et: bireysel tüketici sözleşmesi 24 aydan uzun olamaz (yalnız fiziksel hat kurulumu için ayrı yapılan taksit sözleşmesi hariç).
Otomatik uzatmadan önce operatörün gönderdiği bildirimi oku: taahhüdün bittiğini, nasıl fesih edeceğini ve en iyi tarifelerini içermek zorundadır. Süre dolmadan kendi isteğinle çıkmak istiyorsan sözleşme özetindeki fesih maliyetleri ve olası cezalar bölümüne bak.
Operatör koşulları değiştireceğini bildirirse bildirimden itibaren bir ay içinde ek maliyet ödemeden sözleşmeyi feshedebilirsin; değişiklik yalnız senin lehine, tamamen idari nitelikte ve sana olumsuz etkisi olmayan ya da mevzuatın zorunlu kıldığı bir değişiklikse bu hak doğmaz.</t>
        </is>
      </c>
      <c r="P52" s="29" t="n"/>
      <c r="Q52" s="29" t="inlineStr">
        <is>
          <t>Sözleşme en çok 24 ay sürer. Cayma süresi 14 takvim günüdür; evde istenmeyen ziyaretlerde 30 takvim günüdür. Süre dolup sözleşme uzadıktan sonra fesih için en çok bir ay önceden haber verilir.</t>
        </is>
      </c>
      <c r="R52" s="29" t="n"/>
      <c r="S52" s="29" t="inlineStr">
        <is>
          <t>Fesih hakkının kanundan doğduğu durumlarda (örneğin operatör sözleşme koşullarını değiştirdiğinde), sübvansiyonlu cihazı (terminal) elinde tutmadıkça tazminat ödemezsin. Cihazı tutarsan tazminat, cihazın orantılı değerini ya da sözleşme sonuna kalan hizmet bedelini aşamaz (hangisi daha düşükse). Hakkın doğmadan erken bitirirsen sözleşmedeki maliyet ve cezalar uygulanabilir. Dayanak: Ley 11/2022 madde 67 (BOE'de 27/12/2025 tarihli güncel metin) ve RDL 1/2007 madde 92 ile 102 ile 108 (BOE'de 28/02/2026 tarihli güncel metin).</t>
        </is>
      </c>
      <c r="T52" s="29" t="n"/>
    </row>
    <row r="53" ht="54" customHeight="1">
      <c r="A53" s="29" t="inlineStr">
        <is>
          <t>malaga:cnmc-teklif-karsilastirma-araci</t>
        </is>
      </c>
      <c r="B53" s="29" t="inlineStr">
        <is>
          <t>malaga</t>
        </is>
      </c>
      <c r="C53" s="29" t="inlineStr">
        <is>
          <t>cnmc-teklif-karsilastirma-araci</t>
        </is>
      </c>
      <c r="D53" s="29" t="inlineStr">
        <is>
          <t>CNMC karşılaştırma aracı elektrik ve doğalgaz tekliflerini nasıl karşılaştırır?</t>
        </is>
      </c>
      <c r="E53" s="29" t="inlineStr">
        <is>
          <t>Araç yalnız bilgi verir; teklifi sözleşmeye çevirmez, sözleşmeyi seçtiğin tedarikçiyle yaparsın</t>
        </is>
      </c>
      <c r="F53" s="29" t="inlineStr">
        <is>
          <t>CNMC'nin enerji teklifleri karşılaştırma aracı, kendi tüketimini piyasadaki tekliflerle karşılaştırıp profiline en uygun olanı seçmene yardım eder. Araçta regüle fiyatlı teklifler (elektrikte PVPC, gazda TUR) ile serbest fiyatlı teklifler birlikte görünür. Araç yalnızca bilgilendirir ve teklifi doğrudan sözleşmeye çevirmez; sözleşme için seçtiğin tedarikçiye ayrıca başvurursun. Elektrik ve gaz tedarikçileri tekliflerini CNMC'ye bildirmek zorundadır.</t>
        </is>
      </c>
      <c r="G53" s="29" t="inlineStr">
        <is>
          <t>CNMC karşılaştırıcı, comparador de ofertas, elektrik teklifleri, gaz teklifleri, PVPC simülatörü, tedarikçi değiştirme</t>
        </is>
      </c>
      <c r="H53" s="29" t="inlineStr">
        <is>
          <t>new;settled</t>
        </is>
      </c>
      <c r="I53" s="29" t="inlineStr">
        <is>
          <t>malaga:kaynak:075;malaga:kaynak:070</t>
        </is>
      </c>
      <c r="J53" s="49" t="n">
        <v>46319</v>
      </c>
      <c r="K53" s="51" t="n">
        <v>9056</v>
      </c>
      <c r="L53" s="29" t="inlineStr">
        <is>
          <t>Hayır</t>
        </is>
      </c>
      <c r="M53" s="29" t="inlineStr">
        <is>
          <t>Taslak</t>
        </is>
      </c>
      <c r="N53" s="29" t="inlineStr">
        <is>
          <t>malaga:fatura</t>
        </is>
      </c>
      <c r="O53" s="29" t="inlineStr">
        <is>
          <t>https://comparador.cnmc.gob.es/ adresindeki karşılaştırma aracını aç; gaz faturanda QR kod varsa aracı o kodla da açabilirsin.
Kendi tüketimini araca gir ve piyasadaki tekliflerle karşılaştır.
Regüle fiyatlı teklifleri (elektrikte PVPC, gazda TUR) ve serbest fiyatlı teklifleri birlikte incele.
Fiyatın yanında taahhüt (permanencia) şartlarına ve teklife dahil ek hizmetlere de bak.
Seçtiğin teklif için sözleşmeyi araç üzerinden yapamazsın; sözleşme için seçtiğin tedarikçiye başvur.
PVPC'de, 10 kW ve altı güçte ve referans tedarikçideysen, faturanı CNMC'nin PVPC fatura simülatörüyle simüle et; serbest piyasa sözleşmen varsa ya da gücün 10 kW'ın üzerindeyse simülatör işine yaramaz.</t>
        </is>
      </c>
      <c r="P53" s="29" t="n"/>
      <c r="Q53" s="29" t="n"/>
      <c r="R53" s="29" t="n"/>
      <c r="S53" s="29" t="inlineStr">
        <is>
          <t>Elektrik ya da gazda tedarikçi değişiminin kendisi ücretsizdir (mevcut sözleşmendeki taahhüt şartları ayrıdır); CNMC'ye göre değişim için azami süre 21 gündür ve bütün işlemleri yeni tedarikçi yürütür.</t>
        </is>
      </c>
      <c r="T53" s="29" t="n"/>
    </row>
    <row r="54" ht="54" customHeight="1">
      <c r="A54" s="29" t="inlineStr">
        <is>
          <t>malaga:elektrik-ve-telekom-sikayet-yollari</t>
        </is>
      </c>
      <c r="B54" s="29" t="inlineStr">
        <is>
          <t>malaga</t>
        </is>
      </c>
      <c r="C54" s="29" t="inlineStr">
        <is>
          <t>elektrik-ve-telekom-sikayet-yollari</t>
        </is>
      </c>
      <c r="D54" s="29" t="inlineStr">
        <is>
          <t>Elektrikte şebeke kesintisi, elektrik faturası sorunu veya telekom şikâyetinde hangi yol izlenir?</t>
        </is>
      </c>
      <c r="E54" s="29" t="inlineStr">
        <is>
          <t>Önce şirkete şikâyet et: elektrikte 15 iş günü, telekomda bir ay bekle; sonra tahkim, özerk bölge ya da OAUT</t>
        </is>
      </c>
      <c r="F54" s="29" t="inlineStr">
        <is>
          <t>Elektrikte önce sorunun muhatabı şirkete şikâyet edersin: fatura ve sözleşme için tedarikçiye (comercializadora), şebekenin kalitesi ve sürekliliği için dağıtım şirketine (distribuidora). Şirket 15 iş günü içinde yanıt vermek zorundadır; memnun kalmazsan Defensor del cliente'ye, tahkim kurullarına (Juntas Arbitrales de Consumo), akredite bir alternatif çözüm kuruluşuna ya da özerk bölgenin tüketici organına gidebilirsin. Telekomda da önce operatöre şikâyet edersin; bir ay içinde yanıt alamazsan ya da yanıt yetmezse telekomünikasyon kullanıcı bürosuna (OAUT) başvurursun. Gerçek kişiysen telekomda hakem kurullarına (Juntas Arbitrales de Consumo) da gidebilirsin; bu yol operatörün hakem sistemine katılmasına bağlıdır ve operatör reddederse OAUT'a başvuru süresi yeniden açılır.</t>
        </is>
      </c>
      <c r="G54" s="29" t="inlineStr">
        <is>
          <t>şikâyet, reclamación, kesinti, distribuidora, comercializadora, OAUT, Juntas Arbitrales de Consumo, Defensor del cliente</t>
        </is>
      </c>
      <c r="H54" s="29" t="inlineStr">
        <is>
          <t>new;settled</t>
        </is>
      </c>
      <c r="I54" s="29" t="inlineStr">
        <is>
          <t>malaga:kaynak:076;malaga:kaynak:077</t>
        </is>
      </c>
      <c r="J54" s="49" t="n">
        <v>46319</v>
      </c>
      <c r="K54" s="51" t="n">
        <v>9057</v>
      </c>
      <c r="L54" s="29" t="inlineStr">
        <is>
          <t>Hayır</t>
        </is>
      </c>
      <c r="M54" s="29" t="inlineStr">
        <is>
          <t>Taslak</t>
        </is>
      </c>
      <c r="N54" s="29" t="inlineStr">
        <is>
          <t>malaga:fatura</t>
        </is>
      </c>
      <c r="O54" s="29" t="inlineStr">
        <is>
          <t>Elektrikte şikâyetini önce ilgili şirketin tüketici hizmetine ilet: fatura ve sözleşme konusunda tedarikçiye, şebekenin kalitesi ve sürekliliği konusunda dağıtım şirketine.
Şikâyette referans numarası al; telefonla yaptıysan başvurunu ve içeriğini kanıtlayan bir belge isteme hakkın var.
Elektrikte 15 iş günü içinde memnun edici yanıt alamazsan Defensor del cliente'ye, Juntas Arbitrales de Consumo'ya, akredite bir alternatif çözüm kuruluşuna ya da özerk bölgenin tüketici organına başvur.
Defensor del cliente şikâyeti en çok 2 ayda sonuçlandırır ve kararı şirketi bağlar; şirketler bu birimi gönüllü kurduğu için hepsinde bulunmaz.
Telekomda şikâyeti önce operatöre telefonla, internetten, postayla ya da ticari ofisinde yap; operatör telefonla şikâyeti kabul etmek zorundadır ve sana referans numarası verir.
Operatörden bir ay içinde yanıt alamazsan ya da yanıt seni tatmin etmezse OAUT'a başvur; başvuruyu elektronik sertifika ya da Cl@ve ile internetten yapabilir ya da formu imzalayıp idarenin herhangi bir kayıt biriminden ya da postayla verebilirsin.
Gerçek kişiysen telekom uyuşmazlığı için Juntas Arbitrales de Consumo (tüketici hakem kurulları) yolunu da kullanabilirsin; operatörün bu hakem sistemine katılıp katılmadığını Tüketim Bakanlığı'nın internet sitesinden öğrenebilirsin. OAUT'a başvuru süresi içinde hakeme gittiysen ve operatör hakeme katılmayı reddederse, OAUT'a başvuru için 3 aylık süre yeniden açılır.</t>
        </is>
      </c>
      <c r="P54" s="29" t="n"/>
      <c r="Q54" s="29" t="inlineStr">
        <is>
          <t>Elektrikte şirketin yanıt süresi en çok 15 iş günüdür. Telekomda operatörün yanıt süresi bir aydır; OAUT'a başvuru süresi operatörün yanıtından ya da yanıt süresinin bitişinden itibaren 3 aydır ve OAUT şikâyeti başvurudan itibaren 6 ay içinde sonuçlandırır. Gerçek kişi OAUT süresi içinde hakeme gidip operatör katılmayı reddederse OAUT için 3 aylık süre yeniden açılır.</t>
        </is>
      </c>
      <c r="R54" s="29" t="n"/>
      <c r="S54" s="29" t="inlineStr">
        <is>
          <t>OAUT kararı idari yolu kapatır; karara karşı alındığı tarihten itibaren bir ay içinde itiraz (recurso de reposición) ya da iki ay içinde idari yargıya dava (recurso contencioso-administrativo) yoluna gidilebilir.</t>
        </is>
      </c>
      <c r="T54" s="29" t="n"/>
    </row>
    <row r="55" ht="54" customHeight="1">
      <c r="A55" s="29" t="inlineStr">
        <is>
          <t>malaga:apartman-yonetimi-comunidad-de-vecinos</t>
        </is>
      </c>
      <c r="B55" s="29" t="inlineStr">
        <is>
          <t>malaga</t>
        </is>
      </c>
      <c r="C55" s="29" t="inlineStr">
        <is>
          <t>apartman-yonetimi-comunidad-de-vecinos</t>
        </is>
      </c>
      <c r="D55" s="29" t="inlineStr">
        <is>
          <t>Daire sahibi için apartman yönetimi (comunidad de propietarios): ortak giderler, kurul ve yedek fon (Katalonya dışı genel kural)</t>
        </is>
      </c>
      <c r="E55" s="29" t="inlineStr">
        <is>
          <t>Katalonya dışı genel kural (Ley 49/1960): daire sahibi payı oranında ortak giderlere katılır, kurul yılda en az bir kez toplanır</t>
        </is>
      </c>
      <c r="F55" s="29" t="inlineStr">
        <is>
          <t>Aşağıdaki bilgiler Katalonya dışındaki genel kural olan Ley de Propiedad Horizontal'a (Ley 49/1960) göre, daire sahibi açısından yazılmıştır; Katalonya'da kat mülkiyeti kendi medeni kanununun 5. kitabıyla (Código Civil de Cataluña, Ley 5/2006) düzenlenir. Ley 49/1960'a göre daire ya da işyeri (local) sahibi, ortak giderlere senette (título) belirlenen ya da özel olarak kararlaştırılan katılım payına (cuota de participación) göre katılmak zorundadır. Topluluğun organları Junta de propietarios (mülk sahipleri kurulu), başkan (presidente), varsa başkan yardımcıları, sekreter ve yöneticidir (administrador); sekreter ve yönetici görevlerini, tüzük ya da kurul ayrı atamadıkça başkan yürütür. Kurul en az yılda bir kez bütçeyi ve hesapları onaylamak için toplanır. Yedek fon (fondo de reserva) Ley 49/1960'a göre son olağan bütçenin en az %10'u kadar olmalıdır; Katalonya'da ise bütçede ortak giderlerin en az %5'i yedek fon için ayrılır (Código Civil de Cataluña md. 553-6).</t>
        </is>
      </c>
      <c r="G55" s="29" t="inlineStr">
        <is>
          <t>comunidad de vecinos, propiedad horizontal, apartman yönetimi, junta de propietarios, presidente, fondo de reserva, cuota</t>
        </is>
      </c>
      <c r="H55" s="29" t="inlineStr">
        <is>
          <t>new;settled</t>
        </is>
      </c>
      <c r="I55" s="29" t="inlineStr">
        <is>
          <t>malaga:kaynak:078;malaga:kaynak:079</t>
        </is>
      </c>
      <c r="J55" s="49" t="n">
        <v>46319</v>
      </c>
      <c r="K55" s="51" t="n">
        <v>9058</v>
      </c>
      <c r="L55" s="29" t="inlineStr">
        <is>
          <t>Hayır</t>
        </is>
      </c>
      <c r="M55" s="29" t="inlineStr">
        <is>
          <t>Taslak</t>
        </is>
      </c>
      <c r="N55" s="29" t="inlineStr">
        <is>
          <t>malaga:fatura</t>
        </is>
      </c>
      <c r="O55" s="29" t="inlineStr">
        <is>
          <t>Binanın bakımı, hizmetleri ve yükleri için bireysel olarak ayrılamayan genel giderlere, senette (título) belirlenen ya da özel olarak kararlaştırılan katılım payına (cuota de participación) göre katıl.
Yedek fona (fondo de reserva) da katılım payına göre katıl.
Sekretere İspanya'daki bildirim adresini, iletimini kanıtlayan bir yolla yazılı bildir; bildirmezsen çağrılar ve bildirimler topluluktaki dairene yapılır (dairedeki kişiye teslim edilen bildirim de tam geçerlidir), ulaşılamazsa ilan panosuna asılır ve üç takvim günü sonra geçerli olur.
Kurulun gündemine konu eklemek istiyorsan başkana yazılı olarak konuyu açıkça belirt; başkan konuyu bir sonraki toplantının gündemine koyar.
Kurul toplantısına kendin ya da imzalı yazılı yetkiyle bir temsilci aracılığıyla katıl; vadesi gelmiş borcun varsa (ve borca mahkemede itiraz etmediysen ya da tutarı mahkeme veya noter aracılığıyla bırakmadıysan) görüşebilirsin ama oy kullanamazsın.
Dairenin sahibi değişirse sekretere yazılı bildir; bildirmezsen (yönetim organları değişikliği başka bir yolla öğrenmediyse) devirden sonraki borçlardan yeni malikle birlikte müteselsil sorumlu kalırsın.
Başkan seçilirsen: görev zorunludur, ama göreve geldikten sonraki bir ay içinde hakimden görevden alınmanı isteyebilirsin.</t>
        </is>
      </c>
      <c r="P55" s="29" t="n"/>
      <c r="Q55" s="29" t="inlineStr">
        <is>
          <t>Kurul en az yılda bir kez toplanır; Ley 49/1960'a göre (Katalonya dışı) olağan yıllık toplantının çağrısı en az 6 gün önceden yapılır; Katalonya'da çağrı, davet ve bildirimler en az 8 takvim günü önceden gönderilir (Código Civil de Cataluña md. 553-21.2). Tüzük aksini söylemedikçe yönetim organları bir yıl için seçilir.</t>
        </is>
      </c>
      <c r="R55" s="29" t="inlineStr">
        <is>
          <t>Ley 49/1960'a göre yedek fon, topluluğun son olağan bütçesinin en az %10'u kadar olmalıdır. Katalonya'da bütçede ortak giderlerin en az %5'i yedek fon için ayrılır (Código Civil de Cataluña md. 553-6).</t>
        </is>
      </c>
      <c r="S55" s="29" t="inlineStr">
        <is>
          <t>Bu bilgiler daire sahiplerinin yükümlülüklerine dairdir ve Ley 49/1960'ın BOE'deki 03/10/2026 tarihli güncel metnine göre yazılmıştır; Katalonya için yalnız aşağıda ayrıca etiketlenen değerler verilmiştir (Ley 5/2006'nın BOE'deki 03/07/2026 tarihli güncel metni).
Ley 49/1960 (Katalonya dışı): Daire alırsan, satın alınan daire önceki sahiplerin ortak gider borçlarından devrin yapıldığı yılın vadesi gelmiş kısmı ile önceki üç takvim yılı kadarıyla sorumludur. Satıcı, devir belgesinde borç durumunu beyan etmeli ve sekreterin verdiği borç sertifikasını sunmalıdır (alıcı onu açıkça muaf tutmadıkça); sertifika talepten itibaren en çok 7 takvim günü içinde verilir.
Katalonya (Código Civil de Cataluña): Özel bölümler, ortak giderler ve yedek fon için cari yılın vadesi gelmiş kısmından ve hemen önceki dört yıldan doğan tutarlardan sorumludur (md. 553-5.1). Toplantı çağrıları, davetler ve bildirimler, tüzük açıkça başka bir şey söylemedikçe en az 8 takvim günü önceden gönderilir (md. 553-21.2).</t>
        </is>
      </c>
      <c r="T55" s="29" t="n"/>
    </row>
    <row r="56" ht="54" customHeight="1">
      <c r="A56" s="29" t="inlineStr">
        <is>
          <t>malaga:emasa-su-aboneligi-acma-kapatma-devir</t>
        </is>
      </c>
      <c r="B56" s="29" t="inlineStr">
        <is>
          <t>malaga</t>
        </is>
      </c>
      <c r="C56" s="29" t="inlineStr">
        <is>
          <t>emasa-su-aboneligi-acma-kapatma-devir</t>
        </is>
      </c>
      <c r="D56" s="29" t="inlineStr">
        <is>
          <t>Málaga'da konut su aboneliğini (EMASA) nasıl açtırır, kapatır ya da devredersin?</t>
        </is>
      </c>
      <c r="E56" s="29" t="inlineStr">
        <is>
          <t>Oficina Virtual, Registro Electrónico ya da 900 777 420'den randevu; yüz yüze işlem Hospital Noble binasında</t>
        </is>
      </c>
      <c r="F56" s="29" t="inlineStr">
        <is>
          <t>Konut su aboneliğini EMASA'nın Oficina Virtual'ından, Registro Electrónico'ya yüklediğin formla ya da 900 777 420'den randevu alıp Hospital Noble binasında yüz yüze işlem yaparak açtırır, kapatır veya devredersin. Açtırmak için 'Contratación de suministro para uso doméstico' formu, kapatmak için 'Solicitud Baja Contrato', abonelik sahibi (titular) değişince 'Cambio de titularidad' formu gerekir; ticari ya da sanayi kullanımı için ayrı bir sözleşme formu vardır. EMASA'ya göre işlemlerin çoğu Oficina Virtual'da daha kolay ve hızlı yapılır. Yüz yüze işlem için randevu şarttır: Oficina Central 2. katta 7:45-14:45, Departamento de Clientes zemin katta 8:30-14:00 arasında açıktır. Belgeleri Registro Electrónico üzerinden, EMASA portalına üye olmadan da gönderebilirsin.</t>
        </is>
      </c>
      <c r="G56" s="29" t="inlineStr">
        <is>
          <t>EMASA, su aboneliği, suministro de agua, cambio de titularidad, baja, Oficina Virtual, cita previa, Málaga</t>
        </is>
      </c>
      <c r="H56" s="29" t="inlineStr">
        <is>
          <t>new</t>
        </is>
      </c>
      <c r="I56" s="29" t="inlineStr">
        <is>
          <t>malaga:kaynak:160;malaga:kaynak:302</t>
        </is>
      </c>
      <c r="J56" s="49" t="n">
        <v>46322</v>
      </c>
      <c r="K56" s="51" t="n">
        <v>500</v>
      </c>
      <c r="L56" s="29" t="inlineStr">
        <is>
          <t>Evet</t>
        </is>
      </c>
      <c r="M56" s="29" t="inlineStr">
        <is>
          <t>Taslak</t>
        </is>
      </c>
      <c r="N56" s="29" t="inlineStr">
        <is>
          <t>malaga:fatura</t>
        </is>
      </c>
      <c r="O56" s="29" t="inlineStr">
        <is>
          <t>emasa.es üzerindeki Oficina Virtual'a gir; EMASA'ya göre işlemlerin çoğu orada daha kolay ve hızlı yapılır.
Çevrimiçi yapmayacaksan Formularios sayfasından 'Contratación de suministro para uso doméstico' formunu al, doldur ve Registro Electrónico'dan gönder.
Yüz yüze gideceksen önce 900 777 420'yi arayıp randevu al; Oficina Central Hospital Noble binasının 2. katında, Departamento de Clientes zemin kattadır.
Aboneliği kapatırken 'Solicitud Baja Contrato', abonelik sahibi değişirken 'Cambio de titularidad' formunu kullan.</t>
        </is>
      </c>
      <c r="P56" s="29" t="n"/>
      <c r="Q56" s="29" t="inlineStr">
        <is>
          <t>Oficina Central 7:45-14:45; Departamento de Clientes 8:30-14:00.</t>
        </is>
      </c>
      <c r="R56" s="29" t="n"/>
      <c r="S56" s="29" t="n"/>
      <c r="T56" s="29" t="n"/>
    </row>
    <row r="57" ht="54" customHeight="1">
      <c r="A57" s="29" t="inlineStr">
        <is>
          <t>malaga:emasa-su-arizasi-ve-basinc-sorunu-bildirme</t>
        </is>
      </c>
      <c r="B57" s="29" t="inlineStr">
        <is>
          <t>malaga</t>
        </is>
      </c>
      <c r="C57" s="29" t="inlineStr">
        <is>
          <t>emasa-su-arizasi-ve-basinc-sorunu-bildirme</t>
        </is>
      </c>
      <c r="D57" s="29" t="inlineStr">
        <is>
          <t>Málaga'da su arızasını, basınç düşüklüğünü ya da şebeke sızıntısını nasıl bildirirsin?</t>
        </is>
      </c>
      <c r="E57" s="29" t="inlineStr">
        <is>
          <t>Ücretsiz Teléfono del Agua 900 777 420: arıza ve olay bildirimi günün 24 saati, her gün</t>
        </is>
      </c>
      <c r="F57" s="29" t="inlineStr">
        <is>
          <t>Su arızasını, basınç düşüklüğünü ya da şebekedeki kaçağı EMASA'nın ücretsiz Teléfono del Agua hattına 900 777 420'yi arayarak bildirirsin. Arıza ve olay bildirimi için hat günün 24 saati açıktır; gece 23:30 ile 7:30 arasında hat yalnız arıza içindir. İdari sorular için en güvenli aralık 7:30-23:30'dur: EMASA'nın iletişim sayfası 23:30-7:30'u yalnız arızaya ayırıyor, müşteri hizmetleri sayfası ise idari işlemler için 7:00-24:00 yazıyor. Hat aynı zamanda vatandaşın şebekedeki sorunları ücretsiz bildirdiği iş birliği hattıdır.</t>
        </is>
      </c>
      <c r="G57" s="29" t="inlineStr">
        <is>
          <t>EMASA, Teléfono del Agua, su arızası, avería, fuga, basınç, 900 777 420, Málaga</t>
        </is>
      </c>
      <c r="H57" s="29" t="inlineStr">
        <is>
          <t>settled</t>
        </is>
      </c>
      <c r="I57" s="29" t="inlineStr">
        <is>
          <t>malaga:kaynak:159;malaga:kaynak:302</t>
        </is>
      </c>
      <c r="J57" s="49" t="n">
        <v>46322</v>
      </c>
      <c r="K57" s="51" t="n">
        <v>501</v>
      </c>
      <c r="L57" s="29" t="inlineStr">
        <is>
          <t>Hayır</t>
        </is>
      </c>
      <c r="M57" s="29" t="inlineStr">
        <is>
          <t>Taslak</t>
        </is>
      </c>
      <c r="N57" s="29" t="inlineStr">
        <is>
          <t>malaga:fatura</t>
        </is>
      </c>
      <c r="O57" s="29" t="inlineStr">
        <is>
          <t>900 777 420'yi ara; arıza ve olay bildirimi için hat 24 saat açıktır.
Arızayı, basınç düşüklüğünü ya da şebekedeki su kaybını konumuyla birlikte anlat.
Gece 23:30-7:30 arasında arıyorsan yalnız arıza bildirebilirsin; idari soruları 7:30'dan sonra sor.</t>
        </is>
      </c>
      <c r="P57" s="29" t="n"/>
      <c r="Q57" s="29" t="inlineStr">
        <is>
          <t>Arıza ve olay bildirimi 0:00-24:00; gece 23:30-7:30 yalnız arıza; idari işlemler 7:30-23:30 (müşteri hizmetleri sayfası 7:00-24:00 yazıyor).</t>
        </is>
      </c>
      <c r="R57" s="29" t="inlineStr">
        <is>
          <t>Arama ücretsiz.</t>
        </is>
      </c>
      <c r="S57" s="29" t="n"/>
      <c r="T57" s="29" t="n"/>
    </row>
    <row r="58" ht="54" customHeight="1">
      <c r="A58" s="29" t="inlineStr">
        <is>
          <t>malaga:emasa-su-faturasi-odeme-itiraz-ve-otomatik-odeme</t>
        </is>
      </c>
      <c r="B58" s="29" t="inlineStr">
        <is>
          <t>malaga</t>
        </is>
      </c>
      <c r="C58" s="29" t="inlineStr">
        <is>
          <t>emasa-su-faturasi-odeme-itiraz-ve-otomatik-odeme</t>
        </is>
      </c>
      <c r="D58" s="29" t="inlineStr">
        <is>
          <t>EMASA su faturasını nasıl takip eder, öder ve düzeltme istersin?</t>
        </is>
      </c>
      <c r="E58" s="29" t="inlineStr">
        <is>
          <t>Oficina Virtual'da fatura, ödeme ve kaçak bildirimi; fatura düzeltme ve ödeme desteği için ayrı formlar var</t>
        </is>
      </c>
      <c r="F58" s="29" t="inlineStr">
        <is>
          <t>EMASA su faturalarını ve abonelik sözleşmelerini (pólizas) Oficina Virtual'da görürsün; aynı yerden ödeme yapar ya da banka otomatik ödemesi (domiciliación) tanımlarsın. Sanal ofis olası kaçak bildirimlerini de iletir ve işlemlerinin takibini sağlar. Faturada hata görürsen 'Solicitud de rectificación de factura' formunu, ödeyemediğin faturalar için 'Facturas pendientes, solicitud asistencia para el pago' formunu kullanırsın. Kişisel ya da banka bilgilerini değiştirmek için 'Modificación datos personales, bancarios o del administrador' formu vardır. EMASA'ya göre işlemlerin çoğu Oficina Virtual'da daha kolay ve hızlı yapılır.</t>
        </is>
      </c>
      <c r="G58" s="29" t="inlineStr">
        <is>
          <t>EMASA, su faturası, rectificación de factura, domiciliación, Oficina Virtual, ödeme desteği, Málaga</t>
        </is>
      </c>
      <c r="H58" s="29" t="inlineStr">
        <is>
          <t>settled</t>
        </is>
      </c>
      <c r="I58" s="29" t="inlineStr">
        <is>
          <t>malaga:kaynak:160;malaga:kaynak:161</t>
        </is>
      </c>
      <c r="J58" s="49" t="n">
        <v>46322</v>
      </c>
      <c r="K58" s="51" t="n">
        <v>502</v>
      </c>
      <c r="L58" s="29" t="inlineStr">
        <is>
          <t>Hayır</t>
        </is>
      </c>
      <c r="M58" s="29" t="inlineStr">
        <is>
          <t>Taslak</t>
        </is>
      </c>
      <c r="N58" s="29" t="inlineStr">
        <is>
          <t>malaga:fatura</t>
        </is>
      </c>
      <c r="O58" s="29" t="inlineStr">
        <is>
          <t>Oficina Virtual'a gir ve faturalarını ya da abonelik sözleşmelerini (pólizas) oradan incele.
Ödemeyi ya da banka otomatik ödemesini aynı yerden tanımla.
Faturada hata varsa 'Solicitud de rectificación de factura' formunu doldur.
Ödeyemediğin fatura için 'Facturas pendientes, solicitud asistencia para el pago' formunu kullan.
Kişisel ya da banka bilgilerin değiştiyse 'Modificación datos personales, bancarios o del administrador' formunu doldur.</t>
        </is>
      </c>
      <c r="P58" s="29" t="n"/>
      <c r="Q58" s="29" t="n"/>
      <c r="R58" s="29" t="n"/>
      <c r="S58" s="29" t="n"/>
      <c r="T58" s="29" t="n"/>
    </row>
    <row r="59" ht="54" customHeight="1">
      <c r="A59" s="29" t="inlineStr">
        <is>
          <t>malaga:emasa-fondo-social-su-faturasi-yardimi</t>
        </is>
      </c>
      <c r="B59" s="29" t="inlineStr">
        <is>
          <t>malaga</t>
        </is>
      </c>
      <c r="C59" s="29" t="inlineStr">
        <is>
          <t>emasa-fondo-social-su-faturasi-yardimi</t>
        </is>
      </c>
      <c r="D59" s="29" t="inlineStr">
        <is>
          <t>Su faturanı ödeyemiyorsan Málaga'da EMASA Fondo Social'dan nasıl yardım alırsın?</t>
        </is>
      </c>
      <c r="E59" s="29" t="inlineStr">
        <is>
          <t>En çok 1.000 € geri ödemesiz hibe ya da faizsiz mali yardım; hizmeti sürdürmek için en fazla üç iki aylık fatura; Sosyal Hizmetler kaydı şart</t>
        </is>
      </c>
      <c r="F59" s="29" t="inlineStr">
        <is>
          <t>Fondo Social'dan yardım için Sosyal Hizmetler'in sosyal ve ekonomik kırılganlık durumunu tanımış olması gerekir; başvuru formunu EMASA'nın Registro Electrónico'sundan, EMASA ofislerinde elden ya da OMAC'larda verirsin. Fon, EMASA'nın 2012'den beri bütçesinde ayırdığı, ev kullanımı için yürürlükte su sözleşmesi olan müşterilerin faturasına yardım eden bir paradır. Üç tür yardım var: vadesi gelmiş borç için en çok 1.000 € geri ödemesiz hibe ya da duruma göre uyarlanan faizsiz mali yardım; hizmeti sürdürmek için, su ödemekte büyük zorluk çeken ailelerde sonraki iki aylık faturalardan en fazla üçünün fondan karşılanması; sözleşme, abone devri ya da yeniden bağlama başvurusundan doğan borçlar için yardım. Bir başvuruda bu yardımlardan biri ya da ikisi birlikte istenebilir. Başvuru için 18 yaşından büyük, geçerli DNI/NIE sahibi, Málaga'da kayıtlı (empadronado) olmalı, yardım istenen konutun ev kullanımı su sözleşmesinin sahibi olmalısın. Son yardımın onayından bir yıl geçmiş olmalı; EMASA'ya başka borcun yoksa ya da varsa ödeme anlaşman bulunmalı ve önceki anlaşmaları bozmamış olmalısın.</t>
        </is>
      </c>
      <c r="G59" s="29" t="inlineStr">
        <is>
          <t>EMASA, Fondo Social, su faturası yardımı, vulnerabilidad, Servicios Sociales, OMAC, Málaga</t>
        </is>
      </c>
      <c r="H59" s="29" t="inlineStr">
        <is>
          <t>settled</t>
        </is>
      </c>
      <c r="I59" s="29" t="inlineStr">
        <is>
          <t>malaga:kaynak:162;malaga:kaynak:411</t>
        </is>
      </c>
      <c r="J59" s="49" t="n">
        <v>46322</v>
      </c>
      <c r="K59" s="51" t="n">
        <v>503</v>
      </c>
      <c r="L59" s="29" t="inlineStr">
        <is>
          <t>Evet</t>
        </is>
      </c>
      <c r="M59" s="29" t="inlineStr">
        <is>
          <t>Taslak</t>
        </is>
      </c>
      <c r="N59" s="29" t="inlineStr">
        <is>
          <t>malaga:fatura</t>
        </is>
      </c>
      <c r="O59" s="29" t="inlineStr">
        <is>
          <t>Sosyal Hizmetler merkezinden sosyal ve ekonomik kırılganlık durumunun tanınmasını sağla.
Ev kullanımı su sözleşmenin senin adına olduğunu ve Málaga'da empadronado olduğunu kontrol et.
EMASA'nın Fondo Social başvuru formunu doldur ve Registro Electrónico'dan gönder ya da EMASA ofisine elden ver; OMAC'a da başvurabilirsin.
Soruların için 900 777 420'yi, 010'u, Hospital Noble'deki EMASA merkez ofisini (randevuyla) ya da Sosyal Hizmetler merkezini kullan.</t>
        </is>
      </c>
      <c r="P59" s="29" t="inlineStr">
        <is>
          <t>Geçerli DNI/NIE
EMASA Fondo Social başvuru formu</t>
        </is>
      </c>
      <c r="Q59" s="29" t="inlineStr">
        <is>
          <t>Son yardımın onayından en az bir yıl geçmiş olmalı.</t>
        </is>
      </c>
      <c r="R59" s="29" t="inlineStr">
        <is>
          <t>Yardım: vadesi gelmiş borç için en çok 1.000 € geri ödemesiz hibe ya da faizsiz mali yardım; su ödemekte büyük zorluk çeken ailelerde sonraki iki aylık faturalardan en fazla üçü fondan karşılanabilir.</t>
        </is>
      </c>
      <c r="S59" s="29" t="inlineStr">
        <is>
          <t>2026 çağrısı 4 Haziran 2026'da açıldı; çağrının bütçesi 510.000 €'dur.</t>
        </is>
      </c>
      <c r="T59" s="29" t="n"/>
    </row>
    <row r="60" ht="54" customHeight="1">
      <c r="A60" s="29" t="inlineStr">
        <is>
          <t>malaga:emasa-tarifeleri-2024-guncellemesi-bes-yil</t>
        </is>
      </c>
      <c r="B60" s="29" t="inlineStr">
        <is>
          <t>malaga</t>
        </is>
      </c>
      <c r="C60" s="29" t="inlineStr">
        <is>
          <t>emasa-tarifeleri-2024-guncellemesi-bes-yil</t>
        </is>
      </c>
      <c r="D60" s="29" t="inlineStr">
        <is>
          <t>Málaga'da su fiyatları (EMASA tarifeleri) 2024'te nasıl değişti, artış ne kadar sürecek?</t>
        </is>
      </c>
      <c r="E60" s="29" t="inlineStr">
        <is>
          <t>Sekiz yıllık dondurmadan sonra tarifeler 2024'te güncellendi; artış beş yıla yayılıyor, ilk tam yılda hane başına ortalama ayda 4,79 € ek</t>
        </is>
      </c>
      <c r="F60" s="29" t="inlineStr">
        <is>
          <t>EMASA tarifeleri sekiz yıllık dondurmanın ardından 2024'te güncellendi ve artış beş yıla yayılıyor; belediyeye göre ilk tam yılda her hane ortalama ayda 4,79 € daha fazla öder. Belediye meclisi tarife değişikliğini 25 Nisan 2024'te kesin olarak onayladı. Kanalizasyon ve arıtma tarifeleri 26 Mayıs 2024'ten beri yürürlüktedir; içme suyu tarifesini Junta de Andalucía 19 Haziran 2024 tarihli kararla onayladı ve karar o günden itibaren geçerli oldu, belediye yönetmeliği ise yürürlüğü 24 Haziran'a koyuyordu (BOJA'da 11 Temmuz 2024'te yayımlandı). Değişiklik giderlerdeki artışı karşılamayı, yeni hizmetleri finanse etmeyi ve 130'dan fazla işten oluşan bir yatırım planını yürütmeyi amaçlıyor.</t>
        </is>
      </c>
      <c r="G60" s="29" t="inlineStr">
        <is>
          <t>EMASA, su tarifesi, tarifa, saneamiento, depuración, abastecimiento, BOJA, Málaga</t>
        </is>
      </c>
      <c r="H60" s="29" t="inlineStr">
        <is>
          <t>settled</t>
        </is>
      </c>
      <c r="I60" s="29" t="inlineStr">
        <is>
          <t>malaga:kaynak:164;malaga:kaynak:165</t>
        </is>
      </c>
      <c r="J60" s="49" t="n">
        <v>46322</v>
      </c>
      <c r="K60" s="51" t="n">
        <v>504</v>
      </c>
      <c r="L60" s="29" t="inlineStr">
        <is>
          <t>Hayır</t>
        </is>
      </c>
      <c r="M60" s="29" t="inlineStr">
        <is>
          <t>Taslak</t>
        </is>
      </c>
      <c r="N60" s="29" t="inlineStr">
        <is>
          <t>malaga:fatura</t>
        </is>
      </c>
      <c r="O60" s="29" t="inlineStr">
        <is>
          <t>Faturandaki içme suyu, kanalizasyon ve arıtma kalemlerinin ayrı tarifelerden geldiğini bil.
Artışın beş yıla yayıldığını göz önünde tut; ilk tam yıl için ortalama ayda 4,79 € ek öngörülmüştü.</t>
        </is>
      </c>
      <c r="P60" s="29" t="n"/>
      <c r="Q60" s="29" t="inlineStr">
        <is>
          <t>Meclis onayı 25 Nisan 2024; kanalizasyon ve arıtma 26 Mayıs 2024'ten; içme suyu 19 Haziran 2024'ten (belediye yönetmeliği 24 Haziran'ı öngörüyordu).</t>
        </is>
      </c>
      <c r="R60" s="29" t="inlineStr">
        <is>
          <t>İlk tam yılda hane başına ortalama ayda 4,79 € ek (belediye tahmini).</t>
        </is>
      </c>
      <c r="S60" s="29" t="n"/>
      <c r="T60" s="29" t="n"/>
    </row>
    <row r="61" ht="54" customHeight="1">
      <c r="A61" s="29" t="inlineStr">
        <is>
          <t>malaga:cop-toplama-odemesi-pppnt-isyeri-ve-turistik-konut</t>
        </is>
      </c>
      <c r="B61" s="29" t="inlineStr">
        <is>
          <t>malaga</t>
        </is>
      </c>
      <c r="C61" s="29" t="inlineStr">
        <is>
          <t>cop-toplama-odemesi-pppnt-isyeri-ve-turistik-konut</t>
        </is>
      </c>
      <c r="D61" s="29" t="inlineStr">
        <is>
          <t>Málaga'da çöp toplama için ayrı bir ödeme yapılır mı: PPPNT'yi kimler öder?</t>
        </is>
      </c>
      <c r="E61" s="29" t="inlineStr">
        <is>
          <t>Limasam'ın çöp hizmeti için PPPNT ödemesi konut dışı işyerleri ve turistik amaçla kiralanan konutlar içindir; 2026 gönüllü ödeme dönemi (3 Ağustos-5 Ekim) bitti</t>
        </is>
      </c>
      <c r="F61" s="29" t="inlineStr">
        <is>
          <t>Evet, ama yalnız konut dışı kullanılan taşınmazlar (dükkân, sanayi, depo, kültür ve eğlence merkezi, ofis) ile turistik amaçla kiralanan konutlar için ayrı bir PPPNT ödemesi var. Bu, belediye şirketi Limasam (Limpieza de Málaga SAM) adına tahsil edilen ve temizlik hizmetinin maliyetini kısmen karşılayan bir ödemedir. Taşınmazı herhangi bir hak ile kullanan ya da işgal eden gerçek veya tüzel kişi öder; hizmeti kullanmasan da ödeme doğar. Tutar faaliyetin türüne, gerektiğinde yüzölçümüne, yer sayısına (plazas), kategoriye ve atık hacmine göre belirlenir; tarifeler ilgili belediye yönetmeliğinin 5. maddesindedir ve KDV eklenir. 2026'da banka çekimi olmayan makbuzun gönüllü ödeme dönemi 3 Ağustos-5 Ekim'di ve bitti; banka çekimlilerde 5 Ekim'de %50 alındı, kalan %50 9 Aralık'ta alınacak. Gönüllü dönem bitince ödenmeyen makbuzlar icra yoluna gider; ek ücret ve gecikme faizi eklenir.</t>
        </is>
      </c>
      <c r="G61" s="29" t="inlineStr">
        <is>
          <t>PPPNT, çöp, Limasam, recogida de residuos, actividades económicas, vivienda turística, Gestrisam, Málaga</t>
        </is>
      </c>
      <c r="H61" s="29" t="inlineStr">
        <is>
          <t>settled</t>
        </is>
      </c>
      <c r="I61" s="29" t="inlineStr">
        <is>
          <t>malaga:kaynak:169;malaga:kaynak:177</t>
        </is>
      </c>
      <c r="J61" s="49" t="n">
        <v>46322</v>
      </c>
      <c r="K61" s="51" t="n">
        <v>505</v>
      </c>
      <c r="L61" s="29" t="inlineStr">
        <is>
          <t>Hayır</t>
        </is>
      </c>
      <c r="M61" s="29" t="inlineStr">
        <is>
          <t>Taslak</t>
        </is>
      </c>
      <c r="N61" s="29" t="inlineStr">
        <is>
          <t>malaga:fatura</t>
        </is>
      </c>
      <c r="O61" s="29" t="inlineStr">
        <is>
          <t>Dükkân, ofis, atölye ya da turistik amaçlı kiralanan konut işletiyorsan bu ödemenin kapsamında olduğunu bil.
Faaliyetine göre tarifeyi belediye yönetmeliğinin 5. maddesinden bul; tutara KDV eklenir.
Alta, değişiklik ya da baja işlemini belediyenin elektronik ofisinden (Sede Electrónica) yap; bu işlemler yalnız orada yürütülüyor.
2026 gönüllü ödeme dönemi (3 Ağustos-5 Ekim) bitti: ödemediysen makbuz icra yoluna gider ve ek ücret ile gecikme faizi eklenir. Banka çekimin varsa kalan %50 9 Aralık'ta çekilecek; ödeme dönemlerini Calendario fiscal sayfasında bul.</t>
        </is>
      </c>
      <c r="P61" s="29" t="n"/>
      <c r="Q61" s="29" t="inlineStr">
        <is>
          <t>2026: banka çekimi olmayan makbuz 3 Ağustos-5 Ekim (bitti); banka çekimi 5 Ekim (%50) ve 9 Aralık (%50).</t>
        </is>
      </c>
      <c r="R61" s="29" t="inlineStr">
        <is>
          <t>Tarife faaliyetin türüne, yüzölçümüne, yer sayısına, kategoriye ve atık hacmine göre belirlenir; tutarlar belediye yönetmeliğinin 5. maddesindedir; KDV eklenir.</t>
        </is>
      </c>
      <c r="S61" s="29" t="n"/>
      <c r="T61" s="29" t="n"/>
    </row>
    <row r="62" ht="54" customHeight="1">
      <c r="A62" s="29" t="inlineStr">
        <is>
          <t>malaga:malaga-tuketici-ofisi-fatura-ve-hizmet-sikayeti</t>
        </is>
      </c>
      <c r="B62" s="29" t="inlineStr">
        <is>
          <t>malaga</t>
        </is>
      </c>
      <c r="C62" s="29" t="inlineStr">
        <is>
          <t>malaga-tuketici-ofisi-fatura-ve-hizmet-sikayeti</t>
        </is>
      </c>
      <c r="D62" s="29" t="inlineStr">
        <is>
          <t>Málaga'da fatura, abonelik ya da hizmet şikâyetini nereye ve nasıl iletirsin?</t>
        </is>
      </c>
      <c r="E62" s="29" t="inlineStr">
        <is>
          <t>Önce şirkete hoja de reclamaciones ver, 10 iş günü bekle; sonuç yoksa Oficina Municipal del Consumidor (Paseo Antonio Machado 12) randevuyla</t>
        </is>
      </c>
      <c r="F62" s="29" t="inlineStr">
        <is>
          <t>Nihai tüketici (bireysel kişi) olarak, tahkim sistemine (Sistema Arbitral de Consumo) bağlı olmayan ya da bağlı olsa da tahkim istemediğin bir şirketten şikâyetçiysen önce şirketten Junta de Andalucía'nın şikâyet formunu (Hoja de Reclamaciones) iste, forma yaz ve şirkete ver; cevap için 10 iş günü beklemen gerekir. Cevap gelmezse ya da talebini karşılamazsa Ayuntamiento de Málaga'nın Oficina Municipal del Consumidor'una, Paseo Antonio Machado 12'ye (Edificio Múltiple de Servicios Municipales) formu ve savunman için uygun gördüğün belgelerle başvurursun; yüz yüze başvuru şu anda randevuyla alınıyor, bunun yerine belediyenin elektronik ofisi sede.malaga.eu üzerinden de başvurabilirsin. Ofisin e-postası seccionconsumo@malaga.eu, telefonu 951 92 84 58'dir. Banka, telekom ve regüle elektrik gibi konuların kendi şikâyet yolu vardır: önce şirketin müşteri hizmetlerine şikâyet edersin; cevap süresi dolunca ya da cevap olumsuzsa banka için Banco de España Servicio de Reclamaciones'a, telekom için Oficina de Atención al Usuario de Telecomunicaciones'a başvurursun. Regüle piyasa elektrik sözleşmesinde C/ Compositor Lehmberg Ruiz 22, 29071 Málaga adresine (tel. 951 04 10 00, e-posta dpma.chap@juntadeandalucia.es) başvurulur; serbest piyasa sözleşmesinde şikâyet formu tüketici kuruluna verilir.</t>
        </is>
      </c>
      <c r="G62" s="29" t="inlineStr">
        <is>
          <t>tüketici şikâyeti, hoja de reclamaciones, Oficina Municipal del Consumidor, Málaga, telekom şikâyet, elektrik şikâyet, Banco de España</t>
        </is>
      </c>
      <c r="H62" s="29" t="inlineStr">
        <is>
          <t>settled</t>
        </is>
      </c>
      <c r="I62" s="29" t="inlineStr">
        <is>
          <t>malaga:kaynak:170;malaga:kaynak:171</t>
        </is>
      </c>
      <c r="J62" s="49" t="n">
        <v>46322</v>
      </c>
      <c r="K62" s="51" t="n">
        <v>506</v>
      </c>
      <c r="L62" s="29" t="inlineStr">
        <is>
          <t>Hayır</t>
        </is>
      </c>
      <c r="M62" s="29" t="inlineStr">
        <is>
          <t>Taslak</t>
        </is>
      </c>
      <c r="N62" s="29" t="inlineStr">
        <is>
          <t>malaga:fatura</t>
        </is>
      </c>
      <c r="O62" s="29" t="inlineStr">
        <is>
          <t>Şikâyet ettiğin işletmeden Hoja de Reclamaciones iste, doldur ve işletmeye ver.
Cevap için 10 iş günü bekle.
Cevap gelmezse ya da talebin karşılanmazsa Paseo Antonio Machado 12'deki Oficina Municipal del Consumidor'a formu ve savunman için uygun gördüğün belgelerle randevu alarak git; belediyenin elektronik ofisinden (sede.malaga.eu) formu ekleyerek de başvurabilirsin.
Konu banka, telekom ya da regüle elektrik sözleşmesiyse önce şirketin müşteri hizmetlerine şikâyet et; cevap süresi dolunca ya da cevap olumsuzsa banka için Banco de España'ya, telekom için Oficina de Atención al Usuario de Telecomunicaciones'a, regüle elektrik için C/ Compositor Lehmberg Ruiz 22 adresine başvur.</t>
        </is>
      </c>
      <c r="P62" s="29" t="inlineStr">
        <is>
          <t>Hoja de Reclamaciones
Savunman için uygun gördüğün ek belgeler</t>
        </is>
      </c>
      <c r="Q62" s="29" t="inlineStr">
        <is>
          <t>İşletmenin cevabı için 10 iş günü.</t>
        </is>
      </c>
      <c r="R62" s="29" t="inlineStr">
        <is>
          <t>Hoja de Reclamaciones'in verilmesi ücretsizdir.</t>
        </is>
      </c>
      <c r="S62" s="29" t="n"/>
      <c r="T62" s="29" t="n"/>
    </row>
    <row r="63" ht="54" customHeight="1">
      <c r="A63" s="29" t="inlineStr">
        <is>
          <t>malaga:hoja-de-reclamaciones-nasil-istenir-ve-verilir</t>
        </is>
      </c>
      <c r="B63" s="29" t="inlineStr">
        <is>
          <t>malaga</t>
        </is>
      </c>
      <c r="C63" s="29" t="inlineStr">
        <is>
          <t>hoja-de-reclamaciones-nasil-istenir-ve-verilir</t>
        </is>
      </c>
      <c r="D63" s="29" t="inlineStr">
        <is>
          <t>Hoja de reclamaciones (Endülüs şikâyet formu) nasıl istenir, verilmezse ne yaparsın?</t>
        </is>
      </c>
      <c r="E63" s="29" t="inlineStr">
        <is>
          <t>Form işletmede anında ve ücretsiz verilir; dışarıda doldurup sonra teslim edebilirsin; verilmezse yetkili görevli çağrılabilir</t>
        </is>
      </c>
      <c r="F63" s="29" t="inlineStr">
        <is>
          <t>Hoja de reclamaciones'i, mal satan ya da hizmet veren işletmeden bulunduğun yerde iste: form verilmesi zorunlu, anında ve ücretsizdir. Formu işletmenin dışında doldurup sonra teslim edebilirsin; satış ya da hizmet işletmenin dışında yapılıyorsa (evde veya araçla verilen hizmetler dâhil) görevli yanında form defteri taşımak zorundadır. İşletme formu vermezse ya da vermek istemezse tüketici alanında yetkili otoritenin görevlilerinden (agentes de la autoridad competente en materia de consumo) yardım isteyebilirsin. Formu işletmeye verdikten sonra cevap için 10 iş günü beklemen gerekir; cevap gelmezse ya da talebin karşılanmazsa Málaga'da Oficina Municipal del Consumidor'a (Paseo Antonio Machado 12, şu anda randevuyla) ya da Ayuntamiento'nun sede.malaga.eu elektronik şubesi üzerinden başvurabilirsin. Junta de Andalucía'ya şikâyeti ayrıca internetten de yapabilirsin: dijital sertifikan varsa işlem baştan sona internetten yürür; yoksa şikâyeti yazdırıp doldurur ve Junta de Andalucía'nın tüm birimlerindeki kayıtlara verirsin. Bilgi için 012 ya da 955 012 012'yi arayabilirsin.</t>
        </is>
      </c>
      <c r="G63" s="29" t="inlineStr">
        <is>
          <t>hoja de reclamaciones, şikâyet formu, Consumo Responde, Junta de Andalucía, tüketici hakları, 012</t>
        </is>
      </c>
      <c r="H63" s="29" t="inlineStr">
        <is>
          <t>settled</t>
        </is>
      </c>
      <c r="I63" s="29" t="inlineStr">
        <is>
          <t>malaga:kaynak:171;malaga:kaynak:170</t>
        </is>
      </c>
      <c r="J63" s="49" t="n">
        <v>46322</v>
      </c>
      <c r="K63" s="51" t="n">
        <v>507</v>
      </c>
      <c r="L63" s="29" t="inlineStr">
        <is>
          <t>Hayır</t>
        </is>
      </c>
      <c r="M63" s="29" t="inlineStr">
        <is>
          <t>Taslak</t>
        </is>
      </c>
      <c r="N63" s="29" t="inlineStr">
        <is>
          <t>malaga:fatura</t>
        </is>
      </c>
      <c r="O63" s="29" t="inlineStr">
        <is>
          <t>İşletmeden bulunduğun yerde hoja de reclamaciones iste; verilmesi zorunlu, anında ve ücretsiz olmalı.
Formu açık ve kısa yaz; dışarıda doldurup sonra teslim edebilirsin.
İşletme formu vermezse tüketici alanında yetkili otoritenin görevlilerinden yardım iste.
Formu işletmeye ver ve 10 iş günü cevap bekle.
Cevap gelmezse ya da talebin karşılanmazsa Málaga'da Oficina Municipal del Consumidor'a (Paseo Antonio Machado 12, şu anda randevuyla) ya da sede.malaga.eu üzerinden formu ek belgelerinle birlikte ver.
Junta de Andalucía'ya şikâyeti ayrıca yapmak istersen: dijital sertifikan varsa internetten yap; yoksa şikâyeti yazdırıp doldur ve Junta de Andalucía birimlerindeki kayıtlara ver.</t>
        </is>
      </c>
      <c r="P63" s="29" t="inlineStr">
        <is>
          <t>Doldurulmuş Hoja de Reclamaciones
Savunman için uygun gördüğün ek belgeler</t>
        </is>
      </c>
      <c r="Q63" s="29" t="inlineStr">
        <is>
          <t>Form talep edildiğinde anında verilmelidir; işletmenin cevabı için 10 iş günü beklenir.</t>
        </is>
      </c>
      <c r="R63" s="29" t="inlineStr">
        <is>
          <t>Formun verilmesi ücretsizdir.</t>
        </is>
      </c>
      <c r="S63" s="29" t="n"/>
      <c r="T63" s="29" t="n"/>
    </row>
    <row r="64" ht="54" customHeight="1">
      <c r="A64" s="29" t="inlineStr">
        <is>
          <t>malaga:telekom-sozlesmesi-asgari-icerik-ve-sozlesme-oncesi-kosullar</t>
        </is>
      </c>
      <c r="B64" s="29" t="inlineStr">
        <is>
          <t>malaga</t>
        </is>
      </c>
      <c r="C64" s="29" t="inlineStr">
        <is>
          <t>telekom-sozlesmesi-asgari-icerik-ve-sozlesme-oncesi-kosullar</t>
        </is>
      </c>
      <c r="D64" s="29" t="inlineStr">
        <is>
          <t>İnternet ya da mobil hat sözleşmesi yapmadan önce operatörden ne istersin, sözleşmede neler yazılı olmalı?</t>
        </is>
      </c>
      <c r="E64" s="29" t="inlineStr">
        <is>
          <t>Telefon ve internet sözleşmelerinde asgari içerik zorunlu; uzaktan sözleşmede koşulları onaydan önce isteme hakkın var</t>
        </is>
      </c>
      <c r="F64" s="29" t="inlineStr">
        <is>
          <t>Operatörden, onay vermeden önce sana uygulanacak bütün koşulları iste; sözleşmede operatör bilgisi, hizmet özellikleri, tarifeler, taahhüt süresi, şikâyet usulü ve sona erme koşulları bulunmak zorundadır. Telefon ve internet erişimi sözleşmelerinin hepsi, yüz yüze ya da uzaktan yapılsın, Real Decreto 899/2009 madde 8'de düzenlenen asgari içeriği taşımak zorundadır: operatörün adı ve adresi, müşteri hizmetleri telefonu, hizmetin özellikleri, kalite düzeyleri, tarifeler, şikâyet usulü, kişisel veri bilgisi, asgari sözleşme ve yenileme süresi ile ihlalin sonuçları, tazminat politikası, bakım hizmetleri ile sözleşmenin sona erme biçimleri ve nedenleri. Uzaktan yapılan sözleşmede onay vermeden önce uygulanacak bütün koşulları isteme hakkın var; operatör vermezse web sitesinden ya da müşteri hizmetleri telefonundan iste. Asgari taahhüt süresi olup olmadığına, hangi gerekçeyle konduğuna (örneğin bedelsiz ya da ucuza verilen telefon veya router) ve süreyi bozarsan ne ödeyeceğine bak.</t>
        </is>
      </c>
      <c r="G64" s="29" t="inlineStr">
        <is>
          <t>telekom sözleşmesi, operatör, contrato de telecomunicaciones, permanencia, asgari içerik, Real Decreto 899/2009, internet, mobil hat</t>
        </is>
      </c>
      <c r="H64" s="29" t="inlineStr">
        <is>
          <t>new</t>
        </is>
      </c>
      <c r="I64" s="29" t="inlineStr">
        <is>
          <t>malaga:kaynak:172;malaga:kaynak:077</t>
        </is>
      </c>
      <c r="J64" s="49" t="n">
        <v>46322</v>
      </c>
      <c r="K64" s="51" t="n">
        <v>508</v>
      </c>
      <c r="L64" s="29" t="inlineStr">
        <is>
          <t>Hayır</t>
        </is>
      </c>
      <c r="M64" s="29" t="inlineStr">
        <is>
          <t>Taslak</t>
        </is>
      </c>
      <c r="N64" s="29" t="inlineStr">
        <is>
          <t>malaga:fatura</t>
        </is>
      </c>
      <c r="O64" s="29" t="inlineStr">
        <is>
          <t>Sözleşmeyi uzaktan yapacak olsan bile onay vermeden önce uygulanacak bütün koşulları operatörden iste; vermezse web sitesinden ya da müşteri hizmetleri telefonundan talep et.
Koşullarda hizmetin özelliklerini, fiyatları ve diğer ekonomik koşulları bul.
Asgari taahhüt süresi var mı bak; varsa gerekçesini (örneğin ucuza ya da bedelsiz verilen telefon, router) ve süreyi bozarsan ödeyeceğin tutarı koşullarda ara.
Sözleşmede kalite düzeylerini, şikâyet usulünü, tazminat politikasını ve sözleşmenin sona erme biçimlerini kontrol et.
Operatör koşulları vermezse şikâyet edebilirsin: önce operatörün şikâyet birimine telefonla, internetten, posta yoluyla ya da ofisinde başvur ve referans numarası iste; operatör bu numarayı vermek zorundadır.
Operatörden bir ay içinde yanıt alamazsan ya da yanıt seni tatmin etmezse Oficina de Atención al Usuario de Telecomunicaciones'e şikâyet et; bunun için operatörün yanıtından ya da bir aylık sürenin bitiminden itibaren üç ayın var.
Oficina'ya başvuruyu elektronik sertifikan ya da Cl@ve ile internetten yap; kâğıtla yapacaksan imzalı formu herhangi bir idare kaydına ya da Paseo de la Castellana 162, 28020 Madrid adresine ilet.</t>
        </is>
      </c>
      <c r="P64" s="29" t="inlineStr">
        <is>
          <t>Kâğıtla başvuruda imzalı şikâyet formu
İstersen başvuruyu destekleyen belgelerin okunaklı kopyası
Temsilciyle başvuruda: iki tarafça imzalı temsil formu ve iki tarafın DNI kopyası</t>
        </is>
      </c>
      <c r="Q64" s="29" t="inlineStr">
        <is>
          <t>Operatörün şikâyet birimi şikâyetini en çok bir ay içinde çözmek zorundadır; süre dolunca idarenin arabuluculuğuna başvurabilirsin. Oficina'ya başvuru süresi üç aydır; Oficina şikâyeti altı ay içinde karara bağlar.</t>
        </is>
      </c>
      <c r="R64" s="29" t="n"/>
      <c r="S64" s="29" t="n"/>
      <c r="T64" s="29" t="n"/>
    </row>
    <row r="65" ht="54" customHeight="1">
      <c r="A65" s="29" t="inlineStr">
        <is>
          <t>malaga:resmi-tatiller-2027</t>
        </is>
      </c>
      <c r="B65" s="29" t="inlineStr">
        <is>
          <t>malaga</t>
        </is>
      </c>
      <c r="C65" s="29" t="inlineStr">
        <is>
          <t>resmi-tatiller-2027</t>
        </is>
      </c>
      <c r="D65" s="29" t="inlineStr">
        <is>
          <t>İspanya'da 2027'de resmî tatil günleri hangileri, hangileri bölgeye göre değişir?</t>
        </is>
      </c>
      <c r="E65" s="29" t="inlineStr">
        <is>
          <t>BOE'de 13 Ekim 2026'da yayımlandı: sekiz ulusal gün ve 6 Ocak 2027'de hiçbir bölgede değişmedi, kalanı bölgeye göre değişir; yerel tatiller belediyeye bağlıdır</t>
        </is>
      </c>
      <c r="F65" s="29" t="inlineStr">
        <is>
          <t>2027'de her bölgede tatil olan günler: bölgelerin değiştiremediği 1 Ocak (Año Nuevo), 26 Mart (Viernes Santo), 1 Mayıs (Fiesta del Trabajo), 12 Ekim (Fiesta Nacional de España), 1 Kasım (Todos los Santos), 6 Aralık (Día de la Constitución), 8 Aralık (Inmaculada Concepción) ve 25 Aralık (Natividad del Señor); bir de 6 Ocak (Epifanía del Señor), çünkü kararın tablosunda hiçbir bölge 2027 için bu günün yerine başka gün koymamıştır. Liste, BOE'de 13 Ekim 2026'da yayımlanan (8 Ekim 2026 tarihli) Dirección General de Trabajo kararındadır. Bunların dışındaki günler bölgeye göre değişir: bazı ulusal günlerin yerine bölgeler kendi geleneksel günlerini koyabilir, ayrıca bazı bölgeler kendi bölge gününü ekler (2027 tablosunda bazı bölgelerin, örneğin başkent bölgesinin sütununda bölge günü işareti yoktur; Canarias için ada günleri tablonun altındaki 1 numaralı notta verilir). Karar 17 özerk bölgenin ve Ceuta ile Melilla'nın gönderdiği listelere dayanır. Yerel tatiller belediyeye göredir ve bu kararda yer almaz.</t>
        </is>
      </c>
      <c r="G65" s="29" t="inlineStr">
        <is>
          <t>resmi tatiller 2027, fiestas laborales 2027, BOE tatil takvimi, ulusal tatil, bölge tatili, fiestas locales, Viernes Santo, Jueves Santo</t>
        </is>
      </c>
      <c r="H65" s="29" t="inlineStr">
        <is>
          <t>planning;new;settled</t>
        </is>
      </c>
      <c r="I65" s="29" t="inlineStr">
        <is>
          <t>malaga:kaynak:121</t>
        </is>
      </c>
      <c r="J65" s="49" t="n">
        <v>46319</v>
      </c>
      <c r="K65" s="51" t="n">
        <v>9091</v>
      </c>
      <c r="L65" s="29" t="inlineStr">
        <is>
          <t>Hayır</t>
        </is>
      </c>
      <c r="M65" s="29" t="inlineStr">
        <is>
          <t>Taslak</t>
        </is>
      </c>
      <c r="N65" s="29" t="inlineStr">
        <is>
          <t>malaga:gunluk</t>
        </is>
      </c>
      <c r="O65" s="29" t="inlineStr">
        <is>
          <t>1 Ocak, 6 Ocak, 26 Mart, 1 Mayıs, 12 Ekim, 1 Kasım, 6 Aralık, 8 Aralık ve 25 Aralık'ı her yerde tatil olarak planla.
19 Mart (San José), 25 Mart (Jueves Santo) ve 16 Ağustos (Asunción'dan sonraki pazartesi) için kararın ekindeki tabloda kendi bölgenin sütununa bak: bölge bu günlerin yerine başka gün koyabilir.
29 Mart (Lunes de Pascua) gibi *** işaretli günleri bölge günü olarak oku; bunlar yalnız tabloda işaretli bölgelerde tatildir.
Belediyene özgü yerel tatilleri bölgenin ya da ilin resmî gazetesinde yayımlanan listeden öğren; belediye başına yılda en çok iki gün olabilir.</t>
        </is>
      </c>
      <c r="P65" s="29" t="n"/>
      <c r="Q65" s="29" t="inlineStr">
        <is>
          <t>2027 takvim yılı</t>
        </is>
      </c>
      <c r="R65" s="29" t="n"/>
      <c r="S65" s="29" t="inlineStr">
        <is>
          <t>Bazı bölgelerde adaya ya da yöreye özgü ek veya değişik tatil günleri vardır; kararın açıklama notlarında örnekleri verilir.</t>
        </is>
      </c>
      <c r="T65" s="29" t="n"/>
    </row>
    <row r="66" ht="54" customHeight="1">
      <c r="A66" s="29" t="inlineStr">
        <is>
          <t>malaga:magaza-acilis-saatleri-cercevesi</t>
        </is>
      </c>
      <c r="B66" s="29" t="inlineStr">
        <is>
          <t>malaga</t>
        </is>
      </c>
      <c r="C66" s="29" t="inlineStr">
        <is>
          <t>magaza-acilis-saatleri-cercevesi</t>
        </is>
      </c>
      <c r="D66" s="29" t="inlineStr">
        <is>
          <t>İspanya'da mağazaların açılış saatlerini kim belirler, yasal alt sınırlar neler?</t>
        </is>
      </c>
      <c r="E66" s="29" t="inlineStr">
        <is>
          <t>Ley 1/2004 ulusal çerçeveyi çizer; saat düzenlemesi özerk bölgelerdedir, haftalık ve pazar/tatil alt sınırları kanunda yazılıdır</t>
        </is>
      </c>
      <c r="F66" s="29" t="inlineStr">
        <is>
          <t>Saat düzenlemesi özerk bölgelerin yetkisindedir; Ley 1/2004 (Horarios Comerciales) ise ortak çerçeveyi ve alt sınırları koyar (konsolide metin, 17/10/2014 sürümü; metin bilgilendirme amaçlıdır, hukuki değeri yoktur). Bu çerçevede her işletmeci açılış ve kapanış saatini, hangi tatil günlerinde açık olacağını ve günlük ya da haftalık saatini kendisi belirler. Bölge, iş günlerinde haftalık toplam açık kalma süresini 90 saatin altına indiremez. Pazar ve tatil günlerinde yıllık ulusal asgari açık kalma sayısı 16'dır; bölge bu sayıyı artırabilir ya da azaltabilir, ama 10'un altına indiremez ve hangi pazar ve tatillerde açık olunacağını bölge belirler. Bu yüzden saat ve açık pazar günleri bölgene göre değişir.</t>
        </is>
      </c>
      <c r="G66" s="29" t="inlineStr">
        <is>
          <t>mağaza saatleri, horarios comerciales, Ley 1/2004, pazar günü açık, domingos y festivos, tiendas de conveniencia, çalışma saatleri</t>
        </is>
      </c>
      <c r="H66" s="29" t="inlineStr">
        <is>
          <t>new;settled</t>
        </is>
      </c>
      <c r="I66" s="29" t="inlineStr">
        <is>
          <t>malaga:kaynak:122</t>
        </is>
      </c>
      <c r="J66" s="49" t="n">
        <v>46319</v>
      </c>
      <c r="K66" s="51" t="n">
        <v>9092</v>
      </c>
      <c r="L66" s="29" t="inlineStr">
        <is>
          <t>Hayır</t>
        </is>
      </c>
      <c r="M66" s="29" t="inlineStr">
        <is>
          <t>Taslak</t>
        </is>
      </c>
      <c r="N66" s="29" t="inlineStr">
        <is>
          <t>malaga:gunluk</t>
        </is>
      </c>
      <c r="O66" s="29" t="inlineStr">
        <is>
          <t>İşletmenin türüne bak: asıl işi pastane ve pasta, ekmek, hazır yemek, gazete, akaryakıt, çiçek ve bitki satmak olan mağazalar ile tiendas de conveniencia (500 m²'ye kadar, günde en az 18 saat açık, kitap, gazete, gıda, plak, video, oyuncak ve hediye gibi karışık ürün satan mağaza) tüm ülkede gün ve saatini serbestçe belirler. Sınır noktalarındaki, istasyon ve ulaşım araçlarındaki ve turistik yoğunluk bölgelerindeki mağazalar da serbesttir; bu bölgeleri özerk bölge belirler ve belediyenin önerisine göre ilan edilen alan ya da dönem kısıtlı olabilir.
Kullanım alanı 300 metrekarenin altındaki küçük mağazalarda da gün ve saat serbesttir; KOBİ sayılmayan şirket ve gruplara ait olanlar bunun dışındadır.
Eczane ve estanko (tütün bayii) kendi özel mevzuatına tabidir. Yukarıdakilerin dışındaki mağazalarda bölge, iş günlerindeki haftalık toplam açık kalma süresini 90 saatin altına indiremez; açılış ve kapanış saatini işletmeci seçer.
Pazar ve tatilde açık olabilecek gün sayısı ulusal çerçevede yılda en az 16'dır; bölgen bunu artırabilir ya da 10'a kadar indirebilir. Hangi günlerin açık olacağını bölge belirler.</t>
        </is>
      </c>
      <c r="P66" s="29" t="n"/>
      <c r="Q66" s="29" t="n"/>
      <c r="R66" s="29" t="n"/>
      <c r="S66" s="29" t="inlineStr">
        <is>
          <t>Bölgeler halka saatleri bildirme yükümlülükleri de koyabilir. Yukarıdaki sayılar ulusal çerçevedir; bölgenin kendi düzenlemesi bunların üzerine çıkabilir.</t>
        </is>
      </c>
      <c r="T66" s="29" t="n"/>
    </row>
    <row r="67" ht="54" customHeight="1">
      <c r="A67" s="29" t="inlineStr">
        <is>
          <t>malaga:ab-disi-paket-gumruk-iva</t>
        </is>
      </c>
      <c r="B67" s="29" t="inlineStr">
        <is>
          <t>malaga</t>
        </is>
      </c>
      <c r="C67" s="29" t="inlineStr">
        <is>
          <t>ab-disi-paket-gumruk-iva</t>
        </is>
      </c>
      <c r="D67" s="29" t="inlineStr">
        <is>
          <t>AB dışından internetten alınan 150 euroya kadarlık paket için İspanya'da IVA ve gümrük vergisi ödenir mi?</t>
        </is>
      </c>
      <c r="E67" s="29" t="inlineStr">
        <is>
          <t>IVA ödenir; 1 Temmuz 2026'dan beri 150 euroya kadar siparişte kategori başına 3 euro arancel, 1 Kasım 2026'dan itibaren ayrıca 2 euro işlem ücreti</t>
        </is>
      </c>
      <c r="F67" s="29" t="inlineStr">
        <is>
          <t>Evet, 150 euroya kadar siparişlerde. AEAT'a göre AB dışından internetten alışverişte IVA ödenir: satıcı IOSS sistemine katılıyorsa fiyata IVA dahildir, katılmıyorsa paketi İspanya'ya sokan taşıyıcı IVA'yı tahsil eder ve teslimden önce malın fiyatının %21'ini isteyebilir. 1 Temmuz 2026'dan itibaren toplam tutarı en çok 150 euro olan siparişlerde IVA'ya ek olarak her ürün kategorisi için 3 euro sabit arancel (gümrük vergisi) ödenir; kaynak AB dışı örnek olarak Çin, ABD ve Birleşik Krallık'ı verir. 1 Kasım 2026'dan önce arancel olarak yalnız bu 3 euro vardır (taşıyıcı ayrıca bazı yönetim giderleri isteyebilir); 1 Kasım 2026'dan itibaren her kategori için 2 euro işlem ücreti de arancelle birlikte ödenir. AB dışı kaynaklı paketler Correos'ta gümrük kontrolüne girer; bu tutarlar önceden ödenmemişse alıcı onları ödemeden paketi alamaz.</t>
        </is>
      </c>
      <c r="G67" s="29" t="inlineStr">
        <is>
          <t>gümrük, IVA, arancel, AB dışı paket, 150 euro, Correos, AEAT, IOSS, internetten alışveriş, aduana</t>
        </is>
      </c>
      <c r="H67" s="29" t="inlineStr">
        <is>
          <t>new;settled</t>
        </is>
      </c>
      <c r="I67" s="29" t="inlineStr">
        <is>
          <t>malaga:kaynak:123;malaga:kaynak:124</t>
        </is>
      </c>
      <c r="J67" s="49" t="n">
        <v>46319</v>
      </c>
      <c r="K67" s="51" t="n">
        <v>9093</v>
      </c>
      <c r="L67" s="29" t="inlineStr">
        <is>
          <t>Hayır</t>
        </is>
      </c>
      <c r="M67" s="29" t="inlineStr">
        <is>
          <t>Taslak</t>
        </is>
      </c>
      <c r="N67" s="29" t="inlineStr">
        <is>
          <t>malaga:gunluk</t>
        </is>
      </c>
      <c r="O67" s="29" t="inlineStr">
        <is>
          <t>Siparişten önce satıcının koşullarında fiyatın IVA ve gümrük vergisini içerip içermediğine bak.
Malın sipariş anında nereden gönderildiğine bak: gümrük vergisi için belirleyici olan, ürünün sipariş sonrası gönderildiği yerdir; ürün İspanya'da ya da başka bir AB ülkesindeyse gümrük vergisi yoktur.
Fiyata dahil değilse taşıyıcının istediği IVA ve arancel tutarını öde; teslim buna bağlı olabilir. Correos'ta bu tutarları alıcı öder.
İade edeceksen arancelin iade edilmediğini bil; arancel yalnız mal kusurluysa ya da sözleşmeye uymuyorsa geri verilir. IVA iadesi ise ayrı işler.</t>
        </is>
      </c>
      <c r="P67" s="29" t="n"/>
      <c r="Q67" s="29" t="inlineStr">
        <is>
          <t>1 Temmuz 2026'dan itibaren; işlem ücreti 1 Kasım 2026'dan itibaren</t>
        </is>
      </c>
      <c r="R67" s="29" t="inlineStr">
        <is>
          <t>Arancel: kategori başına 3 euro (150 euroya kadar siparişlerde, 1 Temmuz 2026'dan itibaren). İşlem ücreti: kategori başına 2 euro (1 Kasım 2026'dan itibaren)</t>
        </is>
      </c>
      <c r="S67" s="29" t="inlineStr">
        <is>
          <t>AEAT gümrük vergisini tüketiciden talep etmez; yalnız satıcı ya da platformun gümrük beyanı için görevlendirdiği kişiden ister. Tüketici gümrük işlemlerini kendi adına yapıyorsa kaynak bu güvenceyi vermez. Kontrol iki yönde işler: İspanya anakarasına (Península ve Baleares) AB dışından, Canarias, Ceuta ya da Melilla'dan gelen paketler ve Canarias, Ceuta ya da Melilla'ya başka bir bölgeden giren paketler Correos'ta gümrük kontrolüne tabidir. %21 oranı kaynak sayfada bölge ayrımı yapılmadan verilir; Canarias, Ceuta ve Melilla'daki IVA uygulaması bu kartın kapsamı dışındadır. Bazı ürünler kısıtlı ya da yasak olabilir; ithalatı yapan kişi şartları öğrenmekten ve gerekli belgeleri vermekten sorumludur.</t>
        </is>
      </c>
      <c r="T67" s="29" t="n"/>
    </row>
    <row r="68" ht="54" customHeight="1">
      <c r="A68" s="29" t="inlineStr">
        <is>
          <t>malaga:diger-resmi-yardim-hatlari</t>
        </is>
      </c>
      <c r="B68" s="29" t="inlineStr">
        <is>
          <t>malaga</t>
        </is>
      </c>
      <c r="C68" s="29" t="inlineStr">
        <is>
          <t>diger-resmi-yardim-hatlari</t>
        </is>
      </c>
      <c r="D68" s="29" t="inlineStr">
        <is>
          <t>İspanya'da 112 dışında hangi resmî yardım hatları var (016, 021, 028, 024)?</t>
        </is>
      </c>
      <c r="E68" s="29" t="inlineStr">
        <is>
          <t>Ministerio de Igualdad'ın 016, 021, 028, ATENPRO ve 900 19 10 10 hatları ile Ministerio de Sanidad'ın 024 intihar önleme hattı</t>
        </is>
      </c>
      <c r="F68" s="29" t="inlineStr">
        <is>
          <t>Evet, 112 dışında konuya özel resmî hatlar var: 016, 021, 028, ATENPRO, 900 19 10 10 ve 024. Ministerio de Igualdad'ın hatları: kadına yönelik şiddet için 016 (bilgi, hukuki danışmanlık ve psikososyal destek), ırksal ya da etnik ayrımcılık mağdurları için 021, LGTBI hakları ve nefret suçları için 028. Kadına şiddet mağdurları için 24 saat telefonla bakım ve koruma hizmeti ATENPRO'nun numarası 900 22 22 92, kadın haklarına dair bilgi ve danışmanlık hattı ise 900 19 10 10'dur. Ministerio de Sanidad'ın 024 hattı intihar düşüncesi ya da riski taşıyanlara ve yakınlarına yöneliktir; ülke genelinde ücretsiz, gizli ve günün 24 saati, yılın 365 günü açıktır.</t>
        </is>
      </c>
      <c r="G68" s="29" t="inlineStr">
        <is>
          <t>016, 021, 028, 024, yardım hattı, kadına şiddet, ayrımcılık, LGTBI, intihar önleme, ATENPRO</t>
        </is>
      </c>
      <c r="H68" s="29" t="inlineStr">
        <is>
          <t>new;settled</t>
        </is>
      </c>
      <c r="I68" s="29" t="inlineStr">
        <is>
          <t>malaga:kaynak:125;malaga:kaynak:126</t>
        </is>
      </c>
      <c r="J68" s="49" t="n">
        <v>46319</v>
      </c>
      <c r="K68" s="51" t="n">
        <v>9094</v>
      </c>
      <c r="L68" s="29" t="inlineStr">
        <is>
          <t>Hayır</t>
        </is>
      </c>
      <c r="M68" s="29" t="inlineStr">
        <is>
          <t>Taslak</t>
        </is>
      </c>
      <c r="N68" s="29" t="inlineStr">
        <is>
          <t>malaga:gunluk</t>
        </is>
      </c>
      <c r="O68" s="29" t="inlineStr">
        <is>
          <t>Kadına yönelik şiddet için 016'yı ara; 600 000 016 numarasına ya da 016-online@igualdad.gob.es adresine de ulaşabilirsin.
Irksal ya da etnik ayrımcılık için 021'i ara; 028 hattı LGTBI hakları ve nefret suçları içindir, chat ile de ulaşılır.
ATENPRO (şiddet mağdurları için 24 saat telefon bakım ve koruma hizmeti) 900 22 22 92 numaralı telefondur; kadın haklarına dair bilgi ve danışmanlık için 900 19 10 10'u ara.
İntihar düşüncesi ya da riski için 024'ü ara; hat sohbet ve işaret dili video çevirisiyle de açıktır.
Yaşamı hemen tehdit eden acil bir durumda doğrudan 112'yi ara.</t>
        </is>
      </c>
      <c r="P68" s="29" t="n"/>
      <c r="Q68" s="29" t="inlineStr">
        <is>
          <t>024 hattı günün 24 saati, yılın 365 günü</t>
        </is>
      </c>
      <c r="R68" s="29" t="n"/>
      <c r="S68" s="29" t="inlineStr">
        <is>
          <t>024 hattı yüz yüze bir sağlık uzmanıyla görüşmenin yerini almak için değildir; duruma göre sağlık sistemine yönlendirir ya da 112'ye aktarır.</t>
        </is>
      </c>
      <c r="T68" s="29" t="n"/>
    </row>
    <row r="69" ht="54" customHeight="1">
      <c r="A69" s="29" t="inlineStr">
        <is>
          <t>malaga:bahsis-ve-odeme-aliskanliklari</t>
        </is>
      </c>
      <c r="B69" s="29" t="inlineStr">
        <is>
          <t>malaga</t>
        </is>
      </c>
      <c r="C69" s="29" t="inlineStr">
        <is>
          <t>bahsis-ve-odeme-aliskanliklari</t>
        </is>
      </c>
      <c r="D69" s="29" t="inlineStr">
        <is>
          <t>İspanya'da bahşiş vermek zorunlu mu, nakit ve kartla ödeme nasıl işler?</t>
        </is>
      </c>
      <c r="E69" s="29" t="inlineStr">
        <is>
          <t>Bahşiş zorunlu değil, servis fiyata dahildir; bar, restoran, otel ve taksilerde yaygındır, genelde toplamın yüzde beş ile on arasıdır (spain.info)</t>
        </is>
      </c>
      <c r="F69" s="29" t="inlineStr">
        <is>
          <t>Hayır, bahşiş zorunlu değil: spain.info'ya göre işletmelerin tamamı hizmet bedelini fiyata dahil eder. Yine de bar ve restoranlarda, otellerde ve taksilerde bahşiş vermek yaygındır; tutar hesap tutarına bağlıdır ve genelde toplam tutarın yüzde beşi ile yüzde onu arasındadır. Ödemede hemen her yerde nakit geçer ve genelde yalnız euro kabul edilir; makineyle ödemede bazen kartla ödemek zorunlu olabilir. Kredi ve banka kartları yaygındır, çoğunlukla Visa ve Mastercard; kartla ödeme için yaklaşık 10 € asgari tutar istenebilir ve kartının koşullarına göre komisyon doğabilir. Etiketteki fiyatta pazarlık kabul edilmez.</t>
        </is>
      </c>
      <c r="G69" s="29" t="inlineStr">
        <is>
          <t>bahşiş, propinas, ödeme, nakit, kart, Visa, Mastercard, pazarlık, euro</t>
        </is>
      </c>
      <c r="H69" s="29" t="inlineStr">
        <is>
          <t>before;new;settled</t>
        </is>
      </c>
      <c r="I69" s="29" t="inlineStr">
        <is>
          <t>malaga:kaynak:127</t>
        </is>
      </c>
      <c r="J69" s="49" t="n">
        <v>46319</v>
      </c>
      <c r="K69" s="51" t="n">
        <v>9095</v>
      </c>
      <c r="L69" s="29" t="inlineStr">
        <is>
          <t>Hayır</t>
        </is>
      </c>
      <c r="M69" s="29" t="inlineStr">
        <is>
          <t>Taslak</t>
        </is>
      </c>
      <c r="N69" s="29" t="inlineStr">
        <is>
          <t>malaga:gunluk</t>
        </is>
      </c>
      <c r="O69" s="29" t="inlineStr">
        <is>
          <t>Servis bedeli fiyata dahil olduğu için bahşişi isteğe göre ver; bar, restoran, otel ve taksilerde yaygındır.
Verecekse hesap tutarının yüzde beşi ile yüzde onu arasında bir tutar belirle.
Yanında nakit euro bulundur; makineyle ödemede kart gerekebilir.
Kartla küçük tutar ödeyeceksen yaklaşık 10 € asgari tutar istenebileceğini ve kartının komisyon koşullarını hesaba kat.</t>
        </is>
      </c>
      <c r="P69" s="29" t="n"/>
      <c r="Q69" s="29" t="n"/>
      <c r="R69" s="29" t="n"/>
      <c r="S69" s="29" t="inlineStr">
        <is>
          <t>Kartla ödemede komisyon, kartının koşullarına bağlıdır.</t>
        </is>
      </c>
      <c r="T69" s="29" t="n"/>
    </row>
    <row r="70" ht="54" customHeight="1">
      <c r="A70" s="29" t="inlineStr">
        <is>
          <t>malaga:endulus-2027-resmi-tatilleri</t>
        </is>
      </c>
      <c r="B70" s="29" t="inlineStr">
        <is>
          <t>malaga</t>
        </is>
      </c>
      <c r="C70" s="29" t="inlineStr">
        <is>
          <t>endulus-2027-resmi-tatilleri</t>
        </is>
      </c>
      <c r="D70" s="29" t="inlineStr">
        <is>
          <t>Endülüs'te 2027'de resmî tatil günleri hangileri, Día de Andalucía ve 15 Ağustos neden kayıyor?</t>
        </is>
      </c>
      <c r="E70" s="29" t="inlineStr">
        <is>
          <t>Decreto 84/2026: Día de Andalucía 1 Mart'a, 15 Ağustos 16 Ağustos'a kayar; belediye başına iki yerel tatil ayrıca gelir</t>
        </is>
      </c>
      <c r="F70" s="29" t="inlineStr">
        <is>
          <t>Decreto 84/2026'ya göre Endülüs'te 2027'nin ücretli, telafisiz bölge tatilleri şunlardır: 1 Ocak (Cuma), 6 Ocak (Çarşamba), 1 Mart (Pazartesi, Día de Andalucía), 25 Mart Jueves Santo, 26 Mart Viernes Santo, 1 Mayıs (Cumartesi), 16 Ağustos (Pazartesi), 12 Ekim (Salı), 1 Kasım (Pazartesi), 6 Aralık (Pazartesi), 8 Aralık (Çarşamba) ve 25 Aralık (Cumartesi). Día de Andalucía (28 Şubat) ve Asunción (15 Ağustos) 2027'de Pazar'a denk geldiği için ertesi Pazartesi'ye, yani 1 Mart ve 16 Ağustos'a kaydırıldı. Bunlara ek olarak her belediyede iki yerel tatil vardır; hangi günler olduğu belediyene göre değişir.</t>
        </is>
      </c>
      <c r="G70" s="29" t="inlineStr">
        <is>
          <t>Endülüs resmî tatil 2027, fiestas laborales, Día de Andalucía, Jueves Santo, Viernes Santo, fiestas locales, Decreto 84/2026</t>
        </is>
      </c>
      <c r="H70" s="29" t="inlineStr">
        <is>
          <t>planning;new;settled</t>
        </is>
      </c>
      <c r="I70" s="29" t="inlineStr">
        <is>
          <t>malaga:kaynak:140</t>
        </is>
      </c>
      <c r="J70" s="49" t="n">
        <v>46319</v>
      </c>
      <c r="K70" s="51" t="n">
        <v>9103</v>
      </c>
      <c r="L70" s="29" t="inlineStr">
        <is>
          <t>Hayır</t>
        </is>
      </c>
      <c r="M70" s="29" t="inlineStr">
        <is>
          <t>Taslak</t>
        </is>
      </c>
      <c r="N70" s="29" t="inlineStr">
        <is>
          <t>malaga:gunluk</t>
        </is>
      </c>
      <c r="O70" s="29" t="inlineStr">
        <is>
          <t>Aşağıdaki listeyi 2027 iş planına işle.
1 Mart ve 16 Ağustos'un kaydırılmış tarihler olduğunu hesaba kat.
Belediyenin iki yerel tatil günü ayrıca belirlenir; bunları listeye ekle.</t>
        </is>
      </c>
      <c r="P70" s="29" t="n"/>
      <c r="Q70" s="29" t="inlineStr">
        <is>
          <t>2027 takvim yılı için geçerli.</t>
        </is>
      </c>
      <c r="R70" s="29" t="n"/>
      <c r="S70" s="29" t="inlineStr">
        <is>
          <t>Yıllık sınır on dört gündür; ikisi yerel tatildir. Her belediyenin en çok iki yerel tatil önerisi Consejería'ya bildirilir.</t>
        </is>
      </c>
      <c r="T70" s="29" t="n"/>
    </row>
    <row r="71" ht="54" customHeight="1">
      <c r="A71" s="29" t="inlineStr">
        <is>
          <t>malaga:malaga-acil-durumda-112-061-ve-urgencias-numarasi</t>
        </is>
      </c>
      <c r="B71" s="29" t="inlineStr">
        <is>
          <t>malaga</t>
        </is>
      </c>
      <c r="C71" s="29" t="inlineStr">
        <is>
          <t>malaga-acil-durumda-112-061-ve-urgencias-numarasi</t>
        </is>
      </c>
      <c r="D71" s="29" t="inlineStr">
        <is>
          <t>Málaga'da acil durumda hangi numarayı ararım: 112, 061 ve hayati tehlike olmayan sağlık acili (urgencias) farkı nedir?</t>
        </is>
      </c>
      <c r="E71" s="29" t="inlineStr">
        <is>
          <t>112 her acil durum için, 061 hayati tehlike için, Málaga urgencias numarası 951 031 437; Salud Responde 955 54 50 60</t>
        </is>
      </c>
      <c r="F71" s="29" t="inlineStr">
        <is>
          <t>Hayatın tehlikede olduğu ya da yangın, güvenlik, kurtarma ve sivil koruma gibi her acil durumda ücretsiz 112'yi ararsın; Endülüs'te kesintisiz yanıtlanır. Ağır trafik kazası, kalp krizi, boğulma ya da ağır zehirlenme gibi hayati tehlikesi olan sağlık acillerinde 061'i ararsın. Ateş, ağrı, kusma gibi hayati tehlike olmayan ama sağlık hizmeti gereken durumlarda ilin tek urgencias numarası aranır; Málaga için bu numara 951 031 437'dir. Salud Responde (955 54 50 60) 24 saat randevu ve sağlık bilgisi verir ve çeviri hizmeti sunar.</t>
        </is>
      </c>
      <c r="G71" s="29" t="inlineStr">
        <is>
          <t>112, 061, acil durum, urgencias, Salud Responde, ambulans, Málaga acil numara, 951 031 437</t>
        </is>
      </c>
      <c r="H71" s="29" t="inlineStr">
        <is>
          <t>before;planning;new;settled</t>
        </is>
      </c>
      <c r="I71" s="29" t="inlineStr">
        <is>
          <t>malaga:kaynak:264;malaga:kaynak:265</t>
        </is>
      </c>
      <c r="J71" s="49" t="n">
        <v>46322</v>
      </c>
      <c r="K71" s="51" t="n">
        <v>1101</v>
      </c>
      <c r="L71" s="29" t="inlineStr">
        <is>
          <t>Evet</t>
        </is>
      </c>
      <c r="M71" s="29" t="inlineStr">
        <is>
          <t>Taslak</t>
        </is>
      </c>
      <c r="N71" s="29" t="inlineStr">
        <is>
          <t>malaga:gunluk</t>
        </is>
      </c>
      <c r="O71" s="29" t="inlineStr">
        <is>
          <t>Hayatın tehlikede olduğu sağlık acilinde 061'i ara; nereden aradığını, ne olduğunu ve kaç kişinin etkilendiğini söyle.
Yangın, kurtarma, güvenlik ya da sivil koruma gibi bir acil durumda 112'yi ara; 112 sağlık, yangın, güvenlik ve sivil koruma için tek acil numaradır.
Hayati tehlike olmayan ama sağlık hizmeti gereken durumda Málaga'nın tek urgencias numarası 951 031 437'yi ara.
Telefonuna 112 Andalucía uygulamasını yükle: konum özelliği açıksa 112 düğmesine basınca konum koordinatların Acil Durum Koordinasyon Merkezi'ne gider, fotoğraf da gönderebilirsin.
Sağlık randevusu ya da sağlık bilgisi için Salud Responde'yi 955 54 50 60'tan ara.</t>
        </is>
      </c>
      <c r="P71" s="29" t="n"/>
      <c r="Q71" s="29" t="inlineStr">
        <is>
          <t>112 Endülüs'te kesintisiz yanıtlanır; 061 ve Salud Responde yılın her günü 24 saat çalışır.</t>
        </is>
      </c>
      <c r="R71" s="29" t="inlineStr">
        <is>
          <t>112 ücretsizdir.</t>
        </is>
      </c>
      <c r="S71" s="29" t="inlineStr">
        <is>
          <t>112 uygulaması AB'nin başlıca dillerinde çok dilli hizmet sunar.</t>
        </is>
      </c>
      <c r="T71" s="29" t="n"/>
    </row>
    <row r="72" ht="54" customHeight="1">
      <c r="A72" s="29" t="inlineStr">
        <is>
          <t>malaga:malaga-polise-suc-duyurusu-denuncia-ve-denuncia-ofisleri</t>
        </is>
      </c>
      <c r="B72" s="29" t="inlineStr">
        <is>
          <t>malaga</t>
        </is>
      </c>
      <c r="C72" s="29" t="inlineStr">
        <is>
          <t>malaga-polise-suc-duyurusu-denuncia-ve-denuncia-ofisleri</t>
        </is>
      </c>
      <c r="D72" s="29" t="inlineStr">
        <is>
          <t>Málaga'da polise suç duyurusu (denuncia) nasıl yapılır, Policía Nacional'in denuncia ofisleri nerede?</t>
        </is>
      </c>
      <c r="E72" s="29" t="inlineStr">
        <is>
          <t>Internetten ön form, ardından seçtiğin ofiste en geç 72 saat içinde imza; Málaga'da Centro, Norte ve Este (El Palo) ofisleri</t>
        </is>
      </c>
      <c r="F72" s="29" t="inlineStr">
        <is>
          <t>Policía Nacional'e internetten (Oficina Virtual de Denuncias) suç duyurusu formu doldurur, sistemin verdiği referans numarasını alır ve suç duyurusunu seçtiğin ofiste en geç 72 saat içinde imzalarsın; imzalanmayan denuncia hukuki geçerlilik taşımaz. Málaga şehrinde üç denuncia ofisi vardır: Málaga-Centro (C/ Ramos Marín, 4), Málaga-Norte (Avda. de la Palmilla, 20) ve Málaga-Este, El Palo (Avda. Sebastián Elcano, 144). Şiddet ya da tehdit içeren ve cinsel nitelikli olaylar, failin bilindiği ya da tanıyabileceğin olaylar, tanığı olan olaylar ve reşit olmayanlar bu yoldan başvuramaz. Suç o anda işleniyorsa hemen 091 ya da 112'yi ararsın.</t>
        </is>
      </c>
      <c r="G72" s="29" t="inlineStr">
        <is>
          <t>denuncia, polis, Policía Nacional, suç duyurusu, hırsızlık, Oficina Virtual de Denuncias, karakol, Málaga</t>
        </is>
      </c>
      <c r="H72" s="29" t="inlineStr">
        <is>
          <t>new;settled</t>
        </is>
      </c>
      <c r="I72" s="29" t="inlineStr">
        <is>
          <t>malaga:kaynak:296;malaga:kaynak:297</t>
        </is>
      </c>
      <c r="J72" s="49" t="n">
        <v>46322</v>
      </c>
      <c r="K72" s="51" t="n">
        <v>1102</v>
      </c>
      <c r="L72" s="29" t="inlineStr">
        <is>
          <t>Hayır</t>
        </is>
      </c>
      <c r="M72" s="29" t="inlineStr">
        <is>
          <t>Taslak</t>
        </is>
      </c>
      <c r="N72" s="29" t="inlineStr">
        <is>
          <t>malaga:gunluk</t>
        </is>
      </c>
      <c r="O72" s="29" t="inlineStr">
        <is>
          <t>Oficina Virtual de Denuncias formunu doldur; kalın yazılı alanlar zorunludur, her sekmedeki yardım düğmesini kullanabilirsin.
Formu bitirince sistemin verdiği referans numarasını not et.
Suç duyurusunu seçtiğin denuncia ofisinde en geç 72 saat içinde imzala ve referans numarasını ver: Málaga-Centro (C/ Ramos Marín, 4), Málaga-Norte (Avda. de la Palmilla, 20) ya da Málaga-Este, El Palo (Avda. Sebastián Elcano, 144).
Olay şiddet, tehdit ya da cinsel nitelikliyse, faili biliyorsan ya da tanıyabilirsen, tanık varsa ya da reşit değilsen bu formu kullanma.
Suç o anda işleniyorsa hemen 091 ya da 112'yi ara.</t>
        </is>
      </c>
      <c r="P72" s="29" t="inlineStr">
        <is>
          <t>Formun verdiği referans numarası</t>
        </is>
      </c>
      <c r="Q72" s="29" t="inlineStr">
        <is>
          <t>Seçilen ofiste en geç 72 saat içinde imza.</t>
        </is>
      </c>
      <c r="R72" s="29" t="n"/>
      <c r="S72" s="29" t="inlineStr">
        <is>
          <t>Internetten verilen denuncia'lar, hizmet gereği aksi olmadıkça öncelikli işlem görür.</t>
        </is>
      </c>
      <c r="T72" s="29" t="n"/>
    </row>
    <row r="73" ht="54" customHeight="1">
      <c r="A73" s="29" t="inlineStr">
        <is>
          <t>malaga:malaga-geri-donusum-konteyner-renkleri-ve-atik-turleri</t>
        </is>
      </c>
      <c r="B73" s="29" t="inlineStr">
        <is>
          <t>malaga</t>
        </is>
      </c>
      <c r="C73" s="29" t="inlineStr">
        <is>
          <t>malaga-geri-donusum-konteyner-renkleri-ve-atik-turleri</t>
        </is>
      </c>
      <c r="D73" s="29" t="inlineStr">
        <is>
          <t>Málaga'da çöp ve geri dönüşüm atıkları hangi renkteki konteynere atılır?</t>
        </is>
      </c>
      <c r="E73" s="29" t="inlineStr">
        <is>
          <t>Mavi kâğıt ve karton, sarı ambalaj, yeşil cam, kahverengi organik atık, gri geri kalan atık; konteynere uymayanlar punto limpio'ya</t>
        </is>
      </c>
      <c r="F73" s="29" t="inlineStr">
        <is>
          <t>Limasam'a göre Málaga'da atıklar beş renkte konteynere ayrılır: mavi konteynere kâğıt ve karton, sarıya plastik ve metal ambalaj ile brik, yeşile cam şişe ve kavanoz, kahverengiye organik ve gıda atıkları, griye ambalaj olmayan ve özel toplama sistemi bulunmayan her şey (bebek bezi dahil). Ambalajları iyice boşaltıp kapaksız atarsın; kapaklar (mantar tıpalar hariç) sarı konteynere gider. Konteynerlere uymayan atıklar için her bölgede (distrito) punto limpio vardır. Ne yapacağını bilmediğin atık için Limasam'ın sanal asistanı Limasín'e sorabilirsin.</t>
        </is>
      </c>
      <c r="G73" s="29" t="inlineStr">
        <is>
          <t>geri dönüşüm, çöp, konteyner, contenedor azul, amarillo, verde, marrón, gris, Limasam, reciclaje</t>
        </is>
      </c>
      <c r="H73" s="29" t="inlineStr">
        <is>
          <t>new;settled</t>
        </is>
      </c>
      <c r="I73" s="29" t="inlineStr">
        <is>
          <t>malaga:kaynak:167</t>
        </is>
      </c>
      <c r="J73" s="49" t="n">
        <v>46322</v>
      </c>
      <c r="K73" s="51" t="n">
        <v>1103</v>
      </c>
      <c r="L73" s="29" t="inlineStr">
        <is>
          <t>Evet</t>
        </is>
      </c>
      <c r="M73" s="29" t="inlineStr">
        <is>
          <t>Taslak</t>
        </is>
      </c>
      <c r="N73" s="29" t="inlineStr">
        <is>
          <t>malaga:gunluk</t>
        </is>
      </c>
      <c r="O73" s="29" t="inlineStr">
        <is>
          <t>Kâğıt ve kartonu (gazete, dergi, kitapçık, katlanmış kutu) mavi konteynere at; yağlı kâğıt ve karton, kirli kâğıt mendil ve peçete, alüminyum folyo, brik ve bebek bezi atma.
Plastik şişe, teneke kutu, alüminyum tepsi, sprey ve brikleri (süt, meyve suyu) sarı konteynere at; kıyafet, cam, karton ve organik atık atma.
Cam şişe ve kavanozları boş, temiz ve kapaksız olarak yeşil konteynere at; ampul, seramik, pencere camı ve bardak atma.
Gıda artıklarını, kahve telvesini ve yağlı kâğıt-kartonu kahverengi konteynere at; izmarit, kül, ped, bebek bezi ve ıslak mendil atma.
Ambalaj olmayan ve özel sistemi bulunmayanları (bebek bezi, bozuk tava, kırık oyuncak) gri konteynere at.
Ambalajları boşalt ve kapaklarını çıkar; kapakları (mantar tıpalar hariç) sarı konteynere, mantar tıpaları kahverengi konteynere at.</t>
        </is>
      </c>
      <c r="P73" s="29" t="n"/>
      <c r="Q73" s="29" t="n"/>
      <c r="R73" s="29" t="n"/>
      <c r="S73" s="29" t="inlineStr">
        <is>
          <t>Punto limpio ve yakın konteyner konumlarını Limasam'ın sayfalarındaki haritalardan bulabilirsin.</t>
        </is>
      </c>
      <c r="T73" s="29" t="n"/>
    </row>
    <row r="74" ht="54" customHeight="1">
      <c r="A74" s="29" t="inlineStr">
        <is>
          <t>malaga:malaga-eski-mobilya-ve-buyuk-esya-toplama-gunu-ve-saati</t>
        </is>
      </c>
      <c r="B74" s="29" t="inlineStr">
        <is>
          <t>malaga</t>
        </is>
      </c>
      <c r="C74" s="29" t="inlineStr">
        <is>
          <t>malaga-eski-mobilya-ve-buyuk-esya-toplama-gunu-ve-saati</t>
        </is>
      </c>
      <c r="D74" s="29" t="inlineStr">
        <is>
          <t>Málaga'da eski mobilya ve büyük eşya sokağa hangi gün ve saatte bırakılır, elektrikli aletler nereye gider?</t>
        </is>
      </c>
      <c r="E74" s="29" t="inlineStr">
        <is>
          <t>Her semtte haftada bir gün; 21:00–24:00 arası konteynerin yanına; elektrikli aletler punto limpio'ya; ceza 750 €'ya kadar</t>
        </is>
      </c>
      <c r="F74" s="29" t="inlineStr">
        <is>
          <t>Mobilya ve eşyalar sokaktan her semtte haftada bir gün alınır; sadece kendi sokağının gününde, 21:00–24:00 arasında en yakın konteynerin yanına bırakırsın. Sokağının gününü konteynerlerdeki etiketten ya da Limasam sayfasındaki formdan öğrenirsin. Elektrikli ev aletleri mobilya sayılmaz ve punto limpio'ya götürülür; taşıyamıyorsan 900 900 000'ı arayıp randevu alırsın. Moloz ve inşaat atığı bu servise girmez. Kurallara uymayana belediye düzenlemesine göre 750 €'ya kadar ceza verilebilir.</t>
        </is>
      </c>
      <c r="G74" s="29" t="inlineStr">
        <is>
          <t>mobilya toplama, recogida de muebles, büyük eşya, enseres, Limasam, 900 900 000, elektrikli aletler, Málaga</t>
        </is>
      </c>
      <c r="H74" s="29" t="inlineStr">
        <is>
          <t>new;settled</t>
        </is>
      </c>
      <c r="I74" s="29" t="inlineStr">
        <is>
          <t>malaga:kaynak:166</t>
        </is>
      </c>
      <c r="J74" s="49" t="n">
        <v>46322</v>
      </c>
      <c r="K74" s="51" t="n">
        <v>1104</v>
      </c>
      <c r="L74" s="29" t="inlineStr">
        <is>
          <t>Hayır</t>
        </is>
      </c>
      <c r="M74" s="29" t="inlineStr">
        <is>
          <t>Taslak</t>
        </is>
      </c>
      <c r="N74" s="29" t="inlineStr">
        <is>
          <t>malaga:gunluk</t>
        </is>
      </c>
      <c r="O74" s="29" t="inlineStr">
        <is>
          <t>Sokağının toplama gününü konteynerlerdeki etiketten öğren ya da Limasam sayfasındaki formu kullan.
Mobilyayı yalnız kendi gününde, 21:00–24:00 arasında en yakın konteynerin yanına bırak; kaldırımı ve yolu kapatma.
Elektrikli ev aletlerini ve diğer elektrikli cihazları sokağa bırakma, punto limpio'ya götür.
Elektrikli aleti taşıyamıyorsan 900 900 000'ı ara ve randevu al.
Moloz ve inşaat atığını bu servise bırakma.</t>
        </is>
      </c>
      <c r="P74" s="29" t="n"/>
      <c r="Q74" s="29" t="inlineStr">
        <is>
          <t>Toplama haftada bir gün, her semtin günü farklıdır; mobilya 21:00–24:00 arası bırakılır.</t>
        </is>
      </c>
      <c r="R74" s="29" t="n"/>
      <c r="S74" s="29" t="inlineStr">
        <is>
          <t>Kurallara uyulmaması halinde belediye düzenlemesine göre 750 €'ya kadar ceza verilebilir.</t>
        </is>
      </c>
      <c r="T74" s="29" t="n"/>
    </row>
    <row r="75" ht="54" customHeight="1">
      <c r="A75" s="29" t="inlineStr">
        <is>
          <t>malaga:malaga-punto-limpio-atik-merkezi-adres-ve-saatler</t>
        </is>
      </c>
      <c r="B75" s="29" t="inlineStr">
        <is>
          <t>malaga</t>
        </is>
      </c>
      <c r="C75" s="29" t="inlineStr">
        <is>
          <t>malaga-punto-limpio-atik-merkezi-adres-ve-saatler</t>
        </is>
      </c>
      <c r="D75" s="29" t="inlineStr">
        <is>
          <t>Málaga'da punto limpio (ev atıkları merkezi) nerede, saatleri nedir, ücretsiz mi?</t>
        </is>
      </c>
      <c r="E75" s="29" t="inlineStr">
        <is>
          <t>Her bölgede (distrito) 7/24 yakın punto limpio; büyük atıklar için Guadalhorce ve Las Virreinas sabit noktaları pazartesi–cumartesi 7:00–21:00; ücretsiz</t>
        </is>
      </c>
      <c r="F75" s="29" t="inlineStr">
        <is>
          <t>Punto limpio ücretsizdir; Málaga'nın her bölgesinde (distrito) gün 24 saat, yılın 365 günü açık yakın punto limpio (PLP) bulunur, konumları Limasam sayfasındaki haritadadır. Çok miktarda atık için iki sabit nokta vardır: Polígono Guadalhorce'deki C/ Hermanas Bronte (Limasam sayfasında kapı numarası 85 ve 87 olarak geçer) ve Las Virreinas'taki c/ Werther s/n; ikisi de pazartesi–cumartesi 7:00–21:00 açıktır. Pazar ve tatillerde Limasam sayfasına göre Hermanas Bronte 85 ile Werther s/n 7:30–14:30, Hermanas Bronte 87 ise 9:00–16:00 açıktır. Punto limpio konteynere uymayan ev atıklarını kabul eder, sanayi atığı kabul etmez.</t>
        </is>
      </c>
      <c r="G75" s="29" t="inlineStr">
        <is>
          <t>punto limpio, atık merkezi, Limasam, Hermanas Bronte, Guadalhorce, ev atığı, PLP, geri dönüşüm merkezi</t>
        </is>
      </c>
      <c r="H75" s="29" t="inlineStr">
        <is>
          <t>new;settled</t>
        </is>
      </c>
      <c r="I75" s="29" t="inlineStr">
        <is>
          <t>malaga:kaynak:168</t>
        </is>
      </c>
      <c r="J75" s="49" t="n">
        <v>46322</v>
      </c>
      <c r="K75" s="51" t="n">
        <v>1105</v>
      </c>
      <c r="L75" s="29" t="inlineStr">
        <is>
          <t>Hayır</t>
        </is>
      </c>
      <c r="M75" s="29" t="inlineStr">
        <is>
          <t>Taslak</t>
        </is>
      </c>
      <c r="N75" s="29" t="inlineStr">
        <is>
          <t>malaga:gunluk</t>
        </is>
      </c>
      <c r="O75" s="29" t="inlineStr">
        <is>
          <t>Yakın punto limpio'nun (PLP) konumunu Limasam sayfasındaki haritadan ya da indirilebilir listeden bul; 7/24 açıktır.
Çok miktarda atık için Polígono Guadalhorce'deki C/ Hermanas Bronte ya da Las Virreinas'taki c/ Werther s/n sabit noktasına pazartesi–cumartesi 7:00–21:00 arasında git; pazar ve tatil saatleri yukarıda yazılıdır.
Konteynere uymayan ev atıklarını getir; sanayi atığı kabul edilmez.
Birkaç eşyayı biriktirip tek seferde götür.</t>
        </is>
      </c>
      <c r="P75" s="29" t="n"/>
      <c r="Q75" s="29" t="inlineStr">
        <is>
          <t>Yakın punto limpio'lar 7/24; sabit noktalar pazartesi–cumartesi 7:00–21:00; pazar ve tatilde 7:30–14:30 (Hermanas Bronte 85, Werther s/n) ya da 9:00–16:00 (Hermanas Bronte 87).</t>
        </is>
      </c>
      <c r="R75" s="29" t="inlineStr">
        <is>
          <t>Ücretsiz.</t>
        </is>
      </c>
      <c r="S75" s="29" t="n"/>
      <c r="T75" s="29" t="n"/>
    </row>
    <row r="76" ht="54" customHeight="1">
      <c r="A76" s="29" t="inlineStr">
        <is>
          <t>malaga:malaga-yerel-tatilleri-19-agustos-ve-8-eylul-ve-yilin-kalan-tatilleri</t>
        </is>
      </c>
      <c r="B76" s="29" t="inlineStr">
        <is>
          <t>malaga</t>
        </is>
      </c>
      <c r="C76" s="29" t="inlineStr">
        <is>
          <t>malaga-yerel-tatilleri-19-agustos-ve-8-eylul-ve-yilin-kalan-tatilleri</t>
        </is>
      </c>
      <c r="D76" s="29" t="inlineStr">
        <is>
          <t>Málaga'nın yerel tatilleri hangi günlerdir, 2026'nın kalan ve 2027'nin tatilleri nelerdir?</t>
        </is>
      </c>
      <c r="E76" s="29" t="inlineStr">
        <is>
          <t>Yerel tatiller 19 Ağustos ve 8 Eylül; 2026'da kalan tatiller 2 Kasım, 7–8 Aralık, 25 Aralık; 2027'de Semana Santa 25–26 Mart</t>
        </is>
      </c>
      <c r="F76" s="29" t="inlineStr">
        <is>
          <t>Málaga'nın iki yerel tatili hem 2026 hem 2027 için 19 Ağustos (Málaga'nın Kastilya Kraliyeti'ne katılması) ve 8 Eylül'dür (Nuestra Señora de la Victoria). Bunlara Endülüs'ün 12 ortak tatili eklenir. 2026'nın kalan tatilleri 2 Kasım, 7 Aralık (Pazar'a denk geldiği için Pazartesi'ye kaydı), 8 Aralık ve 25 Aralık'tır. 2027'nin 12 ortak tatili: 1 Ocak (Cuma), 6 Ocak (Çarşamba), 1 Mart (Pazartesi, Endülüs Günü), 25 Mart (Perşembe, Jueves Santo), 26 Mart (Cuma, Viernes Santo), 1 Mayıs (Cumartesi), 16 Ağustos (Pazartesi), 12 Ekim (Salı), 1 Kasım (Pazartesi), 6 Aralık (Pazartesi), 8 Aralık (Çarşamba) ve 25 Aralık (Cumartesi).</t>
        </is>
      </c>
      <c r="G76" s="29" t="inlineStr">
        <is>
          <t>Málaga yerel tatil, fiestas locales, 19 Ağustos, 8 Eylül, Virgen de la Victoria, Semana Santa tatili, resmî tatil Málaga</t>
        </is>
      </c>
      <c r="H76" s="29" t="inlineStr">
        <is>
          <t>planning;new;settled</t>
        </is>
      </c>
      <c r="I76" s="29" t="inlineStr">
        <is>
          <t>malaga:kaynak:267;malaga:kaynak:266</t>
        </is>
      </c>
      <c r="J76" s="49" t="n">
        <v>46322</v>
      </c>
      <c r="K76" s="51" t="n">
        <v>1106</v>
      </c>
      <c r="L76" s="29" t="inlineStr">
        <is>
          <t>Hayır</t>
        </is>
      </c>
      <c r="M76" s="29" t="inlineStr">
        <is>
          <t>Taslak</t>
        </is>
      </c>
      <c r="N76" s="29" t="inlineStr">
        <is>
          <t>malaga:gunluk</t>
        </is>
      </c>
      <c r="O76" s="29" t="inlineStr">
        <is>
          <t>Takvimine 2026 ve 2027 için Málaga'nın iki yerel tatilini ekle: 19 Ağustos ve 8 Eylül.
2026'nın kalan tatillerini işle: 2 Kasım (Pazartesi), 7 Aralık (Pazartesi), 8 Aralık (Salı), 25 Aralık (Cuma).
2027'nin 12 ortak tatilini işle; Semana Santa için 25 Mart (Perşembe, Jueves Santo) ve 26 Mart (Cuma, Viernes Santo) tatil olur.</t>
        </is>
      </c>
      <c r="P76" s="29" t="n"/>
      <c r="Q76" s="29" t="inlineStr">
        <is>
          <t>2026 ve 2027</t>
        </is>
      </c>
      <c r="R76" s="29" t="n"/>
      <c r="S76" s="29" t="inlineStr">
        <is>
          <t>Endülüs'te toplam 14 tatil günü vardır: 12 ortak ulusal ve bölgesel tatil, 2 yerel tatil.</t>
        </is>
      </c>
      <c r="T76" s="29" t="n"/>
    </row>
    <row r="77" ht="54" customHeight="1">
      <c r="A77" s="29" t="inlineStr">
        <is>
          <t>malaga:malaga-plajlarda-cankurtaran-saatleri-ambulans-ve-sorun-bildirme</t>
        </is>
      </c>
      <c r="B77" s="29" t="inlineStr">
        <is>
          <t>malaga</t>
        </is>
      </c>
      <c r="C77" s="29" t="inlineStr">
        <is>
          <t>malaga-plajlarda-cankurtaran-saatleri-ambulans-ve-sorun-bildirme</t>
        </is>
      </c>
      <c r="D77" s="29" t="inlineStr">
        <is>
          <t>Málaga plajlarında cankurtaran saatleri, ambulans ve sorun bildirme hattı nedir, güneşten nasıl korunurum?</t>
        </is>
      </c>
      <c r="E77" s="29" t="inlineStr">
        <is>
          <t>Cankurtaran yüksek sezonda 10:00–20:00, orta sezonda 11:00–19:00; sorun bildirme 900 106 609 (08:00–20:00)</t>
        </is>
      </c>
      <c r="F77" s="29" t="inlineStr">
        <is>
          <t>Málaga belediyesinin plaj cankurtaran hizmeti 15 Haziran–15 Eylül arasındaki yüksek sezonda tüm plajlarda 10:00–20:00 çalışır; orta sezonda (Semana Santa, ondan 15 Haziran'a kadar hafta sonları ve 15–30 Eylül hafta sonları) 11:00–19:00 arası, Guadalmar, Misericordia, San Andrés, Malagueta, Caleta, Pedregalejo, Palo ve Dedo plajlarında hizmet verir. Plajlarda hafif yaralanmalar için ilk yardım malzemesi ve sağlık personeli bulunur; iki ambulans, biri batı biri doğu kıyısı için görevlidir. Plajda bir problem ya da tehlikeli bir nesne için yıl boyu 08:00–20:00 arasında 900 106 609'u arayabilirsin. Güneşin dik olduğu 12:00–16:00 saatlerinden kaçın ve su geçirmez, yüksek faktörlü krem kullan.</t>
        </is>
      </c>
      <c r="G77" s="29" t="inlineStr">
        <is>
          <t>plaj güvenliği, socorrismo, cankurtaran, 900 106 609, ambulans plaj, medusa, Infomedusa, güneş koruması, Málaga plaj</t>
        </is>
      </c>
      <c r="H77" s="29" t="inlineStr">
        <is>
          <t>new;settled</t>
        </is>
      </c>
      <c r="I77" s="29" t="inlineStr">
        <is>
          <t>malaga:kaynak:270;malaga:kaynak:271</t>
        </is>
      </c>
      <c r="J77" s="49" t="n">
        <v>46322</v>
      </c>
      <c r="K77" s="51" t="n">
        <v>1107</v>
      </c>
      <c r="L77" s="29" t="inlineStr">
        <is>
          <t>Hayır</t>
        </is>
      </c>
      <c r="M77" s="29" t="inlineStr">
        <is>
          <t>Taslak</t>
        </is>
      </c>
      <c r="N77" s="29" t="inlineStr">
        <is>
          <t>malaga:gunluk</t>
        </is>
      </c>
      <c r="O77" s="29" t="inlineStr">
        <is>
          <t>Yüzmeden önce sezonu kontrol et: cankurtaran 15 Haziran–15 Eylül arasında tüm plajlarda 10:00–20:00, orta sezonda Guadalmar, Misericordia, San Andrés, Malagueta, Caleta, Pedregalejo, Palo ve Dedo plajlarında 11:00–19:00 çalışır.
Hafif yaralanmalarda plajdaki kurtarma modüllerinde bulunan ilk yardım noktasına git.
Plajda problem, tehlikeli nesne ya da bilgi ihtiyacı için 900 106 609'u 08:00–20:00 arasında ara; plaj bilgi hattı 951 926 205'tir (hafta içi 08:00–15:00).
Denizanası bilgisi için Infomedusa uygulamasını kullan.
Güneşin dik olduğu 12:00–16:00 saatlerinde güneşlenmekten kaçın, su geçirmez ve yüksek faktörlü krem kullan.</t>
        </is>
      </c>
      <c r="P77" s="29" t="n"/>
      <c r="Q77" s="29" t="inlineStr">
        <is>
          <t>Yüksek sezon 15 Haziran–15 Eylül; sorun bildirme hattı 08:00–20:00 yıl boyunca.</t>
        </is>
      </c>
      <c r="R77" s="29" t="n"/>
      <c r="S77" s="29" t="inlineStr">
        <is>
          <t>Cankurtaran hizmeti Polis Local ve Guardia Civil del Mar (062) ile birlikte çalışır.</t>
        </is>
      </c>
      <c r="T77" s="29" t="n"/>
    </row>
    <row r="78" ht="54" customHeight="1">
      <c r="A78" s="29" t="inlineStr">
        <is>
          <t>malaga:malaga-feria-de-agosto-takvimi-19-agustos-ve-centro-historico-saat-siniri</t>
        </is>
      </c>
      <c r="B78" s="29" t="inlineStr">
        <is>
          <t>malaga</t>
        </is>
      </c>
      <c r="C78" s="29" t="inlineStr">
        <is>
          <t>malaga-feria-de-agosto-takvimi-19-agustos-ve-centro-historico-saat-siniri</t>
        </is>
      </c>
      <c r="D78" s="29" t="inlineStr">
        <is>
          <t>Málaga Feria'sı (Feria de Agosto) ne zaman yapılır, 19 Ağustos tatili ve Centro Histórico'daki saat sınırı günlük hayatı nasıl etkiler?</t>
        </is>
      </c>
      <c r="E78" s="29" t="inlineStr">
        <is>
          <t>Feria Ağustos'ta yapılır ve 19 Ağustos'u içerir; 2026'da 15–22 Ağustos'tu, Centro Histórico'da etkinlikler 18:00'de bitti</t>
        </is>
      </c>
      <c r="F78" s="29" t="inlineStr">
        <is>
          <t>Málaga Feria'sı Ağustos'ta yapılır ve takvimi mutlaka 19 Ağustos'u içermek zorundadır; bu gün aynı zamanda Málaga'nın yerel tatilidir. Süresini her yıl Junta de Gobierno Local kararıyla belirler: 2026 Feria'sı 15–22 Ağustos'ta yapıldı. Feria sırasında Centro Histórico'da etkinlikler ve sokaktaki müzik her yıl belirlenen saatte biter; 2026'da bu saat 18:00'di. 2027 Feria'sının tarihleri de aynı yolla, Junta de Gobierno Local kararıyla belirlenir.</t>
        </is>
      </c>
      <c r="G78" s="29" t="inlineStr">
        <is>
          <t>Feria de Málaga, Feria de Agosto, 19 Ağustos, Centro Histórico, Junta de Gobierno Local, yerel bayram</t>
        </is>
      </c>
      <c r="H78" s="29" t="inlineStr">
        <is>
          <t>planning;new;settled</t>
        </is>
      </c>
      <c r="I78" s="29" t="inlineStr">
        <is>
          <t>malaga:kaynak:306;malaga:kaynak:267</t>
        </is>
      </c>
      <c r="J78" s="49" t="n">
        <v>46322</v>
      </c>
      <c r="K78" s="51" t="n">
        <v>1108</v>
      </c>
      <c r="L78" s="29" t="inlineStr">
        <is>
          <t>Hayır</t>
        </is>
      </c>
      <c r="M78" s="29" t="inlineStr">
        <is>
          <t>Taslak</t>
        </is>
      </c>
      <c r="N78" s="29" t="inlineStr">
        <is>
          <t>malaga:gunluk</t>
        </is>
      </c>
      <c r="O78" s="29" t="inlineStr">
        <is>
          <t>Ağustos programını yaparken Feria'nın 19 Ağustos'u içerdiğini ve 19 Ağustos'un Málaga'da yerel tatil olduğunu hesaba kat.
Feria günlerinde Centro Histórico'da etkinliklerin ve sokak müziğinin her yıl belirlenen saatte (2026'da 18:00) bittiğini bil.
Feria'nın süresini her yıl Junta de Gobierno Local belirler; 2026 takvimi 10 Mart 2026'da onaylandı.</t>
        </is>
      </c>
      <c r="P78" s="29" t="n"/>
      <c r="Q78" s="29" t="inlineStr">
        <is>
          <t>2026: 15–22 Ağustos; Centro Histórico'da etkinlikler 18:00'de bitti.</t>
        </is>
      </c>
      <c r="R78" s="29" t="n"/>
      <c r="S78" s="29" t="n"/>
      <c r="T78" s="29" t="n"/>
    </row>
    <row r="79" ht="54" customHeight="1">
      <c r="A79" s="29" t="inlineStr">
        <is>
          <t>malaga:malaga-plaj-kurallari-yasaklar-ve-kopek-plaji-playa-de-la-arana</t>
        </is>
      </c>
      <c r="B79" s="29" t="inlineStr">
        <is>
          <t>malaga</t>
        </is>
      </c>
      <c r="C79" s="29" t="inlineStr">
        <is>
          <t>malaga-plaj-kurallari-yasaklar-ve-kopek-plaji-playa-de-la-arana</t>
        </is>
      </c>
      <c r="D79" s="29" t="inlineStr">
        <is>
          <t>Málaga plajlarında neler yasak, köpekle plaja girilebilir mi, köpek plajı (Playa Canina) nerede?</t>
        </is>
      </c>
      <c r="E79" s="29" t="inlineStr">
        <is>
          <t>Köpek plajı Playa de la Araña; 20 kg üstü köpeğe ağızlık; plajlarda ateş, kamp, motorlu araç, gürültü ve çöp yasak</t>
        </is>
      </c>
      <c r="F79" s="29" t="inlineStr">
        <is>
          <t>Köpekle girebileceğin belediye plajı Playa de la Araña'dır (köpek plajı, Playa Canina; arroyo de Totalán yakını); burası yüzme alanı olarak sınıflandırılmamıştır ve evcil hayvan girişine izin verilir. Orada köpeklerin her an sahibinin denetiminde olması, sahibinin hayvanın tüm belgelerini yanında taşıması ve dışkı poşeti bulundurması gerekir; 20 kg'dan ağır köpekler ağızlık takar, tehlikeli ırk listesindeki köpeklerin sahipleri ayrıca Real Decreto 287/2002'ye uyar. Diğer plajlarda belediyenin simge listesine göre duşlarda sabun kullanmak, ateş yakmak, motorlu araçla girmek, çöp atmak, kamp kurmak, saat dışı balık tutmak, rahatsız edici oyun oynamak ve gürültü yapmak yasaktır; aynı listede evcil hayvan girişi yasak simgesi de bulunur.</t>
        </is>
      </c>
      <c r="G79" s="29" t="inlineStr">
        <is>
          <t>köpek plajı, playa canina, Playa de la Araña, plaj kuralları, evcil hayvan, plaj yasakları, Málaga plaj, köpek ağızlık</t>
        </is>
      </c>
      <c r="H79" s="29" t="inlineStr">
        <is>
          <t>new;settled</t>
        </is>
      </c>
      <c r="I79" s="29" t="inlineStr">
        <is>
          <t>malaga:kaynak:269;malaga:kaynak:272</t>
        </is>
      </c>
      <c r="J79" s="49" t="n">
        <v>46322</v>
      </c>
      <c r="K79" s="51" t="n">
        <v>1109</v>
      </c>
      <c r="L79" s="29" t="inlineStr">
        <is>
          <t>Hayır</t>
        </is>
      </c>
      <c r="M79" s="29" t="inlineStr">
        <is>
          <t>Taslak</t>
        </is>
      </c>
      <c r="N79" s="29" t="inlineStr">
        <is>
          <t>malaga:gunluk</t>
        </is>
      </c>
      <c r="O79" s="29" t="inlineStr">
        <is>
          <t>Köpeğinle plaja gideceksen Playa de la Araña'yı (arroyo de Totalán yakını) seç.
Köpeğin belgelerini yanında taşı, köpeği her an denetiminde tut ve dışkı poşeti götür.
20 kg'dan ağır köpeğe ağızlık tak; köpeğin tehlikeli ırk listesindeyse Real Decreto 287/2002'nin kurallarına uy.
Diğer plajlarda duşlarda sabun kullanma, ateş yakma, çöp atma, kamp kurma ve rahatsız edici ses ya da oyundan kaçın.</t>
        </is>
      </c>
      <c r="P79" s="29" t="n"/>
      <c r="Q79" s="29" t="n"/>
      <c r="R79" s="29" t="n"/>
      <c r="S79" s="29" t="inlineStr">
        <is>
          <t>Belediyenin plaj simge listesinde evcil hayvan girişi yasak simgesi de yer alır.</t>
        </is>
      </c>
      <c r="T79" s="29" t="n"/>
    </row>
    <row r="80" ht="54" customHeight="1">
      <c r="A80" s="29" t="inlineStr">
        <is>
          <t>malaga:malaga-omac-belediye-hizmet-ofisleri-isler-ve-randevu</t>
        </is>
      </c>
      <c r="B80" s="29" t="inlineStr">
        <is>
          <t>malaga</t>
        </is>
      </c>
      <c r="C80" s="29" t="inlineStr">
        <is>
          <t>malaga-omac-belediye-hizmet-ofisleri-isler-ve-randevu</t>
        </is>
      </c>
      <c r="D80" s="29" t="inlineStr">
        <is>
          <t>Málaga'da OMAC (belediye vatandaş hizmet ofisi) nedir, hangi işler yapılır, randevu nasıl alınır?</t>
        </is>
      </c>
      <c r="E80" s="29" t="inlineStr">
        <is>
          <t>Hafta içi 9:00–14:00; 65 yaş üstü hariç randevu gerekir (citaprevia.malaga.eu ya da 951 926 010); belgeler sunulur, dijital sertifika alınır</t>
        </is>
      </c>
      <c r="F80" s="29" t="inlineStr">
        <is>
          <t>OMAC (Oficina Municipal de Atención a la Ciudadanía), Málaga Belediyesi'nin semtlerde yüz yüze hizmet veren ofisleridir; pazartesi–cuma 9:00–14:00 açıktır (resmî tatiller ile 24 ve 31 Aralık hariç). 65 yaşın üstündekiler dışında randevuyla hizmet verir: randevuyu citaprevia.malaga.eu'dan ya da belediye bilgi hattı 951 926 010'dan alırsın. OMAC bir kayıt penceresidir: belediyeye ait belgeni sunabilirsin; yürürlükteki düzenleme başka bir başvuru penceresi belirliyorsa belge orada verilir. OMAC ayrıca belediye hizmetleri hakkında bilgi verir (ne olduğu, nerede istendiği, süreç, harçlar, formlar) ve dijital sertifika alınmasını sağlar. Bilgi ve sorgular için 010 hattı ve MÁLAGA24H e-ofisi de kullanılabilir.</t>
        </is>
      </c>
      <c r="G80" s="29" t="inlineStr">
        <is>
          <t>OMAC, belediye ofisi, Málaga Ayuntamiento, cita previa, citaprevia.malaga.eu, 010, dijital sertifika, MÁLAGA24H</t>
        </is>
      </c>
      <c r="H80" s="29" t="inlineStr">
        <is>
          <t>new;settled</t>
        </is>
      </c>
      <c r="I80" s="29" t="inlineStr">
        <is>
          <t>malaga:kaynak:243;malaga:kaynak:428</t>
        </is>
      </c>
      <c r="J80" s="49" t="n">
        <v>46322</v>
      </c>
      <c r="K80" s="51" t="n">
        <v>1110</v>
      </c>
      <c r="L80" s="29" t="inlineStr">
        <is>
          <t>Hayır</t>
        </is>
      </c>
      <c r="M80" s="29" t="inlineStr">
        <is>
          <t>Taslak</t>
        </is>
      </c>
      <c r="N80" s="29" t="inlineStr">
        <is>
          <t>malaga:gunluk</t>
        </is>
      </c>
      <c r="O80" s="29" t="inlineStr">
        <is>
          <t>Randevuyu citaprevia.malaga.eu'dan al ya da 951 926 010'u ara; 65 yaşın üstündeysen randevusuz gidebilirsin.
Bölgendeki OMAC'a (adresler notta) pazartesi–cuma 9:00–14:00 arasında git; resmî tatillerde ve 24 ile 31 Aralık'ta ofis kapalıdır.
Belediyeye ait belgeni OMAC'ta kayıt penceresinden sun; yürürlükteki düzenleme başka bir pencere belirliyorsa belge orada verilir.
Dijital sertifika için OMAC'a başvurabilirsin; ofis FNMT ile yapılan anlaşma uyarınca bunu verebilir.
Belediye hizmetleri hakkında bilgi ve sorgular için 010'u ara ya da MÁLAGA24H e-ofisini kullan.</t>
        </is>
      </c>
      <c r="P80" s="29" t="n"/>
      <c r="Q80" s="29" t="inlineStr">
        <is>
          <t>Pazartesi–cuma 9:00–14:00, tatiller ve 24, 31 Aralık hariç.</t>
        </is>
      </c>
      <c r="R80" s="29" t="n"/>
      <c r="S80" s="29" t="inlineStr">
        <is>
          <t>OMAC ofisleri Junta Municipal de Distrito adıyla listelenir: Cruz del Humilladero, Calle Conde de Guadalhorce 15; Churriana, Plaza de la Inmaculada 11; Málaga Centro, Calle La Merced 1; Puerto de la Torre, Calle Víctor Hugo 1; Teatinos-Universidad, Calle Pablo Bruna 1; Málaga Este, Avenida de Juan Sebastián Elcano 133; Ciudad Jardín, Calle Alcalde Nicolás Maroto 18; Bailén-Miraflores, Calle Martínez Maldonado 58; Palma-Palmilla, Calle Doctor Gálvez Moll 11; Carretera de Cádiz, Avenida de Sor Teresa Prat 15.</t>
        </is>
      </c>
      <c r="T80" s="29" t="n"/>
    </row>
    <row r="81" ht="54" customHeight="1">
      <c r="A81" s="29" t="inlineStr">
        <is>
          <t>malaga:malaga-belediye-spor-tesisleri-acik-saatler-ve-online-hizmet-kaydi</t>
        </is>
      </c>
      <c r="B81" s="29" t="inlineStr">
        <is>
          <t>malaga</t>
        </is>
      </c>
      <c r="C81" s="29" t="inlineStr">
        <is>
          <t>malaga-belediye-spor-tesisleri-acik-saatler-ve-online-hizmet-kaydi</t>
        </is>
      </c>
      <c r="D81" s="29" t="inlineStr">
        <is>
          <t>Málaga'da belediye spor tesisleri hangi saatlerde açık, online hizmetlere (kiralama, bilet, aylık ödeme) nasıl kaydolunur?</t>
        </is>
      </c>
      <c r="E81" s="29" t="inlineStr">
        <is>
          <t>Ciudad Jardín, Tiro de Pichón, José Paterna ve atletizm stadyumu saatleri; kayıt formu OMAC'a verilir, şifre en çok 15 iş gününde gelir</t>
        </is>
      </c>
      <c r="F81" s="29" t="inlineStr">
        <is>
          <t>Belediyenin Ciudad Jardín polideportivosu hafta içi 8:00–23:00, hafta sonu 9:00–22:00 açıktır; atletizm stadyumu hafta içi 8:00–22:00, cumartesi 9:00–15:00, pazar 9:00–14:00 açıktır. Tiro de Pichón ve José Paterna tesisleri hafta içi 9:00–14:00 ve 17:00–23:00, cumartesi 9:00–14:00 ve 17:00–22:00, pazar 9:00–14:00 açıktır (Ağustos'ta kapalı, pazar Temmuz'da da kapalı). Atletizm stadyumu biletini, Ciudad Jardín, Tiro de Pichón ve José Paterna polideportivolarındaki sahaların saatlik kiralamasını ve aylık etkinlik yenilemesini online platformdan yaparsın; platforma kaydolmak için formu OMAC ofislerinden birine verirsin ve şifren en çok 15 iş günü içinde gelir.</t>
        </is>
      </c>
      <c r="G81" s="29" t="inlineStr">
        <is>
          <t>spor tesisleri, polideportivo, Ciudad Jardín, Tiro de Pichón, José Paterna, atletizm stadyumu, Área de Deporte, online rezervasyon</t>
        </is>
      </c>
      <c r="H81" s="29" t="inlineStr">
        <is>
          <t>new;settled</t>
        </is>
      </c>
      <c r="I81" s="29" t="inlineStr">
        <is>
          <t>malaga:kaynak:289;malaga:kaynak:291;malaga:kaynak:243</t>
        </is>
      </c>
      <c r="J81" s="49" t="n">
        <v>46322</v>
      </c>
      <c r="K81" s="51" t="n">
        <v>1111</v>
      </c>
      <c r="L81" s="29" t="inlineStr">
        <is>
          <t>Hayır</t>
        </is>
      </c>
      <c r="M81" s="29" t="inlineStr">
        <is>
          <t>Taslak</t>
        </is>
      </c>
      <c r="N81" s="29" t="inlineStr">
        <is>
          <t>malaga:gunluk</t>
        </is>
      </c>
      <c r="O81" s="29" t="inlineStr">
        <is>
          <t>Tesisin açık saatlerini kontrol et: Ağustos'ta Tiro de Pichón ve José Paterna kapalıdır, pazar günleri Temmuz'da da kapalıdır.
Online hizmetler için 'Solicitud Alta de servicios online del Área de Deporte' formunu doldur.
Formu OMAC ofislerinden birine ver: OMAC pazartesi–cuma 9:00–14:00 açıktır (resmî tatillerde ve 24, 31 Aralık'ta kapalı) ve 65 yaşın üstündekiler dışında randevuyla hizmet verir; randevuyu citaprevia.malaga.eu'dan al ya da 951 926 010'u ara. Kullanıcı adın ve şifren en çok 15 iş günü içinde gelir, sonuç formda yazdığın e-postaya bildirilir.
Dijital sertifikan varsa başvuruyu Mi Carpeta üzerinden çevrimiçi yapabilirsin.
Platformda saha müsaitliğini kayıt olmadan da görebilirsin; saha ayırtmak için önceden kayıtlı olman gerekir. Aylık ders ödemeleri de platformdan yapılır.</t>
        </is>
      </c>
      <c r="P81" s="29" t="inlineStr">
        <is>
          <t>Alta de servicios online formu (OMAC'a teslim için)</t>
        </is>
      </c>
      <c r="Q81" s="29" t="inlineStr">
        <is>
          <t>Şifre en çok 15 iş günü içinde gelir.</t>
        </is>
      </c>
      <c r="R81" s="29" t="n"/>
      <c r="S81" s="29" t="n"/>
      <c r="T81" s="29" t="n"/>
    </row>
    <row r="82" ht="54" customHeight="1">
      <c r="A82" s="29" t="inlineStr">
        <is>
          <t>malaga:malaga-acik-hava-pazarlari-mercadillo-gunleri-ve-saatleri</t>
        </is>
      </c>
      <c r="B82" s="29" t="inlineStr">
        <is>
          <t>malaga</t>
        </is>
      </c>
      <c r="C82" s="29" t="inlineStr">
        <is>
          <t>malaga-acik-hava-pazarlari-mercadillo-gunleri-ve-saatleri</t>
        </is>
      </c>
      <c r="D82" s="29" t="inlineStr">
        <is>
          <t>Málaga'da hangi gün hangi semtte açık hava pazarı (mercadillo) kurulur, saatleri nedir?</t>
        </is>
      </c>
      <c r="E82" s="29" t="inlineStr">
        <is>
          <t>Haftanın her günü bir semtte pazar var; satış 9:00–14:00, pazar günleri 15:00'e kadar; ayda bir el sanatları pazarı 11:00–19:00</t>
        </is>
      </c>
      <c r="F82" s="29" t="inlineStr">
        <is>
          <t>Málaga'da haftanın her günü farklı semtlerde açık hava pazarı kurulur: pazartesi Campanillas ve Teatinos; salı Churriana, Palma-Palmilla ve Puerto de la Torre; çarşamba Colonia Santa Inés, Cortijo de Torres, Virgen de Belén ve Europa; perşembe Ciudad Jardín ve Cruz de Humilladero; cuma Los Corazones ve Miraflores de los Ángeles; cumartesi Argentea, El Palo ve Europa; pazar Cortijo de Torres Segunda Mano. Satış 9:00–14:00 arasındadır, pazar günü pazarlarda 15:00'e kadar uzar. Plaza de la Merced (ayın ilk pazar günü), Paseo Marítimo Ciudad de Melilla (ikinci pazar günü) ve Agustín Tomás Heredia sokağı/SOHO'da (dördüncü pazar günü) el sanatları pazarları 11:00–19:00 arasında kurulur. Şehirde ayrıca 15 belediye çarşısı (mercado municipal) vardır.</t>
        </is>
      </c>
      <c r="G82" s="29" t="inlineStr">
        <is>
          <t>mercadillo, açık hava pazarı, semt pazarı, mercado municipal, Atarazanas, el sanatları pazarı, Málaga pazar günleri</t>
        </is>
      </c>
      <c r="H82" s="29" t="inlineStr">
        <is>
          <t>new;settled</t>
        </is>
      </c>
      <c r="I82" s="29" t="inlineStr">
        <is>
          <t>malaga:kaynak:305</t>
        </is>
      </c>
      <c r="J82" s="49" t="n">
        <v>46322</v>
      </c>
      <c r="K82" s="51" t="n">
        <v>1112</v>
      </c>
      <c r="L82" s="29" t="inlineStr">
        <is>
          <t>Hayır</t>
        </is>
      </c>
      <c r="M82" s="29" t="inlineStr">
        <is>
          <t>Taslak</t>
        </is>
      </c>
      <c r="N82" s="29" t="inlineStr">
        <is>
          <t>malaga:gunluk</t>
        </is>
      </c>
      <c r="O82" s="29" t="inlineStr">
        <is>
          <t>Hangi semtte hangi gün pazar kurulduğuna bak ve en yakın pazara o günün 9:00–14:00 saatleri arasında git; pazar günü pazarları 15:00'e kadar sürer.
Ayın ilk pazar günü Plaza de la Merced'deki, ikinci pazar günü Paseo Marítimo Ciudad de Melilla'daki, dördüncü pazar günü SOHO'daki (Agustín Tomás Heredia sokağı) el sanatları pazarına 11:00–19:00 arasında git.
Taze ürün için 15 belediye çarşısından birine (en büyüğü Atarazanas, 260 tezgâh) git.</t>
        </is>
      </c>
      <c r="P82" s="29" t="n"/>
      <c r="Q82" s="29" t="inlineStr">
        <is>
          <t>Satış 9:00–14:00 (pazar günleri 15:00'e kadar); el sanatları pazarları 11:00–19:00.</t>
        </is>
      </c>
      <c r="R82" s="29" t="n"/>
      <c r="S82" s="29" t="n"/>
      <c r="T82" s="29" t="n"/>
    </row>
    <row r="83" ht="54" customHeight="1">
      <c r="A83" s="29" t="inlineStr">
        <is>
          <t>malaga:is-sozlesmesi-turleri</t>
        </is>
      </c>
      <c r="B83" s="29" t="inlineStr">
        <is>
          <t>malaga</t>
        </is>
      </c>
      <c r="C83" s="29" t="inlineStr">
        <is>
          <t>is-sozlesmesi-turleri</t>
        </is>
      </c>
      <c r="D83" s="29" t="inlineStr">
        <is>
          <t>İspanya'da iş sözleşmesi süresiz mi yapılır, hangi sözleşme türleri var?</t>
        </is>
      </c>
      <c r="E83" s="29" t="inlineStr">
        <is>
          <t>Kural süresiz sözleşmedir; süreli sözleşme yalnız yasada sayılan iki nedenle yapılabilir</t>
        </is>
      </c>
      <c r="F83" s="29" t="inlineStr">
        <is>
          <t>Evet, kural olarak süresizdir: iş sözleşmesinin süresiz (indefinido) yapıldığı varsayılır. Süreli sözleşme yalnızca üretimdeki dalgalanmalar (circunstancias de la producción) ya da bir işçinin yerine geçme (sustitución) nedeniyle yapılabilir ve nedenin sözleşmede açıkça yazılması gerekir. Mevsimlik ya da aralıklı işler için süresiz bir tür olan fijo-discontinuo vardır; eğitim amaçlı contrato formativo ise iki türlüdür. Bu düzen 2021 sonunda çıkan Real Decreto-ley 32/2021 iş reformuyla geldi; süreli sözleşme kuralları 30 Mart 2022'de yürürlüğe girdi.</t>
        </is>
      </c>
      <c r="G83" s="29" t="inlineStr">
        <is>
          <t>iş sözleşmesi, contrato indefinido, contrato temporal, fijo-discontinuo, contrato formativo, süresiz sözleşme, süreli sözleşme</t>
        </is>
      </c>
      <c r="H83" s="29" t="inlineStr">
        <is>
          <t>planning;new</t>
        </is>
      </c>
      <c r="I83" s="29" t="inlineStr">
        <is>
          <t>malaga:kaynak:055;malaga:kaynak:056</t>
        </is>
      </c>
      <c r="J83" s="49" t="n">
        <v>46319</v>
      </c>
      <c r="K83" s="51" t="n">
        <v>9039</v>
      </c>
      <c r="L83" s="29" t="inlineStr">
        <is>
          <t>Hayır</t>
        </is>
      </c>
      <c r="M83" s="29" t="inlineStr">
        <is>
          <t>Taslak</t>
        </is>
      </c>
      <c r="N83" s="29" t="inlineStr">
        <is>
          <t>malaga:is</t>
        </is>
      </c>
      <c r="O83" s="29" t="inlineStr">
        <is>
          <t>Sözleşmenin süresiz mi, süreli mi, formativo mu olduğuna bak; süreli sözleşmede neden (üretim ya da yerine geçme) ve nedenin süreyle bağlantısı sözleşmede açıkça yazılmış olmalı.
Üretim nedenli süreli sözleşmede süre en çok 6 aydır; sektör düzeyindeki toplu sözleşme bunu 1 yıla çıkarabilir.
Mevsimlik ya da aralıklı işte fijo-discontinuo sözleşmesi yazılı yapılır ve faaliyet döneminin süresini gösterir; çalışma süresi ve dağılımı tahmini olarak yazılabilir.
Formativo sözleşmede formación en alternancia en 3 ay ile 2 yıl arasında, práctica profesional ise 6 ay ile 1 yıl arasında sürer.
Kurallara aykırı süreli sözleşmeyle çalıştırılırsan ya da 24 ayda 18 aydan uzun süre, iki veya daha fazla üretim nedenli sözleşmeyle çalıştırılırsan kalıcı (fijo) işçi sayılırsın.</t>
        </is>
      </c>
      <c r="P83" s="29" t="n"/>
      <c r="Q83" s="29" t="inlineStr">
        <is>
          <t>Üretim nedenli süreli sözleşme: en çok 6 ay (sektör toplu sözleşmesiyle 1 yıl)
Formación en alternancia: 3 ay - 2 yıl
Práctica profesional: 6 ay - 1 yıl</t>
        </is>
      </c>
      <c r="R83" s="29" t="n"/>
      <c r="S83" s="29" t="inlineStr">
        <is>
          <t>Süreli sözleşmeli çalışanlar süresiz sözleşmeli çalışanlarla aynı haklara sahiptir; sözleşmenin sona ermesine ilişkin özel kurallar ve yasada formativo sözleşmeler için ayrıca öngörülen kurallar hariç. Hakların bir kısmı, doğasına uygun düştüğünde çalışılan süreye göre orantılı tanınır.</t>
        </is>
      </c>
      <c r="T83" s="29" t="n"/>
    </row>
    <row r="84" ht="54" customHeight="1">
      <c r="A84" s="29" t="inlineStr">
        <is>
          <t>malaga:asgari-ucret-smi-2026-calisma-saatleri</t>
        </is>
      </c>
      <c r="B84" s="29" t="inlineStr">
        <is>
          <t>malaga</t>
        </is>
      </c>
      <c r="C84" s="29" t="inlineStr">
        <is>
          <t>asgari-ucret-smi-2026-calisma-saatleri</t>
        </is>
      </c>
      <c r="D84" s="29" t="inlineStr">
        <is>
          <t>2026'da İspanya'da asgari ücret (SMI) ne kadar, haftalık çalışma süresi kaç saat?</t>
        </is>
      </c>
      <c r="E84" s="29" t="inlineStr">
        <is>
          <t>Günlük 40,70 euro ya da aylık 1.221 euro; olağan çalışma yıllık ortalamada haftada en çok 40 saat</t>
        </is>
      </c>
      <c r="F84" s="29" t="inlineStr">
        <is>
          <t>2026 için asgari ücret (SMI, salario mínimo interprofesional) günlük 40,70 euro ya da aylık 1.221 euro'dur; ücret günlük belirlenmişse günlük, aylık belirlenmişse aylık tutar geçerlidir. Olağan çalışma süresi yıllık ortalamada haftada en çok 40 saattir. Tutarlar 1 Ocak 2026'dan itibaren uygulanır, 2025'e göre %3,1 artıştır ve tarım, sanayi ve hizmetlerde yaş ve cinsiyet ayrımı olmadan geçerlidir.</t>
        </is>
      </c>
      <c r="G84" s="29" t="inlineStr">
        <is>
          <t>asgari ücret, SMI, salario mínimo, çalışma saati, haftalık 40 saat, jornada, 2026</t>
        </is>
      </c>
      <c r="H84" s="29" t="inlineStr">
        <is>
          <t>planning;new;settled</t>
        </is>
      </c>
      <c r="I84" s="29" t="inlineStr">
        <is>
          <t>malaga:kaynak:057;malaga:kaynak:055</t>
        </is>
      </c>
      <c r="J84" s="49" t="n">
        <v>46319</v>
      </c>
      <c r="K84" s="51" t="n">
        <v>9040</v>
      </c>
      <c r="L84" s="29" t="inlineStr">
        <is>
          <t>Hayır</t>
        </is>
      </c>
      <c r="M84" s="29" t="inlineStr">
        <is>
          <t>Taslak</t>
        </is>
      </c>
      <c r="N84" s="29" t="inlineStr">
        <is>
          <t>malaga:is</t>
        </is>
      </c>
      <c r="O84" s="29" t="inlineStr">
        <is>
          <t>Sözleşmendeki ücretin günlük mü aylık mı belirlendiğine bak: günlük ücrette günlük 40,70 euro, aylık ücrette aylık 1.221 euro asgari tutardır.
SMI artışı, yıllık hesapta toplamı SMI'nın üzerinde olan mevcut ücretlerin yapısını ve tutarını etkilemez; bu karşılaştırmada esas alınan yıllık asgari ücret hiçbir hâlde 17.094 euronun altında sayılamaz (RD 126/2026 madde 3).
Asgari ücrete yalnızca para olarak ödenen kısım sayılır; ayni (para dışı) ödeme tutarı düşüremez.
Yasal çalışma süresinden kısa çalışıyorsan ücretin orantılı (a prorrata) ödenir.
Aynı işverene toplam 120 günü aşmayan süreli sözleşmeyle çalışıyorsan asgari ücretle birlikte pazar ve tatil günlerinin ve iki olağanüstü ikramiyenin (her biri 30 günlük maaş) orantılı payı da ödenir; yasal iş günü başına tutar 57,82 euronun altına inemez.
Saat başı ve evde kalmadan çalışan ev hizmetlisiysen asgari tutar fiilen çalışılan saat başına 9,55 euro'dur.
Günler arasında en az 12 saat ara olmalı; olağan günlük çalışma 9 saati aşamaz (toplu sözleşme ya da işyeri anlaşması başka dağılım belirlemedikçe) ve kesintisiz günlük çalışma 6 saati geçerse en az 15 dakikalık mola verilir.</t>
        </is>
      </c>
      <c r="P84" s="29" t="n"/>
      <c r="Q84" s="29" t="inlineStr">
        <is>
          <t>Tutarlar 1 Ocak - 31 Aralık 2026 dönemi için geçerlidir</t>
        </is>
      </c>
      <c r="R84" s="29" t="inlineStr">
        <is>
          <t>Asgari ücret (2026): günlük 40,70 euro ya da aylık 1.221 euro
Süreli sözleşmede (aynı işverene 120 günü aşmayan): yasal iş günü başına en az 57,82 euro
Saatlik çalışan ev hizmetlisi: saat başına 9,55 euro</t>
        </is>
      </c>
      <c r="S84" s="29" t="inlineStr">
        <is>
          <t>Haftalık dinlenme en az bir buçuk gün kesintisizdir ve genel kural olarak cumartesi öğleden sonrasını (ya da pazartesi sabahını) ve pazar gününün tamamını kapsar.</t>
        </is>
      </c>
      <c r="T84" s="29" t="n"/>
    </row>
    <row r="85" ht="54" customHeight="1">
      <c r="A85" s="29" t="inlineStr">
        <is>
          <t>malaga:yillik-izin-ve-resmi-tatiller-2026</t>
        </is>
      </c>
      <c r="B85" s="29" t="inlineStr">
        <is>
          <t>malaga</t>
        </is>
      </c>
      <c r="C85" s="29" t="inlineStr">
        <is>
          <t>yillik-izin-ve-resmi-tatiller-2026</t>
        </is>
      </c>
      <c r="D85" s="29" t="inlineStr">
        <is>
          <t>İspanya'da yıllık izin en az kaç gün, 2026'da resmî tatiller hangi günler?</t>
        </is>
      </c>
      <c r="E85" s="29" t="inlineStr">
        <is>
          <t>Yıllık izin en az 30 takvim günü; 2026 listesine göre resmî tatiller ücretli, yılda en çok 14 gün</t>
        </is>
      </c>
      <c r="F85" s="29" t="inlineStr">
        <is>
          <t>Yıllık ücretli izin hiçbir durumda 30 takvim gününden az olamaz ve para ile karşılanamaz. Resmî tatiller (fiestas laborales) ücretli ve telafisizdir; yılda en çok 14 gün olabilir ve bunun 2'si yerel tatildir. 2026 listesinde Yılbaşı (1 Ocak), Viernes Santo (3 Nisan), 1 Mayıs, 15 Ağustos, 12 Ekim, 8 Aralık ve 25 Aralık özerk bölgelerin değiştiremediği ulusal tatillerdir ve her yerde ortaktır; bunların dışındaki tatil günleri bölgeye (yerel tatiller belediyeye) göre değişir.</t>
        </is>
      </c>
      <c r="G85" s="29" t="inlineStr">
        <is>
          <t>yıllık izin, vacaciones, 30 gün, resmi tatil, fiestas laborales, 2026 tatilleri, bayram</t>
        </is>
      </c>
      <c r="H85" s="29" t="inlineStr">
        <is>
          <t>planning;new;settled</t>
        </is>
      </c>
      <c r="I85" s="29" t="inlineStr">
        <is>
          <t>malaga:kaynak:055;malaga:kaynak:058</t>
        </is>
      </c>
      <c r="J85" s="49" t="n">
        <v>46319</v>
      </c>
      <c r="K85" s="51" t="n">
        <v>9041</v>
      </c>
      <c r="L85" s="29" t="inlineStr">
        <is>
          <t>Hayır</t>
        </is>
      </c>
      <c r="M85" s="29" t="inlineStr">
        <is>
          <t>Taslak</t>
        </is>
      </c>
      <c r="N85" s="29" t="inlineStr">
        <is>
          <t>malaga:is</t>
        </is>
      </c>
      <c r="O85" s="29" t="inlineStr">
        <is>
          <t>İznin tarihlerini işverenle ortak anlaşmayla belirlersin; anlaşamazsan tarihi sosyal mahkeme (jurisdicción social) belirler ve kararı kesindir.
Şirketin izin takvimini, izin başlamadan en az iki ay önce öğrenirsin.
Hamilelik, doğum ya da emzirmeye bağlı rapor veya doğum ve evlat edinme izni, şirketin izin takvimine denk gelirse izni bu dönem bitince, yıl dolmuş olsa bile kullanırsın.
Başka bir hastalık raporu izni kullanmanı engellerse, rapor bittikten sonra ve iznin doğduğu yılın sonundan itibaren 18 ayı aşmadan kullanabilirsin.
Bölgenin kendi tatilleri 2026 listesinde bölgeye göre ayrı gösterilir; yerel (belediye) tatilleri ise özerk bölgenin ya da ilin resmî gazetesinde yayımlanır.</t>
        </is>
      </c>
      <c r="P85" s="29" t="n"/>
      <c r="Q85" s="29" t="inlineStr">
        <is>
          <t>Yıllık izin: en az 30 takvim günü
Resmî tatil: yılda en çok 14 gün, bunun 2'si yerel
Liste yalnızca 2026 yılı içindir</t>
        </is>
      </c>
      <c r="R85" s="29" t="n"/>
      <c r="S85" s="29" t="inlineStr">
        <is>
          <t>6 Ocak (Epifanía) 2026 listesinde yer alıyor ve hiçbir bölge bu günü değiştirmemiş; Jueves Santo (2 Nisan) ve diğer günler bölgeden bölgeye değişir. Yasa (Estatuto de los Trabajadores md. 37.2) ulusal tatil olarak her koşulda yalnızca Noel, Yılbaşı, 1 Mayıs ve 12 Ekim'in korunmasını güvence altına alır; 2026 listesinde özerk bölgelerin değiştiremediği ulusal tatil olarak işaretlenen günler ise özette sayılan 7 gündür.</t>
        </is>
      </c>
      <c r="T85" s="29" t="n"/>
    </row>
    <row r="86" ht="54" customHeight="1">
      <c r="A86" s="29" t="inlineStr">
        <is>
          <t>malaga:maas-bordrosu-nomina-icerigi</t>
        </is>
      </c>
      <c r="B86" s="29" t="inlineStr">
        <is>
          <t>malaga</t>
        </is>
      </c>
      <c r="C86" s="29" t="inlineStr">
        <is>
          <t>maas-bordrosu-nomina-icerigi</t>
        </is>
      </c>
      <c r="D86" s="29" t="inlineStr">
        <is>
          <t>Maaş bordrosu (nómina) neleri göstermek zorunda, imzalamak ne anlama gelir?</t>
        </is>
      </c>
      <c r="E86" s="29" t="inlineStr">
        <is>
          <t>Bordro aylıktır; kazançlar ve kesintiler ayrı gösterilir; imza ücreti aldığını gösterir</t>
        </is>
      </c>
      <c r="F86" s="29" t="inlineStr">
        <is>
          <t>Bordro (recibo de salarios) takvim ayına aittir ve işçinin farklı kazançlarını ile yasal kesintilerini açık ve ayrı göstermelidir. Ücret aylıktan kısa dönemlerle ödenirse bunlar, aylık bordroda kapatılacak avans olarak belgelenir. Bordroyu imzalaman ücreti aldığını gösterir, tutarı onayladığın anlamına gelmez; ücret banka havalesiyle ödenirse imzan yerine banka dekontu geçer. 2026'da genel rejimde ortak riskler (contingencias comunes) için prim oranı %28,30'dur ve bunun %4,70'i işçiye düşer. Bu oran yalnız ortak riskler içindir; bordrodaki toplam sosyal güvenlik kesintisi anlamına gelmez.</t>
        </is>
      </c>
      <c r="G86" s="29" t="inlineStr">
        <is>
          <t>maaş bordrosu, nómina, recibo de salarios, bordro imzası, sosyal güvenlik kesintisi, contingencias comunes, 2026</t>
        </is>
      </c>
      <c r="H86" s="29" t="inlineStr">
        <is>
          <t>new;settled</t>
        </is>
      </c>
      <c r="I86" s="29" t="inlineStr">
        <is>
          <t>malaga:kaynak:059;malaga:kaynak:060</t>
        </is>
      </c>
      <c r="J86" s="49" t="n">
        <v>46319</v>
      </c>
      <c r="K86" s="51" t="n">
        <v>9042</v>
      </c>
      <c r="L86" s="29" t="inlineStr">
        <is>
          <t>Hayır</t>
        </is>
      </c>
      <c r="M86" s="29" t="inlineStr">
        <is>
          <t>Taslak</t>
        </is>
      </c>
      <c r="N86" s="29" t="inlineStr">
        <is>
          <t>malaga:is</t>
        </is>
      </c>
      <c r="O86" s="29" t="inlineStr">
        <is>
          <t>Bordronun bir takvim ayına ait olduğunu kontrol et.
Kazanç kalemlerini ve kesintileri ayrı ayrı oku; ikisi açıkça birbirinden ayrılmış olmalı.
Ücret nakit, çek ya da banka çeki ile ödenirse bordronun kopyasını imzalayarak teslim al; banka havalesinde imza yerine banka dekontu geçer.
Sosyal güvenlik kesintisinde ortak riskler için işçiye düşen payın 2026'da %4,70 olduğunu bil; bu oran toplam sosyal güvenlik kesintisi değildir. İş kazası ve meslek hastalığı primleri (tarife primleri) tamamen işverene aittir.
Bordro kopyalarını sakla: işveren bordroları sosyal güvenlik bildirgeleriyle birlikte en az 5 yıl saklar.</t>
        </is>
      </c>
      <c r="P86" s="29" t="n"/>
      <c r="Q86" s="29" t="inlineStr">
        <is>
          <t>Bordro bir takvim ayını kapsar; bordrolar en az 5 yıl saklanır</t>
        </is>
      </c>
      <c r="R86" s="29" t="inlineStr">
        <is>
          <t>Ortak riskler (genel rejim, 2026): ortak riskler oranı %28,30 (yalnız bu risk için), işveren payı %23,60, işçi payı %4,70</t>
        </is>
      </c>
      <c r="S86" s="29" t="inlineStr">
        <is>
          <t>Bordro modeli toplu sözleşme ya da işveren ile işçi temsilcileri arasındaki anlaşmayla başka bir biçimde de düzenlenebilir; yine de kazançlar ve kesintiler açık ve ayrı gösterilmelidir.</t>
        </is>
      </c>
      <c r="T86" s="29" t="n"/>
    </row>
    <row r="87" ht="54" customHeight="1">
      <c r="A87" s="29" t="inlineStr">
        <is>
          <t>malaga:finiquito-isten-ayrilirken-tasfiye-belgesi</t>
        </is>
      </c>
      <c r="B87" s="29" t="inlineStr">
        <is>
          <t>malaga</t>
        </is>
      </c>
      <c r="C87" s="29" t="inlineStr">
        <is>
          <t>finiquito-isten-ayrilirken-tasfiye-belgesi</t>
        </is>
      </c>
      <c r="D87" s="29" t="inlineStr">
        <is>
          <t>İşten ayrılırken finiquito (tasfiye makbuzu) imzalamadan önce hangi güvencelere sahipsin?</t>
        </is>
      </c>
      <c r="E87" s="29" t="inlineStr">
        <is>
          <t>İşveren tasfiye belgesi önerisini bildirime eklemek zorunda; imzada işçi temsilcisini isteyebilirsin</t>
        </is>
      </c>
      <c r="F87" s="29" t="inlineStr">
        <is>
          <t>İki güvencen var: İşveren, sözleşmenin sona ermesi nedeniyle fesih ya da ön bildirim (preaviso) yaptığında, borçlu olduğu tutarların tasfiye belgesi önerisini (propuesta del documento de liquidación) bildirime eklemek zorundadır; ayrıca finiquito makbuzunu imzalarken yanında bir işçi temsilcisinin bulunmasını isteyebilirsin. İşveren temsilcinin bulunmasını engellerse bunu makbuzun üzerine yazdırabilirsin. Sözleşme karşılıklı anlaşmayla, süresinin dolmasıyla, istifayla ya da işten çıkarılmayla sona erebilir.</t>
        </is>
      </c>
      <c r="G87" s="29" t="inlineStr">
        <is>
          <t>finiquito, tasfiye belgesi, işten ayrılma, liquidación, istifa, dimisión, preaviso</t>
        </is>
      </c>
      <c r="H87" s="29" t="inlineStr">
        <is>
          <t>settled</t>
        </is>
      </c>
      <c r="I87" s="29" t="inlineStr">
        <is>
          <t>malaga:kaynak:055</t>
        </is>
      </c>
      <c r="J87" s="49" t="n">
        <v>46319</v>
      </c>
      <c r="K87" s="51" t="n">
        <v>9043</v>
      </c>
      <c r="L87" s="29" t="inlineStr">
        <is>
          <t>Hayır</t>
        </is>
      </c>
      <c r="M87" s="29" t="inlineStr">
        <is>
          <t>Taslak</t>
        </is>
      </c>
      <c r="N87" s="29" t="inlineStr">
        <is>
          <t>malaga:is</t>
        </is>
      </c>
      <c r="O87" s="29" t="inlineStr">
        <is>
          <t>Fesih bildirimini ya da ön bildirimi aldığında ekinde borçlu olunan tutarların tasfiye belgesi önerisinin bulunup bulunmadığına bak.
Finiquito makbuzunu imzalamadan önce işçi temsilcisinin (representante legal de los trabajadores) imza anında hazır bulunmasını iste.
İşveren temsilcinin bulunmasını engellerse bunu makbuzun üzerine yazdır.
Makbuzda imzanın bir işçi temsilcisinin önünde atıldığı ya da senin bu olanağı kullanmadığın yazılır.
İstifa edeceksen toplu sözleşmenin ya da yöredeki âdetin belirlediği ön bildirim süresine uy.</t>
        </is>
      </c>
      <c r="P87" s="29" t="n"/>
      <c r="Q87" s="29" t="n"/>
      <c r="R87" s="29" t="n"/>
      <c r="S87" s="29" t="inlineStr">
        <is>
          <t>Süreli sözleşme süresinin dolmasıyla biterse (formativo ve ikame sözleşmeleri hariç) her hizmet yılı için 12 günlük maaşın orantılı payı kadar (ya da uygulanabilir özel mevzuatın öngördüğü tutarda) tazminat hakkın doğar. Süresi 1 yılı aşan süreli sözleşmeyi sona erdirmek isteyen taraf diğerine en az 15 gün önce bildirir.</t>
        </is>
      </c>
      <c r="T87" s="29" t="n"/>
    </row>
    <row r="88" ht="54" customHeight="1">
      <c r="A88" s="29" t="inlineStr">
        <is>
          <t>malaga:isten-cikarilma-despido-turleri-ve-tazminat</t>
        </is>
      </c>
      <c r="B88" s="29" t="inlineStr">
        <is>
          <t>malaga</t>
        </is>
      </c>
      <c r="C88" s="29" t="inlineStr">
        <is>
          <t>isten-cikarilma-despido-turleri-ve-tazminat</t>
        </is>
      </c>
      <c r="D88" s="29" t="inlineStr">
        <is>
          <t>İşten çıkarılma (despido) türleri nelerdir, tazminat ve itiraz süresi ne kadar?</t>
        </is>
      </c>
      <c r="E88" s="29" t="inlineStr">
        <is>
          <t>Haksız çıkarmada yılda 33 gün maaş (12 Şubat 2012 ve sonrası sözleşmeler); çıkarmaya karşı dava hakkı 20 iş günü içinde kullanılır</t>
        </is>
      </c>
      <c r="F88" s="29" t="inlineStr">
        <is>
          <t>İtiraz süresi çıkarmadan sonra 20 iş günüdür; haksız çıkarmada tazminat yılda 33 gün maaştır (12 Şubat 2012 ve sonrasında yapılan sözleşmeler için). İşten çıkarma disiplin nedenli (despido disciplinario), objektif nedenli (causas objetivas) ya da toplu (despido colectivo) olabilir. Mahkeme çıkarmayı haksız (improcedente) bulursa işveren seni geri alır ya da yılda 33 gün maaş, en çok 24 aylık tazminat öder (12 Şubat 2012 ve sonrasında yapılan sözleşmeler için). Objektif nedenli çıkarma haklı (procedente) bulunursa tazminat yılda 20 gün maaş, en çok 12 aylıktır; haksız bulunursa yukarıdaki haksız çıkarma kuralı, yani yılda 33 gün maaş (en çok 24 aylık; 12 Şubat 2012 ve sonrasında yapılan sözleşmeler için) uygulanır. 12 Şubat 2012'den önce yapılan sözleşmelerde bu tarihten önceki hizmet süresi için yılda 45 gün, sonraki süre için yılda 33 gün maaş hesaplanır. Çıkarmaya karşı dava hakkın, çıkarmadan sonraki 20 iş günü içinde kullanılmazsa düşer.</t>
        </is>
      </c>
      <c r="G88" s="29" t="inlineStr">
        <is>
          <t>işten çıkarma, despido, tazminat, indemnización, despido improcedente, despido objetivo, despido colectivo, 20 iş günü</t>
        </is>
      </c>
      <c r="H88" s="29" t="inlineStr">
        <is>
          <t>settled</t>
        </is>
      </c>
      <c r="I88" s="29" t="inlineStr">
        <is>
          <t>malaga:kaynak:055</t>
        </is>
      </c>
      <c r="J88" s="49" t="n">
        <v>46319</v>
      </c>
      <c r="K88" s="51" t="n">
        <v>9044</v>
      </c>
      <c r="L88" s="29" t="inlineStr">
        <is>
          <t>Hayır</t>
        </is>
      </c>
      <c r="M88" s="29" t="inlineStr">
        <is>
          <t>Taslak</t>
        </is>
      </c>
      <c r="N88" s="29" t="inlineStr">
        <is>
          <t>malaga:is</t>
        </is>
      </c>
      <c r="O88" s="29" t="inlineStr">
        <is>
          <t>Disiplin çıkarmasında bildirimin yazılı olduğunu, olayları ve çıkarmanın etkili olacağı tarihi içerdiğini kontrol et; objektif nedenli çıkarmada çıkarma nedeni yazılı bildirilmelidir.
Objektif nedenli çıkarmada kural olarak tazminat (yılda 20 gün maaş) bildirimle aynı anda sana sunulur ve 15 günlük ön bildirim süresi tanınır.
Ön bildirim süresince ücret kaybı olmadan, yeni iş aramak için haftada 6 saatlik izin hakkın var.
Çıkarmayı kabul etmiyorsan çıkarmadan sonraki 20 iş günü içinde dava aç; uzlaştırma (conciliación) başvurusu bu süreyi keser.
Mahkeme çıkarmayı haksız bulursa işveren, kararın bildiriminden itibaren 5 gün içinde seni geri almayı ya da yılda 33 gün maaş (en çok 24 aylık; 12 Şubat 2012 ve sonrası sözleşmelerde) tazminat ödemeyi seçer.
Çıkarma geçersiz (nulo) bulunursa derhal işe geri alınır ve ödenmeyen maaşlarını alırsın; disiplin çıkarması haklı (procedente) bulunursa tazminat ve ara dönem maaşı hakkın olmaz.</t>
        </is>
      </c>
      <c r="P88" s="29" t="n"/>
      <c r="Q88" s="29" t="inlineStr">
        <is>
          <t>İtiraz süresi: çıkarmadan sonraki 20 iş günü
Tazminat ya da geri alma seçimi: karar bildiriminden itibaren 5 gün
Objektif nedenli çıkarmada ön bildirim: 15 gün</t>
        </is>
      </c>
      <c r="R88" s="29" t="inlineStr">
        <is>
          <t>Haksız çıkarma (12 Şubat 2012 ve sonrası sözleşmeler): yılda 33 gün maaş, en çok 24 aylık
12 Şubat 2012'den önceki sözleşmeler: önceki hizmet süresi için yılda 45 gün, sonraki süre için yılda 33 gün maaş; toplam en çok 720 gün maaş (eski dönem hesabı bundan fazla gün çıkarırsa o sayı üst sınır olur, en çok 42 aylık)
Objektif nedenli çıkarma haklı bulunursa: yılda 20 gün maaş, en çok 12 aylık; haksız bulunursa: yılda 33 gün maaş, en çok 24 aylık (12 Şubat 2012 ve sonrası sözleşmeler)</t>
        </is>
      </c>
      <c r="S88" s="29" t="inlineStr">
        <is>
          <t>Toplu işten çıkarma, 90 günlük dönemde 100'den az çalışanı olan şirkette en az 10, 100 ile 300 arasında çalışanı olan şirkette çalışanların %10'u, 300'den fazla çalışanı olan şirkette en az 30 kişiyi kapsayan çıkarmadır; öncesinde işçi temsilcileriyle en çok 30 takvim günü (50'den az çalışanı olan şirkette 15 gün) süren bir görüşme dönemi yapılır. Ayrımcılık ya da temel hakların ihlali nedeniyle yapılan çıkarma geçersizdir.</t>
        </is>
      </c>
      <c r="T88" s="29" t="n"/>
    </row>
    <row r="89" ht="54" customHeight="1">
      <c r="A89" s="29" t="inlineStr">
        <is>
          <t>malaga:issizlik-maasi-paro-sepe-basvurusu</t>
        </is>
      </c>
      <c r="B89" s="29" t="inlineStr">
        <is>
          <t>malaga</t>
        </is>
      </c>
      <c r="C89" s="29" t="inlineStr">
        <is>
          <t>issizlik-maasi-paro-sepe-basvurusu</t>
        </is>
      </c>
      <c r="D89" s="29" t="inlineStr">
        <is>
          <t>İşsizlik ödeneği (paro) kimlere verilir, ne kadar sürer, SEPE'ye nasıl başvurulur?</t>
        </is>
      </c>
      <c r="E89" s="29" t="inlineStr">
        <is>
          <t>Son 6 yılda en az 360 gün işsizlik primi; başvuru son çalışılan günden sonraki 15 iş günü içinde</t>
        </is>
      </c>
      <c r="F89" s="29" t="inlineStr">
        <is>
          <t>Son 6 yılda en az 360 gün işsizlik primi ödediysen ve yasal olarak işsiz kaldıysan SEPE'den primli işsizlik ödeneği (prestación contributiva por desempleo) alabilirsin. Ödenek süresi prim gününe göre 120 ile 720 gün arasında değişir; tutar, son 180 günün ortalama prim bazı olan baz matrahın (base reguladora) ilk 180 gün %70'i, 181. günden sonra %60'ıdır. Başvuruyu son çalıştığın günden sonraki 15 iş günü içinde yaparsın. Yabancı işçiler de (AB/AEA ülkesi vatandaşı olsun olmasın), İspanya'da yasal olarak oturuyor, yasal şartları karşılıyor ve iş arayan olarak kayıtlıysa primli işsizlik ödeneğine hak kazanır; yani AB dışı vatandaş olmak tek başına engel değildir, ama prim süresi gibi öteki şartlar yine aranır.</t>
        </is>
      </c>
      <c r="G89" s="29" t="inlineStr">
        <is>
          <t>işsizlik maaşı, paro, SEPE, prestación contributiva, desempleo, demandante de empleo, işsizlik ödeneği</t>
        </is>
      </c>
      <c r="H89" s="29" t="inlineStr">
        <is>
          <t>settled</t>
        </is>
      </c>
      <c r="I89" s="29" t="inlineStr">
        <is>
          <t>malaga:kaynak:061;malaga:kaynak:062</t>
        </is>
      </c>
      <c r="J89" s="49" t="n">
        <v>46319</v>
      </c>
      <c r="K89" s="51" t="n">
        <v>9045</v>
      </c>
      <c r="L89" s="29" t="inlineStr">
        <is>
          <t>Hayır</t>
        </is>
      </c>
      <c r="M89" s="29" t="inlineStr">
        <is>
          <t>Taslak</t>
        </is>
      </c>
      <c r="N89" s="29" t="inlineStr">
        <is>
          <t>malaga:is</t>
        </is>
      </c>
      <c r="O89" s="29" t="inlineStr">
        <is>
          <t>İşsizliğin yasal işsizlik hâli olduğundan emin ol, sosyal güvenlikte işsizlik primi ödenen bir rejimde kayıtlı (alta) olduğunu ve olağan emeklilik yaşına gelmediğini kontrol et.
Demandante de empleo (iş arayan) olarak kayıt ol ve ödenek boyunca kaydını sürdür.
Başvuru modelini (acuerdo de actividad dahil) doldur; kimlik belgeni, ödeneğin yatırılacağı hesabın banka belgesini ve son 6 aydaki işverenlerin şirket sertifikalarını hazırla.
Başvuruyu son çalıştığın günden sonraki 15 iş günü içinde SEPE elektronik ofisinden, randevu alarak ödenek ofisinden, herhangi bir kamu kayıt ofisinden ya da idari postayla yap.
SEPE, başvurudan sonraki 15 gün içinde karar verir ve karar tarihinden itibaren 10 gün içinde bildirir.
Ödenek 30 günlük aylık taksitler hâlinde, bir sonraki ayın 10 ile 15'i arasında, kendi adına açık banka hesabına yatırılır.</t>
        </is>
      </c>
      <c r="P89" s="29" t="inlineStr">
        <is>
          <t>Resmî başvuru modeli (acuerdo de actividad dahil)
AB vatandaşı: pasaport ya da kimlik belgesi ile NIE'yi gösteren kayıt sertifikası (veya sürekli oturum sertifikası)
AB dışı vatandaş: fotoğraflı TIE (pasaportu da yanında bulundur)
Ödeneğin yatırılacağı hesabın banka belgesi
Çocuk varsa Libro de Familia ya da doğum veya aile sicil belgesi (yabancılarda resmî İspanyolca çevirili eşdeğeri)
Son 6 aydaki işverenlerin şirket sertifikaları (işverenler SEPE'ye göndermediyse)</t>
        </is>
      </c>
      <c r="Q89" s="29" t="inlineStr">
        <is>
          <t>Prim günlerine göre ödenek süresi:
360-539 gün prim: 120 gün ödenek
540-719 gün prim: 180 gün ödenek
720-899 gün prim: 240 gün ödenek
900-1.079 gün prim: 300 gün ödenek
1.080-1.259 gün prim: 360 gün ödenek
1.260-1.439 gün prim: 420 gün ödenek
1.440-1.619 gün prim: 480 gün ödenek
1.620-1.799 gün prim: 540 gün ödenek
1.800-1.979 gün prim: 600 gün ödenek
1.980-2.159 gün prim: 660 gün ödenek
2.160 ve üzeri gün prim: 720 gün ödenek
Başvuru süresi: son çalışılan günden sonra 15 iş günü</t>
        </is>
      </c>
      <c r="R89" s="29" t="inlineStr">
        <is>
          <t>İlk 180 gün baz matrahın %70'i
181. günden sonra: baz matrahın %60'ı
Brüt tutardan sosyal güvenlik primi ve gerektiğinde IRPF stopajı (retención) düşülür</t>
        </is>
      </c>
      <c r="S89" s="29" t="inlineStr">
        <is>
          <t>Belgeler bölümündeki AB vatandaşı satırı AB vatandaşları içindir; AB serbest dolaşım rejimi Türk vatandaşına uygulanmaz, Türk vatandaşı AB dışı vatandaş satırına girer. Ödenek tutarı yasal bir üst ve alt sınıra bağlıdır; bu sınırlar bakmakla yükümlü olduğun çocuğun olup olmamasına göre değişir. Süresinden sonra başvurursan ödenek başvuru tarihinden başlar ve aradan geçen gün sayısı kadar ödenek günü kaybedersin.</t>
        </is>
      </c>
      <c r="T89" s="29" t="n"/>
    </row>
    <row r="90" ht="54" customHeight="1">
      <c r="A90" s="29" t="inlineStr">
        <is>
          <t>malaga:is-kazasi-ve-meslek-hastaligi-tanimi</t>
        </is>
      </c>
      <c r="B90" s="29" t="inlineStr">
        <is>
          <t>malaga</t>
        </is>
      </c>
      <c r="C90" s="29" t="inlineStr">
        <is>
          <t>is-kazasi-ve-meslek-hastaligi-tanimi</t>
        </is>
      </c>
      <c r="D90" s="29" t="inlineStr">
        <is>
          <t>Başkası hesabına (ücretli) çalışanda iş kazası (accidente de trabajo) ve meslek hastalığı nedir, işe gidiş-dönüş yolundaki kaza sayılır mı?</t>
        </is>
      </c>
      <c r="E90" s="29" t="inlineStr">
        <is>
          <t>Evet: işe gidiş-dönüş yolundaki kaza da iş kazasıdır; meslek hastalığı yönetmelikteki cetvele bağlıdır</t>
        </is>
      </c>
      <c r="F90" s="29" t="inlineStr">
        <is>
          <t>Evet, işe giderken ya da işten dönerken geçirdiğin kaza da iş kazası (accidente de trabajo) sayılır. Genel tanım şudur: başkası hesabına yaptığın işle bağlantılı olarak uğradığın her bedensel yaralanma iş kazasıdır. İş yerinde ve çalışma süresi içinde aldığın yaralanma, aksi ispatlanmadıkça iş kazası kabul edilir. Meslek hastalığı (enfermedad profesional) ise başkası hesabına yaptığın işten kaynaklanan ve uygulama yönetmeliklerindeki cetvelde (cuadro) sayılan faaliyetler ile etkenlere bağlı hastalıktır.</t>
        </is>
      </c>
      <c r="G90" s="29" t="inlineStr">
        <is>
          <t>iş kazası, accidente de trabajo, meslek hastalığı, enfermedad profesional, işe gidiş dönüş kazası, accidente in itinere</t>
        </is>
      </c>
      <c r="H90" s="29" t="inlineStr">
        <is>
          <t>settled</t>
        </is>
      </c>
      <c r="I90" s="29" t="inlineStr">
        <is>
          <t>malaga:kaynak:063</t>
        </is>
      </c>
      <c r="J90" s="49" t="n">
        <v>46319</v>
      </c>
      <c r="K90" s="51" t="n">
        <v>9046</v>
      </c>
      <c r="L90" s="29" t="inlineStr">
        <is>
          <t>Hayır</t>
        </is>
      </c>
      <c r="M90" s="29" t="inlineStr">
        <is>
          <t>Taslak</t>
        </is>
      </c>
      <c r="N90" s="29" t="inlineStr">
        <is>
          <t>malaga:is</t>
        </is>
      </c>
      <c r="O90" s="29" t="inlineStr">
        <is>
          <t>Yaralanmanın işini yaparken, işin sonucu olarak ya da işe gidip gelirken oluştuğunu belirle.
İş yerinde ve çalışma saatinde olduysa bu durum, aksi ispatlanmadıkça iş kazası sayılır.
Hastalıkta, hastalığın cetvelde (cuadro) sayılan faaliyet ve etkenlerle bağlantısına bak; cetvelde yer almayan bir hastalık, işin tek nedeni olduğu kanıtlanırsa iş kazası sayılır.
Önceden var olan bir hastalık ya da kusur kaza sonucu oluşan yaralanma yüzünden ağırlaşırsa bu ağırlaşma da iş kazası kapsamındadır.</t>
        </is>
      </c>
      <c r="P90" s="29" t="n"/>
      <c r="Q90" s="29" t="n"/>
      <c r="R90" s="29" t="n"/>
      <c r="S90" s="29" t="inlineStr">
        <is>
          <t>İş kazası sayılmayanlar: çalışmayla hiçbir ilgisi olmayan mücbir sebepler ve işçinin kastı ya da pervasız dikkatsizliği. Güneş çarpması, yıldırım ve benzeri doğa olayları ise çalışmayla ilgisiz mücbir sebep sayılmaz; yani bu gerekçeyle iş kazası dışında bırakılamazlar. Mesleki alışkanlıktan doğan dikkatsizlik ile işverenin, bir iş arkadaşının ya da üçüncü bir kişinin kusuru, olayın çalışmayla hiçbir ilgisi olmadığı durum dışında, kazanın iş kazası sayılmasına engel değildir. İş kazası olmayan kaza 'accidente no laboral', iş kazası ya da meslek hastalığı olmayan hastalık ise 'enfermedad común' sayılır.</t>
        </is>
      </c>
      <c r="T90" s="29" t="n"/>
    </row>
    <row r="91" ht="54" customHeight="1">
      <c r="A91" s="29" t="inlineStr">
        <is>
          <t>malaga:serbest-calisan-autonomo-kayit-ve-prim-tablosu</t>
        </is>
      </c>
      <c r="B91" s="29" t="inlineStr">
        <is>
          <t>malaga</t>
        </is>
      </c>
      <c r="C91" s="29" t="inlineStr">
        <is>
          <t>serbest-calisan-autonomo-kayit-ve-prim-tablosu</t>
        </is>
      </c>
      <c r="D91" s="29" t="inlineStr">
        <is>
          <t>İspanya'da serbest çalışan (autónomo) olarak Seguridad Social'a (RETA) alta nasıl yapılır, 2026 prim bazı tablosu nedir?</t>
        </is>
      </c>
      <c r="E91" s="29" t="inlineStr">
        <is>
          <t>Önce IAE kaydı, sonra Importass'ta 6 adımda RETA kaydı; 2026'da tablo her net gelir diliminin en düşük ve en yüksek prim bazını verir</t>
        </is>
      </c>
      <c r="F91" s="29" t="inlineStr">
        <is>
          <t>Önce Agencia Tributaria'da (ya da oturduğun yere göre foral vergi idaresinde) IAE'ye (Impuesto de Actividades Económicas) kayıt olursun; ardından Seguridad Social'ın Importass uygulamasından altı adımda otonom kaydını (alta) yaparsın. 2026'da tablo, net gelir diliminin euro/ay cinsinden en düşük ve en yüksek prim bazını verir; prim ödeyeceğin bazı kayıt sırasında kendin yazarsın ve azami baz ayda 5.101,20 euro'dur. Ortak riskler (contingencias comunes) için prim oranı %28,30'dur; bu yalnız ortak riskler oranıdır, toplam prim oranı değildir: mesleki riskler için %1,30, MEI için %0,90 ayrıca belirlenmiştir.</t>
        </is>
      </c>
      <c r="G91" s="29" t="inlineStr">
        <is>
          <t>serbest çalışan, autónomo, RETA, Importass, IAE, alta, prim bazı, tarifa plana, 2026</t>
        </is>
      </c>
      <c r="H91" s="29" t="inlineStr">
        <is>
          <t>new;settled</t>
        </is>
      </c>
      <c r="I91" s="29" t="inlineStr">
        <is>
          <t>malaga:kaynak:060;malaga:kaynak:064</t>
        </is>
      </c>
      <c r="J91" s="49" t="n">
        <v>46319</v>
      </c>
      <c r="K91" s="51" t="n">
        <v>9047</v>
      </c>
      <c r="L91" s="29" t="inlineStr">
        <is>
          <t>Hayır</t>
        </is>
      </c>
      <c r="M91" s="29" t="inlineStr">
        <is>
          <t>Taslak</t>
        </is>
      </c>
      <c r="N91" s="29" t="inlineStr">
        <is>
          <t>malaga:is</t>
        </is>
      </c>
      <c r="O91" s="29" t="inlineStr">
        <is>
          <t>IAE kaydını Agencia Tributaria'da (ya da oturduğun yere göre foral vergi idaresinde) yaptır; bu kayıt Seguridad Social kaydından önce gerekir.
Importass uygulamasında Cl@ve, dijital sertifika ya da geçerli başka bir yöntemle kimliğini doğrula.
Servicios bölümünden Altas, bajas y modificaciones, sonra Afiliación y altas de trabajadores, sonra Alta en trabajo autónomo yolunu izle ve Solicitar alta düğmesine bas.
Faaliyetinin başlangıç tarihini (prim ödemeye başlayacağın gün), faaliyetini, IAE bilgilerini (kaydın yapıldığı kurum ve IAE kodu), faaliyet adresini, beklenen aylık net gelirini ve prim ödeyeceğin bazı gir.
Tarifa plana ile diğer indirim ve teşviklerden yararlanmak istiyorsan bunu işaretle ve kapsamını yönetecek mutua'yı seç.
İletişim bilgilerini ve primlerin çekileceği banka hesabını yaz, bilgileri gözden geçirip onayla; kayıt justificante'sini indir.</t>
        </is>
      </c>
      <c r="P91" s="29" t="inlineStr">
        <is>
          <t>Önceden yapılmış IAE kaydı
Cl@ve, dijital sertifika ya da geçerli başka bir kimlik doğrulama yöntemi
Primlerin çekileceği banka hesabı</t>
        </is>
      </c>
      <c r="Q91" s="29" t="inlineStr">
        <is>
          <t>Kayıt Importass'ta 6 adımda tamamlanır
Faaliyet başlangıç tarihi, prim ödemeye başladığın gündür
Prim tablosu 2026 yılı içindir</t>
        </is>
      </c>
      <c r="R91" s="29" t="inlineStr">
        <is>
          <t>2026 prim bazı tablosu (net gelir ve baz euro/ay; ortak riskler için oran %28,30 (yalnız ortak riskler oranı, toplam değil); azami baz 5.101,20 euro/ay):
Tabla reducida, 1. dilim (net gelir ≤ 670 euro/ay): en düşük baz 653,59, en yüksek baz 718,94 euro/ay
Tabla reducida, 2. dilim (net gelir &gt; 670 ve ≤ 900 euro/ay): en düşük baz 718,95, en yüksek baz 900,00 euro/ay
Tabla reducida, 3. dilim (net gelir &gt; 900 ve &lt; 1.166,70 euro/ay): en düşük baz 849,67, en yüksek baz 1.166,70 euro/ay
Tabla general, 1. dilim (net gelir ≥ 1.166,70 ve ≤ 1.300 euro/ay): en düşük baz 950,98, en yüksek baz 1.300,00 euro/ay
Tabla general, 2. dilim (net gelir &gt; 1.300 ve ≤ 1.500 euro/ay): en düşük baz 960,78, en yüksek baz 1.500,00 euro/ay
Tabla general, 3. dilim (net gelir &gt; 1.500 ve ≤ 1.700 euro/ay): en düşük baz 960,78, en yüksek baz 1.700,00 euro/ay
Tabla general, 4. dilim (net gelir &gt; 1.700 ve ≤ 1.850 euro/ay): en düşük baz 1.143,79, en yüksek baz 1.850,00 euro/ay
Tabla general, 5. dilim (net gelir &gt; 1.850 ve ≤ 2.030 euro/ay): en düşük baz 1.209,15, en yüksek baz 2.030,00 euro/ay
Tabla general, 6. dilim (net gelir &gt; 2.030 ve ≤ 2.330 euro/ay): en düşük baz 1.274,51, en yüksek baz 2.330,00 euro/ay
Tabla general, 7. dilim (net gelir &gt; 2.330 ve ≤ 2.760 euro/ay): en düşük baz 1.356,21, en yüksek baz 2.760,00 euro/ay
Tabla general, 8. dilim (net gelir &gt; 2.760 ve ≤ 3.190 euro/ay): en düşük baz 1.437,91, en yüksek baz 3.190,00 euro/ay
Tabla general, 9. dilim (net gelir &gt; 3.190 ve ≤ 3.620 euro/ay): en düşük baz 1.519,61, en yüksek baz 3.620,00 euro/ay
Tabla general, 10. dilim (net gelir &gt; 3.620 ve ≤ 4.050 euro/ay): en düşük baz 1.601,31, en yüksek baz 4.050,00 euro/ay
Tabla general, 11. dilim (net gelir &gt; 4.050 ve ≤ 6.000 euro/ay): en düşük baz 1.732,03, en yüksek baz 5.101,20 euro/ay
Tabla general, 12. dilim (net gelir &gt; 6.000 euro/ay): en düşük baz 1.928,10, en yüksek baz 5.101,20 euro/ay</t>
        </is>
      </c>
      <c r="S91" s="29" t="inlineStr">
        <is>
          <t>Tablo iki bölümdür: net gelir 1.166,70 euro/ayın altındaysa tabla reducida, 1.166,70 euro/ay ve üzerindeyse tabla general geçerlidir.</t>
        </is>
      </c>
      <c r="T91" s="29" t="n"/>
    </row>
    <row r="92" ht="54" customHeight="1">
      <c r="A92" s="29" t="inlineStr">
        <is>
          <t>malaga:dogum-ve-babalik-izni-sureleri</t>
        </is>
      </c>
      <c r="B92" s="29" t="inlineStr">
        <is>
          <t>malaga</t>
        </is>
      </c>
      <c r="C92" s="29" t="inlineStr">
        <is>
          <t>dogum-ve-babalik-izni-sureleri</t>
        </is>
      </c>
      <c r="D92" s="29" t="inlineStr">
        <is>
          <t>İspanya'da doğum ve babalık izni kaç hafta, ödenek ne kadar?</t>
        </is>
      </c>
      <c r="E92" s="29" t="inlineStr">
        <is>
          <t>Her ebeveyne 19 hafta, tek ebeveynli ailede 32 hafta; ödenek baz matrahın %100'ü</t>
        </is>
      </c>
      <c r="F92" s="29" t="inlineStr">
        <is>
          <t>Doğum izni, biyolojik anne ve diğer ebeveyn için ayrı ayrı 19 haftadır; tek ebeveynli ailede izin 32 haftadır. Bunun 6 haftası doğumdan hemen sonra zorunludur ve tam gün kullanılır. Doğum ve bakım ödeneği (prestación por nacimiento y cuidado de menor) baz matrahın %100'üdür. Evlat edinme, evlat edinme amaçlı bakım ve koruyucu aile için de her kişiye aynı süreler tanınır.</t>
        </is>
      </c>
      <c r="G92" s="29" t="inlineStr">
        <is>
          <t>doğum izni, babalık izni, ebeveyn izni, nacimiento y cuidado de menor, 19 hafta, 32 hafta, doğum ödeneği</t>
        </is>
      </c>
      <c r="H92" s="29" t="inlineStr">
        <is>
          <t>planning;new;settled</t>
        </is>
      </c>
      <c r="I92" s="29" t="inlineStr">
        <is>
          <t>malaga:kaynak:055;malaga:kaynak:063</t>
        </is>
      </c>
      <c r="J92" s="49" t="n">
        <v>46319</v>
      </c>
      <c r="K92" s="51" t="n">
        <v>9048</v>
      </c>
      <c r="L92" s="29" t="inlineStr">
        <is>
          <t>Hayır</t>
        </is>
      </c>
      <c r="M92" s="29" t="inlineStr">
        <is>
          <t>Taslak</t>
        </is>
      </c>
      <c r="N92" s="29" t="inlineStr">
        <is>
          <t>malaga:is</t>
        </is>
      </c>
      <c r="O92" s="29" t="inlineStr">
        <is>
          <t>İlk 6 haftayı doğumdan hemen sonra, kesintisiz ve tam gün kullan; bu süre zorunludur.
11 haftalık bölümü (tek ebeveynli ailede 22 hafta), zorunlu dönemin bitiminden çocuk 12 aylık olana dek haftalık dönemler hâlinde birleştirerek ya da bölerek kullanabilirsin; biyolojik anne bu bölümü doğumun beklenen tarihinden 4 hafta öncesine kadar öne çekebilir.
Kalan 2 haftalık bölümü (tek ebeveynli ailede 4 hafta) çocuk 8 yaşına gelene kadar haftalık dönemler hâlinde kullanabilirsin.
11 ve 2 haftalık bölümleri tam gün ya da işverenle anlaşarak yarı zamanlı kullanabilirsin; kullanımı işverene en az 15 gün önceden bildir.
Bu hak kişiye bağlıdır; diğer ebeveyne devredemezsin.
Çocukta engel varsa ya da çoğul doğumda ilk çocuktan sonraki her çocuk için izin 2 hafta uzar; bu ek sürenin 1 haftası her ebeveyne düşer.</t>
        </is>
      </c>
      <c r="P92" s="29" t="n"/>
      <c r="Q92" s="29" t="inlineStr">
        <is>
          <t>Doğum izni: her ebeveyn için 19 hafta (tek ebeveynli ailede 32 hafta)
6 hafta zorunlu + 11 hafta (tek ebeveynli: 22) + 2 hafta (tek ebeveynli: 4)</t>
        </is>
      </c>
      <c r="R92" s="29" t="inlineStr">
        <is>
          <t>Doğum ve bakım ödeneği: baz matrahın %100'ü</t>
        </is>
      </c>
      <c r="S92" s="29" t="inlineStr">
        <is>
          <t>Ödenek için sosyal güvenlik primi şartı yaşa göre değişir. Evlat edinmede mahkeme kararı, koruyucu aile ve evlat edinme amaçlı bakımda idari karar tarihindeki yaş esas alınır; doğum durumunda ve uluslararası evlat edinmede ise esas alınan yaş, ilgilinin izin başlangıcında doldurduğu yaştır. Prim şartı, doğumda doğum anına, uluslararası evlat edinmede karar (resolución) anına göre doğrulanır. 21 yaşından küçüklerde şart yoktur; 21 ile 25 yaş arasında izin başlangıcından önceki son 7 yılda 90 gün (ya da çalışma hayatında toplam 180 gün), 26 yaş ve üzerinde son 7 yılda 180 gün (ya da çalışma hayatında toplam 360 gün) prim gerekir. Her izin döneminin başında sosyal güvenlikte kayıtlı (alta) olman gerekir.</t>
        </is>
      </c>
      <c r="T92" s="29" t="n"/>
    </row>
    <row r="93" ht="54" customHeight="1">
      <c r="A93" s="29" t="inlineStr">
        <is>
          <t>malaga:yabanci-diploma-denklik-okul-ve-universite</t>
        </is>
      </c>
      <c r="B93" s="29" t="inlineStr">
        <is>
          <t>malaga</t>
        </is>
      </c>
      <c r="C93" s="29" t="inlineStr">
        <is>
          <t>yabanci-diploma-denklik-okul-ve-universite</t>
        </is>
      </c>
      <c r="D93" s="29" t="inlineStr">
        <is>
          <t>Yabancı diploman İspanya'da nasıl denk sayılır? Üniversite dışı ve üniversite diplomaları için yollar</t>
        </is>
      </c>
      <c r="E93" s="29" t="inlineStr">
        <is>
          <t>Üniversite dışı diplomalar homologación ya da convalidación kurallarına, üniversite diplomaları Üniversiteler Bakanlığı'nın elektronik ofisine bağlıdır</t>
        </is>
      </c>
      <c r="F93" s="29" t="inlineStr">
        <is>
          <t>Diplomanın türüne göre iki ayrı yol var. Okul düzeyindeki (üniversite dışı) yabancı diplomalar için homologación ya da convalidación söz konusudur; yabancı üniversite diplomaları için Üniversiteler Bakanlığı'nın elektronik ofisine başvurulur ve sonuç homologación ya da declaración de equivalencia olur. Üniversitede eksik kalan veya yarım bırakılan eğitimlerin tanınması ise başvurulan İspanyol üniversitesinin işidir (convalidación).</t>
        </is>
      </c>
      <c r="G93" s="29" t="inlineStr">
        <is>
          <t>diploma denkliği, homologación, convalidación, declaración de equivalencia, yabancı diploma, apostil, DELE</t>
        </is>
      </c>
      <c r="H93" s="29" t="inlineStr">
        <is>
          <t>planning;new</t>
        </is>
      </c>
      <c r="I93" s="29" t="inlineStr">
        <is>
          <t>malaga:kaynak:065;malaga:kaynak:066</t>
        </is>
      </c>
      <c r="J93" s="49" t="n">
        <v>46319</v>
      </c>
      <c r="K93" s="51" t="n">
        <v>9049</v>
      </c>
      <c r="L93" s="29" t="inlineStr">
        <is>
          <t>Hayır</t>
        </is>
      </c>
      <c r="M93" s="29" t="inlineStr">
        <is>
          <t>Taslak</t>
        </is>
      </c>
      <c r="N93" s="29" t="inlineStr">
        <is>
          <t>malaga:is</t>
        </is>
      </c>
      <c r="O93" s="29" t="inlineStr">
        <is>
          <t>Önce diplomanın üniversite diploması mı, yoksa üniversite dışı bir diploma mı olduğunu belirle.
Üniversite dışı diplomada diplomanın ülkende resmî olması, tamamen bitirilmiş olması ve İspanyol karşılığıyla akademik düzey, süre ve içerik bakımından yeterli denkliği olması gerekir; önceki tüm sınıfları geçmiş olmalısın.
Üniversite diplomasında başvuruyu yalnızca elektronik yolla, Üniversiteler Bakanlığı'nın elektronik ofisindeki kayıt sistemi üzerinden yap.
Başvuruya kimlik ve uyruk belgeni, diplomanı (ya da düzenlenme belgesini), ders, saat ve ECTS kredilerini gösteren not belgeni, harç ödeme belgesini ve gerekiyorsa dil yeterliliği belgesini ekle.
Diplomanı ve not belgeni diplomatik yoldan ya da Lahey apostiliyle onaylat ve gerekiyorsa resmî İspanyolca çevirisini ekle; AB, AEA ya da İsviçre makamlarının verdiği belgelerde bu şart aranmaz.
Homologación başvurusunda dil yeterliliği için DELE B2 ve üzeri, resmî dil okulundan B2 ve üzeri sertifika, Certificado de Aptitud, eğitimin en az %75'inin İspanyolca görüldüğünü gösteren okul belgesi ya da üniversite öncesi eğitimin İspanyolca görüldüğünü gösteren belgeden biri gerekir.
Eğitimi yarım bıraktıysan ya da ders saydırmak istiyorsan İspanyol üniversitesine convalidación başvurusu yap; üniversitenin karar süresi kayıt tarihinden itibaren en çok 2 aydır.</t>
        </is>
      </c>
      <c r="P93" s="29" t="inlineStr">
        <is>
          <t>Kimlik ve uyruk belgesi
Diploma ya da düzenlenme belgesi
Ders, saat ve ECTS kredilerini gösteren akademik not belgesi
Diplomatik onay ya da Lahey apostili; gerekiyorsa resmî İspanyolca çeviri
Harç ödeme belgesi
Dil yeterliliği belgesi (homologación başvurusunda)</t>
        </is>
      </c>
      <c r="Q93" s="29" t="inlineStr">
        <is>
          <t>Üniversite convalidación kararı: başvuru kaydından itibaren en çok 2 ay</t>
        </is>
      </c>
      <c r="R93" s="29" t="n"/>
      <c r="S93" s="29" t="inlineStr">
        <is>
          <t>Üniversite düzeyinde, İspanya'da düzenlenmiş (regulada) bir mesleğe erişim sağlayan yabancı diplomada homologación ya da convalidación seçeneklerinden birini seçersin; ikisi aynı anda istenemez. Üniversite dışı eğitimde tek tek dersler, İspanya'da zaten alınmış diplomalar ve İspanya'da yetkisiz yabancı okullarda alınan eğitimler denklenmez. Üniversite diplomalarında AB vatandaşlarının mesleki tanıması bu düzenin dışında, AB mevzuatına tabidir; AB serbest dolaşım rejimi Türk vatandaşlarına uygulanmaz.</t>
        </is>
      </c>
      <c r="T93" s="29" t="n"/>
    </row>
    <row r="94" ht="54" customHeight="1">
      <c r="A94" s="29" t="inlineStr">
        <is>
          <t>malaga:endulus-sae-is-arayan-kaydi-demandante-de-empleo</t>
        </is>
      </c>
      <c r="B94" s="29" t="inlineStr">
        <is>
          <t>malaga</t>
        </is>
      </c>
      <c r="C94" s="29" t="inlineStr">
        <is>
          <t>endulus-sae-is-arayan-kaydi-demandante-de-empleo</t>
        </is>
      </c>
      <c r="D94" s="29" t="inlineStr">
        <is>
          <t>Endülüs'te iş arayan olarak (SAE'ye) nasıl kayıt olunur, AB dışı yabancı için izin şartı nedir?</t>
        </is>
      </c>
      <c r="E94" s="29" t="inlineStr">
        <is>
          <t>Kayıt web sitesi ya da AppSAE'deki formla yapılır; AB dışı yabancı için iş arayan kaydına izin veren idari izin aranır</t>
        </is>
      </c>
      <c r="F94" s="29" t="inlineStr">
        <is>
          <t>SAE'de iş arayan (demandante de empleo) kaydını SAE web sitesindeki ya da AppSAE'deki formu doldurarak yaparsın. Cl@ve veya dijital sertifikayla gönderirsen kaydın geçerli olur; kullanıcı adı ve şifreyle gönderirsen kimliğini doğrulamak için randevu alıp iş bürosunda (oficina de empleo) kaydı tamamlarsın. Şartlar: 16 yaşını doldurmuş olmak, Endülüs'te oturmak ve İspanyol ya da AB üyesi ülke vatandaşı olmak; AB dışı vatandaşsan, bir kamu istihdam servisine kayda izin veren idari izin (autorización administrativa) gerekir.</t>
        </is>
      </c>
      <c r="G94" s="29" t="inlineStr">
        <is>
          <t>SAE, Servicio Andaluz de Empleo, demandante de empleo, iş arayan kaydı, autorización administrativa, AppSAE, paro</t>
        </is>
      </c>
      <c r="H94" s="29" t="inlineStr">
        <is>
          <t>new;settled</t>
        </is>
      </c>
      <c r="I94" s="29" t="inlineStr">
        <is>
          <t>malaga:kaynak:134;malaga:kaynak:135</t>
        </is>
      </c>
      <c r="J94" s="49" t="n">
        <v>46319</v>
      </c>
      <c r="K94" s="51" t="n">
        <v>9100</v>
      </c>
      <c r="L94" s="29" t="inlineStr">
        <is>
          <t>Hayır</t>
        </is>
      </c>
      <c r="M94" s="29" t="inlineStr">
        <is>
          <t>Taslak</t>
        </is>
      </c>
      <c r="N94" s="29" t="inlineStr">
        <is>
          <t>malaga:is</t>
        </is>
      </c>
      <c r="O94" s="29" t="inlineStr">
        <is>
          <t>Şartları sağladığından emin ol: 16 yaş, Endülüs'te ikamet, AB dışı vatandaşsan kayda izin veren idari izin.
Formda istenen bilgileri hazırla: ad soyad, DNI, NIE veya pasaport, uyruk, adres, telefon, e-posta ve eğitim düzeyi.
SAE web sitesindeki ya da AppSAE'deki kayıt formunu doldur ve gönder.
Cl@ve veya dijital sertifikayla gönderdiysen kaydın geçerlidir. Kullanıcı adı ve şifreyle gönderdiysen AppSAE'den, SAE web sitesinden ya da 955 625 695 numarasından (08:00–20:00, Pazartesi–Cuma, resmî tatil hariç) randevu al ve iş bürosunda demandanı tamamla.
İşsizlik ödeneği için SEPE'ye başvuracaksan kaydı bundan önce yaptır.</t>
        </is>
      </c>
      <c r="P94" s="29" t="inlineStr">
        <is>
          <t>Ad soyad
DNI, NIE veya pasaport numarası
Uyruk
Adres
Telefon ve e-posta
En yüksek eğitim düzeyi
İsteğe bağlı: eğitim ve iş deneyimi belgeleri</t>
        </is>
      </c>
      <c r="Q94" s="29" t="inlineStr">
        <is>
          <t>Cl@ve veya dijital sertifikayla kayıt hemen geçerli olur; kullanıcı adı ve şifreyle yapılırsa randevuda tamamlanır.</t>
        </is>
      </c>
      <c r="R94" s="29" t="n"/>
      <c r="S94" s="29" t="inlineStr">
        <is>
          <t>Yurt dışından gelip İspanya'da çalışmak isteyen AB dışı kişi için sıra şöyledir: Ministerio de Inclusión, Seguridad Social y Migraciones'e çalışma için idari izin (autorización administrativa) başvurulur, vize yurt dışındaki konsolosluktan alınır; izin alındıktan sonra SAE'ye demanda (iş arayan kaydı) başvurusu yapılır. AB dışı vatandaş için SAE kayıt sayfası, kamu istihdam servisine kayda izin veren bir idari izin arar; hangi iznin yeterli olduğu sayfada belirtilmez. Belge yüklemek zorunlu değildir; yüklemezsen bilgi "declarativa" olarak kaydedilir ve bazı ilanlara başvurmanı engelleyebilir. SAE sayfaları 2025 tarihlidir (06/03/2025 ve 24/03/2025).</t>
        </is>
      </c>
      <c r="T94" s="29" t="n"/>
    </row>
    <row r="95" ht="54" customHeight="1">
      <c r="A95" s="29" t="inlineStr">
        <is>
          <t>malaga:sepe-malaga-teatinos-ofisi</t>
        </is>
      </c>
      <c r="B95" s="29" t="inlineStr">
        <is>
          <t>malaga</t>
        </is>
      </c>
      <c r="C95" s="29" t="inlineStr">
        <is>
          <t>sepe-malaga-teatinos-ofisi</t>
        </is>
      </c>
      <c r="D95" s="29" t="inlineStr">
        <is>
          <t>Málaga'da işsizlik ödeneği için SEPE ofisi nerede, randevu nasıl alınır?</t>
        </is>
      </c>
      <c r="E95" s="29" t="inlineStr">
        <is>
          <t>SEPE Málaga-Teatinos iş ofisi: C/ Kandinsky 26; randevu için 91 926 79 70 ya da SEPE elektronik ofisi</t>
        </is>
      </c>
      <c r="F95" s="29" t="inlineStr">
        <is>
          <t>SEPE'nin Málaga-Teatinos iş ofisi (Oficina de Empleo) C/ Kandinsky, 26, 29010 Málaga adresindedir; randevuyu (cita previa) 91 926 79 70 numaralı resmî telefondan ya da SEPE'nin elektronik ofisinden alırsın. Ofisin kendi sayfasında telefon olarak 060 yazar; SEPE'nin 17 Ağustos 2022 tarihli duyurusuna göre randevu hattı 91 926 79 70'tir. 060, Genel Devlet İdaresinin yılın 365 günü 24 saat açık telefon hattıdır ve işsizlik ödeneği sorularını karşılar; bu hatta yapılan aramalar operatörlerin sabit tarifelerine dahil değildir.</t>
        </is>
      </c>
      <c r="G95" s="29" t="inlineStr">
        <is>
          <t>SEPE Málaga, işsizlik ödeneği randevusu, cita previa SEPE, Oficina de Empleo Teatinos, paro, 060, Kandinsky</t>
        </is>
      </c>
      <c r="H95" s="29" t="inlineStr">
        <is>
          <t>settled</t>
        </is>
      </c>
      <c r="I95" s="29" t="inlineStr">
        <is>
          <t>malaga:kaynak:208;malaga:kaynak:209</t>
        </is>
      </c>
      <c r="J95" s="49" t="n">
        <v>46322</v>
      </c>
      <c r="K95" s="51" t="n">
        <v>800</v>
      </c>
      <c r="L95" s="29" t="inlineStr">
        <is>
          <t>Evet</t>
        </is>
      </c>
      <c r="M95" s="29" t="inlineStr">
        <is>
          <t>Taslak</t>
        </is>
      </c>
      <c r="N95" s="29" t="inlineStr">
        <is>
          <t>malaga:is</t>
        </is>
      </c>
      <c r="O95" s="29" t="inlineStr">
        <is>
          <t>SEPE'yle ilgili işlem için randevu iste: 91 926 79 70 numarasını ara ya da randevuyu SEPE'nin elektronik ofisinden al.
Randevuyu alırken hangi ofise verildiğini sor; Málaga-Teatinos ofisi C/ Kandinsky 26, 29010 adresindedir.
Elektronik kimliğin (DNIe), dijital sertifikan ya da Cl@ve hesabın varsa işlemi ofise gitmeden SEPE'nin elektronik ofisinden yap.
Elektronik imzan yoksa ön başvuru formunu ve tr@mites hizmetini kullan.
Genel sorular için 060'ı ara; hat 24 saat açıktır.</t>
        </is>
      </c>
      <c r="P95" s="29" t="n"/>
      <c r="Q95" s="29" t="inlineStr">
        <is>
          <t>060 hattı yılın 365 günü, 24 saat açıktır.</t>
        </is>
      </c>
      <c r="R95" s="29" t="inlineStr">
        <is>
          <t>060'a yapılan aramalar operatörlerin sabit tarifelerine dahil değildir; ek ücret çıkabilir.</t>
        </is>
      </c>
      <c r="S95" s="29" t="inlineStr">
        <is>
          <t>İş arayan (demanda de empleo) kaydıyla ilgili sorular için SEPE değil, Andalucía'daki bölgesel istihdam servisi (SAE) yetkilidir.</t>
        </is>
      </c>
      <c r="T95" s="29" t="n"/>
    </row>
    <row r="96" ht="54" customHeight="1">
      <c r="A96" s="29" t="inlineStr">
        <is>
          <t>malaga:andalucia-orienta-imfe-teatinos</t>
        </is>
      </c>
      <c r="B96" s="29" t="inlineStr">
        <is>
          <t>malaga</t>
        </is>
      </c>
      <c r="C96" s="29" t="inlineStr">
        <is>
          <t>andalucia-orienta-imfe-teatinos</t>
        </is>
      </c>
      <c r="D96" s="29" t="inlineStr">
        <is>
          <t>Málaga'da iş arama danışmanlığı (Andalucía Orienta) için nereye gidilir?</t>
        </is>
      </c>
      <c r="E96" s="29" t="inlineStr">
        <is>
          <t>IMFE Teatinos Orientación Birimi: C/ Pablo Bruna 1; ikamet adresine bağlı birim yok</t>
        </is>
      </c>
      <c r="F96" s="29" t="inlineStr">
        <is>
          <t>Málaga'da iş arama danışmanlığı için belediyenin İstihdam ve Eğitim Enstitüsü IMFE'nin Unidad de Orientación Teatinos birimine gidersin: C/ Pablo Bruna 1, 29010 Málaga; telefonlar 951 92 79 17 ve 951 92 86 52, e-posta Orientacionlaboral@malaga.eu. SAE'nin sayfasına göre ikamet adresine bağlı bir birim yoktur; sana uygun olan birimden randevu istersin. Andalucía Orienta, SAE'ye kayıtlı iş arayanlara iş arama sürecinde bireysel danışmanlık ve eşlik sunan bir programdır; hizmet öncelikle işsiz olarak kayıtlı iş arayanlara, özellikle uzun süreli işsizlere, engelli kişilere, dışlanma riski taşıyanlara, gençlere ve kadınlara yöneliktir.</t>
        </is>
      </c>
      <c r="G96" s="29" t="inlineStr">
        <is>
          <t>Andalucía Orienta, IMFE, iş arama danışmanlığı, Unidad de Orientación Teatinos, SAE, Pablo Bruna, orientación laboral</t>
        </is>
      </c>
      <c r="H96" s="29" t="inlineStr">
        <is>
          <t>new;settled</t>
        </is>
      </c>
      <c r="I96" s="29" t="inlineStr">
        <is>
          <t>malaga:kaynak:205;malaga:kaynak:206;malaga:kaynak:202</t>
        </is>
      </c>
      <c r="J96" s="49" t="n">
        <v>46322</v>
      </c>
      <c r="K96" s="51" t="n">
        <v>801</v>
      </c>
      <c r="L96" s="29" t="inlineStr">
        <is>
          <t>Hayır</t>
        </is>
      </c>
      <c r="M96" s="29" t="inlineStr">
        <is>
          <t>Taslak</t>
        </is>
      </c>
      <c r="N96" s="29" t="inlineStr">
        <is>
          <t>malaga:is</t>
        </is>
      </c>
      <c r="O96" s="29" t="inlineStr">
        <is>
          <t>SAE'de iş arayan (demanda de empleo) olarak kayıtlı olduğundan emin ol; hizmet öncelikle kayıtlı, çalışmayan iş arayanlar içindir. Kayıt için aşağıdaki 'Kayıt ol' bağlantısındaki SAE sayfasını kullan.
Randevu istemek için SAE'nin Mapa de Recursos sayfasında 'Servicios de orientación'ı seç, ili ve belediyeyi gir, 'Listar'a bas ve sana uygun birimden randevu iste.
IMFE Teatinos birimiyle iletişim için 951 92 79 17 ya da 951 92 86 52 numarasını ara ya da Orientacionlaboral@malaga.eu adresine yaz.
Danışmanlığın bireysel ya da grup halinde yapılabileceğini bil.</t>
        </is>
      </c>
      <c r="P96" s="29" t="n"/>
      <c r="Q96" s="29" t="n"/>
      <c r="R96" s="29" t="n"/>
      <c r="S96" s="29" t="inlineStr">
        <is>
          <t>SAE'nin sayfasına göre engelli kişiler ve dışlanma riski taşıyanlar için ayrı Andalucía Orienta birimleri de vardır.</t>
        </is>
      </c>
      <c r="T96" s="29" t="n"/>
    </row>
    <row r="97" ht="54" customHeight="1">
      <c r="A97" s="29" t="inlineStr">
        <is>
          <t>malaga:imfe-belediye-istihdam-ofisi</t>
        </is>
      </c>
      <c r="B97" s="29" t="inlineStr">
        <is>
          <t>malaga</t>
        </is>
      </c>
      <c r="C97" s="29" t="inlineStr">
        <is>
          <t>imfe-belediye-istihdam-ofisi</t>
        </is>
      </c>
      <c r="D97" s="29" t="inlineStr">
        <is>
          <t>Málaga Belediyesi'nin istihdam ofisi (IMFE) nerede, hangi hizmetleri veriyor?</t>
        </is>
      </c>
      <c r="E97" s="29" t="inlineStr">
        <is>
          <t>Pasaje Fernando Rey, Oficina 3 (C/ Victoria 11 girişi); tel. 951 92 61 67</t>
        </is>
      </c>
      <c r="F97" s="29" t="inlineStr">
        <is>
          <t>Málaga Belediyesi'nin istihdam ofisi (IMFE istihdam servisi) Pasaje Fernando Rey, Oficina 3'tedir (giriş C/ Victoria 11), 29012 Málaga; telefon 951 92 61 67, e-posta malagaempleo@malaga.eu. Servis, iş arama danışmanlığı ile aktif istihdam politikalarını yürütür ve işsizlerin iş bulma olanaklarını artıran hizmetler sunar. Sayfada Programa de Experiencias Profesionales, Andalucía Orienta, Proyectos Integrales para la Inserción Laboral, Zona Empleo (Conecta Málaga) ve 'Ayuda al Empleo' ulaşım kartı programları sayılır; bunların çoğu bu rehberde ayrı başlıklarla anlatılır.</t>
        </is>
      </c>
      <c r="G97" s="29" t="inlineStr">
        <is>
          <t>IMFE, Málaga belediye istihdam, Agencia Municipal de Colocación, Zona Empleo, Conecta Málaga, Ayuda al Empleo, iş arama</t>
        </is>
      </c>
      <c r="H97" s="29" t="inlineStr">
        <is>
          <t>new;settled</t>
        </is>
      </c>
      <c r="I97" s="29" t="inlineStr">
        <is>
          <t>malaga:kaynak:207</t>
        </is>
      </c>
      <c r="J97" s="49" t="n">
        <v>46322</v>
      </c>
      <c r="K97" s="51" t="n">
        <v>802</v>
      </c>
      <c r="L97" s="29" t="inlineStr">
        <is>
          <t>Hayır</t>
        </is>
      </c>
      <c r="M97" s="29" t="inlineStr">
        <is>
          <t>Taslak</t>
        </is>
      </c>
      <c r="N97" s="29" t="inlineStr">
        <is>
          <t>malaga:is</t>
        </is>
      </c>
      <c r="O97" s="29" t="inlineStr">
        <is>
          <t>İstihdam servisine 951 92 61 67 numarasından ulaş ya da malagaempleo@malaga.eu adresine yaz.
Yüz yüze görüşmek için Pasaje Fernando Rey, Oficina 3 adresine git; giriş C/ Victoria 11'dendir. Gitmeden önce yukarıdaki numaradan ara.
IMFE istihdam sayfasındaki programlardan (deneyim programı, entegre istihdam projeleri, Zona Empleo ya da 'Ayuda al Empleo' ulaşım kartı) sana uyanı seç; ayrıntıları bu rehberdeki ilgili başlıklarda bulursun.</t>
        </is>
      </c>
      <c r="P97" s="29" t="n"/>
      <c r="Q97" s="29" t="n"/>
      <c r="R97" s="29" t="n"/>
      <c r="S97" s="29" t="n"/>
      <c r="T97" s="29" t="n"/>
    </row>
    <row r="98" ht="54" customHeight="1">
      <c r="A98" s="29" t="inlineStr">
        <is>
          <t>malaga:promalaga-sirket-kurma-pae</t>
        </is>
      </c>
      <c r="B98" s="29" t="inlineStr">
        <is>
          <t>malaga</t>
        </is>
      </c>
      <c r="C98" s="29" t="inlineStr">
        <is>
          <t>promalaga-sirket-kurma-pae</t>
        </is>
      </c>
      <c r="D98" s="29" t="inlineStr">
        <is>
          <t>Málaga'da şirket kurmak ya da autónomo kaydı yaptırmak için nereye gidilir?</t>
        </is>
      </c>
      <c r="E98" s="29" t="inlineStr">
        <is>
          <t>Promálaga Málaga Emprende (PAE): kuruluş işlemi ücretsiz, noter ve sicil ücretleri hariç; randevu 952 243 411</t>
        </is>
      </c>
      <c r="F98" s="29" t="inlineStr">
        <is>
          <t>Málaga Belediyesi'nin şirketi Promálaga, CIRCE ağında Punto de Atención al Emprendedor (PAE) olarak girişimcilere ücretsiz kişisel danışmanlık ve sadeleştirilmiş işlem hizmeti verir; hizmet Málaga'daki girişimcilere açıktır. Şirket kuruluşu ve autónomo kaydı CIRCE elektronik sistemiyle, Documento Único Electrónico (DUE) kullanılarak yürütülür. Randevuyu malagaemprende@promalaga.es adresinden ya da 952 243 411 numarasından alırsın. Hizmet hukuki biçim danışmanlığını, şirket adı talebini, ana sözleşmeyi (estatutos), noter randevusunu, ITP-AJD vergi işlemini, kesin CIF'i, vergi dairesi ve Seguridad Social kaydını kapsar; noter ve ticaret sicili ücretleri dahil değildir. Bundan bağımsız olarak Málaga Emprende, yeni girişim projelerine toplam altı ay ücretsiz vergi, iş hukuku ve muhasebe danışmanlığı sunar. Aynı PAE hizmeti belediyenin IMFE kurumundaki Unidad de Empresas birimi üzerinden de alınabilir; bu birim bilgi, danışmanlık ve şirket ya da autónomo kaydını aynı belediye ofisinde yapar.</t>
        </is>
      </c>
      <c r="G98" s="29" t="inlineStr">
        <is>
          <t>şirket kurma Málaga, Promálaga, Málaga Emprende, PAE, CIRCE, autónomo kaydı, CIF, ücretsiz danışmanlık</t>
        </is>
      </c>
      <c r="H98" s="29" t="inlineStr">
        <is>
          <t>new;settled</t>
        </is>
      </c>
      <c r="I98" s="29" t="inlineStr">
        <is>
          <t>malaga:kaynak:211;malaga:kaynak:210</t>
        </is>
      </c>
      <c r="J98" s="49" t="n">
        <v>46322</v>
      </c>
      <c r="K98" s="51" t="n">
        <v>803</v>
      </c>
      <c r="L98" s="29" t="inlineStr">
        <is>
          <t>Evet</t>
        </is>
      </c>
      <c r="M98" s="29" t="inlineStr">
        <is>
          <t>Taslak</t>
        </is>
      </c>
      <c r="N98" s="29" t="inlineStr">
        <is>
          <t>malaga:is</t>
        </is>
      </c>
      <c r="O98" s="29" t="inlineStr">
        <is>
          <t>Promálaga'dan randevu iste: malagaemprende@promalaga.es adresine yaz ya da 952 243 411'i ara.
Görüşmede şirketin hukuki biçimini belirlemek için ön danışmanlık iste.
Teknisyenlerden şirket adı talebini, ana sözleşmeyi ve noter randevusunu hazırlamalarını iste.
Kuruluştan sonra CIF'i, vergi dairesi ve Seguridad Social kaydını aynı hizmet üzerinden yaptır.
Hak ediyorsan Seguridad Social indirimlerini ve işsizlik ödeneğini tek seferde alma (pago único) konusundaki danışmanlığı sor; bu ödemeyle işini finanse edebilirsin.</t>
        </is>
      </c>
      <c r="P98" s="29" t="n"/>
      <c r="Q98" s="29" t="n"/>
      <c r="R98" s="29" t="inlineStr">
        <is>
          <t>Promálaga'nın kuruluş hizmeti ücretsizdir; noter ve ticaret sicili ücretleri hizmete dahil değildir.
Málaga Emprende'nin yeni projelere verdiği vergi, iş hukuku ve muhasebe danışmanlığı ücretsizdir (toplam altı ay).</t>
        </is>
      </c>
      <c r="S98" s="29" t="inlineStr">
        <is>
          <t>Promálaga'nın Málaga Emprende sayfasında Ekim 2026 itibarıyla 'Servicio gratuito Constitución de Empresas' ve 'Servicio de Alta de Autónomos' için çağrı açık (convocatoria abierta) görünür.</t>
        </is>
      </c>
      <c r="T98" s="29" t="n"/>
    </row>
    <row r="99" ht="54" customHeight="1">
      <c r="A99" s="29" t="inlineStr">
        <is>
          <t>malaga:cade-malaga-andalucia-emprende</t>
        </is>
      </c>
      <c r="B99" s="29" t="inlineStr">
        <is>
          <t>malaga</t>
        </is>
      </c>
      <c r="C99" s="29" t="inlineStr">
        <is>
          <t>cade-malaga-andalucia-emprende</t>
        </is>
      </c>
      <c r="D99" s="29" t="inlineStr">
        <is>
          <t>Málaga'da girişimci danışmanlığı için Andalucía Emprende CADE Málaga-PTA nerede, randevu nasıl alınır?</t>
        </is>
      </c>
      <c r="E99" s="29" t="inlineStr">
        <is>
          <t>CADE Málaga-PTA (Parque Tecnológico, C/ Marie Curie 8): randevu çevrimiçi formla; Puerto'da il koordinasyon birimi</t>
        </is>
      </c>
      <c r="F99" s="29" t="inlineStr">
        <is>
          <t>Andalucía Emprende'nin (Junta de Andalucía'nın kamu vakfı) Málaga'daki girişimci randevusunu CADE Málaga-PTA sayfasındaki çevrimiçi formdan alırsın. CADE Málaga-PTA, Parque Tecnológico de Andalucía, C/ Marie Curie 8, Edificio B, 29590 Málaga adresindedir (tel. 951 92 09 75, cade.pta@andaluciaemprende.es); randevu nedeni olarak işyeri tahsisi, şirket kuruluşu, finansman arayışı, fizibilite çalışması, eğitim, genel bilgi ya da program bilgisi seçilebilir. Vakfın Málaga il koordinasyon birimi (Cade de Málaga) Muelle Cánovas s/n, Edf. Instituto de Estudios Portuarios, Puerto de Málaga, 29001 adresindedir (tel. 951 92 09 60, CADE.MALAGA@andaluciaemprende.es).</t>
        </is>
      </c>
      <c r="G99" s="29" t="inlineStr">
        <is>
          <t>CADE Málaga, Andalucía Emprende, girişimci danışmanlığı, Parque Tecnológico de Andalucía, Muelle Cánovas, girişimci randevusu</t>
        </is>
      </c>
      <c r="H99" s="29" t="inlineStr">
        <is>
          <t>new;settled</t>
        </is>
      </c>
      <c r="I99" s="29" t="inlineStr">
        <is>
          <t>malaga:kaynak:212;malaga:kaynak:213</t>
        </is>
      </c>
      <c r="J99" s="49" t="n">
        <v>46322</v>
      </c>
      <c r="K99" s="51" t="n">
        <v>804</v>
      </c>
      <c r="L99" s="29" t="inlineStr">
        <is>
          <t>Hayır</t>
        </is>
      </c>
      <c r="M99" s="29" t="inlineStr">
        <is>
          <t>Taslak</t>
        </is>
      </c>
      <c r="N99" s="29" t="inlineStr">
        <is>
          <t>malaga:is</t>
        </is>
      </c>
      <c r="O99" s="29" t="inlineStr">
        <is>
          <t>CADE Málaga-PTA sayfasındaki randevu formunu doldur: ad, telefon, e-posta, randevu nedeni, il ve CADE.
Randevu nedeni olarak şirket kuruluşu, fizibilite çalışması, finansman arayışı, eğitim, genel bilgi, program bilgisi ya da işyeri tahsisinden birini seç.
Telefonla görüşmek için Parque Tecnológico'daki CADE Málaga-PTA'yı 951 92 09 75'ten ara; Puerto'daki il koordinasyon birimine 951 92 09 60'tan ulaşırsın.</t>
        </is>
      </c>
      <c r="P99" s="29" t="n"/>
      <c r="Q99" s="29" t="n"/>
      <c r="R99" s="29" t="n"/>
      <c r="S99" s="29" t="n"/>
      <c r="T99" s="29" t="n"/>
    </row>
    <row r="100" ht="54" customHeight="1">
      <c r="A100" s="29" t="inlineStr">
        <is>
          <t>malaga:ayuda-al-empleo-issizler-icin-ulasim-karti</t>
        </is>
      </c>
      <c r="B100" s="29" t="inlineStr">
        <is>
          <t>malaga</t>
        </is>
      </c>
      <c r="C100" s="29" t="inlineStr">
        <is>
          <t>ayuda-al-empleo-issizler-icin-ulasim-karti</t>
        </is>
      </c>
      <c r="D100" s="29" t="inlineStr">
        <is>
          <t>Málaga'da işsizlere belediyenin ulaşım kartı (Ayuda al Empleo) kimlere verilir, nereden alınır?</t>
        </is>
      </c>
      <c r="E100" s="29" t="inlineStr">
        <is>
          <t>2025 çağrısında şartlar: Málaga'da ikamet kaydı, uzun süreli işsiz, ödenek en çok 850 euro brüt; kartlar şu an tükenmiş</t>
        </is>
      </c>
      <c r="F100" s="29" t="inlineStr">
        <is>
          <t>Málaga'da ikamet kaydı olan uzun süreli işsizler, ödenekleri ayda 850 euro brütü aşmıyorsa belediyenin Ayuda al Empleo ulaşım kartını alabilir (2025 çağrısı): şartlara uygunluk belgesini belediyenin istihdam enstitüsü IMFE verir, kartı Alameda Principal 47'deki Empresa Malagueña de Transportes ofisinden alırsın. 2025 çağrısında şartlar şunlardı: Málaga şehrinde ikamet kaydı (empadronamiento), işsiz olmak, Servicio Andaluz de Empleo'ya uzun süreli iş arayan olarak kayıtlı olmak (başvurudan önceki 540 günün en az 360 gününde kayıtlı) ve işsizlik ödeneği ya da yardımı olarak ayda 850 euro brütten fazla almamak. Kartı almadan önce IMFE'den şartları karşıladığını gösteren bir belge (certificado de cumplimiento) istenir; bunun için ek evrak gerekmez. Başvurular geliş sırasına göre işlenir. Ekim 2026'da IMFE sayfasında kartlar tükenmiş ve belge başvurusu kapalı görünüyor.</t>
        </is>
      </c>
      <c r="G100" s="29" t="inlineStr">
        <is>
          <t>Ayuda al Empleo, ulaşım kartı, işsiz, IMFE, otobüs kartı, uzun süreli işsiz, empadronamiento</t>
        </is>
      </c>
      <c r="H100" s="29" t="inlineStr">
        <is>
          <t>new;settled</t>
        </is>
      </c>
      <c r="I100" s="29" t="inlineStr">
        <is>
          <t>malaga:kaynak:442</t>
        </is>
      </c>
      <c r="J100" s="49" t="n">
        <v>46322</v>
      </c>
      <c r="K100" s="51" t="n">
        <v>805</v>
      </c>
      <c r="L100" s="29" t="inlineStr">
        <is>
          <t>Hayır</t>
        </is>
      </c>
      <c r="M100" s="29" t="inlineStr">
        <is>
          <t>Taslak</t>
        </is>
      </c>
      <c r="N100" s="29" t="inlineStr">
        <is>
          <t>malaga:is</t>
        </is>
      </c>
      <c r="O100" s="29" t="inlineStr">
        <is>
          <t>Şartları kontrol et: Málaga şehrinde ikamet kaydın olmalı, işsiz olmalısın, SAE'de uzun süreli iş arayan olarak kayıtlı olmalısın (başvurudan önceki 540 günün en az 360 gününde) ve işsizlik ödeneğin ya da yardımın ayda 850 euro brütü aşmamalı.
Çağrı duyurulunca, duyurunun ertesi gününden itibaren IMFE'nin web sitesinden şartları karşıladığını gösteren belge için başvur; kart sayısı dolunca başvuru kapanır, başvurular geliş sırasına göre işlenir.
Şartları karşılıyorsan başvuruda yazdığın cep telefonuna Empresa Malagueña de Transportes'ten kartı alma gününü bildiren bir SMS gelir.
SMS'te yazan günde Alameda Principal 47'deki Empresa Malagueña de Transportes ofisine git (pazartesi-cuma 9.00-13.30 ve 17.00-19.00); önceki çağrılardan kartın varsa yüklemesi için kartı da getir.
SMS'ten sonra bir ay içinde kartı almazsan karta hakkın biter.</t>
        </is>
      </c>
      <c r="P100" s="29" t="inlineStr">
        <is>
          <t>DNI ya da oturum kartı (kartı alırken)
Yeni çekilmiş fotoğraf (kartı alırken)</t>
        </is>
      </c>
      <c r="Q100" s="29" t="inlineStr">
        <is>
          <t>Kartı SMS'ten sonraki bir ay içinde almalısın
Belge başvurusu, kartlar tükenince kapanır</t>
        </is>
      </c>
      <c r="R100" s="29" t="n"/>
      <c r="S100" s="29" t="inlineStr">
        <is>
          <t>Daha fazla bilgi için malagaempleo@malaga.eu adresine yazabilir ya da 951 92 61 97'yi arayabilirsin. Yukarıdaki şartlar 2025 çağrısına aittir.</t>
        </is>
      </c>
      <c r="T100" s="29" t="n"/>
    </row>
    <row r="101" ht="54" customHeight="1">
      <c r="A101" s="29" t="inlineStr">
        <is>
          <t>malaga:imfe-t-acompanamos-uzun-sureli-issizler</t>
        </is>
      </c>
      <c r="B101" s="29" t="inlineStr">
        <is>
          <t>malaga</t>
        </is>
      </c>
      <c r="C101" s="29" t="inlineStr">
        <is>
          <t>imfe-t-acompanamos-uzun-sureli-issizler</t>
        </is>
      </c>
      <c r="D101" s="29" t="inlineStr">
        <is>
          <t>Málaga'da uzun süreli işsizler için T-Acompañamos programı ne sunar, katılana 528 euro ödenir mi?</t>
        </is>
      </c>
      <c r="E101" s="29" t="inlineStr">
        <is>
          <t>10 saat danışmanlık, 50 saat eğitim, 40 saat işe yerleşme rehberliği; başarıyla tamamlayana 528 euro katılım teşviki</t>
        </is>
      </c>
      <c r="F101" s="29" t="inlineStr">
        <is>
          <t>Evet: en az 10 saat danışmanlık ve 50 saat eğitimi başarıyla tamamlayana 528 euro katılım teşviki ödenir; program ayrıca 40 saatlik işe yerleşme rehberliği içerir. T-Acompañamos, Málaga Belediyesi'nin istihdam enstitüsü IMFE'nin yürüttüğü Proyectos Integrales para la Inserción Laboral programıdır; iş arayan olarak kayıtlı, kırılgan gruplardaki işsizlerin işe girmesini hedefler. Katılabilecekler uzun süreli işsizler (programa başlamadan önceki 18 ayın 12 ayında işsiz kalmış olanlar) ile işsizlik ödeneği, işsizlik yardımı ya da RAI (Renta Activa de Inserción) alan kişilerdir. Program 10 saat iş arama danışmanlığı, 50 saat eğitim (Employabilidad) ve 40 saat işe yerleşmeye eşlik eden rehberlik içerir.</t>
        </is>
      </c>
      <c r="G101" s="29" t="inlineStr">
        <is>
          <t>T-Acompañamos, IMFE, uzun süreli işsiz, Proyectos Integrales, RAI, katılım teşviki, iş arama eğitimi</t>
        </is>
      </c>
      <c r="H101" s="29" t="inlineStr">
        <is>
          <t>new;settled</t>
        </is>
      </c>
      <c r="I101" s="29" t="inlineStr">
        <is>
          <t>malaga:kaynak:445</t>
        </is>
      </c>
      <c r="J101" s="49" t="n">
        <v>46322</v>
      </c>
      <c r="K101" s="51" t="n">
        <v>806</v>
      </c>
      <c r="L101" s="29" t="inlineStr">
        <is>
          <t>Hayır</t>
        </is>
      </c>
      <c r="M101" s="29" t="inlineStr">
        <is>
          <t>Taslak</t>
        </is>
      </c>
      <c r="N101" s="29" t="inlineStr">
        <is>
          <t>malaga:is</t>
        </is>
      </c>
      <c r="O101" s="29" t="inlineStr">
        <is>
          <t>Hedef gruptan biri olduğunu kontrol et: uzun süreli işsizsin (başvurudan önceki 18 ayın 12 ayında işsizdin) ya da işsizlik ödeneği, işsizlik yardımı veya RAI alıyorsun.
IMFE sayfasındaki ön kayıt formunu (Formulario de Preinscripción) doldur.
Soruların için C/ Victoria 11 (Pasaje Clavero), 29012 Málaga adresindeki 3 numaralı ofise git, btrillo@malaga.eu adresine yaz ya da 951 92 68 02'yi ara.
Program üç bölümden oluşur: iş arama danışmanlığı (10 saat), eğitim (50 saat) ve işe yerleşme rehberliği (40 saat).
Danışmanlık ve eğitimi başarıyla bitirince 528 euro katılım teşviki alırsın.</t>
        </is>
      </c>
      <c r="P101" s="29" t="n"/>
      <c r="Q101" s="29" t="inlineStr">
        <is>
          <t>Danışmanlık 10 saat
Eğitim 50 saat
İşe yerleşme rehberliği 40 saat</t>
        </is>
      </c>
      <c r="R101" s="29" t="inlineStr">
        <is>
          <t>Katılımcıya ödenir: 528 euro katılım teşviki (en az 10 saat danışmanlık ve 50 saat eğitim başarıyla tamamlanınca)</t>
        </is>
      </c>
      <c r="S101" s="29" t="n"/>
      <c r="T101" s="29" t="n"/>
    </row>
    <row r="102" ht="54" customHeight="1">
      <c r="A102" s="29" t="inlineStr">
        <is>
          <t>malaga:imfe-sirkette-3-aylik-staj-experiencias-profesionales</t>
        </is>
      </c>
      <c r="B102" s="29" t="inlineStr">
        <is>
          <t>malaga</t>
        </is>
      </c>
      <c r="C102" s="29" t="inlineStr">
        <is>
          <t>imfe-sirkette-3-aylik-staj-experiencias-profesionales</t>
        </is>
      </c>
      <c r="D102" s="29" t="inlineStr">
        <is>
          <t>Málaga'da işsizler için şirkette 3 aylık staj (Experiencias Profesionales para el Empleo) nasıl işler, burs ne kadar?</t>
        </is>
      </c>
      <c r="E102" s="29" t="inlineStr">
        <is>
          <t>3 ay, haftada 20 saat; iş ilişkisi doğurmaz, aylık burs IPREM'in %80'i</t>
        </is>
      </c>
      <c r="F102" s="29" t="inlineStr">
        <is>
          <t>Staj 3 ay sürer, haftada 20 saattir, iş ilişkisi doğurmaz ve aylık burs çağrının yayımlandığı yılın IPREM'inin %80'idir. Experiencias Profesionales para el Empleo (EPES), Junta de Andalucía'nın SAE aracılığıyla finanse ettiği ve Málaga'da IMFE'nin yürüttüğü, şirketlerde yapılan staj (prácticas no laborales) programıdır. Hedef kitle: SAE'ye iş arayan olarak kayıtlı, sosyal dışlanma riskindeki işsizler. Red Andalucía Orienta'da açık bir Itinerario Personalizado de Inserción'un olmalı ve staj talepçileri havuzunda (STO) en az bir aydır kayıtlı olmalısın. Günde 5 saat çalışırsın; saatler şirketin çalışma saatine göre 08:00 ile 22:00 arasındadır. Stajın en az %85'ini tamamlarsan SAE sertifika verir.</t>
        </is>
      </c>
      <c r="G102" s="29" t="inlineStr">
        <is>
          <t>staj, prácticas no laborales, EPES, Experiencias Profesionales, IMFE, işsiz, burs, IPREM</t>
        </is>
      </c>
      <c r="H102" s="29" t="inlineStr">
        <is>
          <t>new;settled</t>
        </is>
      </c>
      <c r="I102" s="29" t="inlineStr">
        <is>
          <t>malaga:kaynak:443</t>
        </is>
      </c>
      <c r="J102" s="49" t="n">
        <v>46322</v>
      </c>
      <c r="K102" s="51" t="n">
        <v>807</v>
      </c>
      <c r="L102" s="29" t="inlineStr">
        <is>
          <t>Hayır</t>
        </is>
      </c>
      <c r="M102" s="29" t="inlineStr">
        <is>
          <t>Taslak</t>
        </is>
      </c>
      <c r="N102" s="29" t="inlineStr">
        <is>
          <t>malaga:is</t>
        </is>
      </c>
      <c r="O102" s="29" t="inlineStr">
        <is>
          <t>SAE'de iş arayan olarak kayıtlı ve sosyal dışlanma riskinde olup olmadığına bak; Red Andalucía Orienta'da açık bir kişisel entegrasyon planın (Itinerario Personalizado de Inserción) olmalı.
Staj talepçileri havuzunda en az bir aydır kayıtlı ol.
Programla ilgili bilgi için IMFE ofisine ulaş: Pasaje Fernando Rey, Oficina 3 (giriş C/ Victoria 11), 29012 Málaga; telefon 951 92 67 65 ya da 951 92 80 53.
Staj boyunca haftada bir grup atölyesine (taller grupal) katıl; staj SAE, şirket ve IMFE arasında imzalanan staj sözleşmesiyle yapılır.
Stajın en az %85'ini tamamlarsan SAE'den faaliyetlerini, süreni ve dönemini gösteren sertifika alırsın.</t>
        </is>
      </c>
      <c r="P102" s="29" t="n"/>
      <c r="Q102" s="29" t="inlineStr">
        <is>
          <t>Staj 3 ay; haftada 20 saat, günde 5 saat
Saatler 08:00-22:00 arası, şirketin çalışma saatine göre</t>
        </is>
      </c>
      <c r="R102" s="29" t="inlineStr">
        <is>
          <t>Staj boyunca aylık burs: çağrının yayımlandığı yılın IPREM'inin %80'i</t>
        </is>
      </c>
      <c r="S102" s="29" t="inlineStr">
        <is>
          <t>Staj iş ilişkisi doğurmaz; stajyer şirketin kadrolu (yapısal) bir kadrosunda çalıştırılamaz.</t>
        </is>
      </c>
      <c r="T102" s="29" t="n"/>
    </row>
    <row r="103" ht="54" customHeight="1">
      <c r="A103" s="29" t="inlineStr">
        <is>
          <t>malaga:zona-empleo-conecta-malaga-mahalle-istihdam-merkezleri</t>
        </is>
      </c>
      <c r="B103" s="29" t="inlineStr">
        <is>
          <t>malaga</t>
        </is>
      </c>
      <c r="C103" s="29" t="inlineStr">
        <is>
          <t>zona-empleo-conecta-malaga-mahalle-istihdam-merkezleri</t>
        </is>
      </c>
      <c r="D103" s="29" t="inlineStr">
        <is>
          <t>Málaga'da Zona Empleo (Conecta_Málaga) nedir, hangi mahallelerde kimler yararlanır?</t>
        </is>
      </c>
      <c r="E103" s="29" t="inlineStr">
        <is>
          <t>Centro-Norte / Las Flores ve Cruz del Humilladero bölgelerinde işsizlere ve girişimcilere yönelik IMFE hizmet merkezleri</t>
        </is>
      </c>
      <c r="F103" s="29" t="inlineStr">
        <is>
          <t>Zona Empleo, IMFE'nin Málaga'da yalnız iki bölgede (Centro-Norte / Las Flores ve Cruz del Humilladero) sunduğu bir hizmettir: iş bulma yeteneğini artırmak için danışmanlık, eğitim ve girişimcilik desteği verir. Hedef kitle: bu bölgelerde ikamet kaydı (empadronamiento) olan işsizler ile faaliyeti bu bölgelerde olan ya da olacak girişimciler, serbest çalışanlar ve şirketler. Merkezler C/ Victoria 11 (Pasaje Clavero), 29012 Málaga ve Junta de Distrito Cruz del Humilladero, C/ Conde de Guadalhorce 15, 29006 Málaga adreslerindedir. Ekim-Aralık 2026 için planlanan etkinlikler arasında işsizlere yönelik bilgisayar ve internet kursu (9 Kasım Cruz del Humilladero, 16 Kasım Centro-Norte) ile girişimci, serbest çalışan ve şirketlere yönelik işletme danışmanlığı programı (3 Kasım) ve Decoración y Escaparatismo kursu (24 Kasım) var; ikisi de Centro-Norte'de yapılır. Sayfaya göre tarihler değişebilir.</t>
        </is>
      </c>
      <c r="G103" s="29" t="inlineStr">
        <is>
          <t>Zona Empleo, Conecta Málaga, IMFE, Centro-Norte, Las Flores, Cruz del Humilladero, mahalle istihdam, girişimci</t>
        </is>
      </c>
      <c r="H103" s="29" t="inlineStr">
        <is>
          <t>new;settled</t>
        </is>
      </c>
      <c r="I103" s="29" t="inlineStr">
        <is>
          <t>malaga:kaynak:444</t>
        </is>
      </c>
      <c r="J103" s="49" t="n">
        <v>46322</v>
      </c>
      <c r="K103" s="51" t="n">
        <v>808</v>
      </c>
      <c r="L103" s="29" t="inlineStr">
        <is>
          <t>Hayır</t>
        </is>
      </c>
      <c r="M103" s="29" t="inlineStr">
        <is>
          <t>Taslak</t>
        </is>
      </c>
      <c r="N103" s="29" t="inlineStr">
        <is>
          <t>malaga:is</t>
        </is>
      </c>
      <c r="O103" s="29" t="inlineStr">
        <is>
          <t>Hedef gruba girip girmediğine bak: bu iki bölgeden birinde ikamet kaydın olan bir işsizsin ya da faaliyetin bu bölgelerde olan (ya da olacak) bir girişimci, serbest çalışan veya şirketsin.
Sayfadaki 'Solicita participar aquí' formunu doldur; belirli bir kurs için ilgili satırdaki 'Solicita aquí' bağlantısını kullan.
Başvurundan sonra Zona Empleo seninle iletişime geçip sana uyan hizmetleri ve etkinlikleri anlatır.
Soruların için C/ Victoria 11 merkezini 951 92 87 07 ya da 951 92 68 81'den, Cruz del Humilladero merkezini 951 92 68 23'ten ara.</t>
        </is>
      </c>
      <c r="P103" s="29" t="n"/>
      <c r="Q103" s="29" t="n"/>
      <c r="R103" s="29" t="n"/>
      <c r="S103" s="29" t="inlineStr">
        <is>
          <t>Etkinliklerde yerler öncelikle etkinliğin yapıldığı bölgede hizmet almış kişilere, kayıt sırasına göre verilir; boş yer kalırsa öteki bölgeden kişilere de verilebilir.</t>
        </is>
      </c>
      <c r="T103" s="29" t="n"/>
    </row>
    <row r="104" ht="54" customHeight="1">
      <c r="A104" s="29" t="inlineStr">
        <is>
          <t>malaga:seguridad-social-randevu-inss-tgss</t>
        </is>
      </c>
      <c r="B104" s="29" t="inlineStr">
        <is>
          <t>malaga</t>
        </is>
      </c>
      <c r="C104" s="29" t="inlineStr">
        <is>
          <t>seguridad-social-randevu-inss-tgss</t>
        </is>
      </c>
      <c r="D104" s="29" t="inlineStr">
        <is>
          <t>İspanya'da Seguridad Social ile randevu nasıl alınır: INSS için telefon ve internet, TGSS için randevu var mı?</t>
        </is>
      </c>
      <c r="E104" s="29" t="inlineStr">
        <is>
          <t>INSS randevusu 24 saat telefonla ya da internetten; TGSS ofislerine randevusuz gidilir</t>
        </is>
      </c>
      <c r="F104" s="29" t="inlineStr">
        <is>
          <t>INSS (ödenek ve emeklilik gibi prestación işleri) için randevuyu günün 24 saati açık olan 91 541 25 30 ya da 901 10 65 70 numaralı telefonlardan ya da internetten alırsın; internet yolu dijital sertifikalı ve sertifikasız olmak üzere iki ayrı biçimde vardır. TGSS (kayıt, autónomo, borç, vida laboral gibi işler) için randevu sistemi yoktur: TGSS ofislerine pazartesi-cuma 9.00-14.00 arası gidilebilir, ancak işlemleri mümkünse telefonla ya da Importass üzerinden yapman önerilir. Genel bilgi hatları randevu vermez.</t>
        </is>
      </c>
      <c r="G104" s="29" t="inlineStr">
        <is>
          <t>Seguridad Social, INSS, TGSS, cita previa, randevu, Importass, 901 10 65 70</t>
        </is>
      </c>
      <c r="H104" s="29" t="inlineStr">
        <is>
          <t>new;settled</t>
        </is>
      </c>
      <c r="I104" s="29" t="inlineStr">
        <is>
          <t>malaga:kaynak:446</t>
        </is>
      </c>
      <c r="J104" s="49" t="n">
        <v>46322</v>
      </c>
      <c r="K104" s="51" t="n">
        <v>809</v>
      </c>
      <c r="L104" s="29" t="inlineStr">
        <is>
          <t>Hayır</t>
        </is>
      </c>
      <c r="M104" s="29" t="inlineStr">
        <is>
          <t>Taslak</t>
        </is>
      </c>
      <c r="N104" s="29" t="inlineStr">
        <is>
          <t>malaga:is</t>
        </is>
      </c>
      <c r="O104" s="29" t="inlineStr">
        <is>
          <t>INSS için telefonla randevu almak istiyorsan 91 541 25 30 ya da 901 10 65 70'i ara; kimlik bilgilerin (DNI veya NIE) ve posta kodun elinin altında olsun. Randevudan sonra sistem sana bir localizador verir; randevuyu değiştirmek ya da iptal etmek için aynı telefonda DNI/NIE ve localizador ile işlem yaparsın.
İnternetten randevu için dijital sertifikanla giriş yapıp formu doldurabilirsin; sertifikan ya da kalıcı Cl@ve'n yoksa formda randevu nedenini, ilini (Málaga'da işlem yapacaksan Málaga) ve almak istediğin merkezi yaz.
TGSS işleri için (kayıt, autónomo, borç gibi) randevu yoktur; TGSS ofislerine pazartesi-cuma 9.00-14.00 arası gidebilirsin ya da 901 50 20 50 / 91 541 02 91'i ara.
Genel bilgi için INSS hatlarını (901 16 65 65 ve 915 42 11 76) kullanabilirsin; bu hatlardan randevu verilmez.</t>
        </is>
      </c>
      <c r="P104" s="29" t="inlineStr">
        <is>
          <t>DNI veya NIE (telefonla randevuda)
Posta kodu</t>
        </is>
      </c>
      <c r="Q104" s="29" t="inlineStr">
        <is>
          <t>INSS randevu telefonu: günün 24 saati
TGSS ofisleri: pazartesi-cuma 9.00-14.00
TGSS telefonu: pazartesi-perşembe 9.00-18.00, cuma 9.00-14.00 (resmî tatil hariç)</t>
        </is>
      </c>
      <c r="R104" s="29" t="inlineStr">
        <is>
          <t>901 ön ekli hatlara yapılan aramalar genellikle operatörün sabit tarifelerine dahil değildir; ek ücret çıkabilir.</t>
        </is>
      </c>
      <c r="S104" s="29" t="n"/>
      <c r="T104" s="29" t="n"/>
    </row>
    <row r="105" ht="54" customHeight="1">
      <c r="A105" s="29" t="inlineStr">
        <is>
          <t>malaga:picasso-muzeleri-ucretsiz-giris-gunleri</t>
        </is>
      </c>
      <c r="B105" s="29" t="inlineStr">
        <is>
          <t>malaga</t>
        </is>
      </c>
      <c r="C105" s="29" t="inlineStr">
        <is>
          <t>picasso-muzeleri-ucretsiz-giris-gunleri</t>
        </is>
      </c>
      <c r="D105" s="29" t="inlineStr">
        <is>
          <t>Museo Picasso Málaga ve Casa Natal Picasso'ya hangi gün ve saatte ücretsiz girilir?</t>
        </is>
      </c>
      <c r="E105" s="29" t="inlineStr">
        <is>
          <t>Museo Picasso: pazar günü son iki saat ve yılda 4 gün; Casa Natal: pazar 16:00-20:00 ve yılda 5 gün</t>
        </is>
      </c>
      <c r="F105" s="29" t="inlineStr">
        <is>
          <t>Museo Picasso Málaga'da her pazar kapanıştan önceki son iki saat herkese ücretsizdir (kasalar kapanıştan yarım saat önce kapanır); ayrıca 28 Şubat, 18 Mayıs, 27 Eylül ve müzenin açılış yıldönümü olan 27 Ekim'de giriş ücretsizdir. Casa Natal Picasso'da her pazar 16:00-20:00 arası ücretsizdir; ek olarak 28 Şubat, Mayıs'taki Noche en Blanco, 18 Mayıs, 27 Eylül ve Picasso'nun doğumunu anma günü olan 25 Ekim'de giriş ücretsizdir.</t>
        </is>
      </c>
      <c r="G105" s="29" t="inlineStr">
        <is>
          <t>Museo Picasso Málaga, Casa Natal Picasso, ücretsiz müze, pazar ücretsiz, Noche en Blanco, entrada gratuita, Picasso doğum günü</t>
        </is>
      </c>
      <c r="H105" s="29" t="inlineStr">
        <is>
          <t>planning;new;settled</t>
        </is>
      </c>
      <c r="I105" s="29" t="inlineStr">
        <is>
          <t>malaga:kaynak:275;malaga:kaynak:282</t>
        </is>
      </c>
      <c r="J105" s="49" t="n">
        <v>46322</v>
      </c>
      <c r="K105" s="51" t="n">
        <v>1200</v>
      </c>
      <c r="L105" s="29" t="inlineStr">
        <is>
          <t>Evet</t>
        </is>
      </c>
      <c r="M105" s="29" t="inlineStr">
        <is>
          <t>Taslak</t>
        </is>
      </c>
      <c r="N105" s="29" t="inlineStr">
        <is>
          <t>malaga:kesif</t>
        </is>
      </c>
      <c r="O105" s="29" t="inlineStr">
        <is>
          <t>Casa Natal için pazar günü 16:00-20:00 arasını seç; müzeye kabul kapanıştan 15 dakika önce biter.
Museo Picasso için pazar günü kapanıştan önceki son iki saati seç: Kasım-Şubat 16:00'dan, Mart-Haziran ve Eylül-Ekim 17:00'den, Temmuz-Ağustos 18:00'den başlar.
28 Şubat, 18 Mayıs ve 27 Eylül'ü iki müze için de ücretsiz gün olarak takvimine yaz; 27 Ekim yalnız Museo Picasso'da, 25 Ekim yalnız Casa Natal'da ücretsizdir.
Grupla gidiyorsan ücretsiz günleri ve saatleri seçme: Casa Natal bu zamanlarda grup rezervasyonu almaz.</t>
        </is>
      </c>
      <c r="P105" s="29" t="n"/>
      <c r="Q105" s="29" t="inlineStr">
        <is>
          <t>Her pazar; 28 Şubat, 18 Mayıs, 27 Eylül; Museo Picasso'da 27 Ekim; Casa Natal'da Mayıs'taki Noche en Blanco (tarihi her yıl değişir) ve 25 Ekim</t>
        </is>
      </c>
      <c r="R105" s="29" t="inlineStr">
        <is>
          <t>Ücretsiz</t>
        </is>
      </c>
      <c r="S105" s="29" t="inlineStr">
        <is>
          <t>Ücretsiz girişler yalnız müze ziyaretini kapsar; kültürel ve eğitsel etkinlikler ücretsiz değildir. Museo Picasso 24 ve 31 Aralık ile 5 Ocak'ta 10:00-15:00 açıktır; 25 Aralık, 1 ve 6 Ocak kapalıdır.</t>
        </is>
      </c>
      <c r="T105" s="29" t="n"/>
    </row>
    <row r="106" ht="54" customHeight="1">
      <c r="A106" s="29" t="inlineStr">
        <is>
          <t>malaga:pompidou-ve-thyssen-ucretsiz-giris-gunleri</t>
        </is>
      </c>
      <c r="B106" s="29" t="inlineStr">
        <is>
          <t>malaga</t>
        </is>
      </c>
      <c r="C106" s="29" t="inlineStr">
        <is>
          <t>pompidou-ve-thyssen-ucretsiz-giris-gunleri</t>
        </is>
      </c>
      <c r="D106" s="29" t="inlineStr">
        <is>
          <t>Centre Pompidou Málaga ve Museo Carmen Thyssen'e hangi gün ve saatte ücretsiz girilir?</t>
        </is>
      </c>
      <c r="E106" s="29" t="inlineStr">
        <is>
          <t>İkisinde de pazar 16:00'dan sonra ücretsiz; Thyssen'de 28 Şubat, 24 Mart, 18 Mayıs, 27 Eylül; Pompidou'da Noche en Blanco, 18 Mayıs, 27 Eylül</t>
        </is>
      </c>
      <c r="F106" s="29" t="inlineStr">
        <is>
          <t>Centre Pompidou Málaga'da pazar günleri 16:00'dan kapanışa kadar herkes ücretsiz girer; Museo Carmen Thyssen'de de pazarları 16:00'dan sonra giriş ücretsizdir. Thyssen dört sabit günde (28 Şubat Endülüs Günü, 24 Mart müze yıldönümü, 18 Mayıs Müzeler Günü, 27 Eylül Turizm Günü) ve Noche en Blanco gibi kültürel etkinliklerde belirli saatlerde ücretsizdir. Pompidou'nun ücretsiz özel günleri Noche en Blanco (Mayıs'ta bir cumartesi), 18 Mayıs ve 27 Eylül'dür.</t>
        </is>
      </c>
      <c r="G106" s="29" t="inlineStr">
        <is>
          <t>Centre Pompidou Málaga, Carmen Thyssen, pazar ücretsiz, ücretsiz müze günü, Noche en Blanco, entrada gratuita domingo</t>
        </is>
      </c>
      <c r="H106" s="29" t="inlineStr">
        <is>
          <t>planning;new;settled</t>
        </is>
      </c>
      <c r="I106" s="29" t="inlineStr">
        <is>
          <t>malaga:kaynak:277;malaga:kaynak:279</t>
        </is>
      </c>
      <c r="J106" s="49" t="n">
        <v>46322</v>
      </c>
      <c r="K106" s="51" t="n">
        <v>1201</v>
      </c>
      <c r="L106" s="29" t="inlineStr">
        <is>
          <t>Hayır</t>
        </is>
      </c>
      <c r="M106" s="29" t="inlineStr">
        <is>
          <t>Taslak</t>
        </is>
      </c>
      <c r="N106" s="29" t="inlineStr">
        <is>
          <t>malaga:kesif</t>
        </is>
      </c>
      <c r="O106" s="29" t="inlineStr">
        <is>
          <t>Pompidou için pazar günü 16:00 ile 20:00 arasını seç; kabul kapanıştan 30 dakika önce biter.
Thyssen için pazar günü 16:00'dan sonrasını seç; müze 20:00'de kapanır.
28 Şubat, 24 Mart, 18 Mayıs ve 27 Eylül'ü Thyssen'in; Mayıs'taki Noche en Blanco, 18 Mayıs ve 27 Eylül'ü Pompidou'nun ücretsiz günleri olarak kaydet.
Pompidou'ya grupla gidiyorsan ücretsiz saatleri seçme: bu zamanlarda grup rezervasyonu kabul edilmez.</t>
        </is>
      </c>
      <c r="P106" s="29" t="n"/>
      <c r="Q106" s="29" t="inlineStr">
        <is>
          <t>Her pazar 16:00'dan sonra; yıllık özel günler (Thyssen: 4 sabit gün, Pompidou: 3 gün)</t>
        </is>
      </c>
      <c r="R106" s="29" t="inlineStr">
        <is>
          <t>Ücretsiz</t>
        </is>
      </c>
      <c r="S106" s="29" t="inlineStr">
        <is>
          <t>Pompidou salı günleri kapalıdır; salı resmî tatile denk gelirse ya da tatil arifesiyse açıktır. 25 Aralık ve 1 Ocak kapalıdır, 24 ve 31 Aralık 15:00'e kadar açıktır. Thyssen pazartesi günleri kapalıdır (lunes festivo günlerinde açıktır).</t>
        </is>
      </c>
      <c r="T106" s="29" t="n"/>
    </row>
    <row r="107" ht="54" customHeight="1">
      <c r="A107" s="29" t="inlineStr">
        <is>
          <t>malaga:picasso-ve-thyssen-bilet-fiyati-indirim-ve-ucretsiz-kategoriler</t>
        </is>
      </c>
      <c r="B107" s="29" t="inlineStr">
        <is>
          <t>malaga</t>
        </is>
      </c>
      <c r="C107" s="29" t="inlineStr">
        <is>
          <t>picasso-ve-thyssen-bilet-fiyati-indirim-ve-ucretsiz-kategoriler</t>
        </is>
      </c>
      <c r="D107" s="29" t="inlineStr">
        <is>
          <t>Museo Picasso Málaga ve Museo Carmen Thyssen Málaga'nın bilet fiyatı ne kadar, kimler indirimli ya da ücretsiz girer?</t>
        </is>
      </c>
      <c r="E107" s="29" t="inlineStr">
        <is>
          <t>Picasso 13 €, Thyssen 12 €; işsiz, UMA öğrencisi ve engelli ücretsiz; indirimli bilet 65 yaş üstü ve 26 yaş altı öğrenciye</t>
        </is>
      </c>
      <c r="F107" s="29" t="inlineStr">
        <is>
          <t>Genel bilet Museo Picasso Málaga'da 13 € (indirimli 11 €), Museo Carmen Thyssen Málaga'da 12 € (arkeolojik alanla 15 €; indirimli 8 € ve 10 €). SEPE'ye (devlet iş kurumu) kayıtlı işsizler, Universidad de Málaga (UMA) öğrencileri ve engelliler iki müzeye de ücretsiz girer; Picasso'da engelli ziyaretçiyle bir refakatçi, öğretmenler, ICOM üyeleri ve gazeteciler de ücretsizdir. Thyssen'de engellilik oranı en az %33 olanlar ile Bellas Artes ve Historia del Arte öğretmen ve öğrencileri ücretsizdir. Çocuk eşiği Picasso'da 17, Thyssen'de 18 yaş altıdır; Thyssen'de 13 yaş altı çocuk yetişkinle girer.</t>
        </is>
      </c>
      <c r="G107" s="29" t="inlineStr">
        <is>
          <t>ücretsiz müze, işsiz, SEPE, UMA öğrencisi, engelli, Museo Picasso, Thyssen, reducida, tarifa gratuita</t>
        </is>
      </c>
      <c r="H107" s="29" t="inlineStr">
        <is>
          <t>planning;new;settled</t>
        </is>
      </c>
      <c r="I107" s="29" t="inlineStr">
        <is>
          <t>malaga:kaynak:275;malaga:kaynak:278</t>
        </is>
      </c>
      <c r="J107" s="49" t="n">
        <v>46322</v>
      </c>
      <c r="K107" s="51" t="n">
        <v>1202</v>
      </c>
      <c r="L107" s="29" t="inlineStr">
        <is>
          <t>Hayır</t>
        </is>
      </c>
      <c r="M107" s="29" t="inlineStr">
        <is>
          <t>Taslak</t>
        </is>
      </c>
      <c r="N107" s="29" t="inlineStr">
        <is>
          <t>malaga:kesif</t>
        </is>
      </c>
      <c r="O107" s="29" t="inlineStr">
        <is>
          <t>Hangi kategoride olduğunu belirle: işsiz, UMA öğrencisi, öğretmen, engelli, basın ya da ICOM üyesi.
Kategorini gösteren akreditasyon belgesini (ör. SEPE kaydı, UMA öğrenci kartı, engellilik belgesi) yanında götür; Thyssen ücretsizliği belgeyle (con acreditación) tanır.
Picasso müzesi biletleri çevrimiçi satar; çevrimiçi tükenmişse bile yalnız yoğunluğun az olduğu anlarda kasadan da alınabilir.
Thyssen'de Málaga ili sakiniysen indirimli bilet (8 €, arkeolojik alanlı bilette 10 €) için bunu belgeyle göster.</t>
        </is>
      </c>
      <c r="P107" s="29" t="inlineStr">
        <is>
          <t>Kategoriyi gösteren akreditasyon belgesi (işsizlik kaydı, öğrenci kartı ya da engellilik belgesi gibi)</t>
        </is>
      </c>
      <c r="Q107" s="29" t="inlineStr">
        <is>
          <t>Müze açık olduğu her gün; Thyssen tarifeleri 2026'dan itibaren geçerli</t>
        </is>
      </c>
      <c r="R107" s="29" t="inlineStr">
        <is>
          <t>Ücretsiz (kategoriye göre); genel bilet Picasso 13 €, Thyssen 12 €</t>
        </is>
      </c>
      <c r="S107" s="29" t="inlineStr">
        <is>
          <t>Picasso'da indirimli bilet 65 yaş üstü, Avrupa Gençlik Kartı sahipleri ve 26 yaş altı öğrenciler içindir. Thyssen'de indirimli bilet 65 yaş üstü ve emekliler, 26 yaş altı öğrenciler, Carné Joven Euro sahipleri, Málaga ili sakinleri ve büyük aileler içindir.</t>
        </is>
      </c>
      <c r="T107" s="29" t="n"/>
    </row>
    <row r="108" ht="54" customHeight="1">
      <c r="A108" s="29" t="inlineStr">
        <is>
          <t>malaga:pompidou-ve-casa-natal-bilet-fiyati-ortak-bilet-ve-ucretsiz-kategoriler</t>
        </is>
      </c>
      <c r="B108" s="29" t="inlineStr">
        <is>
          <t>malaga</t>
        </is>
      </c>
      <c r="C108" s="29" t="inlineStr">
        <is>
          <t>pompidou-ve-casa-natal-bilet-fiyati-ortak-bilet-ve-ucretsiz-kategoriler</t>
        </is>
      </c>
      <c r="D108" s="29" t="inlineStr">
        <is>
          <t>Centre Pompidou Málaga ve Museo Casa Natal Picasso'nun bilet fiyatı ne kadar, ortak bilet var mı, kimler ücretsiz girer?</t>
        </is>
      </c>
      <c r="E108" s="29" t="inlineStr">
        <is>
          <t>Pompidou 9 €, Casa Natal 3 €; üç müzelik hafta bileti 16,50 €; işsiz, 18 yaş altı, gençlik kartı sahibi ve engelli ücretsiz</t>
        </is>
      </c>
      <c r="F108" s="29" t="inlineStr">
        <is>
          <t>Centre Pompidou Málaga'nın yarı kalıcı ve geçici sergiyi birlikte kapsayan genel bileti 9 € (indirimli 5,50 €), yalnız yarı kalıcı sergi 7 €; Museo Casa Natal Picasso'nun genel bileti 3 € (indirimli 2 €). Casa Natal + Pompidou ikili ortak bileti (10 €, indirimli 6 €) Casa Natal sitesinde yalnız 8 kişilik gruplar için tarife bölümünde listelenir; bireysel ziyaret için Casa Natal, Pompidou ve Museo Ruso koleksiyonunu kapsayan, 1 hafta geçerli ortak bilet (Bono Arte Xperience) 16,50 € (indirimli 9,50 €) vardır. Resmen işsiz olanlar, 18 yaş altı, Carné Joven Euro sahipleri ve belgeli engelliler Pompidou'ya ücretsiz girer; Casa Natal'da liste benzerdir (gençlik kartında 30 yaş altı sınırı vardır); ek olarak belediye kütüphanesi üyeleri de ücretsiz girer.</t>
        </is>
      </c>
      <c r="G108" s="29" t="inlineStr">
        <is>
          <t>Pompidou Málaga ücretsiz, Casa Natal ücretsiz, Carné Joven, kütüphane üyeliği, işsiz, engelli, ücretsiz müze</t>
        </is>
      </c>
      <c r="H108" s="29" t="inlineStr">
        <is>
          <t>planning;new;settled</t>
        </is>
      </c>
      <c r="I108" s="29" t="inlineStr">
        <is>
          <t>malaga:kaynak:277;malaga:kaynak:282</t>
        </is>
      </c>
      <c r="J108" s="49" t="n">
        <v>46322</v>
      </c>
      <c r="K108" s="51" t="n">
        <v>1203</v>
      </c>
      <c r="L108" s="29" t="inlineStr">
        <is>
          <t>Hayır</t>
        </is>
      </c>
      <c r="M108" s="29" t="inlineStr">
        <is>
          <t>Taslak</t>
        </is>
      </c>
      <c r="N108" s="29" t="inlineStr">
        <is>
          <t>malaga:kesif</t>
        </is>
      </c>
      <c r="O108" s="29" t="inlineStr">
        <is>
          <t>Kategorini belirle: işsiz, 18 yaş altı, gençlik kartı, belediye kütüphanesi üyesi, engelli, öğretmen ya da öğrenci (sanat tarihi/güzel sanatlar).
Kategoriyi kanıtlayan belgeyi yanına al: Casa Natal ücretsizliği için kütüphane üyeliğini kartla (carnet) göstermen gerekir.
Engelli ziyaretçiysen Casa Natal'da ziyaretini yapabilmen için zorunlu olan refakatçin de ücretsiz girer.
13 yaş altı çocukla Casa Natal'a gidiyorsan çocuğun yanında bir yetişkin olsun.</t>
        </is>
      </c>
      <c r="P108" s="29" t="inlineStr">
        <is>
          <t>Kategoriyi gösteren belge (işsizlik kaydı, gençlik kartı, kütüphane üyelik kartı, engellilik belgesi gibi)</t>
        </is>
      </c>
      <c r="Q108" s="29" t="inlineStr">
        <is>
          <t>Müze açık olduğu her gün</t>
        </is>
      </c>
      <c r="R108" s="29" t="inlineStr">
        <is>
          <t>Pompidou yarı kalıcı + geçici genel 9 € (yalnız yarı kalıcı sergi 7 €), indirimli 5,50 €; Casa Natal 3 € (indirimli 2 €); üç müzelik Bono Arte Xperience 16,50 € (indirimli 9,50 €); kategoriye göre ücretsiz</t>
        </is>
      </c>
      <c r="S108" s="29" t="inlineStr">
        <is>
          <t>Çevrimiçi satın almada 0,30 € ek hizmet bedeli alınır. Casa Natal'da Avrupa Gençlik Kartı için üst yaş sınırı 30'dur; çocuk eşiği iki müzede de 18 yaş altıdır. İndirimli bilet Pompidou'da 65 yaş üstü, 26 yaşa kadar öğrenciler, büyük aileler ve Universidad etkinliklerine katılanlar için; Casa Natal'da büyük aileler, 65 yaş üstü, 26 yaşa kadar öğrenciler ve Universidad de Málaga kongre etkinliklerine katılanlar içindir.</t>
        </is>
      </c>
      <c r="T108" s="29" t="n"/>
    </row>
    <row r="109" ht="54" customHeight="1">
      <c r="A109" s="29" t="inlineStr">
        <is>
          <t>malaga:alcazaba-ve-gibralfaro-bilet-fiyati-indirim-ve-pazar-ucretsiz-giris</t>
        </is>
      </c>
      <c r="B109" s="29" t="inlineStr">
        <is>
          <t>malaga</t>
        </is>
      </c>
      <c r="C109" s="29" t="inlineStr">
        <is>
          <t>alcazaba-ve-gibralfaro-bilet-fiyati-indirim-ve-pazar-ucretsiz-giris</t>
        </is>
      </c>
      <c r="D109" s="29" t="inlineStr">
        <is>
          <t>Alcazaba ve Gibralfaro Kalesi'ne ücretsiz girmenin ya da indirimli bilet almanın yolu var mı?</t>
        </is>
      </c>
      <c r="E109" s="29" t="inlineStr">
        <is>
          <t>Pazar 14:00'ten sonra herkese ücretsiz; genel bilet 7 €, Alcazaba + Gibralfaro ortak bilet 10 €</t>
        </is>
      </c>
      <c r="F109" s="29" t="inlineStr">
        <is>
          <t>Evet: Málaga Belediyesi şu anda her pazar 14:00'ten itibaren tüm ziyaretçilere ücretsiz giriş veriyor (gün ve saati belediyenin Kültür ve Tarihî Miras Alanı belirler). Diğer zamanlarda genel bilet 7 €, Alcazaba + Gibralfaro Kalesi ortak bileti 10 €; indirimli bilet 3 € (ortak 5 €). 65 yaş üstü, emekli ya da yasal işsiz olmak ve öğrenci olmak indirimi "AB vatandaşları" için tanımlanmış; Avrupa Gençlik Kartı, %33 ve üzeri engellilik ve büyük aile kartı da indirim sağlar. 6 yaşından küçükler ücretsiz girer.</t>
        </is>
      </c>
      <c r="G109" s="29" t="inlineStr">
        <is>
          <t>Alcazaba, Gibralfaro, ücretsiz pazar, bilet fiyatı, ortak bilet, indirimli giriş, Málaga kale</t>
        </is>
      </c>
      <c r="H109" s="29" t="inlineStr">
        <is>
          <t>planning;new;settled</t>
        </is>
      </c>
      <c r="I109" s="29" t="inlineStr">
        <is>
          <t>malaga:kaynak:276</t>
        </is>
      </c>
      <c r="J109" s="49" t="n">
        <v>46322</v>
      </c>
      <c r="K109" s="51" t="n">
        <v>1204</v>
      </c>
      <c r="L109" s="29" t="inlineStr">
        <is>
          <t>Hayır</t>
        </is>
      </c>
      <c r="M109" s="29" t="inlineStr">
        <is>
          <t>Taslak</t>
        </is>
      </c>
      <c r="N109" s="29" t="inlineStr">
        <is>
          <t>malaga:kesif</t>
        </is>
      </c>
      <c r="O109" s="29" t="inlineStr">
        <is>
          <t>Ücretsiz girmek istiyorsan pazar günü 14:00'ten sonra git; son giriş (último pase) kapanıştan bir saat önce.
İki yapıyı da gezeceksen 10 €'luk ortak bileti seç.
İndirim için kategoriyi kanıtlayan belgeni götür (gençlik kartı, engellilik belgesi, büyük aile kartı; 65 yaş üstü, emekli, işsiz ve öğrenci indirimi AB vatandaşları için).
Kış tarifesinde (1 Kasım-31 Mart) 9:00-18:00, yaz tarifesinde (1 Nisan-31 Ekim) 9:00-20:00 arasında git.</t>
        </is>
      </c>
      <c r="P109" s="29" t="inlineStr">
        <is>
          <t>İndirimli giriş için kategoriyi gösteren belge</t>
        </is>
      </c>
      <c r="Q109" s="29" t="inlineStr">
        <is>
          <t>Kış 1 Kasım-31 Mart 9:00-18:00; yaz 1 Nisan-31 Ekim 9:00-20:00; son giriş kapanıştan 1 saat önce</t>
        </is>
      </c>
      <c r="R109" s="29" t="inlineStr">
        <is>
          <t>Genel 7 €; Alcazaba + Gibralfaro ortak 10 €; indirimli 3 € (ortak 5 €); pazar 14:00'ten sonra ve 6 yaş altı ücretsiz</t>
        </is>
      </c>
      <c r="S109" s="29" t="inlineStr">
        <is>
          <t>Grup tarifesi (en az 10 kişi) 5 €, ortak grup tarifesi 8 €.</t>
        </is>
      </c>
      <c r="T109" s="29" t="n"/>
    </row>
    <row r="110" ht="54" customHeight="1">
      <c r="A110" s="29" t="inlineStr">
        <is>
          <t>malaga:museo-de-malaga-ve-teatro-romano-ab-vatandasi-ucretsiz-giris-ve-ab-disi-ucret</t>
        </is>
      </c>
      <c r="B110" s="29" t="inlineStr">
        <is>
          <t>malaga</t>
        </is>
      </c>
      <c r="C110" s="29" t="inlineStr">
        <is>
          <t>museo-de-malaga-ve-teatro-romano-ab-vatandasi-ucretsiz-giris-ve-ab-disi-ucret</t>
        </is>
      </c>
      <c r="D110" s="29" t="inlineStr">
        <is>
          <t>Museo de Málaga ve Roma Tiyatrosu'na ücretsiz girilir mi, AB vatandaşı olmayanlar ne öder?</t>
        </is>
      </c>
      <c r="E110" s="29" t="inlineStr">
        <is>
          <t>Roma Tiyatrosu herkese ücretsiz; Museo de Málaga AB vatandaşlarına ücretsiz, diğer uyruklara 1,50 €</t>
        </is>
      </c>
      <c r="F110" s="29" t="inlineStr">
        <is>
          <t>Roma Tiyatrosu'na (Teatro Romano) herkes ücretsiz girer, rezervasyon gerekmez; giriş kapasiteye kadar serbesttir. Museo de Málaga'ya (Junta de Andalucía) belgeli AB vatandaşları ücretsiz girer, diğer uyruklar 1,50 € öder. Museo de Málaga salı-cumartesi 9:00-21:00, pazar ve çoğu resmî tatilde 9:00-15:00 açıktır; pazartesi kapalıdır (tatil arifesine denk gelen pazartesiler tatil saatiyle açıktır). 1 ve 6 Ocak, 1 Mayıs, 24, 25 ve 31 Aralık günleri müze kapalıdır. Roma Tiyatrosu salı-cumartesi 10:00-18:00, pazar ve tatillerde 10:00-16:00 açıktır; kapalı günler dışındaki ulusal, bölgesel ve yerel tatillerde açılış için tiyatroya e-postayla sorulur.</t>
        </is>
      </c>
      <c r="G110" s="29" t="inlineStr">
        <is>
          <t>Museo de Málaga, Teatro Romano, ücretsiz müze, AB vatandaşı, 1,50 euro, Alcazabilla, Plaza Aduana</t>
        </is>
      </c>
      <c r="H110" s="29" t="inlineStr">
        <is>
          <t>planning;new;settled</t>
        </is>
      </c>
      <c r="I110" s="29" t="inlineStr">
        <is>
          <t>malaga:kaynak:280;malaga:kaynak:281</t>
        </is>
      </c>
      <c r="J110" s="49" t="n">
        <v>46322</v>
      </c>
      <c r="K110" s="51" t="n">
        <v>1205</v>
      </c>
      <c r="L110" s="29" t="inlineStr">
        <is>
          <t>Evet</t>
        </is>
      </c>
      <c r="M110" s="29" t="inlineStr">
        <is>
          <t>Taslak</t>
        </is>
      </c>
      <c r="N110" s="29" t="inlineStr">
        <is>
          <t>malaga:kesif</t>
        </is>
      </c>
      <c r="O110" s="29" t="inlineStr">
        <is>
          <t>Roma Tiyatrosu için Calle Alcazabilla'ya git; kapanıştan önceki son 30 dakikada içeri alınmazsın, bu yüzden en geç kapanıştan yarım saat önce gel.
Museo de Málaga için Plaza Aduana'ya git ve AB vatandaşı değilsen gişede 1,50 € öde.
Grupla gidiyorsan (en az 10, en çok 30 kişi) Museo de Málaga ziyaretlerinin rehberli olmadığını bil.
Roma Tiyatrosu'nda hayvanla giremezsin; yalnız engelli kişilerin asistan köpekleri alınır.</t>
        </is>
      </c>
      <c r="P110" s="29" t="inlineStr">
        <is>
          <t>AB vatandaşlığını gösteren belge (Museo de Málaga ücretsiz girişi için)</t>
        </is>
      </c>
      <c r="Q110" s="29" t="inlineStr">
        <is>
          <t>Museo de Málaga: salı-cumartesi 9:00-21:00, pazar ve çoğu tatil 9:00-15:00 (1 ve 6 Ocak, 1 Mayıs, 24, 25 ve 31 Aralık kapalı); Roma Tiyatrosu: salı-cumartesi 10:00-18:00, pazar ve tatil 10:00-16:00</t>
        </is>
      </c>
      <c r="R110" s="29" t="inlineStr">
        <is>
          <t>Roma Tiyatrosu ücretsiz; Museo de Málaga AB vatandaşlarına ücretsiz, diğer uyruklara 1,50 €</t>
        </is>
      </c>
      <c r="S110" s="29" t="inlineStr">
        <is>
          <t>Museo de Málaga ve Roma Tiyatrosu 1 ve 6 Ocak, 1 Mayıs, 24, 25 ve 31 Aralık günleri kapalıdır; Roma Tiyatrosu aşırı sıcak uyarılarında (AEMET turuncu ve kırmızı) halka kapatılabilir.</t>
        </is>
      </c>
      <c r="T110" s="29" t="n"/>
    </row>
    <row r="111" ht="54" customHeight="1">
      <c r="A111" s="29" t="inlineStr">
        <is>
          <t>malaga:malaga-katedrali-bilet-turleri-malagali-ucretsiz-giris-ve-saatler</t>
        </is>
      </c>
      <c r="B111" s="29" t="inlineStr">
        <is>
          <t>malaga</t>
        </is>
      </c>
      <c r="C111" s="29" t="inlineStr">
        <is>
          <t>malaga-katedrali-bilet-turleri-malagali-ucretsiz-giris-ve-saatler</t>
        </is>
      </c>
      <c r="D111" s="29" t="inlineStr">
        <is>
          <t>Málaga Katedrali'ne Málaga sakini olarak ücretsiz girer misin, bilet türleri ve saatler neler?</t>
        </is>
      </c>
      <c r="E111" s="29" t="inlineStr">
        <is>
          <t>Genel 10 €; Málaga sakini, engelli ve 13 yaş altı ücretsiz (sesli rehbersiz); gişede ve çevrimiçi aynı fiyat</t>
        </is>
      </c>
      <c r="F111" s="29" t="inlineStr">
        <is>
          <t>Evet: Málaga'da oturanlar, farklı yetenekleri olan kişiler ve 13 yaşından küçükler Katedral'e ücretsiz girer; bu bilet sesli rehberi içermez ve yalnız Katedral için geçerlidir. Diğerleri için sesli rehber dahil genel bilet 10 €, 65 yaş üstü 9 €, 18-25 yaş öğrenci 7 €, 13-17 yaş genç 6 €, grup (15 kişiden fazla) 7 € ve Málaga piskoposluğundan olmayan, grupla gelen 12 yaş altı çocuklar için okul bileti 4 €. Bileti doğrudan Katedral kapısında ya da çevrimiçi aynı fiyata alırsın.</t>
        </is>
      </c>
      <c r="G111" s="29" t="inlineStr">
        <is>
          <t>Málaga Katedrali, Catedral de Málaga, katedral bileti, Malagalı ücretsiz, sesli rehber, ziyaret saatleri</t>
        </is>
      </c>
      <c r="H111" s="29" t="inlineStr">
        <is>
          <t>planning;new;settled</t>
        </is>
      </c>
      <c r="I111" s="29" t="inlineStr">
        <is>
          <t>malaga:kaynak:287</t>
        </is>
      </c>
      <c r="J111" s="49" t="n">
        <v>46322</v>
      </c>
      <c r="K111" s="51" t="n">
        <v>1206</v>
      </c>
      <c r="L111" s="29" t="inlineStr">
        <is>
          <t>Hayır</t>
        </is>
      </c>
      <c r="M111" s="29" t="inlineStr">
        <is>
          <t>Taslak</t>
        </is>
      </c>
      <c r="N111" s="29" t="inlineStr">
        <is>
          <t>malaga:kesif</t>
        </is>
      </c>
      <c r="O111" s="29" t="inlineStr">
        <is>
          <t>Málaga sakiniysen ücretsiz bilet türünü seç (sesli rehber içermez).
Diğer türlerde bileti kapıdan ya da çevrimiçi al; fiyat aynı.
26 Ekim-29 Mart arasında hafta içi 10:30-18:30, cumartesi 10:30-18:00, pazar 14:00-18:00 gel; son giriş kapanıştan 45 dakika önce.
İçeride düzgün giyin (vestir con decoro).</t>
        </is>
      </c>
      <c r="P111" s="29" t="n"/>
      <c r="Q111" s="29" t="inlineStr">
        <is>
          <t>26 Ekim-29 Mart: pazartesi-cuma 10:30-18:30, cumartesi 10:30-18:00, pazar 14:00-18:00; son giriş kapanıştan 45 dakika önce. 30 Mart-30 Mayıs: pazartesi-cuma 10:30-19:30; 1 Haziran-25 Ekim: pazartesi-cuma 10:30-20:00 (cumartesi ve pazar saatleri aynı). 24 ve 31 Aralık 10:00-15:00, 6 Ocak 14:00-18:00; 25 Aralık ve 1 Ocak kapalı</t>
        </is>
      </c>
      <c r="R111" s="29" t="inlineStr">
        <is>
          <t>Genel 10 €; grup 7 €; 65 yaş üstü 9 €; 13-17 yaş 6 €; öğrenci (18-25) 7 €; Málaga piskoposluğundan olmayan, grupla gelen 12 yaş altı çocuklar için okul bileti 4 €; Málaga sakini, engelli ve 13 yaş altı ücretsiz</t>
        </is>
      </c>
      <c r="S111" s="29" t="inlineStr">
        <is>
          <t>Her gün (pazartesi-pazar) 8:30-9:00 arasında serbest giriş (acceso libre) vardır. Sesli rehber İspanyolca, İngilizce, Portekizce, Fransızca, Almanca, Rusça, İtalyanca, Lehçe, Felemenkçe ve Danca dillerindedir.</t>
        </is>
      </c>
      <c r="T111" s="29" t="n"/>
    </row>
    <row r="112" ht="54" customHeight="1">
      <c r="A112" s="29" t="inlineStr">
        <is>
          <t>malaga:la-concepcion-botanik-bahcesi-pazar-ucretsiz-saatleri-ve-indirimli-bilet</t>
        </is>
      </c>
      <c r="B112" s="29" t="inlineStr">
        <is>
          <t>malaga</t>
        </is>
      </c>
      <c r="C112" s="29" t="inlineStr">
        <is>
          <t>la-concepcion-botanik-bahcesi-pazar-ucretsiz-saatleri-ve-indirimli-bilet</t>
        </is>
      </c>
      <c r="D112" s="29" t="inlineStr">
        <is>
          <t>La Concepción Botanik Bahçesi'ne hangi gün ve saatte ücretsiz girersin, indirimli bilet kimlere?</t>
        </is>
      </c>
      <c r="E112" s="29" t="inlineStr">
        <is>
          <t>Pazarları ücretsiz saat dilimi var; ordinaria 5,20 €, indirimli 3,10 €; bilet yalnız gişeden</t>
        </is>
      </c>
      <c r="F112" s="29" t="inlineStr">
        <is>
          <t>La Concepción Botanik Bahçesi pazar günleri belirli saatlerde ücretsizdir: 1 Ekim-31 Mart arası 14:00-17:30, 1 Nisan-30 Eylül arası 16:30-20:30. Diğer zamanlarda ordinaria bilet 5,20 €, indirimli bilet 3,10 €; indirim 16 yaşına kadar gençlere, büyük ailelere, 26 yaşına kadar öğrencilere, emeklilere ve emekli aylığı alanlara, Málaga Pass, İspanyolca öğrenen öğrenciler için "Live Spanish in Malaga" ya da 30 yaş altı Tarjeta joven Junta Andalucía sahiplerine tanınır. Bilet çevrimiçi satılmaz, yalnız bahçenin gişesinden alınır. Bahçe pazartesi, 25 Aralık ve 1 Ocak kapalıdır; tatile denk gelen (ya da tatili kaydırılan) pazartesiler normal saatte açıktır, 24 ve 31 Aralık'ta bahçe 15:00'te kapanır.</t>
        </is>
      </c>
      <c r="G112" s="29" t="inlineStr">
        <is>
          <t>La Concepción, botanik bahçesi, Jardín Botánico, pazar ücretsiz, indirimli bilet, Málaga Pass, Live Spanish in Malaga</t>
        </is>
      </c>
      <c r="H112" s="29" t="inlineStr">
        <is>
          <t>planning;new;settled</t>
        </is>
      </c>
      <c r="I112" s="29" t="inlineStr">
        <is>
          <t>malaga:kaynak:284</t>
        </is>
      </c>
      <c r="J112" s="49" t="n">
        <v>46322</v>
      </c>
      <c r="K112" s="51" t="n">
        <v>1207</v>
      </c>
      <c r="L112" s="29" t="inlineStr">
        <is>
          <t>Hayır</t>
        </is>
      </c>
      <c r="M112" s="29" t="inlineStr">
        <is>
          <t>Taslak</t>
        </is>
      </c>
      <c r="N112" s="29" t="inlineStr">
        <is>
          <t>malaga:kesif</t>
        </is>
      </c>
      <c r="O112" s="29" t="inlineStr">
        <is>
          <t>Ücretsiz girmek için pazar günü, kışın (1 Ekim-31 Mart) 14:00-17:30 arasında, yazın (1 Nisan-30 Eylül) 16:30-20:30 arasında git.
Bileti gişeden al; çevrimiçi alamazsın. İndirimli bilet için ilgili kartı ya da belgeni göster.
Bahçeye Camino del Jardín Botánico 3'e gidersin: şehir merkezine 6 km; EMT'nin 20 numaralı hattının son durağından 15 dakika yürüyüş, ya da İstasyon'dan kalkan City Sightseeing hattı (EMT 91, 1,40 €).
Köpeğinle gelebilirsin: tasmalı olmalı ve kuralları imzalaman gerekir.</t>
        </is>
      </c>
      <c r="P112" s="29" t="inlineStr">
        <is>
          <t>İndirim için kategoriyi gösteren belge ya da kart (öğrenci kartı, Málaga Pass, Tarjeta joven Junta Andalucía gibi)</t>
        </is>
      </c>
      <c r="Q112" s="29" t="inlineStr">
        <is>
          <t>1 Nisan-30 Eylül 9:30-20:30; 1 Ekim-31 Mart 9:30-17:30; pazartesi, 25 Aralık ve 1 Ocak kapalı (tatile denk gelen pazartesiler açık); 24 ve 31 Aralık 15:00'e kadar</t>
        </is>
      </c>
      <c r="R112" s="29" t="inlineStr">
        <is>
          <t>Ordinaria 5,20 €; indirimli 3,10 €; pazar ücretsiz saat dilimleri</t>
        </is>
      </c>
      <c r="S112" s="29" t="inlineStr">
        <is>
          <t>16 yaşından küçükler her zaman bir yetişkinle gezmelidir. Rehberli tur isteğe bağlıdır, 1,5 saat sürer ve yalnız önceden rezervasyonla yapılır: 951 926 180 / 639 91 40 55 (WhatsApp da olur).</t>
        </is>
      </c>
      <c r="T112" s="29" t="n"/>
    </row>
    <row r="113" ht="54" customHeight="1">
      <c r="A113" s="29" t="inlineStr">
        <is>
          <t>malaga:montes-de-malaga-doga-yuruyusu-isaretli-patikalar-ve-kurallar</t>
        </is>
      </c>
      <c r="B113" s="29" t="inlineStr">
        <is>
          <t>malaga</t>
        </is>
      </c>
      <c r="C113" s="29" t="inlineStr">
        <is>
          <t>montes-de-malaga-doga-yuruyusu-isaretli-patikalar-ve-kurallar</t>
        </is>
      </c>
      <c r="D113" s="29" t="inlineStr">
        <is>
          <t>Málaga'ya yakın doğa yürüyüşü için Montes de Málaga'da hangi işaretli patikalar ve alanlar var?</t>
        </is>
      </c>
      <c r="E113" s="29" t="inlineStr">
        <is>
          <t>Dört işaretli patika: Torrijos, Pocopán, El Cerrado ve Umbría de Contadoras; bisiklet şeritleri ve ekomüze</t>
        </is>
      </c>
      <c r="F113" s="29" t="inlineStr">
        <is>
          <t>Montes de Málaga'da dört işaretli patika var: El Cerrado, Pocopán, Torrijos ve Umbría de Contadoras; bisikletliler için Lagar de Contreras ve Picapedreros-Boticario şeritleri bulunur. Alan Málaga, Colmenar ve Casabermeja belediye sınırlarına yayılır; Junta de Andalucía'nın Özel Koruma Alanı (ZEC) künyesine göre yüzölçümü 4.992,85 hektardır. Torrijos'ta ekomüze (Lagar de Torrijos), kontrollü kamp alanı ve dinlenme alanı; El Cochino seyir terasında dürbünle yırtıcı kuş izlenebilir. Yağışlı dönemde Picapedreros şelalesi görülür.</t>
        </is>
      </c>
      <c r="G113" s="29" t="inlineStr">
        <is>
          <t>Montes de Málaga, doğa yürüyüşü, Torrijos patikası, Pocopán, doğa parkı, senderismo, bisiklet yolu</t>
        </is>
      </c>
      <c r="H113" s="29" t="inlineStr">
        <is>
          <t>planning;new;settled</t>
        </is>
      </c>
      <c r="I113" s="29" t="inlineStr">
        <is>
          <t>malaga:kaynak:285</t>
        </is>
      </c>
      <c r="J113" s="49" t="n">
        <v>46322</v>
      </c>
      <c r="K113" s="51" t="n">
        <v>1208</v>
      </c>
      <c r="L113" s="29" t="inlineStr">
        <is>
          <t>Hayır</t>
        </is>
      </c>
      <c r="M113" s="29" t="inlineStr">
        <is>
          <t>Taslak</t>
        </is>
      </c>
      <c r="N113" s="29" t="inlineStr">
        <is>
          <t>malaga:kesif</t>
        </is>
      </c>
      <c r="O113" s="29" t="inlineStr">
        <is>
          <t>Yürüyüş için Torrijos, Pocopán, El Cerrado ya da Umbría de Contadoras patikalarından birini seç.
Torrijos patikasında Lagar de Torrijos ekomüzesine uğra; manzara için El Cochino seyir terasına çık.
Ateş yakma tehlikesine karşı sigara ve yanıcı madde atma; çöpünü en yakın konteynere kadar yanında taşı.
Aracınla gidiyorsan yalnız belirlenmiş yerlere park et.</t>
        </is>
      </c>
      <c r="P113" s="29" t="n"/>
      <c r="Q113" s="29" t="n"/>
      <c r="R113" s="29" t="n"/>
      <c r="S113" s="29" t="inlineStr">
        <is>
          <t>Parkın ziyaretçi merkezleri, bilgi noktaları ve ekomüzeleri yürüyüşten önce bilgi almak için kullanılabilir.</t>
        </is>
      </c>
      <c r="T113" s="29" t="n"/>
    </row>
    <row r="114" ht="54" customHeight="1">
      <c r="A114" s="29" t="inlineStr">
        <is>
          <t>malaga:caminito-del-rey-bilet-rezervasyonu-yas-siniri-servis-ve-otopark</t>
        </is>
      </c>
      <c r="B114" s="29" t="inlineStr">
        <is>
          <t>malaga</t>
        </is>
      </c>
      <c r="C114" s="29" t="inlineStr">
        <is>
          <t>caminito-del-rey-bilet-rezervasyonu-yas-siniri-servis-ve-otopark</t>
        </is>
      </c>
      <c r="D114" s="29" t="inlineStr">
        <is>
          <t>Caminito del Rey için bilet nasıl alınır, yaş sınırı, servis otobüsü ve otopark ücreti ne kadar?</t>
        </is>
      </c>
      <c r="E114" s="29" t="inlineStr">
        <is>
          <t>Genel bilet 10 €, rehberli tur 18 €; 8 yaş altı giremez; bilet yalnız resmî sitede ya da kuzey giriş gişesinde</t>
        </is>
      </c>
      <c r="F114" s="29" t="inlineStr">
        <is>
          <t>Caminito del Rey biletini resmî rezervasyon sitesinden ya da kuzey girişteki gişeden (müsaitliğe göre) alırsın; Puerto de las Atalayas'taki ziyaretçi karşılama merkezinde şu anda bilet satılmıyor. Genel bilet 10 € (bir seferde en çok 10 bilet), en çok 30 kişilik resmî rehberli tur 18 €, servis otobüsü 2,5 €, otopark 2 €. 8 yaşından küçükler giremez; resmî site, 8 yaşından büyük herkesten yaşını doğrulamak için orijinal DNI ya da Libro de Familia taşımasını istiyor. Merkez, Málaga şehrinden 57,7 km uzaktadır.</t>
        </is>
      </c>
      <c r="G114" s="29" t="inlineStr">
        <is>
          <t>Caminito del Rey, bilet, rezervasyon, El Chorro, Ardales, yaş sınırı, servis otobüsü</t>
        </is>
      </c>
      <c r="H114" s="29" t="inlineStr">
        <is>
          <t>planning;new;settled</t>
        </is>
      </c>
      <c r="I114" s="29" t="inlineStr">
        <is>
          <t>malaga:kaynak:286</t>
        </is>
      </c>
      <c r="J114" s="49" t="n">
        <v>46322</v>
      </c>
      <c r="K114" s="51" t="n">
        <v>1209</v>
      </c>
      <c r="L114" s="29" t="inlineStr">
        <is>
          <t>Hayır</t>
        </is>
      </c>
      <c r="M114" s="29" t="inlineStr">
        <is>
          <t>Taslak</t>
        </is>
      </c>
      <c r="N114" s="29" t="inlineStr">
        <is>
          <t>malaga:kesif</t>
        </is>
      </c>
      <c r="O114" s="29" t="inlineStr">
        <is>
          <t>Bileti resmî rezervasyon sitesinden (caminitodelrey.info) önceden al ya da kuzey girişteki gişede müsaitliğe göre dene.
Servis otobüsü (2,5 €) ve otopark (2 €) için yerini ayrıca rezerve edebilirsin.
8 yaşından büyük her katılımcı için resmî sitenin yaş doğrulaması amacıyla istediği orijinal DNI ya da Libro de Familia'yı götür; 8 yaşından küçükler yürüyüşe giremez.
Rehberli tur istersen İspanyolca ya da İngilizce yapılan 18 €'luk resmî turu seç.</t>
        </is>
      </c>
      <c r="P114" s="29" t="inlineStr">
        <is>
          <t>8 yaşından büyük katılımcılar için orijinal DNI ya da Libro de Familia</t>
        </is>
      </c>
      <c r="Q114" s="29" t="n"/>
      <c r="R114" s="29" t="inlineStr">
        <is>
          <t>Genel bilet 10 €; rehberli tur 18 €; servis otobüsü 2,5 €; otopark 2 €</t>
        </is>
      </c>
      <c r="S114" s="29" t="inlineStr">
        <is>
          <t>Ziyaretçi merkezindeki otopark günlüğü 2 €'dur.</t>
        </is>
      </c>
      <c r="T114" s="29" t="n"/>
    </row>
    <row r="115" ht="54" customHeight="1">
      <c r="A115" s="29" t="inlineStr">
        <is>
          <t>malaga:belediye-spor-tesisleri-online-hizmet-kaydi-alta-de-servicios</t>
        </is>
      </c>
      <c r="B115" s="29" t="inlineStr">
        <is>
          <t>malaga</t>
        </is>
      </c>
      <c r="C115" s="29" t="inlineStr">
        <is>
          <t>belediye-spor-tesisleri-online-hizmet-kaydi-alta-de-servicios</t>
        </is>
      </c>
      <c r="D115" s="29" t="inlineStr">
        <is>
          <t>Málaga belediyesinin spor tesislerini kullanmak için online hizmet kaydını (alta de servicios) nasıl yaptırırsın?</t>
        </is>
      </c>
      <c r="E115" s="29" t="inlineStr">
        <is>
          <t>Dijital sertifikayla çevrimiçi ya da formla OMAC ofisinde; kullanıcı adı ve şifre en geç 15 iş günü içinde</t>
        </is>
      </c>
      <c r="F115" s="29" t="inlineStr">
        <is>
          <t>Belediye spor alanının online platformuna iki yoldan kaydolursun. Dijital sertifikan yoksa "Solicitud Alta de servicios online del Área de Deporte" formunu doldurup belediyenin OMAC ofislerinden birine teslim edersin; sistem sana en geç 15 iş günü içinde kullanıcı adı ve şifre gönderir. Dijital sertifikan varsa başvuruyu çevrimiçi yapıp imzalarsın ve yanıtı Mi Carpeta'dan alırsın. Kayıttan sonra edeporte.malaga.eu'da alan rezerve eder, ders aidatlarını ödersin ve etkinliklerin aylık yenilemesini yaparsın.</t>
        </is>
      </c>
      <c r="G115" s="29" t="inlineStr">
        <is>
          <t>spor tesisleri, Área de Deporte, alta de servicios, edeporte, OMAC, polideportivo, Mi Carpeta</t>
        </is>
      </c>
      <c r="H115" s="29" t="inlineStr">
        <is>
          <t>new;settled</t>
        </is>
      </c>
      <c r="I115" s="29" t="inlineStr">
        <is>
          <t>malaga:kaynak:291;malaga:kaynak:290</t>
        </is>
      </c>
      <c r="J115" s="49" t="n">
        <v>46322</v>
      </c>
      <c r="K115" s="51" t="n">
        <v>1210</v>
      </c>
      <c r="L115" s="29" t="inlineStr">
        <is>
          <t>Hayır</t>
        </is>
      </c>
      <c r="M115" s="29" t="inlineStr">
        <is>
          <t>Taslak</t>
        </is>
      </c>
      <c r="N115" s="29" t="inlineStr">
        <is>
          <t>malaga:kesif</t>
        </is>
      </c>
      <c r="O115" s="29" t="inlineStr">
        <is>
          <t>Sertifikasız yolu seçtiysen "Solicitud Alta de servicios online del Área de Deporte" formunu doldur ve OMAC ofislerinden birine teslim et.
Sertifikalı yolu seçtiysen tarayıcında kullanıcı sertifikanın kurulu olmasını sağla, çevrimiçi başvuruyu doldurup imzala ve cevabı Mi Carpeta'da bekle.
Kullanıcı adı ve şifren geldiğinde edeporte.malaga.eu/Malaga/Login adresinden giriş yap.
Girişten sonra alan rezerve et ya da ders aidatını öde.</t>
        </is>
      </c>
      <c r="P115" s="29" t="inlineStr">
        <is>
          <t>Doldurulmuş "Solicitud Alta de servicios online del Área de Deporte" formu (sertifikasız yol)
Tarayıcıda kurulu dijital kullanıcı sertifikası (çevrimiçi yol)</t>
        </is>
      </c>
      <c r="Q115" s="29" t="inlineStr">
        <is>
          <t>Sertifikasız yolda kullanıcı adı ve şifre en geç 15 iş günü içinde gelir</t>
        </is>
      </c>
      <c r="R115" s="29" t="n"/>
      <c r="S115" s="29" t="inlineStr">
        <is>
          <t>Platformla ayrıca Ciudad Jardín, Tiro de Pichón ve José Paterna polideportivolarındaki alanları anlık kiralar, "Ciudad de Málaga" atletizm stadyumuna spor bileti alırsın. Spor etkinliklerine kayıt (Inscripción en las Actividades Deportivas) ayrı bir işlemdir.</t>
        </is>
      </c>
      <c r="T115" s="29" t="n"/>
    </row>
    <row r="116" ht="54" customHeight="1">
      <c r="A116" s="29" t="inlineStr">
        <is>
          <t>malaga:belediye-spor-tesisleri-acilis-saatleri-ve-musaitlik-sorgulama</t>
        </is>
      </c>
      <c r="B116" s="29" t="inlineStr">
        <is>
          <t>malaga</t>
        </is>
      </c>
      <c r="C116" s="29" t="inlineStr">
        <is>
          <t>belediye-spor-tesisleri-acilis-saatleri-ve-musaitlik-sorgulama</t>
        </is>
      </c>
      <c r="D116" s="29" t="inlineStr">
        <is>
          <t>Málaga'da belediye spor tesisleri (Ciudad Jardín, Tiro de Pichón, José Paterna, atletizm stadyumu) hangi saatlerde açık, müsaitliğe nasıl bakarsın?</t>
        </is>
      </c>
      <c r="E116" s="29" t="inlineStr">
        <is>
          <t>Ciudad Jardín hafta içi 8:00-23:00; atletizm stadyumu hafta içi 8:00-22:00; müsaitlik kayıt olmadan görülür</t>
        </is>
      </c>
      <c r="F116" s="29" t="inlineStr">
        <is>
          <t>Ciudad Jardín polideportivosu hafta içi 8:00-23:00, cumartesi ve pazar 9:00-22:00 açıktır. Tiro de Pichón ile José Paterna hafta içi 9:00-14:00 ve 17:00-23:00, cumartesi 9:00-14:00 ve 17:00-22:00, pazar 9:00-14:00 açıktır; ikisi de ağustosta, pazar günleri ise temmuz ve ağustosta kapalıdır. Atletizm stadyumu hafta içi 8:00-22:00, cumartesi 9:00-15:00, pazar 9:00-14:00 açıktır. Online rezervasyon platformunda müsaitliği kayıt olmadan görürsün; rezervasyon yapmak için önceden kayıtlı olman gerekir.</t>
        </is>
      </c>
      <c r="G116" s="29" t="inlineStr">
        <is>
          <t>Ciudad Jardín, Tiro de Pichón, José Paterna, atletizm stadyumu, spor tesisi saatleri, rezervasyon</t>
        </is>
      </c>
      <c r="H116" s="29" t="inlineStr">
        <is>
          <t>new;settled</t>
        </is>
      </c>
      <c r="I116" s="29" t="inlineStr">
        <is>
          <t>malaga:kaynak:289</t>
        </is>
      </c>
      <c r="J116" s="49" t="n">
        <v>46322</v>
      </c>
      <c r="K116" s="51" t="n">
        <v>1211</v>
      </c>
      <c r="L116" s="29" t="inlineStr">
        <is>
          <t>Hayır</t>
        </is>
      </c>
      <c r="M116" s="29" t="inlineStr">
        <is>
          <t>Taslak</t>
        </is>
      </c>
      <c r="N116" s="29" t="inlineStr">
        <is>
          <t>malaga:kesif</t>
        </is>
      </c>
      <c r="O116" s="29" t="inlineStr">
        <is>
          <t>Gideceğin tesisin gününe ve dönemine bak: Tiro de Pichón ve José Paterna ağustosta, pazar günleri ayrıca temmuzda kapalı.
Müsait alanları online platformdaki rezervasyon ve sorgu bağlantısından kayıtsız görebilirsin.
Rezervasyon yapmak istiyorsan önce online hizmet kaydını yaptır.</t>
        </is>
      </c>
      <c r="P116" s="29" t="n"/>
      <c r="Q116" s="29" t="inlineStr">
        <is>
          <t>Ciudad Jardín hafta içi 8:00-23:00, hafta sonu 9:00-22:00; atletizm stadyumu hafta içi 8:00-22:00</t>
        </is>
      </c>
      <c r="R116" s="29" t="n"/>
      <c r="S116" s="29" t="inlineStr">
        <is>
          <t>Ücret tahsilat (ödeme) saatleri tesise göre kısıtlıdır: Ciudad Jardín'de hafta içi ve cumartesi 9:30-13:30 ile 18:00-22:00, pazar yalnız 9:30-13:30; atletizm stadyumunda hafta içi yalnız 16:30-20:30, cumartesi 9:30-13:30. Tiro de Pichón'da salı ve cuma 9:30-13:30, çarşamba 18:00-22:00; José Paterna'da pazartesi 9:30-13:30, perşembe 18:00-22:00; ikisinde de cumartesi sabahı (dönüşümlü cumartesiler) 9:30-13:30, pazar tahsilat yok.</t>
        </is>
      </c>
      <c r="T116" s="29" t="n"/>
    </row>
    <row r="117" ht="54" customHeight="1">
      <c r="A117" s="29" t="inlineStr">
        <is>
          <t>malaga:montes-de-malaga-cevresinde-verdiales-ve-yerel-senlik-takvimi</t>
        </is>
      </c>
      <c r="B117" s="29" t="inlineStr">
        <is>
          <t>malaga</t>
        </is>
      </c>
      <c r="C117" s="29" t="inlineStr">
        <is>
          <t>montes-de-malaga-cevresinde-verdiales-ve-yerel-senlik-takvimi</t>
        </is>
      </c>
      <c r="D117" s="29" t="inlineStr">
        <is>
          <t>Málaga ve Montes de Málaga çevresinde Verdiales, Feria ve yerel şenlikler hangi tarihlerde yapılır?</t>
        </is>
      </c>
      <c r="E117" s="29" t="inlineStr">
        <is>
          <t>Verdiales festivali 29-30 Temmuz, Fiesta Mayor 28 Aralık; Málaga Feria'sı ağustosta; Colmenar ve Casabermeja şenlikleri</t>
        </is>
      </c>
      <c r="F117" s="29" t="inlineStr">
        <is>
          <t>Verdiales, Montes de Málaga çevresinin köklü ve renkli geleneksel halk danslarıdır; San Juan, Santiago ve 28 Aralık'ta oynanır. Málaga'da Festival de Verdiales 29 ve 30 Temmuz'da, Fiesta Mayor de Verdiales 28 Aralık'ta yapılır. Málaga'da Verbena de San Juan 24 Haziran'dadır ve Feria ağustos ayında yapılır. Colmenar'da Mosto ve Chacina Şenliği aralıkta, Candelaria ve San Blas Romería'sı şubatın ilk pazarı, Pipa Günü Romería'sı 3 Mayıs'ta; Casabermeja'da San Sebastián ocak sonunda, San Marcos 25 Nisan'da, Feria ağustosun ilk pazarında yapılır.</t>
        </is>
      </c>
      <c r="G117" s="29" t="inlineStr">
        <is>
          <t>Verdiales, Feria de Málaga, San Juan, Colmenar, Casabermeja, yerel şenlikler, romería</t>
        </is>
      </c>
      <c r="H117" s="29" t="inlineStr">
        <is>
          <t>planning;new;settled</t>
        </is>
      </c>
      <c r="I117" s="29" t="inlineStr">
        <is>
          <t>malaga:kaynak:285</t>
        </is>
      </c>
      <c r="J117" s="49" t="n">
        <v>46322</v>
      </c>
      <c r="K117" s="51" t="n">
        <v>1212</v>
      </c>
      <c r="L117" s="29" t="inlineStr">
        <is>
          <t>Hayır</t>
        </is>
      </c>
      <c r="M117" s="29" t="inlineStr">
        <is>
          <t>Taslak</t>
        </is>
      </c>
      <c r="N117" s="29" t="inlineStr">
        <is>
          <t>malaga:kesif</t>
        </is>
      </c>
      <c r="O117" s="29" t="inlineStr">
        <is>
          <t>Verdiales görmek istiyorsan 29-30 Temmuz'daki festivale ya da 28 Aralık'taki Fiesta Mayor'a git.
Haziranda 24 Haziran'daki San Juan Verbena'sına bak; ağustosta Málaga Feria'sı için takvimini boşalt.
Colmenar ve Casabermeja'daki şenlikler için o ilçenin tarihine göre plan yap: Colmenar'da şubat, mayıs ve aralık; Casabermeja'da ocak, nisan ve ağustos.</t>
        </is>
      </c>
      <c r="P117" s="29" t="n"/>
      <c r="Q117" s="29" t="n"/>
      <c r="R117" s="29" t="n"/>
      <c r="S117" s="29" t="n"/>
      <c r="T117" s="29" t="n"/>
    </row>
    <row r="118" ht="54" customHeight="1">
      <c r="A118" s="29" t="inlineStr">
        <is>
          <t>malaga:pompidou-ve-thyssen-muzelerine-canta-semsiye-yiyecek-ve-hayvanla-giris-kurallari</t>
        </is>
      </c>
      <c r="B118" s="29" t="inlineStr">
        <is>
          <t>malaga</t>
        </is>
      </c>
      <c r="C118" s="29" t="inlineStr">
        <is>
          <t>pompidou-ve-thyssen-muzelerine-canta-semsiye-yiyecek-ve-hayvanla-giris-kurallari</t>
        </is>
      </c>
      <c r="D118" s="29" t="inlineStr">
        <is>
          <t>Centre Pompidou Málaga ve Carmen Thyssen Müzesi'ne sırt çantası, şemsiye, yiyecek ya da hayvanla girilir mi?</t>
        </is>
      </c>
      <c r="E118" s="29" t="inlineStr">
        <is>
          <t>Her ikisinde de yiyecek, içecek ve hayvan yasak; Thyssen'de sırt çantası ve şemsiye de alınmaz, vestiyer var</t>
        </is>
      </c>
      <c r="F118" s="29" t="inlineStr">
        <is>
          <t>Müzeye göre değişir. Centre Pompidou Málaga'ya yiyecek ya da içecekle, mayoyla ya da üstsüz, hayvanla (asistan köpekler hariç) ve şemsiye dahil sivri nesnelerle girilmez; kuralları arasında sırt çantası yasağı yer almaz, eşyalar için zemin katta vestiyer ve emanet bölümü vardır. Museo Carmen Thyssen Málaga'ya da yiyecek, içecek, hayvan (rehber köpekler hariç), mayo, sırt çantası, spor ya da seyahat çantası, bavul ve şemsiyeyle girilmez; tripod, monopod ve selfie çubuğu gibi eserlere zarar verebilecek malzeme de yasaktır. Thyssen'de eserlere dokunmak da yasaktır. Eşyalarını bırakmak için Thyssen'de vestiyer (guardarropa), Pompidou'da zemin katta vestiyer ve emanet bölümü vardır.</t>
        </is>
      </c>
      <c r="G118" s="29" t="inlineStr">
        <is>
          <t>Pompidou Málaga kuralları, Thyssen müzesi kuralları, müzeye çanta, şemsiye, vestiyer, evcil hayvan</t>
        </is>
      </c>
      <c r="H118" s="29" t="inlineStr">
        <is>
          <t>planning;new;settled</t>
        </is>
      </c>
      <c r="I118" s="29" t="inlineStr">
        <is>
          <t>malaga:kaynak:277;malaga:kaynak:278</t>
        </is>
      </c>
      <c r="J118" s="49" t="n">
        <v>46322</v>
      </c>
      <c r="K118" s="51" t="n">
        <v>1213</v>
      </c>
      <c r="L118" s="29" t="inlineStr">
        <is>
          <t>Hayır</t>
        </is>
      </c>
      <c r="M118" s="29" t="inlineStr">
        <is>
          <t>Taslak</t>
        </is>
      </c>
      <c r="N118" s="29" t="inlineStr">
        <is>
          <t>malaga:kesif</t>
        </is>
      </c>
      <c r="O118" s="29" t="inlineStr">
        <is>
          <t>Müzeye gitmeden önce çantanı ve şemsiyeni bırakacağın yeri düşün: Thyssen'de sırt çantası, spor ya da seyahat çantası, bavul ve şemsiye alınmaz; vestiyer hizmeti vardır.
Pompidou'ya şemsiyeyle girme; vestiyer ve emanet bölümü zemin katta (planta 0).
Yanında yiyecek ya da içecek getirme; ikisi de müzede yasak.
Evcil hayvanını müzeye götürme; yalnız asistan ya da rehber köpekler alınır.</t>
        </is>
      </c>
      <c r="P118" s="29" t="n"/>
      <c r="Q118" s="29" t="n"/>
      <c r="R118" s="29" t="n"/>
      <c r="S118" s="29" t="inlineStr">
        <is>
          <t>Pompidou'da mayoyla ya da üstsüz girilemez; Thyssen'de mayoyla giriş yasaktır.</t>
        </is>
      </c>
      <c r="T118" s="29" t="n"/>
    </row>
    <row r="119" ht="54" customHeight="1">
      <c r="A119" s="29" t="inlineStr">
        <is>
          <t>malaga:gibralfaro-ve-monte-victoria-orman-parklari-sehir-icinde-yuruyus</t>
        </is>
      </c>
      <c r="B119" s="29" t="inlineStr">
        <is>
          <t>malaga</t>
        </is>
      </c>
      <c r="C119" s="29" t="inlineStr">
        <is>
          <t>gibralfaro-ve-monte-victoria-orman-parklari-sehir-icinde-yuruyus</t>
        </is>
      </c>
      <c r="D119" s="29" t="inlineStr">
        <is>
          <t>Şehir merkezine yakın yürüyüş için Gibralfaro ve Monte Victoria orman parklarına nasıl gidersin, neler var?</t>
        </is>
      </c>
      <c r="E119" s="29" t="inlineStr">
        <is>
          <t>Gibralfaro'da 2 km'den uzun patika ağı, Monte Victoria'da çam ormanı; ikisi de şehrin içinde</t>
        </is>
      </c>
      <c r="F119" s="29" t="inlineStr">
        <is>
          <t>Gibralfaro'ya şehir merkezinden ya da La Victoria, La Malagueta gibi mahallelerden rahatça girilir; Monte Victoria'da ise Vía Sacra (Carretera del Vía Crucis) Calle Amargura yanındaki bir yoldan başlayıp ermitada biter. Parque Forestal de Gibralfaro, Alcazaba ile Gibralfaro Kalesi'ni birbirine bağlayan, çam ve okaliptüslerden oluşan 278.000 m²'lik bir Akdeniz ormanıdır; 2 km'den uzun ve farklı zorluklarda patika ağı vardır. Parque Forestal Monte Victoria ise 312.000 m²'lik, deniz seviyesinden en çok 193,5 m yüksekliğe çıkan bir çam ormanıdır; Centro bölgesindedir, tamamen şehir dokusuyla çevrilidir ve kuzeyde Montes de Málaga, güneyde Gibralfaro tepesi ile sınırlanır.</t>
        </is>
      </c>
      <c r="G119" s="29" t="inlineStr">
        <is>
          <t>Gibralfaro, Monte Victoria, orman parkı, parque forestal, şehir içi yürüyüş, patika, Málaga doğa</t>
        </is>
      </c>
      <c r="H119" s="29" t="inlineStr">
        <is>
          <t>planning;new;settled</t>
        </is>
      </c>
      <c r="I119" s="29" t="inlineStr">
        <is>
          <t>malaga:kaynak:326;malaga:kaynak:327</t>
        </is>
      </c>
      <c r="J119" s="49" t="n">
        <v>46322</v>
      </c>
      <c r="K119" s="51" t="n">
        <v>1214</v>
      </c>
      <c r="L119" s="29" t="inlineStr">
        <is>
          <t>Hayır</t>
        </is>
      </c>
      <c r="M119" s="29" t="inlineStr">
        <is>
          <t>Taslak</t>
        </is>
      </c>
      <c r="N119" s="29" t="inlineStr">
        <is>
          <t>malaga:kesif</t>
        </is>
      </c>
      <c r="O119" s="29" t="inlineStr">
        <is>
          <t>Merkezden ya da La Victoria, La Malagueta gibi mahallelerden Gibralfaro Orman Parkı'na gir.
2 km'den uzun patika ağından zorluğuna göre bir rota seç; ormanlık hat Alcazaba ile Gibralfaro Kalesi'ni birbirine bağlar.
Bir de Monte Victoria'ya çık; çam ormanı şehir dokusuyla çevrili. Vía Sacra (Carretera del Vía Crucis) Calle Amargura yanındaki bir yoldan başlar ve ermitada biter.</t>
        </is>
      </c>
      <c r="P119" s="29" t="n"/>
      <c r="Q119" s="29" t="n"/>
      <c r="R119" s="29" t="n"/>
      <c r="S119" s="29" t="inlineStr">
        <is>
          <t>Monte Victoria adını şehrin hamisi Santuario de la Victoria'ya yakınlığından alır.</t>
        </is>
      </c>
      <c r="T119" s="29" t="n"/>
    </row>
    <row r="120" ht="54" customHeight="1">
      <c r="A120" s="29" t="inlineStr">
        <is>
          <t>malaga:piknik-ve-barbeku-yapabilecegin-orman-parklari-la-concepcion-ve-lagarillo-blanco</t>
        </is>
      </c>
      <c r="B120" s="29" t="inlineStr">
        <is>
          <t>malaga</t>
        </is>
      </c>
      <c r="C120" s="29" t="inlineStr">
        <is>
          <t>piknik-ve-barbeku-yapabilecegin-orman-parklari-la-concepcion-ve-lagarillo-blanco</t>
        </is>
      </c>
      <c r="D120" s="29" t="inlineStr">
        <is>
          <t>Málaga'da piknik ve barbekü yapabileceğin orman parkları hangileri: La Concepción ve Lagarillo Blanco'da neler var?</t>
        </is>
      </c>
      <c r="E120" s="29" t="inlineStr">
        <is>
          <t>La Concepción'da iki barbekü alanı ve çocuk parkı; Lagarillo Blanco'da masalı ve barbekülü 4 alan</t>
        </is>
      </c>
      <c r="F120" s="29" t="inlineStr">
        <is>
          <t>Piknik ve barbekü için Parque Forestal La Concepción (iki barbekü alanı, çocuk parkı) ve Parque Forestal Lagarillo Blanco (masalı ve barbekülü 4 dinlenme alanı, petank sahası) uygundur. La Concepción (190.000 m²) şehrin kuzeyinde, La Concepción Botanik Bahçesi'nin yanındadır ve içinden Guadalmedina nehri geçer; parkta piknik ve barbekü yapılabilen bir dinlenme alanı vardır, iki barbekü alanından biri ermitanın yanında, biri renkli köprünün yanındadır. Parkta ayrıca kuş gözlem noktası, en üst kısımda seyir terası ve salıncak, kaydırak ile tahterevalliden oluşan üç elemanlı bir çocuk parkı bulunur. Lagarillo Blanco (183.500 m²) El Palo tarafında Monte San Antón'un eteğindedir; A-7 otoyolundan ve Pinares de San Antón yerleşkesinden girilir.</t>
        </is>
      </c>
      <c r="G120" s="29" t="inlineStr">
        <is>
          <t>piknik, barbekü, barbacoa, La Concepción orman parkı, Lagarillo Blanco, çocuk parkı, El Palo</t>
        </is>
      </c>
      <c r="H120" s="29" t="inlineStr">
        <is>
          <t>planning;new;settled</t>
        </is>
      </c>
      <c r="I120" s="29" t="inlineStr">
        <is>
          <t>malaga:kaynak:325;malaga:kaynak:331</t>
        </is>
      </c>
      <c r="J120" s="49" t="n">
        <v>46322</v>
      </c>
      <c r="K120" s="51" t="n">
        <v>1215</v>
      </c>
      <c r="L120" s="29" t="inlineStr">
        <is>
          <t>Hayır</t>
        </is>
      </c>
      <c r="M120" s="29" t="inlineStr">
        <is>
          <t>Taslak</t>
        </is>
      </c>
      <c r="N120" s="29" t="inlineStr">
        <is>
          <t>malaga:kesif</t>
        </is>
      </c>
      <c r="O120" s="29" t="inlineStr">
        <is>
          <t>Piknik ve barbekü için La Concepción Orman Parkı'ndaki dinlenme alanına git; barbekü alanları ermitanın yanında ve renkli köprünün yanındadır.
Çocukla gidiyorsan parktaki salıncak, kaydırak ve tahterevalliyi kullan; kuş gözlem noktasına ve en üstteki seyir terasına çık.
El Palo tarafındaysan Lagarillo Blanco'ya git: A-7 otoyolundan ya da Pinares de San Antón yerleşkesinden girilir; 4 dinlenme alanında masa, barbekü ve petank sahası var.</t>
        </is>
      </c>
      <c r="P120" s="29" t="n"/>
      <c r="Q120" s="29" t="n"/>
      <c r="R120" s="29" t="n"/>
      <c r="S120" s="29" t="inlineStr">
        <is>
          <t>Lagarillo Blanco'da her yıl ocak sonunda San Antón romería'sı yapılır; La Concepción ormanında Ciudad Jardín bölgesi eylülde Romería de la Alegría'yı kutlar.</t>
        </is>
      </c>
      <c r="T120" s="29" t="n"/>
    </row>
    <row r="121" ht="54" customHeight="1">
      <c r="A121" s="29" t="inlineStr">
        <is>
          <t>malaga:mimma-muzik-muzesi-ve-parque-de-la-alegria-cocuklarla-gidilecek-yerler</t>
        </is>
      </c>
      <c r="B121" s="29" t="inlineStr">
        <is>
          <t>malaga</t>
        </is>
      </c>
      <c r="C121" s="29" t="inlineStr">
        <is>
          <t>mimma-muzik-muzesi-ve-parque-de-la-alegria-cocuklarla-gidilecek-yerler</t>
        </is>
      </c>
      <c r="D121" s="29" t="inlineStr">
        <is>
          <t>Çocuklarla Málaga'da nereye gidebilirsin: müzik aletlerini çalabileceğin MIMMA ve oyun alanlı Parque de la Alegría'da neler var?</t>
        </is>
      </c>
      <c r="E121" s="29" t="inlineStr">
        <is>
          <t>MIMMA'da 'çalın' odaları ve gün boyu saatler; Parque de la Alegría'da çocuk alanı, koşu ve bisiklet pistleri</t>
        </is>
      </c>
      <c r="F121" s="29" t="inlineStr">
        <is>
          <t>MIMMA (Museo Interactivo de la Música Málaga) Calle Beatas 15'teki Palacio Conde de las Navas'tadır. "Se ruega tocar" (lütfen çalın) odalarında sanal bir öğretmen eşliğinde keman, udu, çello, gitar ve flamenko kajonu gibi aletleri çalarak deneyebilirsin. 7 Eylül-24 Haziran arası pazartesi 10:00-16:00, salı-pazar 10:00-19:00; 25 Haziran-6 Eylül arası pazartesi 10:30-16:00, salı-pazar 10:30-19:30 açıktır. Açık havada çocuklar için Ciudad Jardín bölgesindeki Parque de la Alegría (15.100 m², 2011'de açıldı) uygundur: yüksek bir çitle çevrili parkta çocuk alanı, koşu pisti ve bisiklet pisti vardır.</t>
        </is>
      </c>
      <c r="G121" s="29" t="inlineStr">
        <is>
          <t>çocukla gezi, MIMMA, müzik müzesi, Parque de la Alegría, oyun parkı, Ciudad Jardín, çocuk aktivitesi</t>
        </is>
      </c>
      <c r="H121" s="29" t="inlineStr">
        <is>
          <t>planning;new;settled</t>
        </is>
      </c>
      <c r="I121" s="29" t="inlineStr">
        <is>
          <t>malaga:kaynak:422;malaga:kaynak:383</t>
        </is>
      </c>
      <c r="J121" s="49" t="n">
        <v>46322</v>
      </c>
      <c r="K121" s="51" t="n">
        <v>1216</v>
      </c>
      <c r="L121" s="29" t="inlineStr">
        <is>
          <t>Hayır</t>
        </is>
      </c>
      <c r="M121" s="29" t="inlineStr">
        <is>
          <t>Taslak</t>
        </is>
      </c>
      <c r="N121" s="29" t="inlineStr">
        <is>
          <t>malaga:kesif</t>
        </is>
      </c>
      <c r="O121" s="29" t="inlineStr">
        <is>
          <t>MIMMA'da "Se ruega tocar" odalarına git ve sanal öğretmenin anlattığı aletleri çalarak dene.
Gişeye kapanıştan en geç 30 dakika önce gel; salonlar kapanıştan 10 dakika önce boşaltılmaya başlar.
Parque de la Alegría'da çocuk oyun alanını, koşu ve bisiklet pistlerini kullan; park yüksek bir çitle çevrilidir.</t>
        </is>
      </c>
      <c r="P121" s="29" t="n"/>
      <c r="Q121" s="29" t="inlineStr">
        <is>
          <t>MIMMA 7 Eylül-24 Haziran: pazartesi 10:00-16:00, salı-pazar 10:00-19:00; 25 Haziran-6 Eylül: pazartesi 10:30-16:00, salı-pazar 10:30-19:30</t>
        </is>
      </c>
      <c r="R121" s="29" t="n"/>
      <c r="S121" s="29" t="n"/>
      <c r="T121" s="29" t="n"/>
    </row>
    <row r="122" ht="54" customHeight="1">
      <c r="A122" s="29" t="inlineStr">
        <is>
          <t>malaga:belediye-kapali-pazar-yerleri-mercados-municipales-hangileri-nerede</t>
        </is>
      </c>
      <c r="B122" s="29" t="inlineStr">
        <is>
          <t>malaga</t>
        </is>
      </c>
      <c r="C122" s="29" t="inlineStr">
        <is>
          <t>belediye-kapali-pazar-yerleri-mercados-municipales-hangileri-nerede</t>
        </is>
      </c>
      <c r="D122" s="29" t="inlineStr">
        <is>
          <t>Málaga'da belediyenin kapalı pazar yerleri (mercados municipales) hangileri, en büyüğü hangisi?</t>
        </is>
      </c>
      <c r="E122" s="29" t="inlineStr">
        <is>
          <t>15 belediye pazarı, yaklaşık bin tezgâh; en büyüğü 260 tezgâhlı Atarazanas, en küçüğü Pedregalejo</t>
        </is>
      </c>
      <c r="F122" s="29" t="inlineStr">
        <is>
          <t>Málaga'da belediyenin doğrudan işlettiği 15 kapalı pazar (mercado municipal) şunlardır: Atarazanas, Bailén, Carranque, Churriana, Ciudad Jardín, Dos Hermanas, El Carmen, El Palo, García Grana, Huelin, La Merced, La Palma, Pedregalejo, Portada Alta ve Salamanca. Hepsinde toplam bin kadar tezgâh ve dükkân, yaklaşık 500 işletmeci bulunur; ortalama tezgâh sayısı 65'tir. En büyüğü 260 tezgâhlı Atarazanas'tır (halk arasında "mercado central", 1979'da Bien de Interés Cultural ilan edildi), en küçüğü Pedregalejo'dur. Faaliyetin %66,30'unu taze ürünler (manav, kasap, balıkçı) oluşturur.</t>
        </is>
      </c>
      <c r="G122" s="29" t="inlineStr">
        <is>
          <t>mercado municipal, belediye pazarı, Atarazanas, Bailén, Carranque, Ciudad Jardín, taze ürün, Málaga market</t>
        </is>
      </c>
      <c r="H122" s="29" t="inlineStr">
        <is>
          <t>new;settled</t>
        </is>
      </c>
      <c r="I122" s="29" t="inlineStr">
        <is>
          <t>malaga:kaynak:305;malaga:kaynak:390</t>
        </is>
      </c>
      <c r="J122" s="49" t="n">
        <v>46322</v>
      </c>
      <c r="K122" s="51" t="n">
        <v>1217</v>
      </c>
      <c r="L122" s="29" t="inlineStr">
        <is>
          <t>Hayır</t>
        </is>
      </c>
      <c r="M122" s="29" t="inlineStr">
        <is>
          <t>Taslak</t>
        </is>
      </c>
      <c r="N122" s="29" t="inlineStr">
        <is>
          <t>malaga:kesif</t>
        </is>
      </c>
      <c r="O122" s="29" t="inlineStr">
        <is>
          <t>Oturduğun mahalleye en yakın pazarı yukarıdaki 15 pazar arasından seç.
Taze ürün (manav, kasap, balıkçı) için büyük pazar yerlerine bak: en büyüğü Atarazanas, 260 tezgâhla.
Pazara git: Atarazanas Calle Atarazanas'ta, Bailén Plaza de Bailén 8'de, Carranque Calle Virgen de la Esperanza 18'de, Ciudad Jardín Avenida Santiago Ramón y Cajal 148'de, Churriana Plaza Mayor 6'da, Dos Hermanas Calle Ingeniero Díaz Pettersen 10'da.</t>
        </is>
      </c>
      <c r="P122" s="29" t="n"/>
      <c r="Q122" s="29" t="n"/>
      <c r="R122" s="29" t="n"/>
      <c r="S122" s="29" t="n"/>
      <c r="T122" s="29" t="n"/>
    </row>
    <row r="123" ht="54" customHeight="1">
      <c r="A123" s="29" t="inlineStr">
        <is>
          <t>malaga:parque-de-malaga-ve-pedro-luis-alonso-bahceleri-sehir-merkezinde-tarihi-parklar</t>
        </is>
      </c>
      <c r="B123" s="29" t="inlineStr">
        <is>
          <t>malaga</t>
        </is>
      </c>
      <c r="C123" s="29" t="inlineStr">
        <is>
          <t>parque-de-malaga-ve-pedro-luis-alonso-bahceleri-sehir-merkezinde-tarihi-parklar</t>
        </is>
      </c>
      <c r="D123" s="29" t="inlineStr">
        <is>
          <t>Şehrin ortasındaki Parque de Málaga ve Pedro Luis Alonso Bahçeleri nerede, neler görürsün?</t>
        </is>
      </c>
      <c r="E123" s="29" t="inlineStr">
        <is>
          <t>Paseo del Parque'te 3,3 hektarlık subtropikal park; belediye binasının yanında 1947 tarihli 6.500 m²'lik bahçe</t>
        </is>
      </c>
      <c r="F123" s="29" t="inlineStr">
        <is>
          <t>Parque de Málaga, Paseo del Parque'te, şehir merkezindedir ve 3,3 hektarlık bir alana yayılır. 1896 tarihli bir yasadan doğmuştur; 19. yüzyıl sonunda denizden kazanılan arazi üzerine kurulmuştur. Tropikal ve subtropikal türler, palmiyeler, ejder ağaçları, doğu çınarları ve incir ağaçlarının yanında çok sayıda çeşme ve anıt görürsün. Palmeral de las Sorpresas'a yakındır ve Avrupa'nın en iyi açık subtropikal bahçelerinden biri sayılır. Belediye binasının doğu yanında, Avenida Cervantes, Calle Roma ve Calle Guillén Sotelo arasında 1947'de çizilmiş 6.500 m²'lik Jardines Pedro Luis Alonso vardır; bankında oturabilir, bahçeyi Alcazaba ve Gibralfaro Kalesi'nden de görebilirsin.</t>
        </is>
      </c>
      <c r="G123" s="29" t="inlineStr">
        <is>
          <t>Parque de Málaga, Pedro Luis Alonso, tarihi park, subtropikal bahçe, Paseo del Parque, merkez, yürüyüş</t>
        </is>
      </c>
      <c r="H123" s="29" t="inlineStr">
        <is>
          <t>planning;new;settled</t>
        </is>
      </c>
      <c r="I123" s="29" t="inlineStr">
        <is>
          <t>malaga:kaynak:328;malaga:kaynak:336</t>
        </is>
      </c>
      <c r="J123" s="49" t="n">
        <v>46322</v>
      </c>
      <c r="K123" s="51" t="n">
        <v>1218</v>
      </c>
      <c r="L123" s="29" t="inlineStr">
        <is>
          <t>Hayır</t>
        </is>
      </c>
      <c r="M123" s="29" t="inlineStr">
        <is>
          <t>Taslak</t>
        </is>
      </c>
      <c r="N123" s="29" t="inlineStr">
        <is>
          <t>malaga:kesif</t>
        </is>
      </c>
      <c r="O123" s="29" t="inlineStr">
        <is>
          <t>Parque de Málaga'ya Paseo del Parque'ten gir; çeşmeleri, anıtları ve subtropikal bitkileri gez.
Palmeral de las Sorpresas'ı da yürüyüşüne kat; Parque'ye çok yakındır.
Jardines Pedro Luis Alonso'ya belediye binasının doğu yanından, Avenida Cervantes - Calle Roma - Calle Guillén Sotelo arasından gir.</t>
        </is>
      </c>
      <c r="P123" s="29" t="n"/>
      <c r="Q123" s="29" t="n"/>
      <c r="R123" s="29" t="n"/>
      <c r="S123" s="29" t="n"/>
      <c r="T123" s="29" t="n"/>
    </row>
    <row r="124" ht="54" customHeight="1">
      <c r="A124" s="29" t="inlineStr">
        <is>
          <t>malaga:nie-nedir-ne-ise-yarar</t>
        </is>
      </c>
      <c r="B124" s="29" t="inlineStr">
        <is>
          <t>malaga</t>
        </is>
      </c>
      <c r="C124" s="29" t="inlineStr">
        <is>
          <t>nie-nedir-ne-ise-yarar</t>
        </is>
      </c>
      <c r="D124" s="29" t="inlineStr">
        <is>
          <t>NIE nedir, ne işe yarar ve nasıl istenir?</t>
        </is>
      </c>
      <c r="E124" s="29" t="inlineStr">
        <is>
          <t>NIE, yabancılara verilen kimlik numarasıdır; harcı 9,84 euro</t>
        </is>
      </c>
      <c r="F124" s="29" t="inlineStr">
        <is>
          <t>NIE (Número de Identidad de Extranjero, yabancı kimlik numarası), İspanya ile ekonomik, mesleki ya da sosyal bağı olan yabancıların Polis Genel Müdürlüğü'nden istemesi gereken numaradır. Başvuru için İspanya'da düzensiz durumda olmaman ve numarayı neden istediğini bildirmen gerekir. Dilekçe EX15 formu ve 790 kodu 012 harç belgesiyle verilir; NIE harcı 9,84 euro'dur. Yönetmelik süresi en çok beş gündür ve bu sürede cevap gelmezse başvuru reddedilmiş sayılır.</t>
        </is>
      </c>
      <c r="G124" s="29" t="inlineStr">
        <is>
          <t>NIE, número de identidad de extranjero, EX15, tasa 790 012, yabancı kimlik numarası, NIE harcı</t>
        </is>
      </c>
      <c r="H124" s="29" t="inlineStr">
        <is>
          <t>planning;new</t>
        </is>
      </c>
      <c r="I124" s="29" t="inlineStr">
        <is>
          <t>malaga:kaynak:001;malaga:kaynak:002</t>
        </is>
      </c>
      <c r="J124" s="49" t="n">
        <v>46319</v>
      </c>
      <c r="K124" s="51" t="n">
        <v>9000</v>
      </c>
      <c r="L124" s="29" t="inlineStr">
        <is>
          <t>Hayır</t>
        </is>
      </c>
      <c r="M124" s="29" t="inlineStr">
        <is>
          <t>Taslak</t>
        </is>
      </c>
      <c r="N124" s="29" t="inlineStr">
        <is>
          <t>malaga:oturum</t>
        </is>
      </c>
      <c r="O124" s="29" t="inlineStr">
        <is>
          <t>Numarayı neden istediğini (ekonomik, mesleki ya da sosyal bağını) yazılı olarak bildirmeye hazırlan; İspanya'da düzensiz durumda olmaman gerekir.
EX15 formunu (NIE ve sertifika talebi) doldur.
790 kodu 012 harç belgesini al ve 9,84 euro harcı öde; harç, hesabın olmasa da bankalarda ve tasarruf kasalarında ödenir.
Dilekçeyi Polis Genel Müdürlüğü'ne yabancılar ofisi (Oficina de Extranjería) ya da polis karakolu (Comisaría) aracılığıyla ver; İspanya dışındaysan İspanya konsoloslukları üzerinden başvur.</t>
        </is>
      </c>
      <c r="P124" s="29" t="inlineStr">
        <is>
          <t>EX15 formu (NIE ve sertifika talebi)
790 kodu 012 harç ödeme belgesi</t>
        </is>
      </c>
      <c r="Q124" s="29" t="inlineStr">
        <is>
          <t>Yönetmeliğe göre en çok beş gün; bu sürede cevap gelmezse başvuru reddedilmiş sayılır.</t>
        </is>
      </c>
      <c r="R124" s="29" t="inlineStr">
        <is>
          <t>NIE harcı 9,84 euro (Orden PJC/617/2025 tarifesi).</t>
        </is>
      </c>
      <c r="S124" s="29" t="inlineStr">
        <is>
          <t>Ret ya da cevapsızlık durumunda karara karşı 1 ay içinde aynı makama itiraz (reposición), 2 ay içinde idare mahkemesine dava yolu açıktır.</t>
        </is>
      </c>
      <c r="T124" s="29" t="n"/>
    </row>
    <row r="125" ht="54" customHeight="1">
      <c r="A125" s="29" t="inlineStr">
        <is>
          <t>malaga:ab-vatandasi-kayit-sertifikasi</t>
        </is>
      </c>
      <c r="B125" s="29" t="inlineStr">
        <is>
          <t>malaga</t>
        </is>
      </c>
      <c r="C125" s="29" t="inlineStr">
        <is>
          <t>ab-vatandasi-kayit-sertifikasi</t>
        </is>
      </c>
      <c r="D125" s="29" t="inlineStr">
        <is>
          <t>AB vatandaşı kayıt sertifikası (Certificado de Registro de Ciudadano de la UE) nasıl alınır?</t>
        </is>
      </c>
      <c r="E125" s="29" t="inlineStr">
        <is>
          <t>Üç aydan uzun kalacak AB/AEA/İsviçre vatandaşları için; başvuru üç ay içinde, belge hemen verilir</t>
        </is>
      </c>
      <c r="F125" s="29" t="inlineStr">
        <is>
          <t>Başka bir AB ya da AEA ülkesinin (ya da İsviçre'nin) vatandaşıysan ve İspanya'da üç aydan uzun kalacaksan, kalacağın ilin yabancılar ofisine ya da yetkili polis karakoluna kendin gidip Merkez Yabancılar Kaydı'na (Registro Central de Extranjeros) yazılmak zorundasın. Başvuruyu İspanya'ya girişinden itibaren üç ay içinde yaparsın; kayıt sertifikası hemen verilir ve üzerinde adın, uyruğun, adresin, NIE numaran ve kayıt tarihin yazar. Güncel resmî tarifeye göre bu belgenin harcı 12,00 euro.</t>
        </is>
      </c>
      <c r="G125" s="29" t="inlineStr">
        <is>
          <t>AB kayıt sertifikası, certificado de registro, EX18, Registro Central de Extranjeros, tasa 790 012, AB vatandaşı</t>
        </is>
      </c>
      <c r="H125" s="29" t="inlineStr">
        <is>
          <t>new</t>
        </is>
      </c>
      <c r="I125" s="29" t="inlineStr">
        <is>
          <t>malaga:kaynak:003;malaga:kaynak:004</t>
        </is>
      </c>
      <c r="J125" s="49" t="n">
        <v>46319</v>
      </c>
      <c r="K125" s="51" t="n">
        <v>9001</v>
      </c>
      <c r="L125" s="29" t="inlineStr">
        <is>
          <t>Hayır</t>
        </is>
      </c>
      <c r="M125" s="29" t="inlineStr">
        <is>
          <t>Taslak</t>
        </is>
      </c>
      <c r="N125" s="29" t="inlineStr">
        <is>
          <t>malaga:oturum</t>
        </is>
      </c>
      <c r="O125" s="29" t="inlineStr">
        <is>
          <t>Geçerli pasaportunu ya da ulusal kimlik kartını hazırla; süresi dolmuşsa onun kopyasını ve yenileme başvurusunun kopyasını götür.
Kalma hakkını gösteren belgeleri ekle; hangi belgelerin gerektiği Real Decreto 240/2007'nin 7. maddesindeki şartlara bağlı.
EX18 formunu (AB vatandaşı kaydı) doldur.
790 kodu 012 harç belgesini al ve harcı öde.
İspanya'ya girişinden sonraki üç ay içinde kalacağın ilin yabancılar ofisine ya da yetkili polis karakoluna şahsen git; kayıt sertifikanı hemen alırsın.
Beş yıl kesintisiz yasal ikametten sonra istersen kalıcı oturum hakkını gösteren sertifika talep et.</t>
        </is>
      </c>
      <c r="P125" s="29" t="inlineStr">
        <is>
          <t>Geçerli pasaport ya da ulusal kimlik kartı
EX18 formu
790 kodu 012 harç ödeme belgesi
Real Decreto 240/2007 madde 7 şartlarını karşıladığını gösteren belgeler</t>
        </is>
      </c>
      <c r="Q125" s="29" t="inlineStr">
        <is>
          <t>Başvuru İspanya'ya girişten itibaren üç ay içinde yapılır; sertifika hemen verilir.</t>
        </is>
      </c>
      <c r="R125" s="29" t="inlineStr">
        <is>
          <t>Güncel resmî tarifeye göre 12,00 euro (kayıt sertifikası harcı).</t>
        </is>
      </c>
      <c r="S125" s="29" t="inlineStr">
        <is>
          <t>Beş yıl kesintisiz yasal ikametin ardından istek üzerine kalıcı oturum hakkı sertifikası (certificado del derecho a residir con carácter permanente) verilir. Bu belge AB/AEA/İsviçre vatandaşları içindir; Türk vatandaşı bu rejimin dışındadır. AB vatandaşının aile üyesi olarak gelen yabancılar için ayrı bir kart vardır: AB vatandaşının aile üyesi oturum kartı (tarjeta de residencia de familiar de un ciudadano de la Unión); harcı bu belgeyle aynı kalemdedir, 12,00 euro.</t>
        </is>
      </c>
      <c r="T125" s="29" t="n"/>
    </row>
    <row r="126" ht="54" customHeight="1">
      <c r="A126" s="29" t="inlineStr">
        <is>
          <t>malaga:tie-yabanci-kimlik-karti</t>
        </is>
      </c>
      <c r="B126" s="29" t="inlineStr">
        <is>
          <t>malaga</t>
        </is>
      </c>
      <c r="C126" s="29" t="inlineStr">
        <is>
          <t>tie-yabanci-kimlik-karti</t>
        </is>
      </c>
      <c r="D126" s="29" t="inlineStr">
        <is>
          <t>TIE (yabancı kimlik kartı) nasıl alınır, ne zamana kadar başvurulur?</t>
        </is>
      </c>
      <c r="E126" s="29" t="inlineStr">
        <is>
          <t>Altı aydan uzun izin ya da vize için hak ve yükümlülük; başvuru bir ay içinde şahsen yapılır</t>
        </is>
      </c>
      <c r="F126" s="29" t="inlineStr">
        <is>
          <t>Altı aydan uzun süreli bir vizen ya da izninin olması halinde TIE (Tarjeta de Identidad de Extranjero, yabancı kimlik kartı) hem hakkın hem yükümlülüğündür. Kartı kendin, şahsen istemelisin: süre, İspanya'ya girişinden ya da iznin verildiği veya yürürlüğe girdiği günden (Sosyal Güvenlik kaydına göre) itibaren bir aydır. İzin yenilendiyse yenileme kararının bildirilmesinden itibaren bir ay içinde yetkili polis karakoluna başvurursun. Güncel resmî tarifeye göre harç: ilk TIE 16,08 euro, yenileme TIE'si 19,30 euro, uzun süreli ikamet TIE'si 21,87 euro.</t>
        </is>
      </c>
      <c r="G126" s="29" t="inlineStr">
        <is>
          <t>TIE, tarjeta de identidad de extranjero, yabancı kimlik kartı, oturum kartı, tasa TIE, kart yenileme</t>
        </is>
      </c>
      <c r="H126" s="29" t="inlineStr">
        <is>
          <t>new;settled</t>
        </is>
      </c>
      <c r="I126" s="29" t="inlineStr">
        <is>
          <t>malaga:kaynak:004;malaga:kaynak:005</t>
        </is>
      </c>
      <c r="J126" s="49" t="n">
        <v>46319</v>
      </c>
      <c r="K126" s="51" t="n">
        <v>9002</v>
      </c>
      <c r="L126" s="29" t="inlineStr">
        <is>
          <t>Hayır</t>
        </is>
      </c>
      <c r="M126" s="29" t="inlineStr">
        <is>
          <t>Taslak</t>
        </is>
      </c>
      <c r="N126" s="29" t="inlineStr">
        <is>
          <t>malaga:oturum</t>
        </is>
      </c>
      <c r="O126" s="29" t="inlineStr">
        <is>
          <t>Vizenin ya da izninin altı aydan uzun olup olmadığına bak; uzunsa TIE'yi almak hem hakkın hem yükümlülüğündür.
TIE'yi kendin, şahsen iste: süre İspanya'ya girişinden ya da iznin verildiği/yürürlüğe girdiği günden itibaren bir aydır.
İznin yenilendiyse, yenileme kararının bildirilmesinden sonraki bir ay içinde yetkili polis karakoluna şahsen başvur.
Harcı güncel resmî tarifeye göre öde: ilk TIE 16,08 euro, yenileme TIE'si 19,30 euro, uzun süreli ikamet TIE'si 21,87 euro.
Kartı kimseye devretme; başvuru ve teslim işlemlerini kendin yürüt ve kartı özenle sakla.</t>
        </is>
      </c>
      <c r="P126" s="29" t="n"/>
      <c r="Q126" s="29" t="inlineStr">
        <is>
          <t>İspanya'ya girişten ya da iznin verildiği veya yürürlüğe girdiği günden itibaren bir ay; yenilemede karar bildiriminden itibaren bir ay.</t>
        </is>
      </c>
      <c r="R126" s="29" t="inlineStr">
        <is>
          <t>Güncel resmî tarifeye göre ilk TIE 16,08 euro, yenileme TIE'si 19,30 euro, uzun süreli ikamet TIE'si 21,87 euro; İspanyol vatandaşlarının aile üyeleri için geçici ikamet TIE'si 12 euro.</t>
        </is>
      </c>
      <c r="S126" s="29" t="inlineStr">
        <is>
          <t>TIE'nin süresi dayandığı iznin süresiyle aynıdır. Kartla ilgili yükümlülüklere uyulmaması Ley Orgánica 4/2000'deki yaptırım rejimine tabidir.</t>
        </is>
      </c>
      <c r="T126" s="29" t="n"/>
    </row>
    <row r="127" ht="54" customHeight="1">
      <c r="A127" s="29" t="inlineStr">
        <is>
          <t>malaga:ab-vatandasi-calisma-izni-gerekli-mi</t>
        </is>
      </c>
      <c r="B127" s="29" t="inlineStr">
        <is>
          <t>malaga</t>
        </is>
      </c>
      <c r="C127" s="29" t="inlineStr">
        <is>
          <t>ab-vatandasi-calisma-izni-gerekli-mi</t>
        </is>
      </c>
      <c r="D127" s="29" t="inlineStr">
        <is>
          <t>AB vatandaşı olarak İspanya'da çalışmak için çalışma izni gerekir mi?</t>
        </is>
      </c>
      <c r="E127" s="29" t="inlineStr">
        <is>
          <t>Hayır: AB/AEA vatandaşları İspanyollarla aynı koşullarda çalışır; Türk vatandaşı bu rejimin dışındadır</t>
        </is>
      </c>
      <c r="F127" s="29" t="inlineStr">
        <is>
          <t>Hayır, AB/AEA vatandaşı olarak İspanya'da çalışmak için ayrı bir çalışma izni gerekmez: Real Decreto 240/2007 kapsamındaki AB/AEA vatandaşları ve aile üyeleri, İspanyollarla aynı koşullarda ücretli ya da serbest çalışma, hizmet sunma veya öğrenim hakkına sahiptir. Üç aydan kısa kalacaksan geçerli pasaport ya da kimlik belgesi yeterlidir. Üç aydan uzun kalmak için ücretli ya da serbest çalışan olman bir kalma dayanağıdır; yeterli gelir ve sağlık sigortası ya da öğrenci olmak da dayanak olur. Türk vatandaşı bu rejimin dışındadır; yalnız AB/AEA vatandaşının eşi, kayıtlı partneri ya da yakını olarak onunla birlikte gelirse ya da ona katılırsa kapsama girebilir.</t>
        </is>
      </c>
      <c r="G127" s="29" t="inlineStr">
        <is>
          <t>AB vatandaşı, çalışma izni, AEA, Real Decreto 240/2007, serbest çalışma, trabajador por cuenta ajena, libre circulación</t>
        </is>
      </c>
      <c r="H127" s="29" t="inlineStr">
        <is>
          <t>planning;new</t>
        </is>
      </c>
      <c r="I127" s="29" t="inlineStr">
        <is>
          <t>malaga:kaynak:006</t>
        </is>
      </c>
      <c r="J127" s="49" t="n">
        <v>46319</v>
      </c>
      <c r="K127" s="51" t="n">
        <v>9003</v>
      </c>
      <c r="L127" s="29" t="inlineStr">
        <is>
          <t>Hayır</t>
        </is>
      </c>
      <c r="M127" s="29" t="inlineStr">
        <is>
          <t>Taslak</t>
        </is>
      </c>
      <c r="N127" s="29" t="inlineStr">
        <is>
          <t>malaga:oturum</t>
        </is>
      </c>
      <c r="O127" s="29" t="inlineStr">
        <is>
          <t>Üç aydan kısa kalacaksan geçerli pasaport ya da kimlik belgenle girişin yeterlidir.
Üç aydan uzun kalacaksan kalma dayanağını belirle: ücretli ya da serbest çalışan olmak, yeterli gelir ve tüm riskleri kapsayan sağlık sigortası, tanınmış bir okula kayıtlı öğrenci olmak ya da şartları taşıyan bir AB vatandaşının aile üyesi olmak.
Çalışırken her türlü ücretli ya da serbest faaliyette İspanyollarla aynı koşullarda olduğunu bil.
Aile üyelerin AB/AEA vatandaşı değilse onlar da seninle gelirken ya da sana katılırken aynı dayanaklara bağlı olarak kalma hakkı kazanır.</t>
        </is>
      </c>
      <c r="P127" s="29" t="n"/>
      <c r="Q127" s="29" t="n"/>
      <c r="R127" s="29" t="n"/>
      <c r="S127" s="29" t="n"/>
      <c r="T127" s="29" t="n"/>
    </row>
    <row r="128" ht="54" customHeight="1">
      <c r="A128" s="29" t="inlineStr">
        <is>
          <t>malaga:oturum-izni-yenileme</t>
        </is>
      </c>
      <c r="B128" s="29" t="inlineStr">
        <is>
          <t>malaga</t>
        </is>
      </c>
      <c r="C128" s="29" t="inlineStr">
        <is>
          <t>oturum-izni-yenileme</t>
        </is>
      </c>
      <c r="D128" s="29" t="inlineStr">
        <is>
          <t>İspanya'da geçici oturum izni nasıl yenilenir? Başvuru süresi ve harç</t>
        </is>
      </c>
      <c r="E128" s="29" t="inlineStr">
        <is>
          <t>İzin bitmeden önceki iki ay içinde başvur; harçlar 16,40 + 19,30 euro, çalışma izninde ek 81,54 euro</t>
        </is>
      </c>
      <c r="F128" s="29" t="inlineStr">
        <is>
          <t>Geçici oturum, ücretli ya da serbest çalışma iznini yenilemek için resmî formla, iznin bitiş tarihinden önceki iki ay içinde başvurman gerekir. Bu sürede başvurursan eski iznin geçerliliği karar çıkana kadar uzar; bitişten sonraki üç ay içinde başvursan da uzar, ama bu durumda yaptırım süreci açılabilir. Çalışmasız oturum (residencia no lucrativa) yenilemesi yetkili yabancılar ofisine yapılır; yenilenen çalışmasız oturum izni iki yıl, yenilenen ücretli ya da serbest çalışma izni dört yıl geçerlidir. Karar üç ay içinde verilir. Yenileme başvurusu için 16,40 euro ve yenilenen kartın (TIE) basımı için 19,30 euro harç ödersin; çalışma iznini yeniliyorsan ayrıca 81,54 euro çalışma izni harcı vardır: ücretli çalışmada bunu işveren, serbest çalışmada sen ödersin.</t>
        </is>
      </c>
      <c r="G128" s="29" t="inlineStr">
        <is>
          <t>oturum izni yenileme, renovación, residencia temporal, trabajo por cuenta ajena, no lucrativa, TIE yenileme, oficina de extranjería</t>
        </is>
      </c>
      <c r="H128" s="29" t="inlineStr">
        <is>
          <t>settled</t>
        </is>
      </c>
      <c r="I128" s="29" t="inlineStr">
        <is>
          <t>malaga:kaynak:005;malaga:kaynak:002</t>
        </is>
      </c>
      <c r="J128" s="49" t="n">
        <v>46319</v>
      </c>
      <c r="K128" s="51" t="n">
        <v>9004</v>
      </c>
      <c r="L128" s="29" t="inlineStr">
        <is>
          <t>Hayır</t>
        </is>
      </c>
      <c r="M128" s="29" t="inlineStr">
        <is>
          <t>Taslak</t>
        </is>
      </c>
      <c r="N128" s="29" t="inlineStr">
        <is>
          <t>malaga:oturum</t>
        </is>
      </c>
      <c r="O128" s="29" t="inlineStr">
        <is>
          <t>İznin türüne bak: ücretli çalışma, serbest çalışma ya da çalışmasız geçici oturum iznin olabilir; üçünde de yenileme başvuru süresi aynıdır.
İznin bitiş tarihinden önceki iki ay içinde, resmî yenileme formuyla başvur.
Bitiş tarihini kaçırdıysan bitişten sonraki üç ay içinde başvur; başvuru yine karar çıkana kadar eski izni uzatır ama yaptırım süreci açılabilir.
Çalışmasız oturumu yeniliyorsan başvuruyu yetkili yabancılar ofisine yap.
Karar üç ay içinde bildirilir; süre dolarsa başvuru kabul edilmiş sayılır. Yenilenen izin çalışmasız oturumda iki yıl, ücretli ya da serbest çalışma izninde dört yıl geçerlidir.
Yenileme kararı bildirilince bir ay içinde yetkili polis karakoluna şahsen gidip yenilenen kartını (TIE) iste.
Harçları ayrı öde: yenileme başvurusu için 16,40 euro, yenilenen kart (TIE) için 19,30 euro. Çalışma iznini yeniliyorsan ek olarak 81,54 euro çalışma izni harcı vardır; ücretli çalışmada bunu işveren, serbest çalışmada sen ödersin.</t>
        </is>
      </c>
      <c r="P128" s="29" t="n"/>
      <c r="Q128" s="29" t="inlineStr">
        <is>
          <t>Başvuru iznin bitişinden önceki iki ay içinde; karar üç ay içinde; yenilenen izin çalışmasız oturumda iki yıl, ücretli ya da serbest çalışma izninde dört yıl geçerli.</t>
        </is>
      </c>
      <c r="R128" s="29" t="inlineStr">
        <is>
          <t>Yenileme başvurusu harcı 16,40 euro; yenilenen kart (TIE) harcı 19,30 euro; çalışma izni yenilemesinde ayrıca 81,54 euro çalışma izni harcı (ücretli çalışmada işveren, serbest çalışmada başvuran öder). Kaynak: Orden PJC/617/2025 tarifesi.</t>
        </is>
      </c>
      <c r="S128" s="29" t="inlineStr">
        <is>
          <t>Bitiş tarihinden sonraki üç ay içindeki başvuru da izni karar çıkana kadar uzatır, ancak ilgili ihlal nedeniyle yaptırım süreci açılabilir.</t>
        </is>
      </c>
      <c r="T128" s="29" t="n"/>
    </row>
    <row r="129" ht="54" customHeight="1">
      <c r="A129" s="29" t="inlineStr">
        <is>
          <t>malaga:aile-birlesimi-ile-oturum</t>
        </is>
      </c>
      <c r="B129" s="29" t="inlineStr">
        <is>
          <t>malaga</t>
        </is>
      </c>
      <c r="C129" s="29" t="inlineStr">
        <is>
          <t>aile-birlesimi-ile-oturum</t>
        </is>
      </c>
      <c r="D129" s="29" t="inlineStr">
        <is>
          <t>Aile birleşimi (reagrupación familiar) ile İspanya'ya nasıl gelinir?</t>
        </is>
      </c>
      <c r="E129" s="29" t="inlineStr">
        <is>
          <t>Reagrupante en az bir yıl oturmuş olmalı; gelir şartı IPREM'in yüzde 150'si, ek kişi başına yüzde 50</t>
        </is>
      </c>
      <c r="F129" s="29" t="inlineStr">
        <is>
          <t>İspanya'da yasal yaşayan bir yabancı, eşini ya da evlilik benzeri ilişkideki partnerini, çocuklarını ve belirli koşullarda bakmakla yükümlü olduğu birinci derece üstsoyunu yanına getirebilir. Başvuru, yakınlarını getirecek kişi (reagrupante) İspanya'da en az bir yıl oturmuş ve en az bir yıl daha oturum izni istemişse yapılabilir. Gelir şartı: bir yakınla iki kişilik aile birimi için IPREM'in yüzde 150'si, her ek kişi için IPREM'in yüzde 50'si; Güncel resmî tarifeye göre ilk izin harcı 10,94 euro.</t>
        </is>
      </c>
      <c r="G129" s="29" t="inlineStr">
        <is>
          <t>aile birleşimi, reagrupación familiar, IPREM, reagrupante, eş, çocuk, oturum izni, tasa 10,94</t>
        </is>
      </c>
      <c r="H129" s="29" t="inlineStr">
        <is>
          <t>planning</t>
        </is>
      </c>
      <c r="I129" s="29" t="inlineStr">
        <is>
          <t>malaga:kaynak:005;malaga:kaynak:002</t>
        </is>
      </c>
      <c r="J129" s="49" t="n">
        <v>46319</v>
      </c>
      <c r="K129" s="51" t="n">
        <v>9005</v>
      </c>
      <c r="L129" s="29" t="inlineStr">
        <is>
          <t>Hayır</t>
        </is>
      </c>
      <c r="M129" s="29" t="inlineStr">
        <is>
          <t>Taslak</t>
        </is>
      </c>
      <c r="N129" s="29" t="inlineStr">
        <is>
          <t>malaga:oturum</t>
        </is>
      </c>
      <c r="O129" s="29" t="inlineStr">
        <is>
          <t>Reagrupante olarak İspanya'da en az bir yıl oturduğunu ve bir yıl daha oturum izni istediğini kontrol et.
Getireceğin kişinin listede olduğundan emin ol: 18 yaşından büyük eş (ayrı yaşamıyor), evlilik benzeri ilişkideki partner, çocuklar, 65 yaş üstü bakmakla yükümlü olduğun birinci derece üstsoy.
Düzenli ve yeterli geliri göster: iki kişilik aile birimi için IPREM'in yüzde 150'si, her ek kişi için yüzde 50'si.
Başvuru harcını öde; ilk izin için güncel resmî tarifeye göre 10,94 euro.
İzin çıkınca eş, partner ve çocuklar ayrıca bir işlem yapmadan çalışabilir (çalışma yaşı sınırını geçmeleri şartıyla).</t>
        </is>
      </c>
      <c r="P129" s="29" t="n"/>
      <c r="Q129" s="29" t="n"/>
      <c r="R129" s="29" t="inlineStr">
        <is>
          <t>Güncel resmî tarifeye göre aile birleşimi yoluyla ilk geçici ikamet izni harcı 10,94 euro.</t>
        </is>
      </c>
      <c r="S129" s="29" t="inlineStr">
        <is>
          <t>Birden fazla eş getirilemez. Harç tutarı 13 Haziran 2025 tarihli Orden PJC/617/2025'e dayanır.</t>
        </is>
      </c>
      <c r="T129" s="29" t="n"/>
    </row>
    <row r="130" ht="54" customHeight="1">
      <c r="A130" s="29" t="inlineStr">
        <is>
          <t>malaga:kalici-oturum-bes-yil</t>
        </is>
      </c>
      <c r="B130" s="29" t="inlineStr">
        <is>
          <t>malaga</t>
        </is>
      </c>
      <c r="C130" s="29" t="inlineStr">
        <is>
          <t>kalici-oturum-bes-yil</t>
        </is>
      </c>
      <c r="D130" s="29" t="inlineStr">
        <is>
          <t>Kalıcı oturum (AB uzun süreli ikamet, residencia de larga duración-UE) beş yılda nasıl alınır?</t>
        </is>
      </c>
      <c r="E130" s="29" t="inlineStr">
        <is>
          <t>Önce izin için yabancılar ofisine başvurulur, kimlik kartı (TIE) izin verildikten sonra ayrıca alınır</t>
        </is>
      </c>
      <c r="F130" s="29" t="inlineStr">
        <is>
          <t>Son beş yıl boyunca İspanya'da yasal ve kesintisiz oturduysan AB uzun süreli ikamet izni (residencia de larga duración-UE) hakkın doğar; bu izin İspanyollarla aynı koşullarda süresiz oturma ve çalışma hakkı verir. İzin başvurusunu oturduğun ilin yabancılar ofisine (oficina de extranjería) yaparsın. Kesintisiz 6 aya kadar ve toplam 10 aya kadar İspanya dışında kalmak süreyi bozmaz; çalışma nedeniyle ayrılıklarda toplam sınır 18 aydır. Yeterli ve düzenli gelir ile sağlık sigortası da gerekir. İzin verildikten sonra kimlik kartını (TIE) ayrıca polis karakolundan ya da yabancılar ofisinden istersin.</t>
        </is>
      </c>
      <c r="G130" s="29" t="inlineStr">
        <is>
          <t>kalıcı oturum, residencia de larga duración-UE, uzun süreli ikamet, beş yıl, oficina de extranjería, TIE yenileme, süresiz oturum</t>
        </is>
      </c>
      <c r="H130" s="29" t="inlineStr">
        <is>
          <t>settled</t>
        </is>
      </c>
      <c r="I130" s="29" t="inlineStr">
        <is>
          <t>malaga:kaynak:005;malaga:kaynak:002</t>
        </is>
      </c>
      <c r="J130" s="49" t="n">
        <v>46319</v>
      </c>
      <c r="K130" s="51" t="n">
        <v>9006</v>
      </c>
      <c r="L130" s="29" t="inlineStr">
        <is>
          <t>Hayır</t>
        </is>
      </c>
      <c r="M130" s="29" t="inlineStr">
        <is>
          <t>Taslak</t>
        </is>
      </c>
      <c r="N130" s="29" t="inlineStr">
        <is>
          <t>malaga:oturum</t>
        </is>
      </c>
      <c r="O130" s="29" t="inlineStr">
        <is>
          <t>Son beş yılın yasal ve kesintisiz oturum olduğunu kontrol et: kesintisiz 6 aya kadar ve toplam 10 aya kadar İspanya dışında kalmak süreyi bozmaz (usulsüz çıkışlar bu hoşgörüden yararlanmaz); çalışma nedeniyle ayrılıklarda toplam sınır 18 aydır. Öğrenci olarak kalınan dönemler, başvuruda oturum iznin varsa, yüzde 50 sayılır.
Yeterli ve düzenli gelirin ve sağlık sigortanın olduğunu belgeleyecek şekilde hazırlan. Gelir ölçüsü yönetmelikte aile birleşimi kurallarına bağlanmıştır; orada hane iki kişiyse IPREM'in yüzde 150'si, her ek kişi için yüzde 50'si aranır.
Başvuruyu resmî formla yap; dosyaya pasaportunun tam kopyasını (ya da seyahat belgeni ya da cédula de inscripción'unu), harç ödeme belgesini, gelir ve sağlık sigortası belgelerini, gerekiyorsa sabıka kaydını ekle.
Başvuruyu oturduğun ilin yabancılar ofisine ver; İspanya'da değilsen oturacağın bölgenin konsolosluğuna şahsen ver, konsolosluk dosyayı ofise iletir.
Başvuruyu mevcut iznin bitişinden önceki iki ay içinde yaparsan izin karar çıkana kadar uzar; bitişten sonraki üç ay içinde yapsan da uzar, ama yaptırım süreci açılabilir. Geçerli oturum iznin varsa ve beş yıl dahil bütün şartları zaten karşılıyorsan bu iki aylık süre uygulanmaz.
Karar üç ay içinde verilir; bu sürede cevap gelmezse başvuru kabul edilmiş sayılır. İzin verilince bir ay içinde şahsen polis karakolundan ya da yabancılar ofisinden kimlik kartını (TIE) iste.
Kartı ilk kez beş yıl sonra, sonra 30 yaşına kadar her beş yılda bir, 30 yaşından sonra on yılda bir yenilet.</t>
        </is>
      </c>
      <c r="P130" s="29" t="inlineStr">
        <is>
          <t>Pasaportun tam kopyası, seyahat belgesi ya da cédula de inscripción
Harç ödeme belgesi
Yeterli ve düzenli gelir belgesi
Sağlık sigortası belgesi
Gerekiyorsa sabıka kaydı (son beş yıl yaşadığın ülkelerden)</t>
        </is>
      </c>
      <c r="Q130" s="29" t="inlineStr">
        <is>
          <t>Başvuru mevcut iznin bitişinden önceki iki ay içinde; geçerli oturum iznin varsa ve beş yıl dahil şartları zaten karşılıyorsan bu iki aylık süre uygulanmaz; karar üç ay içinde (cevap gelmezse kabul); TIE kararın bildiriminden sonra bir ay içinde istenir; TIE ilk kez beş yıl sonra, sonra 30 yaşına kadar beş yılda bir, 30 yaşından sonra on yılda bir yenilenir.</t>
        </is>
      </c>
      <c r="R130" s="29" t="inlineStr">
        <is>
          <t>İzin başvurusu harcı 21,87 euro; kimlik kartı (TIE) harcı 21,87 euro (Orden PJC/617/2025 tarifesi).</t>
        </is>
      </c>
      <c r="S130" s="29" t="inlineStr">
        <is>
          <t>Başvuruyu alan ofis önceki ikamet sürelerini kendisi kontrol eder, İspanya'daki sabıka kaydını ve polis raporunu resen ister. Kamu düzeni ya da güvenlik için tehdit görülürse AB uzun süreli ikamet statüsü verilmeyebilir.</t>
        </is>
      </c>
      <c r="T130" s="29" t="n"/>
    </row>
    <row r="131" ht="54" customHeight="1">
      <c r="A131" s="29" t="inlineStr">
        <is>
          <t>malaga:arraigo-kok-salma-oturumu</t>
        </is>
      </c>
      <c r="B131" s="29" t="inlineStr">
        <is>
          <t>malaga</t>
        </is>
      </c>
      <c r="C131" s="29" t="inlineStr">
        <is>
          <t>arraigo-kok-salma-oturumu</t>
        </is>
      </c>
      <c r="D131" s="29" t="inlineStr">
        <is>
          <t>Arraigo (kök salma) ile oturum izni almak mümkün mü?</t>
        </is>
      </c>
      <c r="E131" s="29" t="inlineStr">
        <is>
          <t>Beş tür arraigo var; çoğunda iki yıl kesintisiz İspanya'da bulunmuş olmak gerekir</t>
        </is>
      </c>
      <c r="F131" s="29" t="inlineStr">
        <is>
          <t>Arraigo, İspanya'da yaşayan ve ekonomik, sosyal, ailevi, çalışma ya da eğitim bağı olan yabancılara verilen geçici oturum izni türüdür. Beş türü var: ikinci fırsat, sosyal-çalışma (sociolaboral), sosyal, sosyal-eğitim (socioformativo) ve aile (familiar) arraigosu. İzin bir yıl geçerlidir; aile arraigosunda beş yıl. Aile arraigosu yalnız başka bir AB, AEA ya da İsviçre üyesi devletin vatandaşı olan küçük çocuğun anne, baba ya da vasisi (ya da böyle bir engelli kişiye destek veren yakını) içindir; çocuk Türk vatandaşıysa bu yol açık değildir. Diğer dört türde başvurudan önceki en az iki yıl kesintisiz İspanya'da bulunmuş olmalısın; aile arraigosunda asgari kalış süresi aranmaz. Başvuru, polis sayfasındaki olağanüstü durumlar (circunstancias excepcionales) başvurusunda kullanılan EX10 formu ve 790 kodu 012 harç belgesiyle yapılır. Real Decreto 316/2026 ile getirilen olağanüstü arraigo düzenlemesi (arraigo extraordinario) 30 Haziran 2026'da başvuruya kapandı.</t>
        </is>
      </c>
      <c r="G131" s="29" t="inlineStr">
        <is>
          <t>arraigo, kök salma, arraigo social, arraigo sociolaboral, EX10, circunstancias excepcionales, iki yıl</t>
        </is>
      </c>
      <c r="H131" s="29" t="inlineStr">
        <is>
          <t>settled</t>
        </is>
      </c>
      <c r="I131" s="29" t="inlineStr">
        <is>
          <t>malaga:kaynak:005;malaga:kaynak:007</t>
        </is>
      </c>
      <c r="J131" s="49" t="n">
        <v>46319</v>
      </c>
      <c r="K131" s="51" t="n">
        <v>9007</v>
      </c>
      <c r="L131" s="29" t="inlineStr">
        <is>
          <t>Hayır</t>
        </is>
      </c>
      <c r="M131" s="29" t="inlineStr">
        <is>
          <t>Taslak</t>
        </is>
      </c>
      <c r="N131" s="29" t="inlineStr">
        <is>
          <t>malaga:oturum</t>
        </is>
      </c>
      <c r="O131" s="29" t="inlineStr">
        <is>
          <t>Hangi arraigo türüne uyduğunu belirle: ikinci fırsat, sosyal-çalışma, sosyal, sosyal-eğitim ya da aile.
Genel şartları kontrol et: İspanya'dasın ve uluslararası koruma başvurusu sahibi değilsin, başvurudan önceki en az iki yıl kesintisiz İspanya'dasın (yalnız aile arraigosunda süre şartı yok), kamu düzeni için tehdit değilsin, İspanya'da ve İspanya'ya girişinden önceki beş yıl içinde yaşadığın ülkelerde sabıkan yok, harcı ödedin. İspanya'da son beş yıldır kesintisiz bulunuyorsan başka ülkelerdeki sabıka kaydı istenmez.
Türüne özel şartı sağla: sosyal-çalışmada haftada toplam en az yirmi saatlik ve en az asgari ücreti güvenceleyen iş sözleşmesi; sosyalde İspanya'da oturum izni olan eş/birinci derece yakınla bağ ve IPREM'in en az yüzde 100'ü kadar gelir, bağ yoksa uyum raporu.
İkinci fırsatta başvurudan önceki iki yıl içinde, olağanüstü durum dışında verilmiş bir oturum izninin sahibi olmuş olmalısın. Sosyal-eğitimde zorunlu eğitimden sonraki lise düzeyindeki eğitime (educación secundaria postobligatoria), tam bir mesleki sertifika programına ya da yetişkinler için zorunlu eğitim derslerine kayıtlı olmalı ve sosyal uyum raporu sunmalısın. Aile arraigosunda başka bir AB, AEA ya da İsviçre üyesi devletin vatandaşı küçük çocuğun anne, baba ya da vasisi olmalı, çocuğa bakmalı ve onunla birlikte yaşamalı ya da velayet yükümlülüklerini yerine getirmelisin.
EX10 formunu doldur ve 790 kodu 012 harç belgesini hazırla.
Başvuruyu şahsen yap; yasal temsilci yalnız küçükler ve yasal ehliyetini kullanmak için desteğe ihtiyaç duyan engelliler adına başvurabilir.</t>
        </is>
      </c>
      <c r="P131" s="29" t="inlineStr">
        <is>
          <t>EX10 formu (olağanüstü durumlar nedeniyle ikamet/ikamet ve çalışma izni)
790 kodu 012 harç ödeme belgesi</t>
        </is>
      </c>
      <c r="Q131" s="29" t="inlineStr">
        <is>
          <t>İzin bir yıl geçerlidir; aile arraigosunda (yalnız AB/AEA/İsviçre vatandaşı çocuğun anne, baba ya da vasisi için) beş yıl.</t>
        </is>
      </c>
      <c r="R131" s="29" t="n"/>
      <c r="S131" s="29" t="inlineStr">
        <is>
          <t>Real Decreto 316/2026 ile 16 Nisan 2026'dan itibaren geçerli bir şart daha eklendi: başvuru anında bir ikamet ya da kalış iznine sahip olmamalı ve bunların verilmesi, uzatılması, yenilenmesi ya da değiştirilmesi için süren bir işlemin tarafı olmamalısın.</t>
        </is>
      </c>
      <c r="T131" s="29" t="n"/>
    </row>
    <row r="132" ht="54" customHeight="1">
      <c r="A132" s="29" t="inlineStr">
        <is>
          <t>malaga:dijital-gocebe-vizesi</t>
        </is>
      </c>
      <c r="B132" s="29" t="inlineStr">
        <is>
          <t>malaga</t>
        </is>
      </c>
      <c r="C132" s="29" t="inlineStr">
        <is>
          <t>dijital-gocebe-vizesi</t>
        </is>
      </c>
      <c r="D132" s="29" t="inlineStr">
        <is>
          <t>Dijital göçebe (uzaktan çalışma, teletrabajo) vizesi nedir, şartları neler?</t>
        </is>
      </c>
      <c r="E132" s="29" t="inlineStr">
        <is>
          <t>Gelir şartı yıllık asgari ücretin yüzde 200'ü; İstanbul Başkonsolosluğu'nun Türkiye'ye özgü şartları da var</t>
        </is>
      </c>
      <c r="F132" s="29" t="inlineStr">
        <is>
          <t>Uzaktan çalışma (teletrabajo) vizesi, yabancı bir şirketle çalışanlar ya da kendi hesabına uzaktan çalışanlar içindir. İstanbul Başkonsolosluğu'nun sayfasına göre başvuruda şunlar aranıyor: yabancı bir şirketle en az üç aylık çalışma ya da mesleki ilişki, o şirketin gerçek ve sürekli faaliyeti, asgari ücretin (SMI) yüzde 200'ü kadar gelir (aile üyelerinden ilki için yüzde 75, diğerleri için yüzde 25), sabıka kaydı, İspanya'da yetkili bir sigortacıdan sağlık sigortası ve lisans/yüksek lisans diploması ya da en az üç yıllık mesleki deneyim. Asgari ücret (SMI) 2026'da ayda 1.221 euro, günlük 40,70 euro olarak belirlendi; aynı kararda asgari ücretin yıllık tutarı en az 17.094 euro. Yıllık tutarın yüzde 200'ü 34.188 euro eder. İstanbul Başkonsolosluğu sayfası yalnız yüzde oranını yazıyor; tutarı ya da hesap yöntemini göstermiyor.</t>
        </is>
      </c>
      <c r="G132" s="29" t="inlineStr">
        <is>
          <t>dijital göçebe, teletrabajo vizesi, nomad visa, uzaktan çalışma, Ley 14/2013, SMI, İstanbul Başkonsolosluğu</t>
        </is>
      </c>
      <c r="H132" s="29" t="inlineStr">
        <is>
          <t>planning</t>
        </is>
      </c>
      <c r="I132" s="29" t="inlineStr">
        <is>
          <t>malaga:kaynak:008;malaga:kaynak:009</t>
        </is>
      </c>
      <c r="J132" s="49" t="n">
        <v>46319</v>
      </c>
      <c r="K132" s="51" t="n">
        <v>9008</v>
      </c>
      <c r="L132" s="29" t="inlineStr">
        <is>
          <t>Hayır</t>
        </is>
      </c>
      <c r="M132" s="29" t="inlineStr">
        <is>
          <t>Taslak</t>
        </is>
      </c>
      <c r="N132" s="29" t="inlineStr">
        <is>
          <t>malaga:oturum</t>
        </is>
      </c>
      <c r="O132" s="29" t="inlineStr">
        <is>
          <t>Yabancı şirketle (kendi hesabına çalışıyorsan faaliyetinle) ilişkinin en az üç aydır sürdüğünü gösteren belgeyi hazırla; şirketin uzaktan çalışma iznini ve şirketin gerçek, sürekli faaliyetini gösteren belgeleri ekle. Faaliyet için şirketin ticaret sicil belgesi ve önceki yıla ait gelir ya da kâr beyanı belgesi (Türkiye'deyse Türk vergi dairesinden) istenir.
Gelirini göster: başvuran için yıllık asgari ücretin (SMI; 2026'da yıllık 17.094 euro) yüzde 200'ü, yani yıllık 34.188 euro; aile üyelerinden ilki için yüzde 75, diğerleri için yüzde 25. 18 yaşından büyük altsoy ve üstsoy için ayrıca kendi hanesini kurmamış olmak ve ekonomik olarak sana bağımlı olduklarını göstermek gerekir.
İspanya'da faaliyet gösterme yetkisi olan bir sigortacıdan seyahat sigortası olmayan, Ulusal Sağlık Sistemi'ne denk kapsamlı sağlık sigortası yaptır.
Sabıka kaydını (son iki yılda yaşadığın ülkelerden, onaylı) ve son beş yılda sabıkan olmadığına dair beyanı hazırla.
Lisans ya da yüksek lisans diplomanı ya da en az üç yıllık denk mesleki deneyim belgeni hazırla; düzenlenmiş bir meslekse diploma denkliğini göster.
Türkiye'den başvuruyorsan ikametgâh belgeni (Ikametgah Tezkeresi) hazırla, vize ücretini (94 USD) nakit ve tam tutar getir; Türkiye'de yabancı olarak yaşıyorsan geçerli bir uzun süreli ikamet izni göster. Pasaportun planladığın kalıştan sonra en az üç ay geçerli olmalı.
Başvuru anında NIE'ye sahip ol; başka dillerdeki belgeler yeminli tercümeyle, yabancı resmî belgeler ise onaylı ya da apostilli olmalı.</t>
        </is>
      </c>
      <c r="P132" s="29" t="inlineStr">
        <is>
          <t>Geçerli pasaport (planlanan kalıştan sonra en az üç ay geçerli)
Ikametgâh belgesi (Ikametgah Tezkeresi)
Yabancı şirketle en az üç aylık çalışma ya da mesleki ilişki belgesi ve uzaktan çalışma izni
Şirketin gerçek ve sürekli faaliyetini gösteren belgeler
Gelir belgesi (yıllık asgari ücretin yüzde 200'ü)
Sabıka kaydı (son iki yıl) ve son beş yıla ilişkin beyan
Sağlık sigortası belgesi
Diploma ya da en az üç yıllık mesleki deneyim belgesi
Yeminli tercüme ve onay/apostil (yabancı belgeler için)</t>
        </is>
      </c>
      <c r="Q132" s="29" t="n"/>
      <c r="R132" s="29" t="inlineStr">
        <is>
          <t>Vize ücreti 94 USD, nakit ve tam tutar (İstanbul Başkonsolosluğu sayfası, 7 Ocak 2025 tarihli).</t>
        </is>
      </c>
      <c r="S132" s="29" t="inlineStr">
        <is>
          <t>Şart listesi İstanbul Başkonsolosluğu'nun 7 Ocak 2025 tarihli sayfasındandır. Asgari ücret tutarı 2026 yılı içindir.</t>
        </is>
      </c>
      <c r="T132" s="29" t="n"/>
    </row>
    <row r="133" ht="54" customHeight="1">
      <c r="A133" s="29" t="inlineStr">
        <is>
          <t>malaga:kar-amaci-gutmeyen-oturum-vizesi</t>
        </is>
      </c>
      <c r="B133" s="29" t="inlineStr">
        <is>
          <t>malaga</t>
        </is>
      </c>
      <c r="C133" s="29" t="inlineStr">
        <is>
          <t>kar-amaci-gutmeyen-oturum-vizesi</t>
        </is>
      </c>
      <c r="D133" s="29" t="inlineStr">
        <is>
          <t>Kar amacı gütmeyen oturum vizesi (NLV, non-lucrative visa) nedir, şartları neler?</t>
        </is>
      </c>
      <c r="E133" s="29" t="inlineStr">
        <is>
          <t>Çalışmadan İspanya'da yaşamak için; gelir şartı IPREM'in yüzde 400'ü, 2026'da ayda 2.400 euro</t>
        </is>
      </c>
      <c r="F133" s="29" t="inlineStr">
        <is>
          <t>Kar amacı gütmeyen oturum vizesi (visado de residencia no lucrativa), çalışma ya da meslek faaliyeti yürütmeden İspanya'da yaşamak isteyenler içindir; geçimini sağlayacak yeterli ve garantili kaynağın olması gerekir. Bu vize çalışma izni vermez. Eş, kayıtlı partner ya da kanıtlanmış kalıcı partner ile reşit olmayan evlenmemiş çocuklar da vize alabilir; reşit çocuklar yalnız engelliyse ya da sağlık nedeniyle kendi geçimini sağlayamıyorsa kapsanır. İstanbul Başkonsolosluğu'nun sayfasına göre gelir şartı IPREM'in yüzde 400'üdür; bakmakla yükümlü olduğun her aile bireyi için IPREM'in yüzde 100'ü eklenir. 2026 için İspanyol dış temsilciliklerinden birinin sayfasında verilen tutar: başvuran için ayda 2.400 euro, her aile bireyi için ayda 600 euro. Aynı sayfa ilk yıl (12 ay) için yeterli maddi imkân ya da düzenli gelir ister; yani ilk yıl için başvuran 2.400 x 12 = 28.800 euro, her aile bireyi 600 x 12 = 7.200 euro belgelemelidir.</t>
        </is>
      </c>
      <c r="G133" s="29" t="inlineStr">
        <is>
          <t>NLV, non-lucrative visa, residencia no lucrativa, çalışmadan oturum, IPREM, 2.400 euro, sağlık sigortası</t>
        </is>
      </c>
      <c r="H133" s="29" t="inlineStr">
        <is>
          <t>planning</t>
        </is>
      </c>
      <c r="I133" s="29" t="inlineStr">
        <is>
          <t>malaga:kaynak:010;malaga:kaynak:011</t>
        </is>
      </c>
      <c r="J133" s="49" t="n">
        <v>46319</v>
      </c>
      <c r="K133" s="51" t="n">
        <v>9009</v>
      </c>
      <c r="L133" s="29" t="inlineStr">
        <is>
          <t>Hayır</t>
        </is>
      </c>
      <c r="M133" s="29" t="inlineStr">
        <is>
          <t>Taslak</t>
        </is>
      </c>
      <c r="N133" s="29" t="inlineStr">
        <is>
          <t>malaga:oturum</t>
        </is>
      </c>
      <c r="O133" s="29" t="inlineStr">
        <is>
          <t>Gelirini göster: ilk yıl İspanya'daki giderlerini karşılayacak maddi imkânı ya da düzenli gelir kaynağını belgele; asgari tutar IPREM'in yüzde 400'ü, bakmakla yükümlü olduğun her aile bireyi için ayrıca yüzde 100'ü (2026'da ayda 2.400 euro ve aile bireyi başına 600 euro; ilk yıl için toplamda başvuran 28.800 euro, aile bireyi başına 7.200 euro).
İspanya'da faaliyet gösterme yetkisi olan bir sigortacıdan, İspanya kamu sağlık sisteminin kapsadığı tüm riskleri kapsayan sağlık sigortası yaptır.
Son 5 yıl için yaşadığın ülke ya da ülkelerden sabıka kaydı al; ayrıca halk sağlığı için ciddi sonuç doğuracak bir hastalığın olmadığını gösteren tıbbi rapor al.
Pasaportunun en az 1 yıl geçerli olduğundan ve iki boş sayfası bulunduğundan emin ol; 10 yıldan eski pasaport kabul edilmez.
Ulusal vize başvuru formunu ve EX-01 formunu doldur; oturum izni harcı için 790 kodu 052 formunu (2.1 başlıklı, ilk geçici oturum izni) iki nüsha doldurup imzala ya da internetten öde. Yabancı belgeler apostilli ya da onaylı, İspanyolca değilse tercümeli olmalı.
Başvuruyu, konsolosluk bölgesinde oturduğunu gösteren belgeyle birlikte BLS International ofisinde, internetten alacağın ön randevuyla şahsen ver.
Vize verildikten sonra İspanya'ya girişinden itibaren 1 ay içinde yabancılar ofisinde ya da polis karakolunda kimlik kartını (TIE) iste.</t>
        </is>
      </c>
      <c r="P133" s="29" t="inlineStr">
        <is>
          <t>Ulusal vize başvuru formu ve EX-01 formu
Yakın tarihli fotoğraf
En az 1 yıl geçerli, iki boş sayfalı pasaport (aslı ve biyometrik sayfa fotokopisi)
Gelir belgeleri
Sağlık sigortası belgesi
Sabıka kaydı (son 5 yıl)
Tıbbi rapor
Konsolosluk bölgesinde ikamet belgesi
790 kodu 052 harç formu (2.1 başlıklı)</t>
        </is>
      </c>
      <c r="Q133" s="29" t="inlineStr">
        <is>
          <t>Vize 365 gün geçerlidir; girişten sonra 1 ay içinde TIE istenir.</t>
        </is>
      </c>
      <c r="R133" s="29" t="n"/>
      <c r="S133" s="29" t="inlineStr">
        <is>
          <t>Şartlar İspanya'nın İstanbul Başkonsolosluğu sayfasından; 2026 tutarları (ayda 2.400 ve 600 euro) İspanya'nın Yeni Delhi Büyükelçiliği sayfasındaki 2026 değeridir. Tutar yıla bağlıdır: 2026 yılı içinde geçerlidir, 1 Ocak 2027'den sonra IPREM'in yüzde 400'üne göre yeniden hesaplanır.</t>
        </is>
      </c>
      <c r="T133" s="29" t="n"/>
    </row>
    <row r="134" ht="54" customHeight="1">
      <c r="A134" s="29" t="inlineStr">
        <is>
          <t>malaga:altin-vize-sona-erdi</t>
        </is>
      </c>
      <c r="B134" s="29" t="inlineStr">
        <is>
          <t>malaga</t>
        </is>
      </c>
      <c r="C134" s="29" t="inlineStr">
        <is>
          <t>altin-vize-sona-erdi</t>
        </is>
      </c>
      <c r="D134" s="29" t="inlineStr">
        <is>
          <t>Altın vize (golden visa) hâlâ geçerli mi?</t>
        </is>
      </c>
      <c r="E134" s="29" t="inlineStr">
        <is>
          <t>Hayır: yatırımcı oturum vizeleri 3 Nisan 2025'te kaldırıldı; eski başvuru ve izinler için geçiş kuralları var</t>
        </is>
      </c>
      <c r="F134" s="29" t="inlineStr">
        <is>
          <t>Hayır. Ley Orgánica 1/2025, 3 Nisan 2025'te yürürlüğe girdi ve yatırımcı oturum vizelerini tümüyle kaldırdı; 500.000 euroyu aşan gayrimenkul yatırımına bağlı oturumlar da bunun içinde. Yürürlük tarihinden önce başvuru yapmış yatırımcılar ve aileleri, başvuru tarihinde geçerli kurallara göre vize ya da izin alabiliyor. Geçerli yatırımcı vizesi ya da izni olanlar, verildikleri süre boyunca geçerliliklerini koruyor; yenileme başvuruları da ilk iznin verildiği tarihteki kurallara göre işleniyor.</t>
        </is>
      </c>
      <c r="G134" s="29" t="inlineStr">
        <is>
          <t>altın vize, golden visa, yatırımcı vizesi, Ley 14/2013, Ley Orgánica 1/2025, gayrimenkul yatırımı, 500.000 euro</t>
        </is>
      </c>
      <c r="H134" s="29" t="inlineStr">
        <is>
          <t>before;planning</t>
        </is>
      </c>
      <c r="I134" s="29" t="inlineStr">
        <is>
          <t>malaga:kaynak:012;malaga:kaynak:013</t>
        </is>
      </c>
      <c r="J134" s="49" t="n">
        <v>46319</v>
      </c>
      <c r="K134" s="51" t="n">
        <v>9010</v>
      </c>
      <c r="L134" s="29" t="inlineStr">
        <is>
          <t>Hayır</t>
        </is>
      </c>
      <c r="M134" s="29" t="inlineStr">
        <is>
          <t>Taslak</t>
        </is>
      </c>
      <c r="N134" s="29" t="inlineStr">
        <is>
          <t>malaga:oturum</t>
        </is>
      </c>
      <c r="O134" s="29" t="inlineStr">
        <is>
          <t>Gayrimenkul ya da başka bir yatırım yoluyla oturum planlıyorsan 3 Nisan 2025'ten beri yeni başvuru yolu yok; bu seçeneği planından çıkar.
3 Nisan 2025'ten önce başvuru yaptıysan dosyan, başvuru tarihinde yürürlükte olan kurallara göre sonuçlanabilir.
Geçerli bir yatırımcı vizen ya da iznin varsa verildiği süre boyunca geçerliliğini korur.
Yenileme istiyorsan dosyan, ilk iznin verildiği tarihte yürürlükte olan kurallara göre işlenir.</t>
        </is>
      </c>
      <c r="P134" s="29" t="n"/>
      <c r="Q134" s="29" t="inlineStr">
        <is>
          <t>Yürürlük tarihi: 3 Nisan 2025.</t>
        </is>
      </c>
      <c r="R134" s="29" t="n"/>
      <c r="S134" s="29" t="inlineStr">
        <is>
          <t>Kaldırılan hükümler Ley 14/2013'ün 63 ile 67. maddeleridir; Ley Orgánica 1/2025 bu maddeleri içeriksiz bıraktı.</t>
        </is>
      </c>
      <c r="T134" s="29" t="n"/>
    </row>
    <row r="135" ht="54" customHeight="1">
      <c r="A135" s="29" t="inlineStr">
        <is>
          <t>malaga:ogrenci-oturumuyla-calisma-hakki</t>
        </is>
      </c>
      <c r="B135" s="29" t="inlineStr">
        <is>
          <t>malaga</t>
        </is>
      </c>
      <c r="C135" s="29" t="inlineStr">
        <is>
          <t>ogrenci-oturumuyla-calisma-hakki</t>
        </is>
      </c>
      <c r="D135" s="29" t="inlineStr">
        <is>
          <t>Öğrenci oturumuyla İspanya'da çalışma hakkın var mı?</t>
        </is>
      </c>
      <c r="E135" s="29" t="inlineStr">
        <is>
          <t>Haftada en çok 30 saat; işin eğitimle bağdaşması ve izinde belirtilen özerk bölgeyle sınırlı olması gerekir</t>
        </is>
      </c>
      <c r="F135" s="29" t="inlineStr">
        <is>
          <t>Uzun süreli öğrenci kalış iznin varsa ücretli ya da kendi hesabına çalışmak için izin istenebilir; iş, asıl amacın olan eğitimle bağdaşmalı. Madde 52.1.a kapsamındaki (yükseköğrenim) kalış izinleri, eğitimle bağdaşan işte çalışmaya ek bir işlem olmadan otomatik izin verir. Çalışma genel olarak haftada en çok 30 saat olabilir; bu sınırı aşmak kalış izninin sona ermesine yol açar. İzin, verildiği özerk bölgeyle sınırlıdır; komşu bölgelerdeki sınır yerlerinde çalışılabilir.</t>
        </is>
      </c>
      <c r="G135" s="29" t="inlineStr">
        <is>
          <t>öğrenci izni, öğrenci vizesi, çalışma hakkı, 30 saat, estancia por estudios, Real Decreto 1155/2024, staj</t>
        </is>
      </c>
      <c r="H135" s="29" t="inlineStr">
        <is>
          <t>settled</t>
        </is>
      </c>
      <c r="I135" s="29" t="inlineStr">
        <is>
          <t>malaga:kaynak:005</t>
        </is>
      </c>
      <c r="J135" s="49" t="n">
        <v>46319</v>
      </c>
      <c r="K135" s="51" t="n">
        <v>9011</v>
      </c>
      <c r="L135" s="29" t="inlineStr">
        <is>
          <t>Hayır</t>
        </is>
      </c>
      <c r="M135" s="29" t="inlineStr">
        <is>
          <t>Taslak</t>
        </is>
      </c>
      <c r="N135" s="29" t="inlineStr">
        <is>
          <t>malaga:oturum</t>
        </is>
      </c>
      <c r="O135" s="29" t="inlineStr">
        <is>
          <t>İznin madde 52.1.a kapsamındaki yükseköğrenim izni olup olmadığına bak; öyleyse eğitimle bağdaşan işte ek işlem olmadan çalışabilirsin.
Diğer öğrenci izinlerinde işveren ya da sen çalışma izni başvurusu yap; işveren için madde 74 şartları (a, c'nin ikinci fıkrası ve h hariç) aranır.
Kendi hesabına çalışacaksan ilgili başvuruyu yap; madde 84 şartları (d ve e hariç) aranır.
Haftalık çalışmanı 30 saatin altında tut; genel kural böyledir ve aşılırsa kalış izni sona erer.
İşini, izninin verildiği özerk bölgede ya da onun komşu yerlerinde yap; başka bölgede çalışma istisnası, iş yerinin eğitimle bağdaşmayı bozacak sürekli yolculuk gerektirmemesi şartına bağlıdır.
Eğitim planının parçası olan, iş ilişkisi sayılmayan zorunlu stajlar için ek izin gerekmez.</t>
        </is>
      </c>
      <c r="P135" s="29" t="n"/>
      <c r="Q135" s="29" t="n"/>
      <c r="R135" s="29" t="n"/>
      <c r="S135" s="29" t="inlineStr">
        <is>
          <t>Meslek eğitimi (yoğun rejim) için haftalık saat sınırı ilgili sektör mevzuatına bağlıdır.</t>
        </is>
      </c>
      <c r="T135" s="29" t="n"/>
    </row>
    <row r="136" ht="54" customHeight="1">
      <c r="A136" s="29" t="inlineStr">
        <is>
          <t>malaga:ispanyol-vatandasligi-basvurusu</t>
        </is>
      </c>
      <c r="B136" s="29" t="inlineStr">
        <is>
          <t>malaga</t>
        </is>
      </c>
      <c r="C136" s="29" t="inlineStr">
        <is>
          <t>ispanyol-vatandasligi-basvurusu</t>
        </is>
      </c>
      <c r="D136" s="29" t="inlineStr">
        <is>
          <t>İspanyol vatandaşlığına nasıl başvurulur? İkamet süresi kuralları</t>
        </is>
      </c>
      <c r="E136" s="29" t="inlineStr">
        <is>
          <t>Türk vatandaşları için genel kural on yıl; DELE A2 ve CCSE sınavı gerekir, önceki uyrukluktan vazgeçme beyanı istenir</t>
        </is>
      </c>
      <c r="F136" s="29" t="inlineStr">
        <is>
          <t>İkamet yoluyla İspanyol vatandaşlığı için genel kural, başvurudan hemen önce on yıl yasal ve kesintisiz İspanya'da yaşamış olmaktır; Türk vatandaşları için de kural budur. Kısaltılmış süreler yalnız belirli gruplar içindir: mülteci statüsü alanlar için beş yıl; İber-Amerika ülkeleri, Andorra, Filipinler, Ekvator Ginesi ya da Portekiz kökenliler ve Sefarad kökenliler için iki yıl. Türkiye bu ülkeler arasında yok. Bazı durumlarda bir yıl yeter: İspanya'da doğmuş olmak, İspanyol biriyle en az bir yıldır evli ve ayrı olmamak, İspanyol bir kişinin dul eşi olmak gibi. Her durumda iyi sivil davranış ve İspanyol toplumuna yeterli uyumunu göstermen gerekir; bunun için DELE (İspanyolca diploması, en az A2) ve CCSE (anayasa ve kültür bilgisi) sınavlarını geçmelisin. Vatandaşlığa geçerken önceki vatandaşlığından vazgeçtiğini beyan etmen de gerekir. Başvuru, İspanya Adalet Bakanlığı sitesindeki standart formla elektronik uygulama üzerinden yapılır ve Adalet Bakanı karara bağlar; karar en çok bir yıl içinde verilir, bu sürede açık karar çıkmazsa başvuru reddedilmiş sayılır.</t>
        </is>
      </c>
      <c r="G136" s="29" t="inlineStr">
        <is>
          <t>İspanyol vatandaşlığı, nacionalidad por residencia, on yıl, Código Civil madde 22, carta de naturaleza, vatandaşlık süresi</t>
        </is>
      </c>
      <c r="H136" s="29" t="inlineStr">
        <is>
          <t>settled</t>
        </is>
      </c>
      <c r="I136" s="29" t="inlineStr">
        <is>
          <t>malaga:kaynak:014;malaga:kaynak:015</t>
        </is>
      </c>
      <c r="J136" s="49" t="n">
        <v>46319</v>
      </c>
      <c r="K136" s="51" t="n">
        <v>9012</v>
      </c>
      <c r="L136" s="29" t="inlineStr">
        <is>
          <t>Hayır</t>
        </is>
      </c>
      <c r="M136" s="29" t="inlineStr">
        <is>
          <t>Taslak</t>
        </is>
      </c>
      <c r="N136" s="29" t="inlineStr">
        <is>
          <t>malaga:oturum</t>
        </is>
      </c>
      <c r="O136" s="29" t="inlineStr">
        <is>
          <t>Hangi gruba girdiğini belirle: Türk vatandaşları için genel kural 10 yıl; mülteci 5 yıl; İber-Amerika/Andorra/Filipinler/Ekvator Ginesi/Portekiz ya da Sefarad kökenli 2 yıl; belirli durumlarda 1 yıl (İspanya'da doğmak, süresinde seçim hakkını kullanmamış olmak, iki yıl İspanyol kişi ya da kurumun vesayetinde bulunmak, İspanyol eşle bir yıldır evli olmak, İspanyol bir kişinin dul eşi olmak ya da yurtdışında İspanyol kökenli ebeveyn ya da büyükanne/büyükbabadan doğmak).
İkametinin yasal, kesintisiz ve başvurudan hemen önceki dönem olduğundan emin ol; İspanyol bir kişinin dul eşiysen 1 yıl şartı ölümde yasal ya da fiilî ayrılık yoksa geçerlidir.
Başvuru dosyasında iyi sivil davranışını ve İspanyol toplumuna yeterli uyumunu gösterecek şekilde hazırlan; Instituto Cervantes'in DELE (en az A2) ve CCSE sınavlarını geçmen gerekir. Bu sınavların ücreti başvuru harcına dahil değildir.
Önceki vatandaşlığından vazgeçtiğini beyan etmeye hazırlan; bu şart yalnız İber-Amerika, Andorra, Filipinler, Ekvator Ginesi ve Portekiz uyruklularıyla İspanya kökenli Sefaradlar için aranmaz.
Başvuruyu Adalet Bakanlığı sitesindeki standart formla elektronik uygulama üzerinden yap; başvuru harcını ödeme formuyla öde ve ödeme belgesini dosyaya ekle.
Karar en çok bir yıl içinde bildirilir; bu sürede açık karar çıkmazsa başvuru reddedilmiş sayılır.
Karar olumluysa bildirimden sonraki 180 gün içinde Registro Civil'de Kral'a bağlılık ve Anayasa'ya ve yasalara uyma yemini ya da sözünü ver (14 yaşından büyüksen), gerekiyorsa önceki vatandaşlıktan vazgeçme beyanını yap ve kayıt iste; bunlar süresinde yapılmazsa karar etkisiz kalır.</t>
        </is>
      </c>
      <c r="P136" s="29" t="n"/>
      <c r="Q136" s="29" t="inlineStr">
        <is>
          <t>Türk vatandaşları için genel kural 10 yıl; mülteci 5 yıl; belirli ülke/köken grupları 2 yıl; belirli durumlarda 1 yıl. Karar en çok bir yıl içinde verilir, açık karar çıkmazsa başvuru reddedilmiş sayılır; olumlu karardan sonra yemin ve vazgeçme beyanı için 180 gün vardır.</t>
        </is>
      </c>
      <c r="R136" s="29" t="inlineStr">
        <is>
          <t>Başvuru için harç ödenir (ödeme formu Adalet Bakanlığı sitesindedir); DELE ve CCSE sınav ücretleri bu harca dahil değildir, Instituto Cervantes'in kendi tarifesine tabidir.</t>
        </is>
      </c>
      <c r="S136" s="29" t="inlineStr">
        <is>
          <t>Carta de naturaleza ile vatandaşlık, Hükümetin Real Decreto ile takdire bağlı olarak verdiği bir yoldur ve olağanüstü koşullara bağlıdır. İkamet yoluyla vatandaşlığı Adalet Bakanı verir; kamu düzeni ya da ulusal çıkar gerekçesiyle gerekçeli olarak reddedebilir.</t>
        </is>
      </c>
      <c r="T136" s="29" t="n"/>
    </row>
    <row r="137" ht="54" customHeight="1">
      <c r="A137" s="29" t="inlineStr">
        <is>
          <t>malaga:brexit-sonrasi-ingiliz-oturumu</t>
        </is>
      </c>
      <c r="B137" s="29" t="inlineStr">
        <is>
          <t>malaga</t>
        </is>
      </c>
      <c r="C137" s="29" t="inlineStr">
        <is>
          <t>brexit-sonrasi-ingiliz-oturumu</t>
        </is>
      </c>
      <c r="D137" s="29" t="inlineStr">
        <is>
          <t>İngiliz vatandaşı için Brexit sonrası İspanya'da oturum belgesi nasıl alınır?</t>
        </is>
      </c>
      <c r="E137" s="29" t="inlineStr">
        <is>
          <t>31 Aralık 2020'den önce yerleşenler Çekilme Anlaşması hakları ve 18.4 maddesi belgesiyle; anlaşma kapsamında olmayan İngilizler genel yabancılar rejiminde</t>
        </is>
      </c>
      <c r="F137" s="29" t="inlineStr">
        <is>
          <t>Birleşik Krallık 31 Ocak 2020'de AB'den ayrıldı. 31 Aralık 2020'den önce İspanya'ya yerleşenlerin oturum, serbest dolaşım ve sosyal güvenlik hakları Çekilme Anlaşması'na göre sürüyor; bunların yeni bir oturum statüsü başvurusu yapma zorunluluğu yok, ama Anlaşma'nın 18.4 maddesi uyarınca belge alma hakları var. Elinde geçici ya da kalıcı kayıt sertifikası (certificado de registro) varsa tek adımda polis birimine EX23 formu, geçerli pasaport, 790 kodu 012 harç belgesi ve fotoğrafla başvurursun. Kayıt sertifikan yoksa önce yabancılar ofisine EX20 formuyla başvurur, karar çıkınca bir ay içinde polis birimine gidip belgeni istersin. Geçici belge beş yıl, kalıcı belge on yıl geçerlidir. Geçiş döneminden sonra gelip Çekilme Anlaşması kapsamına girmeyen İngilizler üçüncü ülke vatandaşı sayılır ve genel yabancılar rejimine (vize ve oturum izni) tabidir. Üç aylık başvuru süresi yalnız anlaşmanın II. Başlığı kapsamındaki oturma hakkı geçiş döneminden sonra başlayanlar içindir. Güncel resmî tarifeye göre bu belgenin harcı 12,00 euro.</t>
        </is>
      </c>
      <c r="G137" s="29" t="inlineStr">
        <is>
          <t>Brexit, İngiliz vatandaşı, Çekilme Anlaşması, artículo 18.4, EX23, oturum belgesi, residencia temporal, kalıcı oturum</t>
        </is>
      </c>
      <c r="H137" s="29" t="inlineStr">
        <is>
          <t>settled</t>
        </is>
      </c>
      <c r="I137" s="29" t="inlineStr">
        <is>
          <t>malaga:kaynak:004;malaga:kaynak:016</t>
        </is>
      </c>
      <c r="J137" s="49" t="n">
        <v>46319</v>
      </c>
      <c r="K137" s="51" t="n">
        <v>9013</v>
      </c>
      <c r="L137" s="29" t="inlineStr">
        <is>
          <t>Hayır</t>
        </is>
      </c>
      <c r="M137" s="29" t="inlineStr">
        <is>
          <t>Taslak</t>
        </is>
      </c>
      <c r="N137" s="29" t="inlineStr">
        <is>
          <t>malaga:oturum</t>
        </is>
      </c>
      <c r="O137" s="29" t="inlineStr">
        <is>
          <t>31 Aralık 2020'den önce İspanya'da yaşıyor muydun, buna bak: öyleyse Çekilme Anlaşması'nın haklarına sahipsin ve yeni bir oturum statüsü istemen gerekmiyor.
Elinde geçici ya da kalıcı kayıt sertifikası varsa Anlaşma'nın 18.4 maddesi belgesini şahsen polis birimine başvurarak iste (tek adım); kayıt sertifikan yoksa önce yabancılar ofisine başvurman gerekir (iki adım).
Tek adımda EX23 formunu, geçerli pasaportunu (süresi dolduysa kopyasını ve yenileme başvurusunu), 790 kodu 012 harç belgesini ve kimlik belgesi kurallarına uygun fotoğrafı götür.
İki adımda önce oturduğun ya da oturacağın ilin yabancılar ofisine şahsen, temsilcinle ya da elektronik olarak başvur; ofise en az EX20 formunu, geçerli pasaportunu ve İspanya'da ikametinin başladığını gösteren belgeyi ver (her hukuki kanıt kabul edilir). Karar en çok üç ay içinde bildirilir; bildirimden sonra bir ay içinde polis birimine şahsen gidip EX23 formu, pasaport, 790 kodu 012 harç belgesi ve fotoğrafla belgeni iste.
Beş yıllık yasal ikameti dolduysan geçici belgenin süresi bitmeden kalıcı ikamet belgesi iste; kalıcı belge on yıl geçerlidir.
Çekilme Anlaşması'nın II. Başlığı kapsamındaki oturma hakkın geçiş döneminden sonra başlıyorsa, İspanya'ya varışından ya da doğumundan itibaren üç ay içinde başvur; süre geçtiyse yabancılar ofisi gerekçeni değerlendirir, haklıysa yeterli ek süre verir. Yüz yüze işlem için ön randevu gerekir.
Anlaşma kapsamında olmayan bir İngilizsen bu belgeyi alamazsın; genel yabancılar rejimine göre vize ve oturum izni almalısın.</t>
        </is>
      </c>
      <c r="P137" s="29" t="inlineStr">
        <is>
          <t>Kayıt sertifikan varsa (tek adım, polis birimi): EX23 formu (kart talebi, Çekilme Anlaşması 18.4), geçerli pasaport, 790 kodu 012 harç ödeme belgesi, kimlik belgesi kurallarına uygun fotoğraf
Kayıt sertifikan yoksa 1. adım (yabancılar ofisi): EX20 formu (Çekilme Anlaşması 18.4 belge talebi), geçerli pasaport ve ikametinin İspanya'da başladığını gösteren belge
Kayıt sertifikan yoksa 2. adım (karardan sonra polis birimi): EX23 formu, geçerli pasaport, 790 kodu 012 harç ödeme belgesi, fotoğraf
Pasaportun süresi dolduysa pasaport kopyası ve yenileme başvurusu</t>
        </is>
      </c>
      <c r="Q137" s="29" t="inlineStr">
        <is>
          <t>Geçici belge beş yıl, kalıcı belge on yıl geçerli; kayıt sertifikası olmayanlarda ofis kararı en çok üç ay içinde, ardından polis birimine başvuru bir ay içinde; oturma hakkı geçiş döneminden sonra başlayanlar için başvuru İspanya'ya varıştan ya da doğumdan itibaren üç ay içinde.</t>
        </is>
      </c>
      <c r="R137" s="29" t="inlineStr">
        <is>
          <t>Güncel resmî tarifeye göre 12,00 euro (Çekilme Anlaşması kapsamındaki TIE).</t>
        </is>
      </c>
      <c r="S137" s="29" t="inlineStr">
        <is>
          <t>Belgenin türü alanında geçici kartta 'Temporal', kalıcı kartta 'Permanente' yazar. Süreç 2 Temmuz 2020 tarihli ortak talimata dayanıyor. Anlaşma kapsamındaki İngiliz vatandaşının Türk dahil üçüncü ülke vatandaşı aile üyeleri de bu belgeyi isteyebilir.</t>
        </is>
      </c>
      <c r="T137" s="29" t="n"/>
    </row>
    <row r="138" ht="54" customHeight="1">
      <c r="A138" s="29" t="inlineStr">
        <is>
          <t>malaga:nie-basvurusu-polis-birimi</t>
        </is>
      </c>
      <c r="B138" s="29" t="inlineStr">
        <is>
          <t>malaga</t>
        </is>
      </c>
      <c r="C138" s="29" t="inlineStr">
        <is>
          <t>nie-basvurusu-polis-birimi</t>
        </is>
      </c>
      <c r="D138" s="29" t="inlineStr">
        <is>
          <t>Málaga'da NIE hangi polis biriminde alınır ve nelerle başvurulur?</t>
        </is>
      </c>
      <c r="E138" s="29" t="inlineStr">
        <is>
          <t>Brigada Provincial de Extranjería y Fronteras, Pl. Manuel Azaña n.º 3; tel. 952 04 64 68</t>
        </is>
      </c>
      <c r="F138" s="29" t="inlineStr">
        <is>
          <t>Málaga'da NIE (yabancı kimlik numarası) işlemi için polis sitesinde listelenen birim, Brigada Provincial de Extranjería y Fronteras de Málaga'dır (il yabancılar ve sınır tugayı). Adresi Pl. Manuel Azaña n.º 3, telefonu 952 04 64 68; NIE sertifikaları ve NIE ataması bu birimin işlemleri arasında sayılır. Dilekçeyi doğrudan Polis Genel Müdürlüğü'ne ya da yabancılar ofisleri ve polis karakolları aracılığıyla verirsin. Dosyada EX15 formu ve 790 kodu 012 harç belgesi olur; yönetmelik süresi beş gündür.</t>
        </is>
      </c>
      <c r="G138" s="29" t="inlineStr">
        <is>
          <t>NIE, Málaga yabancılar polisi, Brigada Provincial de Extranjería, EX15, Pl. Manuel Azaña, NIE başvurusu</t>
        </is>
      </c>
      <c r="H138" s="29" t="inlineStr">
        <is>
          <t>planning;new</t>
        </is>
      </c>
      <c r="I138" s="29" t="inlineStr">
        <is>
          <t>malaga:kaynak:295;malaga:kaynak:001</t>
        </is>
      </c>
      <c r="J138" s="49" t="n">
        <v>46322</v>
      </c>
      <c r="K138" s="51" t="n">
        <v>200</v>
      </c>
      <c r="L138" s="29" t="inlineStr">
        <is>
          <t>Hayır</t>
        </is>
      </c>
      <c r="M138" s="29" t="inlineStr">
        <is>
          <t>Taslak</t>
        </is>
      </c>
      <c r="N138" s="29" t="inlineStr">
        <is>
          <t>malaga:oturum</t>
        </is>
      </c>
      <c r="O138" s="29" t="inlineStr">
        <is>
          <t>NIE'yi neden istediğini (ekonomik, mesleki ya da sosyal bağını) belirle; İspanya'da düzensiz durumda olmaman gerekir.
EX15 formunu doldur.
790 kodu 012 harç belgesini al ve harcı bankada ya da tasarruf kasasında öde; hesabının olması gerekmez.
Dosyayı Pl. Manuel Azaña n.º 3'teki Brigada Provincial de Extranjería y Fronteras'a ya da ilin yabancılık işlemi yapan bir polis karakoluna ver.
Başvurudan önce birimle görüşmek için 952 04 64 68 numarasını ara.</t>
        </is>
      </c>
      <c r="P138" s="29" t="inlineStr">
        <is>
          <t>EX15 formu
790 kodu 012 harç ödeme belgesi (Justificante de pago)</t>
        </is>
      </c>
      <c r="Q138" s="29" t="inlineStr">
        <is>
          <t>Yönetmeliğe göre başvurunun kayda girmesinden itibaren en çok beş gün; bu sürede cevap gelmezse başvuru reddedilmiş sayılır.</t>
        </is>
      </c>
      <c r="R138" s="29" t="inlineStr">
        <is>
          <t>Ödenecek tutar polis sitesinin harç (tasa) listesindedir; aşağıdaki 'Tarifeyi gör' bağlantısı oraya gider. Harcı 790 kodu 012 formuyla bankada ya da tasarruf kasasında ödersin; hesabının olması gerekmez.</t>
        </is>
      </c>
      <c r="S138" s="29" t="inlineStr">
        <is>
          <t>İspanya dışındaysan NIE'yi İspanya'nın yurtdışındaki konsolosluklarından istersin.</t>
        </is>
      </c>
      <c r="T138" s="29" t="n"/>
    </row>
    <row r="139" ht="54" customHeight="1">
      <c r="A139" s="29" t="inlineStr">
        <is>
          <t>malaga:tie-karti-basvuru-birimi</t>
        </is>
      </c>
      <c r="B139" s="29" t="inlineStr">
        <is>
          <t>malaga</t>
        </is>
      </c>
      <c r="C139" s="29" t="inlineStr">
        <is>
          <t>tie-karti-basvuru-birimi</t>
        </is>
      </c>
      <c r="D139" s="29" t="inlineStr">
        <is>
          <t>Málaga'da TIE (yabancı kimlik kartı) için hangi polis birimine başvurulur?</t>
        </is>
      </c>
      <c r="E139" s="29" t="inlineStr">
        <is>
          <t>Dilekçe EX17 formuyla yabancılar ofisine ya da karakola verilir; Málaga'da birim Pl. Manuel Azaña n.º 3</t>
        </is>
      </c>
      <c r="F139" s="29" t="inlineStr">
        <is>
          <t>TIE (Tarjeta de Identidad de Extranjero, yabancı kimlik kartı) başvurusunu, ilk kart ya da yenileme olarak oturum veya oturum+çalışma izni sahipleri için herhangi bir yabancılar ofisine (Oficina de Extranjería) ya da polis karakoluna verirsin. Polis sitesinin Málaga listesinde TIE çıkarma (Expedición TIE) işlemi Brigada Provincial de Extranjería y Fronteras de Málaga'da yürütülür; adresi Pl. Manuel Azaña n.º 3, telefonu 952 04 64 68. Dilekçe EX17 formudur ve yanında 790 kodu 012 harç belgesi gerekir. Oturum izni yenilendiyse yenileme kararı bildirildikten sonra kartı istersin.</t>
        </is>
      </c>
      <c r="G139" s="29" t="inlineStr">
        <is>
          <t>TIE, yabancı kimlik kartı, EX17, Málaga yabancılar polisi, TIE çıkarma, oturum kartı</t>
        </is>
      </c>
      <c r="H139" s="29" t="inlineStr">
        <is>
          <t>new;settled</t>
        </is>
      </c>
      <c r="I139" s="29" t="inlineStr">
        <is>
          <t>malaga:kaynak:295;malaga:kaynak:300</t>
        </is>
      </c>
      <c r="J139" s="49" t="n">
        <v>46322</v>
      </c>
      <c r="K139" s="51" t="n">
        <v>201</v>
      </c>
      <c r="L139" s="29" t="inlineStr">
        <is>
          <t>Evet</t>
        </is>
      </c>
      <c r="M139" s="29" t="inlineStr">
        <is>
          <t>Taslak</t>
        </is>
      </c>
      <c r="N139" s="29" t="inlineStr">
        <is>
          <t>malaga:oturum</t>
        </is>
      </c>
      <c r="O139" s="29" t="inlineStr">
        <is>
          <t>İspanya'ya girdikten sonra TIE'yi istemen gerekir; izni yeniliyorsan olumlu karar bildirildikten sonra iste.
EX17 formunu (TIE başvurusu) doldur.
790 kodu 012 harç belgesini al ve harcı bankada ya da tasarruf kasasında öde; hesabının olması gerekmez.
Formu ve harç belgesini Pl. Manuel Azaña n.º 3'teki Brigada Provincial de Extranjería y Fronteras'a ya da başka bir yabancılar ofisine veya polis karakoluna götür.</t>
        </is>
      </c>
      <c r="P139" s="29" t="inlineStr">
        <is>
          <t>EX17 formu (TIE başvurusu)
790 kodu 012 harç ödeme belgesi</t>
        </is>
      </c>
      <c r="Q139" s="29" t="inlineStr">
        <is>
          <t>Yenilemede kart, olumlu karar bildirildikten sonra istenir; kartın geçerlilik süresi geçici oturum izninin geçerlilik süresi kadardır.</t>
        </is>
      </c>
      <c r="R139" s="29" t="inlineStr">
        <is>
          <t>Harç tutarını polis sitesinin tasa listesinden ('Tarifeyi gör' bağlantısı) bakabilirsin; ödeme 790 kodu 012 formuyla bankalarda ve tasarruf kasalarında yapılır.</t>
        </is>
      </c>
      <c r="S139" s="29" t="n"/>
      <c r="T139" s="29" t="n"/>
    </row>
    <row r="140" ht="54" customHeight="1">
      <c r="A140" s="29" t="inlineStr">
        <is>
          <t>malaga:ilce-polis-birimlerinde-nie-tie</t>
        </is>
      </c>
      <c r="B140" s="29" t="inlineStr">
        <is>
          <t>malaga</t>
        </is>
      </c>
      <c r="C140" s="29" t="inlineStr">
        <is>
          <t>ilce-polis-birimlerinde-nie-tie</t>
        </is>
      </c>
      <c r="D140" s="29" t="inlineStr">
        <is>
          <t>Marbella, Fuengirola, Vélez-Málaga ve Málaga ilinin diğer ilçelerinde NIE ve TIE işlemi nerede yapılır?</t>
        </is>
      </c>
      <c r="E140" s="29" t="inlineStr">
        <is>
          <t>Polis sitesinde Marbella, Estepona, Torremolinos-Benalmádena, Fuengirola, Vélez-Málaga, Antequera ve Ronda listeli</t>
        </is>
      </c>
      <c r="F140" s="29" t="inlineStr">
        <is>
          <t>Málaga ilinde yabancılık işlemleri yalnızca il merkezindeki tugayda değil, ilçe karakollarında da yapılır. Polis sitesindeki listede Marbella, Estepona, Torremolinos-Benalmádena, Fuengirola, Vélez-Málaga, Antequera ve Ronda karakollarının her biri için NIE sertifikası ve ataması, TIE çıkarma, AB vatandaşı rejimi (Régimen Comunitario), dönüş izni ve vatandaşlık raporu işlemleri sayılır. Oturduğun ilçeye en yakın karakolu seç; adresleri ve telefonları adımlarda.</t>
        </is>
      </c>
      <c r="G140" s="29" t="inlineStr">
        <is>
          <t>Marbella NIE, Fuengirola TIE, Vélez-Málaga yabancılar, Torremolinos NIE, Estepona, Antequera, Ronda, ilçe karakolu</t>
        </is>
      </c>
      <c r="H140" s="29" t="inlineStr">
        <is>
          <t>new;settled</t>
        </is>
      </c>
      <c r="I140" s="29" t="inlineStr">
        <is>
          <t>malaga:kaynak:295;malaga:kaynak:001</t>
        </is>
      </c>
      <c r="J140" s="49" t="n">
        <v>46322</v>
      </c>
      <c r="K140" s="51" t="n">
        <v>202</v>
      </c>
      <c r="L140" s="29" t="inlineStr">
        <is>
          <t>Hayır</t>
        </is>
      </c>
      <c r="M140" s="29" t="inlineStr">
        <is>
          <t>Taslak</t>
        </is>
      </c>
      <c r="N140" s="29" t="inlineStr">
        <is>
          <t>malaga:oturum</t>
        </is>
      </c>
      <c r="O140" s="29" t="inlineStr">
        <is>
          <t>Costa del Sol'daysan Marbella'da Avda. Arias de Velasco n.º 25 (tel. 952 86 72 41), Estepona'da C/ Valle Inclán n.º 1 (tel. 952 79 85 30), Torremolinos-Benalmádena'da C/ Skal n.º 12 (tel. 952 37 84 35) ya da Fuengirola'da Avda. Conde San Isidro n.º 98 (tel. 952 19 83 69) karakoluna git.
Vélez-Málaga'daysan Calle Puerta del Mar, 4 adresindeki karakola git (tel. 952 04 65 00).
Antequera'daysan C/ Ciudad de Oaxaca adresindeki karakola (tel. 952 70 63 60), Ronda'daysan C/ Rio Tinto n.º 2 adresindeki karakola (tel. 952 16 12 27) git.
NIE için EX15 formunu ve 790 kodu 012 harç belgesini karakola götür.
TIE için gereken form ve belgeyi 'Málaga'da TIE (yabancı kimlik kartı) için hangi polis birimine başvurulur?' kartında bul; TIE resmî sayfasına aşağıdaki bağlantıdan da ulaşırsın.</t>
        </is>
      </c>
      <c r="P140" s="29" t="inlineStr">
        <is>
          <t>NIE için EX15 formu
NIE için 790 kodu 012 harç ödeme belgesi</t>
        </is>
      </c>
      <c r="Q140" s="29" t="inlineStr">
        <is>
          <t>NIE için yönetmelik süresi beş gündür; cevap gelmezse başvuru reddedilmiş sayılır.</t>
        </is>
      </c>
      <c r="R140" s="29" t="inlineStr">
        <is>
          <t>NIE harcı, hesap açık olması gerekmeden bankalarda ve tasarruf kasalarında ödenir.</t>
        </is>
      </c>
      <c r="S140" s="29" t="n"/>
      <c r="T140" s="29" t="n"/>
    </row>
    <row r="141" ht="54" customHeight="1">
      <c r="A141" s="29" t="inlineStr">
        <is>
          <t>malaga:yabanci-hukuki-danismanlik-010</t>
        </is>
      </c>
      <c r="B141" s="29" t="inlineStr">
        <is>
          <t>malaga</t>
        </is>
      </c>
      <c r="C141" s="29" t="inlineStr">
        <is>
          <t>yabanci-hukuki-danismanlik-010</t>
        </is>
      </c>
      <c r="D141" s="29" t="inlineStr">
        <is>
          <t>Málaga'da yabancılık işlemleri için belediyenin hukuki danışmanlığına nasıl ulaşılır?</t>
        </is>
      </c>
      <c r="E141" s="29" t="inlineStr">
        <is>
          <t>Belediye yüz yüze ve 010 üzerinden telefonla hukuki destek veriyor; sayfada Málaga Acoge bağlantısı var</t>
        </is>
      </c>
      <c r="F141" s="29" t="inlineStr">
        <is>
          <t>Málaga Belediyesi'nin yabancılar hukuku (extranjería) danışmanlığına telefonla 010 hattı üzerinden ulaşırsın. Belediye, göçmenlere yüz yüze ve telefonla bilgi, yönlendirme ve hukuki destek veren bu hizmeti sayfasında tanıtır; hizmet karşılama ve bilgilendirmeyi, hukuki danışmanlığı, yabancılık işlemlerinde dosya takibini, gerektiğinde refakat ve arabuluculuğu kapsar. Belediyenin sayfasında Málaga Acoge'nin web sayfasına bağlantı verilir; Junta de Andalucía'nın göçmen dernekleri listesinde Málaga Acoge, C/ Bustamante s/n, 29007 Málaga adresi ve 952 39 32 00 telefonuyla yer alır.</t>
        </is>
      </c>
      <c r="G141" s="29" t="inlineStr">
        <is>
          <t>yabancılar hukuku, extranjería danışmanlık, 010, Málaga Acoge, göçmen hukuki destek</t>
        </is>
      </c>
      <c r="H141" s="29" t="inlineStr">
        <is>
          <t>new;settled</t>
        </is>
      </c>
      <c r="I141" s="29" t="inlineStr">
        <is>
          <t>malaga:kaynak:292;malaga:kaynak:239</t>
        </is>
      </c>
      <c r="J141" s="49" t="n">
        <v>46322</v>
      </c>
      <c r="K141" s="51" t="n">
        <v>203</v>
      </c>
      <c r="L141" s="29" t="inlineStr">
        <is>
          <t>Hayır</t>
        </is>
      </c>
      <c r="M141" s="29" t="inlineStr">
        <is>
          <t>Taslak</t>
        </is>
      </c>
      <c r="N141" s="29" t="inlineStr">
        <is>
          <t>malaga:oturum</t>
        </is>
      </c>
      <c r="O141" s="29" t="inlineStr">
        <is>
          <t>Yabancılık işlemiyle ilgili sorunu telefonla anlatmak için 010'u ara; hukuki danışmanlık bu hat üzerinden de veriliyor.
Yüz yüze görüşme için belediyenin sayfasındaki Málaga Acoge bağlantısına bak. Junta'nın listesine göre Málaga Acoge'nin adresi C/ Bustamante s/n, 29007 Málaga, telefonu 952 39 32 00; belediye hizmetinin burada verilip verilmediğini ve randevu yolunu önce telefonla sor.
Dosya takibi, refakat ve arabuluculuk gerektiren bir durumun varsa bunu görüşmede açıkça iste.</t>
        </is>
      </c>
      <c r="P141" s="29" t="n"/>
      <c r="Q141" s="29" t="n"/>
      <c r="R141" s="29" t="n"/>
      <c r="S141" s="29" t="n"/>
      <c r="T141" s="29" t="n"/>
    </row>
    <row r="142" ht="54" customHeight="1">
      <c r="A142" s="29" t="inlineStr">
        <is>
          <t>malaga:gocmen-dernekleri-listesi</t>
        </is>
      </c>
      <c r="B142" s="29" t="inlineStr">
        <is>
          <t>malaga</t>
        </is>
      </c>
      <c r="C142" s="29" t="inlineStr">
        <is>
          <t>gocmen-dernekleri-listesi</t>
        </is>
      </c>
      <c r="D142" s="29" t="inlineStr">
        <is>
          <t>Málaga'da göçmenlere yönelik çalışan dernekler ve kuruluşlar hangileri, adresleri nerede?</t>
        </is>
      </c>
      <c r="E142" s="29" t="inlineStr">
        <is>
          <t>Junta de Andalucía'nın listesinde Málaga Acoge, Cruz Roja, La mitad del cielo, Unidad, Uyamaa ve Estudiantes Marroquíes yer alıyor</t>
        </is>
      </c>
      <c r="F142" s="29" t="inlineStr">
        <is>
          <t>Junta de Andalucía'nın göçmenlere hizmet veren dernekler listesinde Málaga şehrinden altı kuruluş var: Málaga Acoge (C/ Bustamante s/n, 29007; 952 39 32 00), Cruz Roja Española yerel birimi (C/ Narciso Pérez Texeira 5 y 7-1E, 29007; 952 61 66 44), La mitad del cielo (Plaza los Cristos 2, 29008; 952 60 27 27), Federación Territorial AA.VV. Unidad (C/ Pedro de Toledo 1 bajo, 29015; 952 22 87 02), Uyamaa (Avda. Ramón y Cajal 5, 29014; 952 29 67 70) ve Asociación de Estudiantes Marroquíes (Universidad de Málaga, Escuela de Informática, Bulevard Luis Pasteur 35, 29007; 652 22 26 15). Listede il içinden Prolibertas (Antequera), Andropiz (Pizarra) ve Camino para Renacer (Coín) de var.</t>
        </is>
      </c>
      <c r="G142" s="29" t="inlineStr">
        <is>
          <t>göçmen dernekleri, Málaga Acoge, Cruz Roja Málaga, La mitad del cielo, Uyamaa, Prolibertas, göçmen destek</t>
        </is>
      </c>
      <c r="H142" s="29" t="inlineStr">
        <is>
          <t>new;settled</t>
        </is>
      </c>
      <c r="I142" s="29" t="inlineStr">
        <is>
          <t>malaga:kaynak:239</t>
        </is>
      </c>
      <c r="J142" s="49" t="n">
        <v>46322</v>
      </c>
      <c r="K142" s="51" t="n">
        <v>204</v>
      </c>
      <c r="L142" s="29" t="inlineStr">
        <is>
          <t>Hayır</t>
        </is>
      </c>
      <c r="M142" s="29" t="inlineStr">
        <is>
          <t>Taslak</t>
        </is>
      </c>
      <c r="N142" s="29" t="inlineStr">
        <is>
          <t>malaga:oturum</t>
        </is>
      </c>
      <c r="O142" s="29" t="inlineStr">
        <is>
          <t>Málaga Acoge'yi 952 39 32 00 numarasından ara ya da C/ Bustamante s/n, 29007 adresine git.
Cruz Roja Española yerel birimine 952 61 66 44 numarasından ya da C/ Narciso Pérez Texeira 5 y 7-1E adresinden ulaş.
Asociación de Estudiantes Marroquíes'i (Universidad de Málaga, Escuela de Informática, Bulevard Luis Pasteur 35) 652 22 26 15 numarasından ara.
Antequera, Pizarra ya da Coín'de yaşıyorsan Prolibertas'ı (952 84 21 69), Andropiz'i (646 23 55 52) ya da Camino para Renacer'i (952 45 33 65) ara.</t>
        </is>
      </c>
      <c r="P142" s="29" t="n"/>
      <c r="Q142" s="29" t="n"/>
      <c r="R142" s="29" t="n"/>
      <c r="S142" s="29" t="n"/>
      <c r="T142" s="29" t="n"/>
    </row>
    <row r="143" ht="54" customHeight="1">
      <c r="A143" s="29" t="inlineStr">
        <is>
          <t>malaga:entegrasyon-cabasi-raporu</t>
        </is>
      </c>
      <c r="B143" s="29" t="inlineStr">
        <is>
          <t>malaga</t>
        </is>
      </c>
      <c r="C143" s="29" t="inlineStr">
        <is>
          <t>entegrasyon-cabasi-raporu</t>
        </is>
      </c>
      <c r="D143" s="29" t="inlineStr">
        <is>
          <t>Oturum yenilemesinde entegrasyon çabası raporu (informe de esfuerzo de integración) Málaga'da nereden alınır?</t>
        </is>
      </c>
      <c r="E143" s="29" t="inlineStr">
        <is>
          <t>Başvuru Junta de Andalucía'nın Málaga birimine, Avda. Manuel Agustín Heredia 26, 3. kat; 20 saatlik çevrimiçi kurs var</t>
        </is>
      </c>
      <c r="F143" s="29" t="inlineStr">
        <is>
          <t>Entegrasyon çabası raporunu Junta de Andalucía'nın Málaga'daki Políticas Migratorias birimine başvurarak alırsın: Avda. Manuel Agustín Heredia 26, 3. kat, 29001 (tel. 681 30 82 64; e-posta pmigratorias.ma.cisjufi@juntadeandalucia.es). Junta'nın sayfasına göre rapor, geçici oturum izninin yenilenmesinde bazı şartları karşılayamadığında sunabileceğin bir belgedir ve 2011 tarihli yönetmeliğe (Real Decreto 557/2011) dayanan şu yenilemelerde kullanılır: çalışmasız oturum, aile birleşimi, ücretli çalışma ve serbest çalışma. Başvuru, ikamet ettiğin ilin Inclusión Social, Juventud, Familias e Igualdad delegasyonuna yapılır; Andalucía'da bir belediyede kayıtlı olman ve yenileme süresi içinde olman gerekir. Rapora esas olan eğitim için Dirección General de Políticas Migratorias ile Puntos Vuela konsorsiyumunun 20 saatlik çevrimiçi kursu var; tek şart platforma kayıt olmaktır.</t>
        </is>
      </c>
      <c r="G143" s="29" t="inlineStr">
        <is>
          <t>entegrasyon raporu, informe de esfuerzo de integración, oturum yenileme, Políticas Migratorias, Puntos Vuela, Andalucía</t>
        </is>
      </c>
      <c r="H143" s="29" t="inlineStr">
        <is>
          <t>settled</t>
        </is>
      </c>
      <c r="I143" s="29" t="inlineStr">
        <is>
          <t>malaga:kaynak:294;malaga:kaynak:240</t>
        </is>
      </c>
      <c r="J143" s="49" t="n">
        <v>46322</v>
      </c>
      <c r="K143" s="51" t="n">
        <v>205</v>
      </c>
      <c r="L143" s="29" t="inlineStr">
        <is>
          <t>Hayır</t>
        </is>
      </c>
      <c r="M143" s="29" t="inlineStr">
        <is>
          <t>Taslak</t>
        </is>
      </c>
      <c r="N143" s="29" t="inlineStr">
        <is>
          <t>malaga:oturum</t>
        </is>
      </c>
      <c r="O143" s="29" t="inlineStr">
        <is>
          <t>Yenileme süresi içinde olduğunu, Andalucía'da bir belediyede kayıtlı (empadronado) olduğunu ve yenilemeyi Andalucía'daki bir yabancılar ofisinde yapacağını kontrol et.
Eğitim sertifikanı al: Puntos Vuela'nın çevrimiçi platformuna kayıt ol, 20 saatlik kursu bitirince sertifikayı platformdan otomatik indirirsin. İnternetin ya da bilgisayarın yoksa Puntos Vuela merkezleri bağlantı ve ekipman sağlar. Sertifikada adın, NIE, program, toplam saat ve katıldığın saat yazmalı.
Normalleştirilmiş başvuru formunu doldur; TIE'ni (eklemiyorsan oturum izninin verildiği ya da yenilendiği kararı), empadronamiento belgeni ve sertifikalarını ekle; yasal temsilcin varsa onun DNI'sini ya da TIE'sini de ekle.
Başvuruyu ikamet ettiğin ilin delegasyonuna ver; Málaga'da Avda. Manuel Agustín Heredia 26, 3. kat, 29001'deki Políticas Migratorias birimine.</t>
        </is>
      </c>
      <c r="P143" s="29" t="inlineStr">
        <is>
          <t>Normalleştirilmiş başvuru formu
TIE (yabancı kimlik kartı); eklemiyorsan geçici oturum izninin verildiği ya da yenilendiği karar
Empadronamiento belgesi (kimlik verisinin sorgulanmasına açıkça izin verirsen TIE ve empadronamiento belgesi eklenmez)
Yasal temsilci varsa temsilcinin DNI'si ya da TIE'si
Dayandığın her eğitimin sertifikası
Varsa başka katkılarını gösteren belgeler ve başvuru gerekçesini gösteren belgeler</t>
        </is>
      </c>
      <c r="Q143" s="29" t="inlineStr">
        <is>
          <t>Başvuru oturum izni yenileme süresi içinde yapılır; çevrimiçi kurs 20 saat sürer.</t>
        </is>
      </c>
      <c r="R143" s="29" t="n"/>
      <c r="S143" s="29" t="inlineStr">
        <is>
          <t>Belgeler asıl nüsha, aslına uygun ya da onaylı kopya olmalıdır.</t>
        </is>
      </c>
      <c r="T143" s="29" t="n"/>
    </row>
    <row r="144" ht="54" customHeight="1">
      <c r="A144" s="29" t="inlineStr">
        <is>
          <t>malaga:turk-vatandaslari-konsolosluk-madrid</t>
        </is>
      </c>
      <c r="B144" s="29" t="inlineStr">
        <is>
          <t>malaga</t>
        </is>
      </c>
      <c r="C144" s="29" t="inlineStr">
        <is>
          <t>turk-vatandaslari-konsolosluk-madrid</t>
        </is>
      </c>
      <c r="D144" s="29" t="inlineStr">
        <is>
          <t>Málaga'dan Türk vatandaşı olarak konsolosluk işleri için nereye başvurulur?</t>
        </is>
      </c>
      <c r="E144" s="29" t="inlineStr">
        <is>
          <t>Andalucía, Madrid Büyükelçiliği'nin görev bölgesinde; konsolosluk bölümü hafta içi 09:30–12:30</t>
        </is>
      </c>
      <c r="F144" s="29" t="inlineStr">
        <is>
          <t>Málaga'yı da kapsayan Andalucía, Türkiye'nin Madrid Büyükelçiliği'nin görev bölgesindedir; konsolosluk işleri için başvuracağın yer Madrid Büyükelçiliği'dir: C/ Rafael Calvo, 18 2ºA-B, 28010 Madrid; telefon +34 913 103 904, e-posta embajada.madrid@mfa.gov.tr. Büyükelçilik hafta içi 09:00–17:00 çalışır, konsolosluk bölümü 09:30–12:30 arasındadır. Büyükelçiliğin sayfasında Málaga için de bir fahri başkonsolosluk (Honorary Consulate General) listelenir.</t>
        </is>
      </c>
      <c r="G144" s="29" t="inlineStr">
        <is>
          <t>Türk konsolosluğu, Madrid Büyükelçiliği, Málaga fahri konsolosluk, pasaport, nüfus, konsolosluk randevusu, Rafael Calvo</t>
        </is>
      </c>
      <c r="H144" s="29" t="inlineStr">
        <is>
          <t>new;settled</t>
        </is>
      </c>
      <c r="I144" s="29" t="inlineStr">
        <is>
          <t>malaga:kaynak:241</t>
        </is>
      </c>
      <c r="J144" s="49" t="n">
        <v>46322</v>
      </c>
      <c r="K144" s="51" t="n">
        <v>206</v>
      </c>
      <c r="L144" s="29" t="inlineStr">
        <is>
          <t>Evet</t>
        </is>
      </c>
      <c r="M144" s="29" t="inlineStr">
        <is>
          <t>Taslak</t>
        </is>
      </c>
      <c r="N144" s="29" t="inlineStr">
        <is>
          <t>malaga:oturum</t>
        </is>
      </c>
      <c r="O144" s="29" t="inlineStr">
        <is>
          <t>Randevuyu Büyükelçiliğin sayfasındaki 'Randevu Al' bölümünden, 'Türk Vatandaşları İçin Konsolosluk İşlemleri' başlığı altında al.
Konsolosluk bölümünün çalıştığı saatte (hafta içi 09:30–12:30) C/ Rafael Calvo, 18 adresine git.
Genel konsolosluk bilgisi için 7/24 çalışan konsolosluk bilgi hattını ara: +90 312 292 29 29.
Mesai dışında acil bir durumda nöbetçi telefonu ara: +34 629 47 66 93.
Büyükelçilik 2026'da 29 Ekim, 1-2 Kasım, 9 Kasım, 6-7 Aralık ve 25 Aralık'ta kapalıdır; randevunu bu günlere planlama.</t>
        </is>
      </c>
      <c r="P144" s="29" t="n"/>
      <c r="Q144" s="29" t="inlineStr">
        <is>
          <t>Büyükelçilik hafta içi 09:00–17:00 açıktır; konsolosluk bölümü 09:30–12:30 arasındadır.</t>
        </is>
      </c>
      <c r="R144" s="29" t="n"/>
      <c r="S144" s="29" t="inlineStr">
        <is>
          <t>Büyükelçiliğe yazılı ulaşmak için sayfadaki formda doğum, nüfus, evlilik, pasaport, askerlik, noter, vatandaşlık gibi işlem türleri seçilebilir.</t>
        </is>
      </c>
      <c r="T144" s="29" t="n"/>
    </row>
    <row r="145" ht="54" customHeight="1">
      <c r="A145" s="29" t="inlineStr">
        <is>
          <t>malaga:banka-hesabi-acma-ve-temel-odeme-hesabi</t>
        </is>
      </c>
      <c r="B145" s="29" t="inlineStr">
        <is>
          <t>malaga</t>
        </is>
      </c>
      <c r="C145" s="29" t="inlineStr">
        <is>
          <t>banka-hesabi-acma-ve-temel-odeme-hesabi</t>
        </is>
      </c>
      <c r="D145" s="29" t="inlineStr">
        <is>
          <t>İspanya'da banka hesabı açmayı banka reddederse ne yapabilirsin?</t>
        </is>
      </c>
      <c r="E145" s="29" t="inlineStr">
        <is>
          <t>Banka uyruk ya da oturduğun yer gerekçesiyle reddedemez; AB'de yasal oturan, sığınma başvurucusu ve sınır dışı edilemeyen temel ödeme hesabı isteyebilir</t>
        </is>
      </c>
      <c r="F145" s="29" t="inlineStr">
        <is>
          <t>Banka hesap açmayı reddederse bunu uyruğun, oturduğun yer, doğduğun ülke ya da yaşın gibi ayrımcı gerekçelerle yapamaz (Banco de España'nın 11 Kasım 2025 tarihli sayfasına göre). Bunun dışında bankalar genel olarak kendi iç politikalarına göre hesap açıp açmamaya serbestçe karar verir; hesap açmak otomatik bir işlem değildir ve koşullarda hem senin hem bankanın anlaşması gerekir. Olağan hesabı açtıramazsan temel ödeme hesabı (cuenta de pago básica) isteme hakkın yalnızca üç gruba aittir: AB'de yasal olarak oturanlar (sabit adresleri olmasa bile), sığınma başvurusu yapanlar ve oturum izni olmayan ama sınır dışı edilmesi mümkün olmayanlar. Bu gruplardaysan ödeme hesabı sunan her kredi kuruluşu sana temel ödeme hesabı sunmak zorundadır. Bu hesapla para yatırıp çekebilir, otomatik ödeme talimatı verebilir, banka ya da ön ödemeli kartla ödeme yapabilir ve havale gönderebilirsin.</t>
        </is>
      </c>
      <c r="G145" s="29" t="inlineStr">
        <is>
          <t>banka hesabı, cuenta de pago básica, temel ödeme hesabı, hesap açma, Banco de España, ayrımcılık yasağı, kara para aklama</t>
        </is>
      </c>
      <c r="H145" s="29" t="inlineStr">
        <is>
          <t>new;settled</t>
        </is>
      </c>
      <c r="I145" s="29" t="inlineStr">
        <is>
          <t>malaga:kaynak:034;malaga:kaynak:035</t>
        </is>
      </c>
      <c r="J145" s="49" t="n">
        <v>46319</v>
      </c>
      <c r="K145" s="51" t="n">
        <v>9027</v>
      </c>
      <c r="L145" s="29" t="inlineStr">
        <is>
          <t>Hayır</t>
        </is>
      </c>
      <c r="M145" s="29" t="inlineStr">
        <is>
          <t>Taslak</t>
        </is>
      </c>
      <c r="N145" s="29" t="inlineStr">
        <is>
          <t>malaga:para</t>
        </is>
      </c>
      <c r="O145" s="29" t="inlineStr">
        <is>
          <t>Hesap açmak istediğin bankaya başvur; banka kendi politikasına göre karar verir ve hesap sözleşmesi için senin de bankanın da koşulları kabul etmesi gerekir.
Bankanın kara para aklamayı ve terörün finansmanını önleme yükümlülükleri için istediği bilgileri ver; vermezsen banka temel ödeme hesabı başvurunu reddedebilir.
Ret gerekçesi uyruğun, oturduğun yer ya da doğduğun ülke gibi bir ölçütse bu ayrımcılıktır; banka böyle bir gerekçeyle başvurunu reddedemez.
AB'de yasal olarak oturuyorsan (sabit adresin olmasa bile), sığınma başvurusu yapmışsan ya da oturum iznin yok ama sınır dışı edilmen mümkün değilse ve olağan hesabı açtıramadıysan kredi kuruluşundan temel ödeme hesabı iste.</t>
        </is>
      </c>
      <c r="P145" s="29" t="n"/>
      <c r="Q145" s="29" t="n"/>
      <c r="R145" s="29" t="inlineStr">
        <is>
          <t>Temel ödeme hesabı, ekonomik durumun zorsa hiç ücretsiz olabilir.</t>
        </is>
      </c>
      <c r="S145" s="29" t="inlineStr">
        <is>
          <t>Banka temel ödeme hesabını şu durumlarda reddedebilir: İspanya'da zaten bir cari hesabın varsa; hesabın açılması ulusal güvenlik ya da kamu düzenine aykırıysa; kara para aklama ve terörün finansmanını önleme yükümlülükleri için istediği bilgiyi vermezsen.</t>
        </is>
      </c>
      <c r="T145" s="29" t="n"/>
    </row>
    <row r="146" ht="54" customHeight="1">
      <c r="A146" s="29" t="inlineStr">
        <is>
          <t>malaga:iban-ve-sepa-havalesi</t>
        </is>
      </c>
      <c r="B146" s="29" t="inlineStr">
        <is>
          <t>malaga</t>
        </is>
      </c>
      <c r="C146" s="29" t="inlineStr">
        <is>
          <t>iban-ve-sepa-havalesi</t>
        </is>
      </c>
      <c r="D146" s="29" t="inlineStr">
        <is>
          <t>İspanya'da IBAN nedir ve SEPA havalesi nasıl çalışır?</t>
        </is>
      </c>
      <c r="E146" s="29" t="inlineStr">
        <is>
          <t>IBAN hesabı tanımlar; SEPA bölgesinde euro ödemeleri yurt içi ve sınır ötesi aynı koşullarda yapılır</t>
        </is>
      </c>
      <c r="F146" s="29" t="inlineStr">
        <is>
          <t>IBAN, hesabı tanımlayan harf ve rakamlardan oluşan bir koddur; uluslararası bir standarda dayanır ve İspanya'da 24 karakterdir. Banka havaleyi girdiğin IBAN'a göre yürütür; havale doğru yapılmış sayılır ve geri alınamaz, bu yüzden numarayı doğru girmek çok önemlidir (Banco de España, 19 Şubat 2026 tarihli sayfa). Aynı sayfaya göre (sayfa tarihi 19 Şubat 2026) ödeme hizmeti sağlayıcıları geçen 9 Ekim'den beri ücretsiz bir alıcı doğrulaması sunmak zorundadır: IBAN'ı girince, para gitmeden önce bankan girdiğin alıcı adının hesap sahibiyle uyuşup uyuşmadığını (uyuşuyor, kısmen uyuşuyor, uyuşmuyor) bildirir; uyarıya rağmen devam edersen havale gönderilir. SEPA bölgesi 27 AB üyesi ile İzlanda, Lihtenştayn ve Norveç'ten oluşur; şemalara AEA dışı bazı ülke ve bölgeler de dahil edilir. Bu bölgede euro ödemeleri yurt içi de olsa sınır ötesi de olsa aynı koşullarda gönderilir ve alınır.</t>
        </is>
      </c>
      <c r="G146" s="29" t="inlineStr">
        <is>
          <t>IBAN, SEPA, havale, transferencia, anlık havale, transferencia inmediata, euro ödemesi, Banco de España</t>
        </is>
      </c>
      <c r="H146" s="29" t="inlineStr">
        <is>
          <t>new;settled</t>
        </is>
      </c>
      <c r="I146" s="29" t="inlineStr">
        <is>
          <t>malaga:kaynak:036;malaga:kaynak:037</t>
        </is>
      </c>
      <c r="J146" s="49" t="n">
        <v>46319</v>
      </c>
      <c r="K146" s="51" t="n">
        <v>9028</v>
      </c>
      <c r="L146" s="29" t="inlineStr">
        <is>
          <t>Hayır</t>
        </is>
      </c>
      <c r="M146" s="29" t="inlineStr">
        <is>
          <t>Taslak</t>
        </is>
      </c>
      <c r="N146" s="29" t="inlineStr">
        <is>
          <t>malaga:para</t>
        </is>
      </c>
      <c r="O146" s="29" t="inlineStr">
        <is>
          <t>Alıcının IBAN'ını eksiksiz ve doğru gir; banka havaleyi bu numaraya göre yürütür.
IBAN'ı girdikten sonra bankan alıcı adının hesap sahibiyle uyuşup uyuşmadığını bildirir; uyuşmuyor ya da kısmen uyuşuyor sonucuna rağmen devam edersen havale gönderilir. Doğrulama teknik nedenle yapılamadıysa Banco de España devam etmemenin daha ihtiyatlı olacağını söylüyor.
Bankan anlık havale sunuyorsa normal havale ile anlık havale arasında seçebilirsin: normal havale alıcı bankanın fonları almasından sonraki iş gününe ulaşır, anlık havale en çok 10 saniyede hesaba geçer.
Masrafların paylaşıldığını bil: gönderen banka kendi masrafını gönderene, alıcı banka kendi masrafını alıcıya yansıtır.</t>
        </is>
      </c>
      <c r="P146" s="29" t="n"/>
      <c r="Q146" s="29" t="inlineStr">
        <is>
          <t>Normal havale: alıcı bankanın fonları almasından sonraki iş günü (kâğıt emirde bir gün daha uzayabilir). Anlık havale: en çok 10 saniye, günün 24 saati, yılın her günü.</t>
        </is>
      </c>
      <c r="R146" s="29" t="inlineStr">
        <is>
          <t>Masraflar gönderen ile alıcı arasında paylaşılır; anlık havalenin maliyeti, eşdeğer koşullarda normal havaleyi aşmaz.</t>
        </is>
      </c>
      <c r="S146" s="29" t="n"/>
      <c r="T146" s="29" t="n"/>
    </row>
    <row r="147" ht="54" customHeight="1">
      <c r="A147" s="29" t="inlineStr">
        <is>
          <t>malaga:gelir-vergisi-irpf-devlet-dilimleri</t>
        </is>
      </c>
      <c r="B147" s="29" t="inlineStr">
        <is>
          <t>malaga</t>
        </is>
      </c>
      <c r="C147" s="29" t="inlineStr">
        <is>
          <t>gelir-vergisi-irpf-devlet-dilimleri</t>
        </is>
      </c>
      <c r="D147" s="29" t="inlineStr">
        <is>
          <t>İspanya'da gelir vergisi (IRPF) dilimleri nelerdir?</t>
        </is>
      </c>
      <c r="E147" s="29" t="inlineStr">
        <is>
          <t>Devlet ölçeği %9,50 ile %24,50 arasında; bölgesel kısım ortak rejimdeki (régimen común) bölgelere göre değişir</t>
        </is>
      </c>
      <c r="F147" s="29" t="inlineStr">
        <is>
          <t>Renta 2025 kılavuzuna göre (2025 geliri, 2026'da verilen beyan) IRPF devlet ölçeği şöyledir: 12.450 euroya kadar %9,50, 12.450-20.200 euro arası %12, 20.200-35.200 euro arası %15, 35.200-60.000 euro arası %18,50, 60.000-300.000 euro arası %22,50, 300.000 euro üstü %24,50. Kılavuz bu ölçeği oturulan yerden bağımsız uygulanan ölçek olarak veriyor. Genel vergi matrahına buna ek olarak bölgesel ölçek uygulanır; kılavuzun kapsamı ortak rejimdeki (régimen común) özerk bölgeler ve özerklik statülü şehirlerdir (Ceuta, Melilla) ve bölgesel ölçeği ilgili özerk bölge kendisi onaylar, bu yüzden toplam oran bölgeye göre değişir.</t>
        </is>
      </c>
      <c r="G147" s="29" t="inlineStr">
        <is>
          <t>IRPF, gelir vergisi, vergi dilimleri, devlet ölçeği, escala estatal, escala autonómica, Renta 2025, Agencia Tributaria</t>
        </is>
      </c>
      <c r="H147" s="29" t="inlineStr">
        <is>
          <t>planning;new;settled</t>
        </is>
      </c>
      <c r="I147" s="29" t="inlineStr">
        <is>
          <t>malaga:kaynak:038;malaga:kaynak:039</t>
        </is>
      </c>
      <c r="J147" s="49" t="n">
        <v>46319</v>
      </c>
      <c r="K147" s="51" t="n">
        <v>9029</v>
      </c>
      <c r="L147" s="29" t="inlineStr">
        <is>
          <t>Hayır</t>
        </is>
      </c>
      <c r="M147" s="29" t="inlineStr">
        <is>
          <t>Taslak</t>
        </is>
      </c>
      <c r="N147" s="29" t="inlineStr">
        <is>
          <t>malaga:para</t>
        </is>
      </c>
      <c r="O147" s="29" t="inlineStr">
        <is>
          <t>Devlet ölçeğini vergi matrahının ilgili dilimlerine uygula (%9,50'den %24,50'ye).
Ortak rejimdeki bölgelerde sana hangi özerk bölgenin ölçeğinin uygulanacağını belirle.
Bölgesel ölçeği aynı matraha ekle; rakamlar özerk bölgeden bölgeye farklıdır.</t>
        </is>
      </c>
      <c r="P147" s="29" t="n"/>
      <c r="Q147" s="29" t="inlineStr">
        <is>
          <t>Dilimler Renta 2025 kılavuzundandır (2025 geliri, 2026'da verilen beyan).</t>
        </is>
      </c>
      <c r="R147" s="29" t="n"/>
      <c r="S147" s="29" t="inlineStr">
        <is>
          <t>Ceuta ya da Melilla'da oturanlar için ayrı bir bölgesel ölçek vardır.</t>
        </is>
      </c>
      <c r="T147" s="29" t="n"/>
    </row>
    <row r="148" ht="54" customHeight="1">
      <c r="A148" s="29" t="inlineStr">
        <is>
          <t>malaga:kdv-iva-oranlari</t>
        </is>
      </c>
      <c r="B148" s="29" t="inlineStr">
        <is>
          <t>malaga</t>
        </is>
      </c>
      <c r="C148" s="29" t="inlineStr">
        <is>
          <t>kdv-iva-oranlari</t>
        </is>
      </c>
      <c r="D148" s="29" t="inlineStr">
        <is>
          <t>İspanya'da KDV (IVA) oranları kaç?</t>
        </is>
      </c>
      <c r="E148" s="29" t="inlineStr">
        <is>
          <t>Genel oran %21, azaltılmış oranlar %10 ve %4; Canarias, Ceuta ve Melilla'da İspanyol KDV'si uygulanmaz</t>
        </is>
      </c>
      <c r="F148" s="29" t="inlineStr">
        <is>
          <t>İspanya'da genel KDV (IVA) oranı %21'dir; azaltılmış oranlar %10 ve %4'tür ve belirli işlemlere %0 uygulanır (AEAT'nin güncel oran sayfasına göre). İspanyol KDV'si Yarımada ve Baleares'te uygulanır; Canarias, Ceuta ve Melilla bu verginin kapsamı dışındadır, bu kart bu bölgeleri kapsamaz.</t>
        </is>
      </c>
      <c r="G148" s="29" t="inlineStr">
        <is>
          <t>KDV, IVA, IVA oranları, genel oran, azaltılmış oran, tipo reducido, Agencia Tributaria, Canarias</t>
        </is>
      </c>
      <c r="H148" s="29" t="inlineStr">
        <is>
          <t>planning;new;settled</t>
        </is>
      </c>
      <c r="I148" s="29" t="inlineStr">
        <is>
          <t>malaga:kaynak:040;malaga:kaynak:041</t>
        </is>
      </c>
      <c r="J148" s="49" t="n">
        <v>46319</v>
      </c>
      <c r="K148" s="51" t="n">
        <v>9030</v>
      </c>
      <c r="L148" s="29" t="inlineStr">
        <is>
          <t>Hayır</t>
        </is>
      </c>
      <c r="M148" s="29" t="inlineStr">
        <is>
          <t>Taslak</t>
        </is>
      </c>
      <c r="N148" s="29" t="inlineStr">
        <is>
          <t>malaga:para</t>
        </is>
      </c>
      <c r="O148" s="29" t="inlineStr">
        <is>
          <t>Yarımada ve Baleares'te yapılan alışverişlerde genel oran olan %21'i hesaba kat.
Azaltılmış orana tabi mal ve hizmetlerde %10 ya da %4 ödediğini, bazı işlemlerde ise %0 uygulandığını bil.
Canarias, Ceuta ve Melilla'da İspanyol KDV'sinin (IVA) uygulanmadığını bil; bu kart bu bölgeleri kapsamaz.</t>
        </is>
      </c>
      <c r="P148" s="29" t="n"/>
      <c r="Q148" s="29" t="n"/>
      <c r="R148" s="29" t="inlineStr">
        <is>
          <t>Genel oran %21; azaltılmış oranlar %10 ve %4; belirli işlemlerde %0 (AEAT'nin güncel oran sayfasına göre).</t>
        </is>
      </c>
      <c r="S148" s="29" t="n"/>
      <c r="T148" s="29" t="n"/>
    </row>
    <row r="149" ht="54" customHeight="1">
      <c r="A149" s="29" t="inlineStr">
        <is>
          <t>malaga:yillik-gelir-vergisi-beyani-renta</t>
        </is>
      </c>
      <c r="B149" s="29" t="inlineStr">
        <is>
          <t>malaga</t>
        </is>
      </c>
      <c r="C149" s="29" t="inlineStr">
        <is>
          <t>yillik-gelir-vergisi-beyani-renta</t>
        </is>
      </c>
      <c r="D149" s="29" t="inlineStr">
        <is>
          <t>Yıllık gelir vergisi beyanı (Renta) ne zaman verilir, kim vermek zorunda?</t>
        </is>
      </c>
      <c r="E149" s="29" t="inlineStr">
        <is>
          <t>Renta 2025 kampanyası 8 Nisan - 30 Haziran 2026 arasındaydı ve kapandı; iş gelirinde sınır 22.000 euro, bazı durumlarda 15.876 euro</t>
        </is>
      </c>
      <c r="F149" s="29" t="inlineStr">
        <is>
          <t>Renta 2025 (2025 geliri) için beyan ve taslak verme süresi, sonucu ne olursa olsun, 8 Nisan 2026 ile 30 Haziran 2026 arasıydı (ikisi dahil) ve kapandı; banka talimatıyla ödeme için son gün 25 Haziran 2026'ydı. Renta 2025 kılavuzuna göre beyan zorunluluğu tek ölçüte bağlı değildir: gelir türüne göre tutar sınırları vardır (aşağıda), ayrıca gelirin tutarı ve türü ne olursa olsun beyan vermek zorunda olanlar da vardır; bunlar, konut yatırımı indiriminin geçiş rejiminden ya da uluslararası çifte vergilendirme indiriminden yararlanma hakkı olanlar ile engelli kişilerin korunan varlıklarına, emeklilik planlarına, güvenceli öngörü planlarına, işyeri sosyal öngörü planlarına, bağımlılık sigortalarına ya da karşılıklı öngörü sandıklarına matrahı düşüren katkı yapıp bu hakkı kullananlardır. Yalnızca iş gelirinden (emekli maaşları dahil, yurtdışından gelenler de) oluşan gelirde sınır yıllık 22.000 euro'dur. Sınır 15.876 euro olur: iş geliri birden fazla ödeyiciden geliyorsa (ikinci ve sonraki ödeyicilerden gelen toplam yılda 1.500 euroyu geçmiyorsa sınır yine 22.000 euro kalır); iş gelirini ödeyen gelirden kaynağında vergi kesmek (stopaj) zorunda değilse; eşten pensión compensatoria (eş nafakası) ya da vergiden muaf olmayan nafaka alınıyorsa; ya da iş geliri sabit oranlı stopaja tabiyse. Örneğin İspanya'da mukim olup tek geliri yurtdışından gelen bir emekli maaşı olan kişide, maaşı ödeyen yurtdışındaki kurum İspanya'da faaliyet göstermiyorsa stopaj yapmak zorunda olmadığından sınır 22.000 değil 15.876 euro'dur (2024 ve sonraki dönemler). Sermaye ve diğer gelirlerde sınırlar daha düşüktür: stopaj yapılmış sermaye geliri ve kazançlar için yıllık toplam 1.600 euro; konut sahipliğinden hesaplanan gelir (imputed), Letras del Tesoro faizi ve devlet yardımı kaynaklı kazançlar için toplam 1.000 euro; iş, taşınır ya da taşınmaz sermaye (kira geliri gibi) ve ekonomik faaliyet gelirleri ile kazançlar bir arada ise toplam 1.000 euro (zarar 500 euro altında). 2023'ten beri, vergi dönemi içinde herhangi bir anda RETA'ya (autónomo rejimine) ya da Denizciler özel rejimine kendi hesabına çalışan olarak kayıtlı olan herkes geliri ne kadar olursa olsun beyan verir. Vergiden muaf gelirler zorunluluk hesabına katılmaz. Kampanyada beyan internetten, telefonla ya da AEAT ofislerinde randevuyla, yalnızca AEAT'nin koşullarını sağlayanlar için şahsen verilebiliyordu.</t>
        </is>
      </c>
      <c r="G149" s="29" t="inlineStr">
        <is>
          <t>Renta, declaración de la renta, yıllık gelir vergisi beyanı, Renta WEB, IRPF beyanı, beyan süresi, 22.000 euro, Cl@ve Móvil</t>
        </is>
      </c>
      <c r="H149" s="29" t="inlineStr">
        <is>
          <t>new;settled</t>
        </is>
      </c>
      <c r="I149" s="29" t="inlineStr">
        <is>
          <t>malaga:kaynak:042;malaga:kaynak:043</t>
        </is>
      </c>
      <c r="J149" s="49" t="n">
        <v>46319</v>
      </c>
      <c r="K149" s="51" t="n">
        <v>9031</v>
      </c>
      <c r="L149" s="29" t="inlineStr">
        <is>
          <t>Hayır</t>
        </is>
      </c>
      <c r="M149" s="29" t="inlineStr">
        <is>
          <t>Taslak</t>
        </is>
      </c>
      <c r="N149" s="29" t="inlineStr">
        <is>
          <t>malaga:para</t>
        </is>
      </c>
      <c r="O149" s="29" t="inlineStr">
        <is>
          <t>Renta 2025 kampanyasında beyan ya da taslak onayı 8 Nisan - 30 Haziran 2026 arasında verilebiliyordu; bu süre sonucu ne olursa olsun geçerliydi.
İnternetten verenler Agencia Tributaria'nın elektronik merkezine tanınmış elektronik sertifika, Cl@ve Móvil, referans numarası ya da eIDAS ile giriyordu.
Ödenecek tutarın bankadan otomatik çekilmesini isteyenler bunu Renta 2025 için 25 Haziran 2026'ya kadar bildiriyordu.
Beyan kabul edilince ekranda çıkan, güvenli doğrulama koduyla onaylı sunum belgesinin (justificante) yazdırılması ya da saklanması gerekiyordu.</t>
        </is>
      </c>
      <c r="P149" s="29" t="n"/>
      <c r="Q149" s="29" t="inlineStr">
        <is>
          <t>Renta 2025 (kapandı): 8 Nisan - 30 Haziran 2026 (ikisi dahil); banka talimatıyla ödeme: 25 Haziran 2026'ya kadar.</t>
        </is>
      </c>
      <c r="R149" s="29" t="n"/>
      <c r="S149" s="29" t="inlineStr">
        <is>
          <t>Zorunluluk sınırlarının altında kalsan bile IRPF mevzuatından doğan bir iade (örneğin kesintiler ya da annelik, kalabalık aile ve bakmakla yükümlü engelli indirimleri nedeniyle) istiyorsan beyan vermen gerekir. Telefonla ya da şahsen beyan, sonuç ödenecek tutarsa ve banka talimatı verilmediyse kullanılamıyordu; bu durumda ödeme bankadaki ödeme belgesiyle yapılıyordu.</t>
        </is>
      </c>
      <c r="T149" s="29" t="n"/>
    </row>
    <row r="150" ht="54" customHeight="1">
      <c r="A150" s="29" t="inlineStr">
        <is>
          <t>malaga:vergi-iadesi-devolucion-renta</t>
        </is>
      </c>
      <c r="B150" s="29" t="inlineStr">
        <is>
          <t>malaga</t>
        </is>
      </c>
      <c r="C150" s="29" t="inlineStr">
        <is>
          <t>vergi-iadesi-devolucion-renta</t>
        </is>
      </c>
      <c r="D150" s="29" t="inlineStr">
        <is>
          <t>Vergi iadesi (devolución de Renta) nasıl alınır, ne kadar sürer?</t>
        </is>
      </c>
      <c r="E150" s="29" t="inlineStr">
        <is>
          <t>İade, beyanda yazdığın ve adına kayıtlı banka hesabına havale edilir; idarenin altı ayı vardır</t>
        </is>
      </c>
      <c r="F150" s="29" t="inlineStr">
        <is>
          <t>Beyanın sonucu iade çıktıysa, iade genel olarak ödeme ya da iade belgesinde (documento de ingreso o devolución) belirttiğin ve adına kayıtlı olan banka hesabına havale edilir. Agencia Tributaria iadeyi ödemek ya da talep edilen iadeyi incelemek için beyan süresinin bitiminden (süre dışı verildiyse beyan tarihinden) itibaren altı aya sahiptir. İdarenin kendisinden kaynaklanan bir nedenle altı ay dolduğu hâlde ödeme emri verilmemişse, sen istemeden gecikme faizi ödenir. İadenin durumunu Renta WEB üzerinden dosyana girerek sorgulayabilirsin.</t>
        </is>
      </c>
      <c r="G150" s="29" t="inlineStr">
        <is>
          <t>vergi iadesi, devolución, devolución de Renta, Renta WEB, iade durumu, gecikme faizi, Agencia Tributaria, IRPF iadesi</t>
        </is>
      </c>
      <c r="H150" s="29" t="inlineStr">
        <is>
          <t>new;settled</t>
        </is>
      </c>
      <c r="I150" s="29" t="inlineStr">
        <is>
          <t>malaga:kaynak:044</t>
        </is>
      </c>
      <c r="J150" s="49" t="n">
        <v>46319</v>
      </c>
      <c r="K150" s="51" t="n">
        <v>9032</v>
      </c>
      <c r="L150" s="29" t="inlineStr">
        <is>
          <t>Hayır</t>
        </is>
      </c>
      <c r="M150" s="29" t="inlineStr">
        <is>
          <t>Taslak</t>
        </is>
      </c>
      <c r="N150" s="29" t="inlineStr">
        <is>
          <t>malaga:para</t>
        </is>
      </c>
      <c r="O150" s="29" t="inlineStr">
        <is>
          <t>Beyanda iade çıkarsa, ödeme ya da iade belgesinde iadenin yatırılacağı adına kayıtlı hesabı belirt.
İadenin durumunu Renta WEB'deki taslak/beyan işlem hizmetinde dosyana girerek sorgula.
Agencia Tributaria'nın iadeyi ödemek ya da talep edilen iadeyi inceleme prosedürünü başlatmak için altı ayı vardır; ödeme ya da inceleme en geç bu süre içinde gelir.
İdarenin kendisinden kaynaklanan bir nedenle süre dolduğu hâlde ödeme emri verilmemişse gecikme faizi kendiliğinden hesabına gelir; ayrıca talep etmen gerekmez.</t>
        </is>
      </c>
      <c r="P150" s="29" t="n"/>
      <c r="Q150" s="29" t="inlineStr">
        <is>
          <t>Agencia Tributaria'nın iade için altı ayı vardır: süre, beyan verme süresinin bitiminden (süre dışı verilen beyanda beyan tarihinden) başlar.</t>
        </is>
      </c>
      <c r="R150" s="29" t="n"/>
      <c r="S150" s="29" t="inlineStr">
        <is>
          <t>Gecikme faizi, idarenin sonunda kabul ettiği iade tutarı üzerinden hesaplanır; bu tutar, talep ettiğin tutar da olabilir, inceleme sonucu çıkan tutar da.</t>
        </is>
      </c>
      <c r="T150" s="29" t="n"/>
    </row>
    <row r="151" ht="54" customHeight="1">
      <c r="A151" s="29" t="inlineStr">
        <is>
          <t>malaga:gestor-asesor-vergi-beyani-temsil</t>
        </is>
      </c>
      <c r="B151" s="29" t="inlineStr">
        <is>
          <t>malaga</t>
        </is>
      </c>
      <c r="C151" s="29" t="inlineStr">
        <is>
          <t>gestor-asesor-vergi-beyani-temsil</t>
        </is>
      </c>
      <c r="D151" s="29" t="inlineStr">
        <is>
          <t>Gelir vergisi beyanı için gestor ya da asesör gerekir mi, senin adına beyanı kim verebilir?</t>
        </is>
      </c>
      <c r="E151" s="29" t="inlineStr">
        <is>
          <t>Beyanı kendin de verebilirsin; istersen colaborador social ya da vekil biri senin adına verebilir</t>
        </is>
      </c>
      <c r="F151" s="29" t="inlineStr">
        <is>
          <t>Gelir vergisi beyanını mükellef kendisi internetten verebilir; bunun yanında senin adına verecek bir temsilci de kullanabilirsin. Agencia Tributaria ile anlaşması olan bir meslek kuruluşuna (colegio ya da asociación) üye ve bireysel katılım belgesini imzalamış vergi hizmeti veren bir profesyonel, colaborador social olarak beyanı senin adına elektronik verebilir. Colaborador social olmayan biri de Registro de apoderamientos yoluyla verilen bir vekâletle senin adına internetten işlem yapabilir. Colaborador social olarak yapılan temsil yalnızca beyanın elektronik verilmesini kapsar; Agencia Tributaria'nın diğer işlemlerinde ya da yazışmalarında seni temsil etme yetkisi vermez.</t>
        </is>
      </c>
      <c r="G151" s="29" t="inlineStr">
        <is>
          <t>gestor, asesor, colaborador social, colaboración social, vergi beyanı temsilcisi, apoderamiento, Renta, Agencia Tributaria</t>
        </is>
      </c>
      <c r="H151" s="29" t="inlineStr">
        <is>
          <t>new;settled</t>
        </is>
      </c>
      <c r="I151" s="29" t="inlineStr">
        <is>
          <t>malaga:kaynak:042;malaga:kaynak:045</t>
        </is>
      </c>
      <c r="J151" s="49" t="n">
        <v>46319</v>
      </c>
      <c r="K151" s="51" t="n">
        <v>9033</v>
      </c>
      <c r="L151" s="29" t="inlineStr">
        <is>
          <t>Hayır</t>
        </is>
      </c>
      <c r="M151" s="29" t="inlineStr">
        <is>
          <t>Taslak</t>
        </is>
      </c>
      <c r="N151" s="29" t="inlineStr">
        <is>
          <t>malaga:para</t>
        </is>
      </c>
      <c r="O151" s="29" t="inlineStr">
        <is>
          <t>Beyanı kendin vermek istiyorsan Agencia Tributaria'nın elektronik merkezine tanınmış elektronik sertifika, Cl@ve Móvil, referans numarası ya da eIDAS ile gir.
Temsilci kullanacaksan colaborador social olarak yetkili bir profesyoneli seç: beyanı senin adına elektronik verir ve bunu kendi elektronik sertifikasıyla yapar.
Profesyonel colaborador social değilse ona Registro de apoderamientos yoluyla vekâlet ver.</t>
        </is>
      </c>
      <c r="P151" s="29" t="n"/>
      <c r="Q151" s="29" t="n"/>
      <c r="R151" s="29" t="n"/>
      <c r="S151" s="29" t="inlineStr">
        <is>
          <t>Colaborador social, Agencia Tributaria ile işbirliği anlaşması imzalamış kuruluşlara bağlı meslek mensuplarıdır; temsilin kapsamı elektronik sunumun mekanik ve idari işlemleriyle sınırlıdır.</t>
        </is>
      </c>
      <c r="T151" s="29" t="n"/>
    </row>
    <row r="152" ht="54" customHeight="1">
      <c r="A152" s="29" t="inlineStr">
        <is>
          <t>malaga:arac-sigortasi-zorunlulugu-ve-hipotek-sigortalari</t>
        </is>
      </c>
      <c r="B152" s="29" t="inlineStr">
        <is>
          <t>malaga</t>
        </is>
      </c>
      <c r="C152" s="29" t="inlineStr">
        <is>
          <t>arac-sigortasi-zorunlulugu-ve-hipotek-sigortalari</t>
        </is>
      </c>
      <c r="D152" s="29" t="inlineStr">
        <is>
          <t>İspanya'da araç sigortası zorunlu mu, hipotek alırken hangi sigortalar istenir?</t>
        </is>
      </c>
      <c r="E152" s="29" t="inlineStr">
        <is>
          <t>İspanya'da park edilen her motorlu araç için sorumluluk sigortası zorunlu; hipotekte Banco de España'ya göre yangın sigortası zorunlu</t>
        </is>
      </c>
      <c r="F152" s="29" t="inlineStr">
        <is>
          <t>Evet, İspanya'da alışılmış park yeri İspanya olan her motorlu aracın sahibi, her araç için ayrı bir sorumluluk sigortası sözleşmesi yaptırmak ve yürürlükte tutmak zorundadır (BOE, Real Decreto Legislativo 8/2004, madde 2). İspanyol plakası olan araç bu kapsama girer. Hipotek başvurusunda bankanın bir sigortayı koşul olarak koyması sık görülür; böyle bir koşul hipotek ön bilgi formunda (FIPRE) ve standart bilgi formunda (FEIN) yer almalıdır. Banco de España'ya göre yangın (ya da konut multirriesgo) sigortası hipotek yaptırırken zorunludur; hayat ve ödeme koruma sigortaları da hipotekle sık birlikte anılır ve aynı sayfa bankanın koşul koyduğu sigortaları yaptırmanın zorunlu olmadığını, ama yaptırırsan faiz farkının (diferencial) genellikle düştüğünü söylüyor.</t>
        </is>
      </c>
      <c r="G152" s="29" t="inlineStr">
        <is>
          <t>araç sigortası, seguro obligatorio, sorumluluk sigortası, hipotek sigortası, seguro de hogar, multirriesgo, FEIN, FIPRE</t>
        </is>
      </c>
      <c r="H152" s="29" t="inlineStr">
        <is>
          <t>planning;new;settled</t>
        </is>
      </c>
      <c r="I152" s="29" t="inlineStr">
        <is>
          <t>malaga:kaynak:046;malaga:kaynak:047</t>
        </is>
      </c>
      <c r="J152" s="49" t="n">
        <v>46319</v>
      </c>
      <c r="K152" s="51" t="n">
        <v>9034</v>
      </c>
      <c r="L152" s="29" t="inlineStr">
        <is>
          <t>Hayır</t>
        </is>
      </c>
      <c r="M152" s="29" t="inlineStr">
        <is>
          <t>Taslak</t>
        </is>
      </c>
      <c r="N152" s="29" t="inlineStr">
        <is>
          <t>malaga:para</t>
        </is>
      </c>
      <c r="O152" s="29" t="inlineStr">
        <is>
          <t>Aracın sahibi olarak her araç için ayrı bir sorumluluk sigortası sözleşmesi yap ve yürürlükte tut.
Başka bir AEA ülkesinden araç ithal ettiysen: teslimi kabul ettiğin günden itibaren en çok otuz gün boyunca araç, İspanyol plakası olmasa da İspanya'da park edilmiş sayılır; bu sürede sigortayı kayıt devletinde ya da İspanya'da yaptırabilirsin, sınırda geçici sigorta (seguro en frontera) da yapılabilir.
Hipotek alıyorsan bankanın koşul koyduğu sigortaları FIPRE ve FEIN formlarında oku; yangın sigortası hipotek için zorunludur (Banco de España); FEIN sana ücretsiz, hipotek senedinin (escritura) imzasından en az on takvim günü önce verilir.
Banka kendi sigorta şirketini önerebilir; hasar sigortası ya da yükümlülük teminatı poliçesinde alternatif poliçeleri kabul etmek zorundadır.</t>
        </is>
      </c>
      <c r="P152" s="29" t="n"/>
      <c r="Q152" s="29" t="inlineStr">
        <is>
          <t>Hipotekte FEIN formu, hipotek senedinin (escritura) imzasından en az on takvim günü önce verilir.</t>
        </is>
      </c>
      <c r="R152" s="29" t="inlineStr">
        <is>
          <t>FEIN formu ücretsiz verilir.</t>
        </is>
      </c>
      <c r="S152" s="29" t="inlineStr">
        <is>
          <t>Sigortayı, sigorta ettirmekte yararı olan başka bir kişi yaptırırsa ve hangi sıfatla yaptırdığını belirtirse araç sahibi bu yükümlülükten kurtulur. AEA üyesi olmayan bir ülkeden gelen ve ulusal sigorta büroları anlaşmasına bağlı olmayan yabancı araçlarda İspanyol gümrük makamları, araç İspanya'ya girerken İspanyol mevzuatının koşullarını karşılayan zorunlu sigortayı arayabilir; sigorta yoksa girişi reddetmek zorundadır.</t>
        </is>
      </c>
      <c r="T152" s="29" t="n"/>
    </row>
    <row r="153" ht="54" customHeight="1">
      <c r="A153" s="29" t="inlineStr">
        <is>
          <t>malaga:emeklilik-yasi-ve-prim-suresi</t>
        </is>
      </c>
      <c r="B153" s="29" t="inlineStr">
        <is>
          <t>malaga</t>
        </is>
      </c>
      <c r="C153" s="29" t="inlineStr">
        <is>
          <t>emeklilik-yasi-ve-prim-suresi</t>
        </is>
      </c>
      <c r="D153" s="29" t="inlineStr">
        <is>
          <t>İspanya'da emeklilik yaşı kaç, emekli olmak için kaç yıl prim gerekir?</t>
        </is>
      </c>
      <c r="E153" s="29" t="inlineStr">
        <is>
          <t>2026'da emeklilik yaşı 65 ya da 66 yıl 10 ay; en az 15 yıl prim gerekir</t>
        </is>
      </c>
      <c r="F153" s="29" t="inlineStr">
        <is>
          <t>Genel rejimde (Régimen General) olağan emeklilik yaşı 2026 için, 38 yıl 3 ay ya da daha fazla prim ödeyenlerde 65, daha az prim ödeyenlerde 66 yıl 10 aydır; 2027'den itibaren sınır 38 yıl 6 ay olur ve altındakiler için yaş 67'dir (Seguridad Social sayfasına göre; tablo 1 Ocak 2013'ten sonraki genel kuraldır, 1 Ocak 2013'ten önceki mevzuata tabi olanlarda 65 yaş korunur). Emeklilik hakkı için asgari prim süresi 15 yıldır (5.475 gün); bunun 2 yılı, hakkın doğduğu andan önceki 15 yıl içinde olmalıdır. 2026 için genel rejimde ortak riskler (contingencias comunes) primi toplam yüzde 28,30'dur; yüzde 23,60'ı işveren, yüzde 4,70'i işçi öder (BOE, Orden PJC/297/2026, 1 Ocak 2026'dan itibaren 2026 yılı için). Bu yalnızca ortak riskler payıdır: aynı BOE emri kuşaklar arası denge mekanizması primini ek olarak 0,90 puan belirler; işsizlik, ücret garanti fonu ve meslek eğitimi primleri de aynı emirde ayrıca düzenlenir; iş kazası ve meslek hastalığı primi ise tamamen işverene aittir. Belirli özel durumlarda emeklilik yaşı düşürülebilir.</t>
        </is>
      </c>
      <c r="G153" s="29" t="inlineStr">
        <is>
          <t>emeklilik, jubilación, emeklilik yaşı, prim süresi, Seguridad Social, ortak riskler primi, cotización, Régimen General</t>
        </is>
      </c>
      <c r="H153" s="29" t="inlineStr">
        <is>
          <t>planning;settled</t>
        </is>
      </c>
      <c r="I153" s="29" t="inlineStr">
        <is>
          <t>malaga:kaynak:048;malaga:kaynak:049</t>
        </is>
      </c>
      <c r="J153" s="49" t="n">
        <v>46319</v>
      </c>
      <c r="K153" s="51" t="n">
        <v>9035</v>
      </c>
      <c r="L153" s="29" t="inlineStr">
        <is>
          <t>Hayır</t>
        </is>
      </c>
      <c r="M153" s="29" t="inlineStr">
        <is>
          <t>Taslak</t>
        </is>
      </c>
      <c r="N153" s="29" t="inlineStr">
        <is>
          <t>malaga:para</t>
        </is>
      </c>
      <c r="O153" s="29" t="inlineStr">
        <is>
          <t>Prim süreni yıl ve ay olarak belirle: 2026 için 38 yıl 3 ay ve üstü 65 yaşta, altı 66 yıl 10 ayda emeklilik anlamına gelir.
En az 15 yıl (5.475 gün) prim biriktir; bunun 2 yılı hakkın doğduğu andan önceki 15 yıl içinde olmalı.
Prim hesabında yalnızca fiilen ödenen ya da yasal olarak ona eşdeğer sayılan primlerin geçerli olduğunu bil.
2026'da genel rejimde ortak riskler priminde işçi payı yüzde 4,70, işveren payı yüzde 23,60'tır; bu işçinin toplam kesintisi değildir, kuşaklar arası denge primi ve işsizlik primi ayrıca uygulanır.</t>
        </is>
      </c>
      <c r="P153" s="29" t="n"/>
      <c r="Q153" s="29" t="inlineStr">
        <is>
          <t>2026 için: 38 yıl 3 ay ve üstü prim: 65 yaş; daha az: 66 yıl 10 ay. 2027'den itibaren: 38 yıl 6 ay ve üstü: 65 yaş; daha az: 67 yaş.</t>
        </is>
      </c>
      <c r="R153" s="29" t="inlineStr">
        <is>
          <t>2026 için genel rejimde ortak riskler primi toplam yüzde 28,30: işveren yüzde 23,60, işçi yüzde 4,70. Ek olarak kuşaklar arası denge mekanizması primi 0,90 puan; işsizlik, ücret garanti fonu ve meslek eğitimi primleri ayrıca düzenlenir.</t>
        </is>
      </c>
      <c r="S153" s="29" t="inlineStr">
        <is>
          <t>Emeklilik yaşı yalnızca prim ödeyen (kayıtlı ya da kayıtlıya eşdeğer) çalışanlar için belirli özel durumlarda düşürülebilir ya da öne çekilebilir. Örnekler: mutualista olmayanlar için 61 yaştan erken emeklilik, kısmi emeklilik ve yüzde 45 ya da 65 ve üstü engellilik.</t>
        </is>
      </c>
      <c r="T153" s="29" t="n"/>
    </row>
    <row r="154" ht="54" customHeight="1">
      <c r="A154" s="29" t="inlineStr">
        <is>
          <t>malaga:bizum-nedir-nasil-kullanilir</t>
        </is>
      </c>
      <c r="B154" s="29" t="inlineStr">
        <is>
          <t>malaga</t>
        </is>
      </c>
      <c r="C154" s="29" t="inlineStr">
        <is>
          <t>bizum-nedir-nasil-kullanilir</t>
        </is>
      </c>
      <c r="D154" s="29" t="inlineStr">
        <is>
          <t>Bizum nedir, nasıl kullanılır, yanlış kişiye gönderirsem geri alabilir miyim?</t>
        </is>
      </c>
      <c r="E154" s="29" t="inlineStr">
        <is>
          <t>Bizum hesabı telefon numarana bağlar; Banco de España'nın 2021 tarihli yazısına göre bankalar komisyon almıyordu, işlem geri alınamaz</t>
        </is>
      </c>
      <c r="F154" s="29" t="inlineStr">
        <is>
          <t>Bizum, hesap numaranı cep telefonu numarana bağlayarak ödemeyi kolaylaştıran bir sistemdir. Banco de España'nın 20 Temmuz 2021 tarihli yazısına göre İspanyol bankalarının neredeyse tamamı bu hizmeti sunuyordu ve hiçbiri kullanım için komisyon uygulamıyordu; aynı yazıya göre ayrı bir Bizum uygulaması yoktur, hizmet her bankanın kendi uygulamasına entegredir ve ödemelerde banka uygulamasına girip SMS ile gelen OTP kodunu da girmek gerekiyordu. Aynı yazıya göre yanlış kişiye gönderdiğin Bizum geri alınamaz: tek seçenek o kişiyle iletişime geçip parayı geri göndermesini istemek ya da bankana başvurup parayı geri almak için gerekli girişimi yapmasını istemektir. Bu bilgiler 2021 tarihlidir.</t>
        </is>
      </c>
      <c r="G154" s="29" t="inlineStr">
        <is>
          <t>Bizum, anlık ödeme, telefon numarasıyla ödeme, Banco de España, OTP, ödeme yöntemleri, yanlış transfer</t>
        </is>
      </c>
      <c r="H154" s="29" t="inlineStr">
        <is>
          <t>new;settled</t>
        </is>
      </c>
      <c r="I154" s="29" t="inlineStr">
        <is>
          <t>malaga:kaynak:050</t>
        </is>
      </c>
      <c r="J154" s="49" t="n">
        <v>46319</v>
      </c>
      <c r="K154" s="51" t="n">
        <v>9036</v>
      </c>
      <c r="L154" s="29" t="inlineStr">
        <is>
          <t>Hayır</t>
        </is>
      </c>
      <c r="M154" s="29" t="inlineStr">
        <is>
          <t>Taslak</t>
        </is>
      </c>
      <c r="N154" s="29" t="inlineStr">
        <is>
          <t>malaga:para</t>
        </is>
      </c>
      <c r="O154" s="29" t="inlineStr">
        <is>
          <t>Banco de España'nın 2021 tarihli yazısına göre Bizum bankanın kendi mobil uygulamasından kullanılır; ayrı bir Bizum uygulaması yoktur.
Aynı yazıya göre ödemede banka uygulamasına girilir ve 2021'de SMS ile gelen OTP kodu da yazılıyordu.
Alıcıyı rehberinden seç; telefon numarasını elle yazmak yerine rehberden seçmen önerilir.
İki farklı telefon numaran varsa her birini farklı bir bankaya bağlayabilirsin (2021 tarihli yazıya göre).</t>
        </is>
      </c>
      <c r="P154" s="29" t="n"/>
      <c r="Q154" s="29" t="n"/>
      <c r="R154" s="29" t="inlineStr">
        <is>
          <t>Banco de España'nın 20 Temmuz 2021 tarihli yazısına göre bankalar Bizum kullanımı için komisyon uygulamıyordu.</t>
        </is>
      </c>
      <c r="S154" s="29" t="inlineStr">
        <is>
          <t>Banco de España'nın 2021 tarihli yazısına göre işlem tutarı en az 0,50, en çok 1.000 euro olabiliyordu ve ayda en çok 60 işlem alabiliyordun; bankalar bu sınırlardan daha düşük limit koyabilir.</t>
        </is>
      </c>
      <c r="T154" s="29" t="n"/>
    </row>
    <row r="155" ht="54" customHeight="1">
      <c r="A155" s="29" t="inlineStr">
        <is>
          <t>malaga:banka-ucretleri-ve-seffaflik-haklari</t>
        </is>
      </c>
      <c r="B155" s="29" t="inlineStr">
        <is>
          <t>malaga</t>
        </is>
      </c>
      <c r="C155" s="29" t="inlineStr">
        <is>
          <t>banka-ucretleri-ve-seffaflik-haklari</t>
        </is>
      </c>
      <c r="D155" s="29" t="inlineStr">
        <is>
          <t>Banka ücretleri (komisyonlar) serbest mi, bankalar bunları açıklamak zorunda mı?</t>
        </is>
      </c>
      <c r="E155" s="29" t="inlineStr">
        <is>
          <t>Komisyonlar serbest ama bankalar sık kullanılan hizmetlerin ücretini yayımlamak zorunda; temel ödeme hesabında üst sınır var</t>
        </is>
      </c>
      <c r="F155" s="29" t="inlineStr">
        <is>
          <t>Evet, banka komisyonları serbesttir: bir norm tutarı sınırlamadıkça (örneğin ipoteğin ya da tüketici kredisinin erken kapatılmasında) bankalar diledikleri tutarı alabilir. Bankalar müşterilerine en sık sundukları hizmetlerin alışılmış komisyonlarını internet sitelerinde ve ticari şubelerinde yayımlamak zorundadır; bu, karşılaştırmayı kolaylaştırmak içindir. Temel ödeme hesabında (cuenta de pago básica) kredi kuruluşunun alabileceği tek ve toplam komisyon ayda en çok 3 euro'dur; Banco de España bu tutarı iki yılda bir güncelleyebilir. Bu tutar hesabın açılışı, kullanımı ve kapatılması, euro nakit yatırma, ATM'den euro çekme, banka ya da ön ödemeli kartla ödeme ile AB içinde euro olarak yılda 120 ödeme işlemini (otomatik ödeme ve havale) kapsar.</t>
        </is>
      </c>
      <c r="G155" s="29" t="inlineStr">
        <is>
          <t>banka komisyonları, comisiones bancarias, banka ücretleri, cuenta de pago básica, temel ödeme hesabı, Banco de España, şeffaflık</t>
        </is>
      </c>
      <c r="H155" s="29" t="inlineStr">
        <is>
          <t>new;settled</t>
        </is>
      </c>
      <c r="I155" s="29" t="inlineStr">
        <is>
          <t>malaga:kaynak:051;malaga:kaynak:052</t>
        </is>
      </c>
      <c r="J155" s="49" t="n">
        <v>46319</v>
      </c>
      <c r="K155" s="51" t="n">
        <v>9037</v>
      </c>
      <c r="L155" s="29" t="inlineStr">
        <is>
          <t>Hayır</t>
        </is>
      </c>
      <c r="M155" s="29" t="inlineStr">
        <is>
          <t>Taslak</t>
        </is>
      </c>
      <c r="N155" s="29" t="inlineStr">
        <is>
          <t>malaga:para</t>
        </is>
      </c>
      <c r="O155" s="29" t="inlineStr">
        <is>
          <t>Hesap açmadan önce bankaların internet sitelerinde ve şubelerinde yayımladığı sık kullanılan hizmetlerin komisyon bilgilerini karşılaştır.
Komisyonun bir normla sınırlı olabileceğini bil: ipoteğin ve tüketici kredisinin erken kapatılması bunlardandır.
Temel ödeme hesabında bankanın alabileceği tek ve toplam komisyonun ayda 3 euro'yu aşamayacağını hatırla.
Temel ödeme hesabında yılda 120 ödeme işlemini aşarsan bankanın, yıl boyunca toplamda o işlem türü için uyguladığı ortalama komisyon ya da masraftan fazlasını sana yansıtamayacağını bil.</t>
        </is>
      </c>
      <c r="P155" s="29" t="n"/>
      <c r="Q155" s="29" t="n"/>
      <c r="R155" s="29" t="inlineStr">
        <is>
          <t>Temel ödeme hesabı: ayda en çok 3 euro (güncel tarife; Banco de España iki yılda bir güncelleyebilir). Diğer hesaplarda komisyonlar serbesttir.</t>
        </is>
      </c>
      <c r="S155" s="29" t="inlineStr">
        <is>
          <t>Temel ödeme hesabında bankan, başka bir bankanın ATM'sinden nakit çekmen nedeniyle o bankaya ödemesi gereken komisyonları sana yansıtabilir.</t>
        </is>
      </c>
      <c r="T155" s="29" t="n"/>
    </row>
    <row r="156" ht="54" customHeight="1">
      <c r="A156" s="29" t="inlineStr">
        <is>
          <t>malaga:beckham-yasasi-ozel-vergi-rejimi</t>
        </is>
      </c>
      <c r="B156" s="29" t="inlineStr">
        <is>
          <t>malaga</t>
        </is>
      </c>
      <c r="C156" s="29" t="inlineStr">
        <is>
          <t>beckham-yasasi-ozel-vergi-rejimi</t>
        </is>
      </c>
      <c r="D156" s="29" t="inlineStr">
        <is>
          <t>Beckham yasası (özel vergi rejimi) kimlere uygulanır, kaç yıl sürer?</t>
        </is>
      </c>
      <c r="E156" s="29" t="inlineStr">
        <is>
          <t>Taşınma yılı ile sonraki beş vergi dönemi boyunca uygulanır; son beş yılda İspanya'da mukim olmamak gerekir</t>
        </is>
      </c>
      <c r="F156" s="29" t="inlineStr">
        <is>
          <t>Özel vergi rejimi, taşınma yılı ile sonraki beş vergi dönemi boyunca uygulanır (Renta 2025 kılavuzuna göre). Rejim, taşınmaları sonucu İspanya'da vergi mukimi olan ve gelir vergisini Mukim Olmayanlar Gelir Vergisi'nin özel kurallarıyla ödemeyi seçen kişiler içindir; bu süre boyunca IRPF mükellefi kalırlar. Taşınmadan önceki beş vergi döneminde İspanya'da mukim olmamış olmak gerekir; bu beş dönem hesabında taşınma yılı değil, İspanya'da mukimlik kazanılan yıl esas alınır ve süre 1 Ocak 2023'ten beri on yıldan beş yıla indirildi. Taşınma bir iş sözleşmesi, uzaktan çalışma, şirket yöneticiliği, girişimci faaliyet ya da yüksek nitelikli uzman olarak çalışma nedeniyle olmalıdır. Genel gelir tabanına 600.000 euroya kadar yüzde 24, üstüne yüzde 47 oranı uygulanır.</t>
        </is>
      </c>
      <c r="G156" s="29" t="inlineStr">
        <is>
          <t>Beckham yasası, özel vergi rejimi, trabajadores desplazados, yerleşik olmayan vergisi, IRNR, uzaktan çalışma vizesi, ENISA, Renta 2025</t>
        </is>
      </c>
      <c r="H156" s="29" t="inlineStr">
        <is>
          <t>planning;new</t>
        </is>
      </c>
      <c r="I156" s="29" t="inlineStr">
        <is>
          <t>malaga:kaynak:053;malaga:kaynak:054</t>
        </is>
      </c>
      <c r="J156" s="49" t="n">
        <v>46319</v>
      </c>
      <c r="K156" s="51" t="n">
        <v>9038</v>
      </c>
      <c r="L156" s="29" t="inlineStr">
        <is>
          <t>Hayır</t>
        </is>
      </c>
      <c r="M156" s="29" t="inlineStr">
        <is>
          <t>Taslak</t>
        </is>
      </c>
      <c r="N156" s="29" t="inlineStr">
        <is>
          <t>malaga:para</t>
        </is>
      </c>
      <c r="O156" s="29" t="inlineStr">
        <is>
          <t>Taşınmadan önceki beş vergi döneminde İspanya'da vergi mukimi olmadığını kontrol et.
Taşınma nedeninin şartlardan biri olduğundan emin ol: İspanya'daki işverenle başlayan iş ilişkisi, işverenin görevlendirme mektubuyla emri, yalnızca bilişim ve telekomünikasyon araçlarıyla uzaktan çalışma (ücretli çalışanlar için uluslararası uzaktan çalışma vizesi olanlar dahil), şirket yöneticiliği, girişimci faaliyet ya da yüksek nitelikli uzman çalışması.
Girişimci faaliyet için taşınacaksan ENISA'nın olumlu raporunu al.
Girişimci faaliyet için taşınacaksan oturum iznin taşınmadan önce alınmış olmalıdır. Yüksek nitelikli uzmanda AEAT kılavuzu şunu söylüyor: taşınmadan önce oturum izni varsa nitelik şartı sağlanmış sayılır.
İspanya'daki kalıcı işyeri (establecimiento permanente) yoluyla elde edilen gelirin olmamasına dikkat et; girişimci ve yüksek nitelikli uzman faaliyetleri bunun istisnasıdır.</t>
        </is>
      </c>
      <c r="P156" s="29" t="inlineStr">
        <is>
          <t>İşverenin görevlendirme mektubu (işverenin emriyle taşınmada)
ENISA'nın olumlu raporu (girişimci faaliyet için)
Oturum izni (girişimci faaliyet için taşınmadan önce; yüksek nitelikli uzmanda taşınmadan önce varsa nitelik şartı sağlanmış sayılır)</t>
        </is>
      </c>
      <c r="Q156" s="29" t="inlineStr">
        <is>
          <t>Taşınma yılı ile sonraki beş vergi dönemi (Renta 2025 kılavuzuna göre).</t>
        </is>
      </c>
      <c r="R156" s="29" t="inlineStr">
        <is>
          <t>Genel gelir tabanı: 600.000 euroya kadar yüzde 24, 600.000,01 euro ve üstü yüzde 47. Tasarruf gelirleri (temettü, faiz, değer artış kazançları) için ayrı ölçek: yüzde 19'dan yüzde 30'a.</t>
        </is>
      </c>
      <c r="S156" s="29" t="inlineStr">
        <is>
          <t>Yüksek nitelikli uzman iki koldan biriyle girer: (a) Ley 28/2022'deki yeni girişim şirketlerine (empresa emergente) hizmet veren uzman; (b) eğitim, araştırma, geliştirme ve yenilik faaliyeti yürüten ve bu faaliyetten aldığı ücret işletme, serbest meslek ve ücret gelirlerinin toplamının yüzde 40'ından fazla olan uzman. Şirket yöneticiliğinde şirket varlık yönetim şirketi (entidad patrimonial) ise yöneticinin sermaye payı yüzde 25'ten az olmalıdır.</t>
        </is>
      </c>
      <c r="T156" s="29" t="n"/>
    </row>
    <row r="157" ht="54" customHeight="1">
      <c r="A157" s="29" t="inlineStr">
        <is>
          <t>malaga:endulus-gelir-vergisi-irpf-bolge-dilimleri-ve-indirimleri</t>
        </is>
      </c>
      <c r="B157" s="29" t="inlineStr">
        <is>
          <t>malaga</t>
        </is>
      </c>
      <c r="C157" s="29" t="inlineStr">
        <is>
          <t>endulus-gelir-vergisi-irpf-bolge-dilimleri-ve-indirimleri</t>
        </is>
      </c>
      <c r="D157" s="29" t="inlineStr">
        <is>
          <t>Endülüs'te gelir vergisinin (IRPF) bölge dilimleri nelerdir, bölgesel indirimler hangileri?</t>
        </is>
      </c>
      <c r="E157" s="29" t="inlineStr">
        <is>
          <t>Genel matraha beş dilimli bölge cetveli uygulanır (%9,5 ile %22,5 arası); Renta 2025 için bölgesel indirimler listelidir</t>
        </is>
      </c>
      <c r="F157" s="29" t="inlineStr">
        <is>
          <t>Endülüs, genel matrah (base liquidable general) için beş dilimli bir bölge cetveli uygular: 13.000 euroya kadar %9,5; 13.000 ile 21.100 euro arası %12; 21.100 ile 35.200 euro arası %15; 35.200 ile 60.000 euro arası %18,5; 60.000 euronun üstü %22,5. Cetvel Ley 5/2021 md. 23'tedir ve Decreto-ley 7/2022 ile değişen hâliyle 1 Ocak 2022'den beri etkilidir. Junta'nın Renta 2025 sayfası (beyan dönemi 8 Nisan – 30 Haziran 2026) bölgesel indirimleri sayar: konut kirası, doğum ve evlat edinme, büyük aile, eğitim giderleri, engellilik, spor, veteriner gideri ve diğerleri.</t>
        </is>
      </c>
      <c r="G157" s="29" t="inlineStr">
        <is>
          <t>IRPF, gelir vergisi, Endülüs bölge dilimi, escala autonómica, deducciones autonómicas, Renta 2025, Ley 5/2021</t>
        </is>
      </c>
      <c r="H157" s="29" t="inlineStr">
        <is>
          <t>planning;new;settled</t>
        </is>
      </c>
      <c r="I157" s="29" t="inlineStr">
        <is>
          <t>malaga:kaynak:130;malaga:kaynak:131</t>
        </is>
      </c>
      <c r="J157" s="49" t="n">
        <v>46319</v>
      </c>
      <c r="K157" s="51" t="n">
        <v>9097</v>
      </c>
      <c r="L157" s="29" t="inlineStr">
        <is>
          <t>Hayır</t>
        </is>
      </c>
      <c r="M157" s="29" t="inlineStr">
        <is>
          <t>Taslak</t>
        </is>
      </c>
      <c r="N157" s="29" t="inlineStr">
        <is>
          <t>malaga:para</t>
        </is>
      </c>
      <c r="O157" s="29" t="inlineStr">
        <is>
          <t>Gelirinin genel matrahını (base liquidable general) belirle ve Endülüs cetvelinin dilimlerine göre yerleştir.
Renta 2025 beyanında Junta'nın listelediği bölgesel indirimlerden durumuna uyanları seç: kira, doğum ve evlat edinme, büyük aile, eğitim, engellilik, spor, veteriner gideri ve diğerleri.
Her indirimin şartları ve tutarı Ley 5/2021 md. 9–23 bis'te yazılıdır; indirimin hangi maddede olduğuna Junta sayfasındaki BOE konsolide metin bağlantılarından ulaş.</t>
        </is>
      </c>
      <c r="P157" s="29" t="n"/>
      <c r="Q157" s="29" t="inlineStr">
        <is>
          <t>Renta 2025: beyan sunumu 8 Nisan – 30 Haziran 2026. Bölge cetveli 1 Ocak 2022'den beri geçerli.</t>
        </is>
      </c>
      <c r="R157" s="29" t="n"/>
      <c r="S157" s="29" t="inlineStr">
        <is>
          <t>Bu cetvel yalnız genel matraha uygulanan bölgesel paydır. Gelir vergisi devlet vergisidir; tahsilatının %50'si ortak rejimdeki özerk bölgelere devredilmiştir (Endülüs'e özgü bir oran değildir). Endülüs'ün bu vergideki yetkileri Ley 5/2021 md. 9–23 bis'te düzenlenir; kişisel ve ailevi asgari tutarlar da bunlara dahildir. İndirim tutarları Junta sayfasında yoktur; her indirim için tutar ve şart ilgili madde metnindedir.</t>
        </is>
      </c>
      <c r="T157" s="29" t="n"/>
    </row>
    <row r="158" ht="54" customHeight="1">
      <c r="A158" s="29" t="inlineStr">
        <is>
          <t>malaga:endulus-ikinci-el-konut-alimi-itp-indirimli-oranlar</t>
        </is>
      </c>
      <c r="B158" s="29" t="inlineStr">
        <is>
          <t>malaga</t>
        </is>
      </c>
      <c r="C158" s="29" t="inlineStr">
        <is>
          <t>endulus-ikinci-el-konut-alimi-itp-indirimli-oranlar</t>
        </is>
      </c>
      <c r="D158" s="29" t="inlineStr">
        <is>
          <t>Endülüs'te konut alırken devir vergisinde (ITP) hangi indirimli oranlar var, şartları nedir?</t>
        </is>
      </c>
      <c r="E158" s="29" t="inlineStr">
        <is>
          <t>Yerleşik konut olması ve değer sınırı şartıyla %6 ve %3,5 oranları; sınır 150.000 ya da 250.000 euro; borrasca hasarı için ayrı %0 oranı</t>
        </is>
      </c>
      <c r="F158" s="29" t="inlineStr">
        <is>
          <t>Evet, şartla indirimli oran var. Devir vergisinin (Impuesto sobre Transmisiones Patrimoniales y Actos Jurídicos Documentados) Transmisiones Patrimoniales Onerosas (ITP) modalitesinde, konut alıcının yerleşik konutu (vivienda habitual) olacaksa ve değeri 150.000 euroyu aşmıyorsa oran %6'dır. %3,5 oranı üç ayrı maddede geçer. Birincisi: alıcı 35 yaşından küçükse ya da aile içi şiddet veya terör mağduruysa, konut yerleşik konutu olmalı ve değeri en çok 150.000 euro olmalı; satın alınan taşınmaz nüfus kaybı sorunu olan bir belediyede bulunuyorsa da aynı %3,5 oranı için konut yerleşik konutu olmalı ve değeri en çok 150.000 euro olmalı. İkincisi: alıcı ya da çekirdek ailesinden biri engelliyse, konut yerleşik konutu olmalı ve değeri en çok 250.000 euro olmalı. Üçüncüsü: alıcı büyük aile (familia numerosa) üyesiyse, konut ailesinin yerleşik konutu olmalı ve değeri en çok 250.000 euro olmalı. Decreto-ley 1/26 (borrasca hasarı için vergi desteği) ayrıca %0 oran getirir: hasar nedeniyle onarılamayan konutun yerine alınan ve alıcının yerleşik konutu olacak konut için. Konut dışı kullanım için hasarlı yapının yerine alınan taşınmazlarda ise oran %3,5'tir. Bu iki istisna Decreto-ley'in kapsadığı bölgedeki hasarlar için geçerlidir.</t>
        </is>
      </c>
      <c r="G158" s="29" t="inlineStr">
        <is>
          <t>ITP, devir vergisi, konut alımı, indirimli oran, vivienda habitual, 35 yaş altı, familia numerosa, Endülüs</t>
        </is>
      </c>
      <c r="H158" s="29" t="inlineStr">
        <is>
          <t>planning;new</t>
        </is>
      </c>
      <c r="I158" s="29" t="inlineStr">
        <is>
          <t>malaga:kaynak:132;malaga:kaynak:130</t>
        </is>
      </c>
      <c r="J158" s="49" t="n">
        <v>46319</v>
      </c>
      <c r="K158" s="51" t="n">
        <v>9098</v>
      </c>
      <c r="L158" s="29" t="inlineStr">
        <is>
          <t>Hayır</t>
        </is>
      </c>
      <c r="M158" s="29" t="inlineStr">
        <is>
          <t>Taslak</t>
        </is>
      </c>
      <c r="N158" s="29" t="inlineStr">
        <is>
          <t>malaga:para</t>
        </is>
      </c>
      <c r="O158" s="29" t="inlineStr">
        <is>
          <t>Konutu yerleşik konut olarak kullanıp kullanmayacağını ve konutun değerinin sınırların altında kalıp kalmadığını belirle.
Durumuna uyan oranı seç: %6 için değer en çok 150.000 euro; %3,5 için 35 yaş altı, mağdur ya da taşınmazın nüfus kaybı sorunu olan bir belediyede bulunması durumunda 150.000 euro, engelli ve büyük aile durumunda 250.000 euro.
Birden fazla kişiyle alıyorsan indirimli oran, şartı taşıyanın payına uygulanır; evli çiftte ya da kayıtlı partnerlerde yaş ve engellilik şartını eşlerden en az birinin taşıması yeterlidir.
Hasar nedeniyle onarılamayan bir konutun yerine yerleşik konut alıyorsan Decreto-ley 1/26'nın %0 oranı için yeni konutun senin yerleşik konutun olacağını ve yerine geçtiği konutun hasar nedeniyle onarılamaz olduğunu (tamamen ya da kısmen yıkılmış, ruin ilan edilmiş ya da yıkılması gereken) kontrol et.</t>
        </is>
      </c>
      <c r="P158" s="29" t="n"/>
      <c r="Q158" s="29" t="inlineStr">
        <is>
          <t>2026 işlemleri için; sayfada tarih belirtilmemiştir.</t>
        </is>
      </c>
      <c r="R158" s="29" t="inlineStr">
        <is>
          <t>%6, %3,5 ya da (Decreto-ley 1/26 kapsamında) %0 oranı (şarta göre)</t>
        </is>
      </c>
      <c r="S158" s="29" t="inlineStr">
        <is>
          <t>Bu kart yalnız indirimli oranları anlatır; genel oran kartta yer almaz. Nüfus kaybı riski taşıyan belediyeler her yıl bir kararda (Resolución) listelenir; 2026 işlemleri için de liste vardır.</t>
        </is>
      </c>
      <c r="T158" s="29" t="n"/>
    </row>
    <row r="159" ht="54" customHeight="1">
      <c r="A159" s="29" t="inlineStr">
        <is>
          <t>malaga:malaga-emlak-vergisi-ibi-kim-oder-oran-ve-odeme-takvimi</t>
        </is>
      </c>
      <c r="B159" s="29" t="inlineStr">
        <is>
          <t>malaga</t>
        </is>
      </c>
      <c r="C159" s="29" t="inlineStr">
        <is>
          <t>malaga-emlak-vergisi-ibi-kim-oder-oran-ve-odeme-takvimi</t>
        </is>
      </c>
      <c r="D159" s="29" t="inlineStr">
        <is>
          <t>Málaga'da emlak vergisi (IBI) kim öder, oranı kaç, ne zaman ödenir?</t>
        </is>
      </c>
      <c r="E159" s="29" t="inlineStr">
        <is>
          <t>1 Ocak'ta mülkün maliki yılın tamamını öder; 2024'te genel kentsel oran %0,4510; 2026 ödeme dönemleri bitti (son gün 5 Ekim)</t>
        </is>
      </c>
      <c r="F159" s="29" t="inlineStr">
        <is>
          <t>IBI'yi her yıl 1 Ocak'ta mülkün maliki, intifa veya yüzey hakkı sahibi ya da idari imtiyaz (concesión administrativa) sahibi olan kişi öder; birden fazla malik varsa idareye karşı hepsi müteselsil sorumludur. Málaga'da vergiyi belediyenin vergi kurumu Gestrisam (Organismo Autónomo de Gestión Tributaria) yönetir. Matrah, Catastro'nun belirlediği katastro değeridir (valor catastral). 2024 oranlarına göre genel kentsel oran %0,4510, kırsal mülkte %0,6543, özel nitelikli mülkte %1,3'tür. Gönüllü ödeme 2026'da iki dönemdi: 1 Nisan - 5 Haziran ve 3 Ağustos - 5 Ekim; ikisi de bitti. Vergi yıllık ve bölünmez: yıl içinde satsan bile 1 Ocak'ta malik olan o yılın tamamını öder, alıcı ertesi yıldan itibaren öder.</t>
        </is>
      </c>
      <c r="G159" s="29" t="inlineStr">
        <is>
          <t>IBI, emlak vergisi, Impuesto sobre Bienes Inmuebles, Gestrisam, valor catastral, domiciliación, Málaga belediye vergisi</t>
        </is>
      </c>
      <c r="H159" s="29" t="inlineStr">
        <is>
          <t>new;settled</t>
        </is>
      </c>
      <c r="I159" s="29" t="inlineStr">
        <is>
          <t>malaga:kaynak:175;malaga:kaynak:177</t>
        </is>
      </c>
      <c r="J159" s="49" t="n">
        <v>46322</v>
      </c>
      <c r="K159" s="51" t="n">
        <v>600</v>
      </c>
      <c r="L159" s="29" t="inlineStr">
        <is>
          <t>Evet</t>
        </is>
      </c>
      <c r="M159" s="29" t="inlineStr">
        <is>
          <t>Taslak</t>
        </is>
      </c>
      <c r="N159" s="29" t="inlineStr">
        <is>
          <t>malaga:para</t>
        </is>
      </c>
      <c r="O159" s="29" t="inlineStr">
        <is>
          <t>1 Ocak'ta mülkün maliki olup olmadığına bak: satış yıl ortasında olsa bile idare karşısında o tarihteki malik öder, alıcıyla yaptığın özel paylaşım anlaşması idareye karşı geçerli olmaz.
Makbuzu bankadan çektirmediysen kentsel mülk için 2026 gönüllü ödeme dönemleri 1 Nisan - 5 Haziran (%50) ve 3 Ağustos - 5 Ekim (%50) idi; ikinci dönem 5 Ekim'de bitti, ilk dönem 5 Haziran'da bitmişti.
Makbuzu bankadan çektirmek istiyorsan 2026 takvimindeki çekim tarihleri 5 Haziran, 5 Ağustos, 5 Ekim ve 9 Aralık'tır (%25'er); talep edersen iki taksit (5 Haziran ve 5 Ekim, %50'şer) ya da altı taksit (5 Haziran, 6 Temmuz, 5 Ağustos, 5 Ekim, 5 Kasım, 9 Aralık) seçebilirsin.
Gönüllü ödeme dönemi bitince ödenmeyen makbuz icra yoluna (vía ejecutiva) geçer ve zam ile gecikme faizi eklenir.
Mülk el değiştirdiyse ya da yapısı değiştiyse Catastro'ya 900D beyannamesini değişiklikten sonraki iki ay içinde ver; modeli Catastro'nun web sayfasından alabilirsin.
Büyük aile indirimi, güneş enerjisi indirimi, mülkiyet devri (cambio de titularidad) ve Flexipago gibi IBI işlemlerini belediyenin Sede Electrónica'sından yap; belediye işlemleri yalnız bu kanaldan yürüyor.</t>
        </is>
      </c>
      <c r="P159" s="29" t="n"/>
      <c r="Q159" s="29" t="inlineStr">
        <is>
          <t>2026 takvimi, kentsel mülk, makbuzu bankadan çekilmeyen: 1 Nisan - 5 Haziran (%50) ve 3 Ağustos - 5 Ekim (%50); iki dönem de bitti. Bankadan çekilecek makbuzlarda son çekim tarihi 9 Aralık.</t>
        </is>
      </c>
      <c r="R159" s="29" t="inlineStr">
        <is>
          <t>2024 oranları: genel kentsel %0,4510, kırsal %0,6543, özel nitelikli mülk %1,3. Belediye, hesaplandığında 6 euronun altında kalan vergi borcu için tahakkuk çıkarmaz; yani bu tutar senden istenmez.</t>
        </is>
      </c>
      <c r="S159" s="29" t="inlineStr">
        <is>
          <t>Ticari, ofis, sanayi gibi konut dışı kentsel kullanımlarda katastro değeri belirli bir eşiği aşan mülklere 2024'te ayrı oranlar uygulandı; örneğin ticari kullanımda 206.455,15 euro ve üstü için %0,9.</t>
        </is>
      </c>
      <c r="T159" s="29" t="n"/>
    </row>
    <row r="160" ht="54" customHeight="1">
      <c r="A160" s="29" t="inlineStr">
        <is>
          <t>malaga:malaga-arac-vergisi-ivtm-odeme-satis-ve-terk</t>
        </is>
      </c>
      <c r="B160" s="29" t="inlineStr">
        <is>
          <t>malaga</t>
        </is>
      </c>
      <c r="C160" s="29" t="inlineStr">
        <is>
          <t>malaga-arac-vergisi-ivtm-odeme-satis-ve-terk</t>
        </is>
      </c>
      <c r="D160" s="29" t="inlineStr">
        <is>
          <t>Málaga'da araç vergisi (IVTM) kime düşer, ne zaman ödenir, aracı satınca ya da terk edince vergi nasıl durur?</t>
        </is>
      </c>
      <c r="E160" s="29" t="inlineStr">
        <is>
          <t>Trafik sicilinde adına kayıtlı olan öder; 2026'da ödeme dönemi 2 Mart - 6 Mayıs, bankadan çekim 6 Temmuz idi, ikisi de geçti</t>
        </is>
      </c>
      <c r="F160" s="29" t="inlineStr">
        <is>
          <t>IVTM'yi trafik sicilinde (Jefatura Provincial de Tráfico) adına kayıtlı araç sahibi öder ve vergi araç sicilden silinene kadar sürer. Tutar belediyeden belediyeye değişir; Málaga'da tarife belediyenin yönetmeliğinde yıllık ve aracın tescil edildiği takvim çeyreğine göre belirlenir, 2026 tarife belgesini Gestrisam sayfasında yayımlıyor. Verginin hangi belediyeye ödeneceğini aracın kayıtlı adresi belirler. İlk edinme, kesin terk ve çalınma durumlarında yıllık tutar çeyrek dönemlere göre orantılanabilir.</t>
        </is>
      </c>
      <c r="G160" s="29" t="inlineStr">
        <is>
          <t>IVTM, araç vergisi, impuesto de circulación, Impuesto sobre Vehículos de Tracción Mecánica, Gestrisam, baja de vehículo, notificación de venta, Tráfico</t>
        </is>
      </c>
      <c r="H160" s="29" t="inlineStr">
        <is>
          <t>new;settled</t>
        </is>
      </c>
      <c r="I160" s="29" t="inlineStr">
        <is>
          <t>malaga:kaynak:176;malaga:kaynak:177</t>
        </is>
      </c>
      <c r="J160" s="49" t="n">
        <v>46322</v>
      </c>
      <c r="K160" s="51" t="n">
        <v>601</v>
      </c>
      <c r="L160" s="29" t="inlineStr">
        <is>
          <t>Hayır</t>
        </is>
      </c>
      <c r="M160" s="29" t="inlineStr">
        <is>
          <t>Taslak</t>
        </is>
      </c>
      <c r="N160" s="29" t="inlineStr">
        <is>
          <t>malaga:para</t>
        </is>
      </c>
      <c r="O160" s="29" t="inlineStr">
        <is>
          <t>Yeni araç tescilinde önce IVTM autoliquidación'ını belediyenin Sede Electrónica'sındaki 'IVTM. Autoliquidación del impuesto' işlemiyle öde: Jefatura Provincial de Tráfico ödenmiş autoliquidación olmadan aracı tescil etmez; sonra ödeme belgesi ve tescil için gereken evrakla Tráfico'nun araç gişesine git.
Aracı sattıysan ve makbuzlar sana gelmeye devam ediyorsa satış bildirimini (notificación de venta) imzalı satış sözleşmesiyle Tráfico'ya ver; bildirim gününden sonra belediye sana yeni makbuz kesmez, önceden kesilenler eski sahip adına kalır.
Aracı kesin terk edeceksen otomobil, en çok 9 kişilik otobüs ve 3,5 tona kadar yük aracı gibi araçları yetkili işleme merkezine (centro autorizado de tratamiento) teslim etmek zorundasın; merkez Tráfico'da kaydı siler ve imha belgesi verir. Bu sınıfa girmeyen araçların kesin terki merkezde ya da doğrudan Tráfico'da yapılabilir; yurt dışına çıkış nedeniyle kesin terk Tráfico'ya verilir. Merkezlerden biri: Scrap Yard S.L., Ctra. Azucarera-Intelhorce 11A (Pol. Ind. Guadalhorce, 29004 Málaga), tel 952 24 15 51.
Kesin terkte vergi borcunun ödendiğini kanıtlaman gerekmez, ama terk ettiğin yılın vergisi sana kalır; vergi çeyreklere göre orantılanır ve yılın tamamını ödediysen terk ya da çalınma sonrası boş kalan çeyrekler için iade isteyebilirsin. Terk tarihi Tráfico'ya bildirdiğin gün ya da imha belgesinin tarihidir.
Adres değiştirdiysen önce belediye kaydını (empadronamiento) güncelle, sonra Tráfico'ya ya da Málaga belediyesinin OMAC bürolarına ve Gestión Tributaria'ya git; aracın adresini padrón belgesi (volante de empadronamiento) ya da sahibinin DNI fotokopisiyle kanıtlarsın.
Araç çalındıysa polise ya da Guardia Civil'e şikâyet et ve Tráfico'da geçici kayıt silmeyi (baja temporal) yaptır; yalnız şikâyet yetmez.</t>
        </is>
      </c>
      <c r="P160" s="29" t="inlineStr">
        <is>
          <t>IVTM autoliquidación ödeme belgesi (ilk tescilde)
Satış sözleşmesi (satış bildiriminde)
Padrón belgesi (volante de empadronamiento) ya da sahibinin DNI fotokopisi (araç adresini kanıtlamak için)</t>
        </is>
      </c>
      <c r="Q160" s="29" t="inlineStr">
        <is>
          <t>2026 (geçti): ödeme dönemi 2 Mart - 6 Mayıs; bankadan çekim 6 Temmuz. Birden fazla aracın yıllık toplam vergisi 300 euro ya da üstüyse çekim iki taksitti: 6 Temmuz (%50) ve 5 Ekim (%50). Gönüllü dönem bittikten sonra ödenmeyen makbuz icra yoluna geçer; zam ve gecikme faizi eklenir.</t>
        </is>
      </c>
      <c r="R160" s="29" t="inlineStr">
        <is>
          <t>Tutar Málaga belediyesinin tarifesine ve aracın tescil edildiği takvim çeyreğine göre belirlenir.</t>
        </is>
      </c>
      <c r="S160" s="29" t="inlineStr">
        <is>
          <t>Bireyler arası satışta önce alıcıyla ortak devir yapılır; bu olmazsa satış bildirimi verilir, Tráfico alıcıyı yeni malik olarak kaydeder ve alıcı 30 gün içinde araç belgesini kendi adına çıkarmalıdır; o süre içinde araç yola çıkamaz ve 30 gün geçerse araç hareketsiz hâle getirilir (inmovilización). Aracı ticarethaneye (concesionario ya da compraventa) sattıysan Tráfico geçici kayıt silme (baja temporal) yazar; alıcı ruhsatı yenileyene kadar araç yola çıkamaz.</t>
        </is>
      </c>
      <c r="T160" s="29" t="n"/>
    </row>
    <row r="161" ht="54" customHeight="1">
      <c r="A161" s="29" t="inlineStr">
        <is>
          <t>malaga:malaga-plusvalia-arsa-deger-artisi-vergisi-beyani</t>
        </is>
      </c>
      <c r="B161" s="29" t="inlineStr">
        <is>
          <t>malaga</t>
        </is>
      </c>
      <c r="C161" s="29" t="inlineStr">
        <is>
          <t>malaga-plusvalia-arsa-deger-artisi-vergisi-beyani</t>
        </is>
      </c>
      <c r="D161" s="29" t="inlineStr">
        <is>
          <t>Málaga'da ev satarken ya da miras alırken Plusvalía (arsa değer artışı vergisi) nasıl beyan edilir ve ödenir?</t>
        </is>
      </c>
      <c r="E161" s="29" t="inlineStr">
        <is>
          <t>Satışta satıcı, miras ve bağışta alan öder; satışta 30 iş günü, mirasta 6 ay içinde autoliquidación gerekir</t>
        </is>
      </c>
      <c r="F161" s="29" t="inlineStr">
        <is>
          <t>Plusvalía (resmî adı IIVTNU), kentsel arsanın devrinde ortaya çıkan değer artışına konan belediye vergisidir; satışta (compraventa) vergiyi satıcı, miras ve bağışta malı alan öder. Beyan ve ödemeyi (autoliquidación) belediyenin Sede Electrónica'sındaki Plusvalía işlemiyle ya da Gestrisam ofisinde randevu alarak yaparsın. Satışta ve bağışta autoliquidación, devir tarihinden (noter senedinin düzenlendiği ya da özel bir belgenin resmî sicile girdiği tarih) itibaren 30 iş günü içinde, mirasta ölüm tarihinden itibaren 6 ay içinde yapılır; mirasta süre dolmadan istenirse bir yıla uzatılır. Matrah, IBI'deki arsa değeriyle yıllara göre değişen bir katsayıdan çıkar; satış ve alış arasındaki arsa değeri farkı daha düşükse bu farkın esas alınmasını isteyebilirsin. Ödeyeceğin tutarı elektronik sertifika gerektirmeyen bir simülasyon programıyla önceden görebilirsin.</t>
        </is>
      </c>
      <c r="G161" s="29" t="inlineStr">
        <is>
          <t>Plusvalía, IIVTNU, arsa değer artışı vergisi, miras vergisi, ev satışı, autoliquidación, Gestrisam, Málaga</t>
        </is>
      </c>
      <c r="H161" s="29" t="inlineStr">
        <is>
          <t>planning;new;settled</t>
        </is>
      </c>
      <c r="I161" s="29" t="inlineStr">
        <is>
          <t>malaga:kaynak:179;malaga:kaynak:242</t>
        </is>
      </c>
      <c r="J161" s="49" t="n">
        <v>46322</v>
      </c>
      <c r="K161" s="51" t="n">
        <v>602</v>
      </c>
      <c r="L161" s="29" t="inlineStr">
        <is>
          <t>Hayır</t>
        </is>
      </c>
      <c r="M161" s="29" t="inlineStr">
        <is>
          <t>Taslak</t>
        </is>
      </c>
      <c r="N161" s="29" t="inlineStr">
        <is>
          <t>malaga:para</t>
        </is>
      </c>
      <c r="O161" s="29" t="inlineStr">
        <is>
          <t>Simülasyon programına katastro referansını ve IBI makbuzundaki sabit numarayı (número fijo del IBI) gir; program hem objektif hem doğrudan yöntemin matrahını gösterir.
Autoliquidación'ı belediyenin Sede Electrónica'sındaki Plusvalía işlemiyle ver. Elektronik başvuru zorunluluğu olmayan gerçek kişiler Gestrisam ofisinde (Av. Sor Teresa Prat 17, 29003 Tabacalera) randevu (cita previa) alarak ya da Ley 39/2015 md. 16'daki kayıt yerlerinden birinde de yapabilir; Plusvalía için randevu şarttır, randevuyu Gestrisam sayfasından ya da 951 92 60 10 numarasından alırsın.
Mirasta kayıt yeri yolunu seçtiysen ve ödenecek tutar çıkıyorsa, önce Gestión Tributaria ofisinden randevuyla ödeme için gereken referans numarasını al, sonra tutarı bankada öde.
Doğrudan yöntemi (satış ve alış arasındaki arsa değeri farkı) ya da değer artışının olmadığını savunacaksan bunu autoliquidación'da belirt ve önceki edinme senedini ekle.
Ölenin sürekli oturduğu konutu çocukları (evlatlıklar dahil), eşi ya da anne babası (evlat edinenler dahil) miras alıyorsa Sede Electrónica'daki miras işlemi indirimi (bonificación) uygulamana izin verir; şartlar aşağıdaki notta.
Ödemeyi sürenin içinde yap: geç beyanda zam işler, gecikme 12 ayı aşarsa gecikme faizi de eklenir.</t>
        </is>
      </c>
      <c r="P161" s="29" t="inlineStr">
        <is>
          <t>Satış ya da bağış senedinin (devir belgesinin) basit kopyası; senette önceki mülkiyet senedi yoksa onun fotokopisi
Doğrudan yöntem için önceki edinme senedinin aslının basit kopyası ve fotokopisi
Doğrudan yöntem için, devredilen ya da önceki edinilen mal bedelsiz (miras ya da bağışla) el değiştirdiyse veraset ve bağış vergisi beyanları (modelo 660 ve 651); normal alım-satımda bu belge istenmez
Miras için: miras paylaşım senedinin (escritura de adjudicación de herencia) basit kopyası
Miras senedi yoksa: mirasçıların kimlik belgesi (DNI/NIF), ölüm belgesi, varsa özel paylaşım defteri (cuaderno particional), son irade belgesi (certificado de actos de última voluntad), vasiyet ya da veraset beyanı, taşınmazların edinim senetlerinin kopyası, veraset ve bağış vergisi beyanının kopyası</t>
        </is>
      </c>
      <c r="Q161" s="29" t="inlineStr">
        <is>
          <t>Satış ve bağışta devir tarihinden (noter senedi ya da özel belgenin resmî sicile girdiği tarih) itibaren 30 iş günü; mirasta ölüm tarihinden itibaren 6 ay (süre bitmeden istenirse bir yıla kadar uzatılır).</t>
        </is>
      </c>
      <c r="R161" s="29" t="inlineStr">
        <is>
          <t>Gecikmede zam ilk günden işler: 1 aydan az gecikmede %1, sonra her tam ay için %1 daha (1 ay: %2 ... 11 ay: %12); 12 ay ve sonrası %15 artı gecikme faizi. Borcu ödeme süresi içinde ödersen zam %25 azalır.</t>
        </is>
      </c>
      <c r="S161" s="29" t="inlineStr">
        <is>
          <t>Ölenin sürekli oturduğu konutu altsoyu ve evlatlıkları, eşi, üstsoyu ve evlat edinenleri miras alırsa katastro değerine göre indirim vardır: 100.000 euro altında %95, 100.000-150.000 euro arası %80, 150.000,01-200.000 euro arası %70, 200.000,01-250.000 euro arası %50, 250.000 euro üstü %25. Şart: ölenle ölümden önceki iki yıl birlikte yaşamış olmak ve edinimi sonraki iki yıl elde tutmak. Birlikte yaşama padrónla kanıtlanır; aynı bina ya da bitişik parselde oturma, ölenin bakım kurumuna yatışı ya da belgelenmiş bir birlikte yaşam da birlikte yaşama sayılır. Birlikte yaşama kanıtlanamazsa ve konutun katastro değeri en çok 150.000 euroysa indirim %25'tir. Ayrı kural: konutta kayıtlı mirasçı İspanya'daki bir kurumdan emekli aylığı alan, SAE'de (ya da başka özerk bölgedeki eşdeğer kurumda) iş arayan olarak kayıtlı işsiz, 30 yaş altı, engelli ya da cinsiyet temelli şiddet mağduruysa ve mirasçı ile konutta kayıtlı kişilerin toplam geliri (ölen hariç) yıllık IPREM (14 maaş) x 1,7'yi aşmıyorsa indirim %95'tir; bu durumda konutu 4 yıl elde tutmalı ve bu sürede kayıtlı adresini başka yere taşımamalısın.</t>
        </is>
      </c>
      <c r="T161" s="29" t="n"/>
    </row>
    <row r="162" ht="54" customHeight="1">
      <c r="A162" s="29" t="inlineStr">
        <is>
          <t>malaga:malaga-agencia-tributaria-ofisleri-ve-renta-randevusu</t>
        </is>
      </c>
      <c r="B162" s="29" t="inlineStr">
        <is>
          <t>malaga</t>
        </is>
      </c>
      <c r="C162" s="29" t="inlineStr">
        <is>
          <t>malaga-agencia-tributaria-ofisleri-ve-renta-randevusu</t>
        </is>
      </c>
      <c r="D162" s="29" t="inlineStr">
        <is>
          <t>Málaga'da Agencia Tributaria ofisi nerede, Renta beyanı için randevu nasıl alınır?</t>
        </is>
      </c>
      <c r="E162" s="29" t="inlineStr">
        <is>
          <t>Bilgi ve mükellef yardım birimi Calle Héroe de Sostoa'da; Renta 2025 randevuları internet, uygulama ve telefonla alınıyordu, 29 Haziran'da bitti</t>
        </is>
      </c>
      <c r="F162" s="29" t="inlineStr">
        <is>
          <t>Málaga şehrinde Agencia Tributaria'nın mükellef bilgi ve yardım birimini de içeren Gestión ve Recaudación bölümü Calle Héroe de Sostoa 11-13 (Edificio GAYBO), 29002 adresindedir. İlin başka Agencia Tributaria idareleri Marbella, Torremolinos, Vélez-Málaga, Antequera, Ronda ve Álora'dadır. Renta 2025 kampanyasında Agencia Tributaria, gelir profili uyan mükellefler için beyanı hazırlıyordu (profil notta): telefonla destek randevusu 29 Nisan - 29 Haziran, ofiste destek randevusu 29 Mayıs - 29 Haziran arasında internetten, Agencia Tributaria uygulamasından ya da telefonla alınıyordu. Eşlerden biri profile uymuyorsa ortak beyan bu hizmetle hazırlanamıyordu; profile uyan eş bireysel beyan için randevu alabiliyordu.</t>
        </is>
      </c>
      <c r="G162" s="29" t="inlineStr">
        <is>
          <t>Agencia Tributaria, AEAT, Renta randevusu, cita previa, vergi dairesi Málaga, Héroe de Sostoa, Renta 2025, Cl@ve</t>
        </is>
      </c>
      <c r="H162" s="29" t="inlineStr">
        <is>
          <t>new;settled</t>
        </is>
      </c>
      <c r="I162" s="29" t="inlineStr">
        <is>
          <t>malaga:kaynak:180;malaga:kaynak:181</t>
        </is>
      </c>
      <c r="J162" s="49" t="n">
        <v>46322</v>
      </c>
      <c r="K162" s="51" t="n">
        <v>603</v>
      </c>
      <c r="L162" s="29" t="inlineStr">
        <is>
          <t>Hayır</t>
        </is>
      </c>
      <c r="M162" s="29" t="inlineStr">
        <is>
          <t>Taslak</t>
        </is>
      </c>
      <c r="N162" s="29" t="inlineStr">
        <is>
          <t>malaga:para</t>
        </is>
      </c>
      <c r="O162" s="29" t="inlineStr">
        <is>
          <t>Randevu NIF/NIE ile ya da Cl@ve, referans numarası, elektronik DNI veya elektronik sertifikayla internetten ya da Agencia Tributaria uygulamasından alınıyordu.
Telefonla kişisel görüşmeli randevu hattı 91 553 00 71 ya da 901 22 33 44 idi (Pzt-Cum 9:00-19:00); otomatik hat 91 535 73 26 ya da 901 12 12 24 idi ve ofis randevusu için yalnız önceki kampanyada yüz yüze randevu aldıysan ve adresini değiştirmediysen kullanılabiliyordu.
Randevuda cep numarası ya da e-posta verenlere gün, merkez, saat ve gerekli belgelerin listesine bağlantı SMS veya e-postayla geliyordu.
Randevuya gidemeyeceksen en az bir gün önce aynı kanallardan iptal etmek gerekiyordu. Kişi başına en çok 2 randevu alınabiliyordu (iptaller sayılmaz); bir aile birimi için tek randevu yetiyordu.
Telefonla destek randevusunda Agencia Tributaria seni yalnızca 91 333 5 333 numarasından arıyordu; başka numaralardan, gizli numaradan ya da WhatsApp gibi uygulamalardan gelen 'Agencia Tributaria' çağrılarına yanıt verilmemesi isteniyordu.
Başkası adına beyan hazırlatmak için ofis randevusuna imzalı yetki belgesi ve yetki verenin kimlik fotokopisi götürülüyordu.</t>
        </is>
      </c>
      <c r="P162" s="29" t="inlineStr">
        <is>
          <t>İmzalı yetki belgesi (başkası adına beyan için)
Yetki verenin kimlik (DNI) fotokopisi (başkası adına beyan için)</t>
        </is>
      </c>
      <c r="Q162" s="29" t="inlineStr">
        <is>
          <t>Renta 2025 kampanyası (2026 baharı, kapandı): telefonla destek randevusu 29 Nisan - 29 Haziran, ofiste destek randevusu 29 Mayıs - 29 Haziran.</t>
        </is>
      </c>
      <c r="R162" s="29" t="n"/>
      <c r="S162" s="29" t="inlineStr">
        <is>
          <t>Bu destek 2025 gelirinde iş gelirinde yıllık 80.000 euro, menkul sermaye gelirinde yıllık 20.000 euro sınırı ve en çok 2 kiraya verilen taşınmaz ya da kira sözleşmesi gibi sınırlarla veriliyordu. İldeki idareler: Marbella (Avenida Jacinto Benavente 27, 29601), Torremolinos (Calle Cruz 18, 29620), Vélez-Málaga (Calle Romero Pozo 4, 29700), Antequera (Calle Laguna 3, 29200), Ronda (Calle Granada 62, 29400), Álora (Calle Rotonda del Arco 9, 29500).</t>
        </is>
      </c>
      <c r="T162" s="29" t="n"/>
    </row>
    <row r="163" ht="54" customHeight="1">
      <c r="A163" s="29" t="inlineStr">
        <is>
          <t>malaga:malaga-sosyal-hizmetler-merkezleri-ve-belediye-ekonomik-yardimlari</t>
        </is>
      </c>
      <c r="B163" s="29" t="inlineStr">
        <is>
          <t>malaga</t>
        </is>
      </c>
      <c r="C163" s="29" t="inlineStr">
        <is>
          <t>malaga-sosyal-hizmetler-merkezleri-ve-belediye-ekonomik-yardimlari</t>
        </is>
      </c>
      <c r="D163" s="29" t="inlineStr">
        <is>
          <t>Málaga belediyesinin sosyal yardımlarına nasıl başvurulur, hangi sosyal hizmetler merkezine gidilir?</t>
        </is>
      </c>
      <c r="E163" s="29" t="inlineStr">
        <is>
          <t>Oturduğun semtin Centro de Servicios Sociales Comunitarios'una git; 12 merkez hafta içi 9:00-14:00 açık</t>
        </is>
      </c>
      <c r="F163" s="29" t="inlineStr">
        <is>
          <t>Belediyenin sosyal yardımları için oturduğun semtin Centro de Servicios Sociales Comunitarios'una (CSSC) başvur: Málaga'da 12 merkez var ve hangi merkeze bağlı olduğun kayıtlı olduğun adrese değil, fiilen oturduğun adrese göre belirlenir. Merkezler hafta içi 9:00-14:00 arasında hizmet verir; sosyal hizmet uzmanı, sosyal eğitimci ve psikologlardan oluşan ekipler durumunu değerlendirir, seni uygun yardıma yönlendirir. Belediye dört ekonomik yardım yönetir: ani gelişen sosyal zorlukta önleyici yardım, alternatif barınma yardımı, özel koşullarda kira sürdürme yardımı ve reşit olmayan çocuklar için aile ekonomik yardımı. Yardımlar ani gelişen ihtiyaç içindir ve koşulları belediyenin ekonomik yardımlar yönetmeliğinde yazılıdır; uygunluğunu merkezdeki ekip değerlendirir. Bu yardımlar geçicidir; kalıcı temel ihtiyaçlar için belediye seni emekli aylıkları, Ingreso Mínimo Vital, işsizlik ödeneği ve Renta Mínima de Inserción Social gibi başka kurumların yardımlarına yönlendirir.</t>
        </is>
      </c>
      <c r="G163" s="29" t="inlineStr">
        <is>
          <t>sosyal yardım, servicios sociales, CSSC, ayuda económica, prestación económica, Ayuntamiento de Málaga, Derechos Sociales, kira yardımı</t>
        </is>
      </c>
      <c r="H163" s="29" t="inlineStr">
        <is>
          <t>new;settled</t>
        </is>
      </c>
      <c r="I163" s="29" t="inlineStr">
        <is>
          <t>malaga:kaynak:183;malaga:kaynak:184</t>
        </is>
      </c>
      <c r="J163" s="49" t="n">
        <v>46322</v>
      </c>
      <c r="K163" s="51" t="n">
        <v>604</v>
      </c>
      <c r="L163" s="29" t="inlineStr">
        <is>
          <t>Evet</t>
        </is>
      </c>
      <c r="M163" s="29" t="inlineStr">
        <is>
          <t>Taslak</t>
        </is>
      </c>
      <c r="N163" s="29" t="inlineStr">
        <is>
          <t>malaga:para</t>
        </is>
      </c>
      <c r="O163" s="29" t="inlineStr">
        <is>
          <t>Hangi merkeze bağlı olduğunu belediyenin 'Guía callejero' belgesinden bul; esas alınan fiilen oturduğun adrestir, kayıtlı olduğun adres değil.
Merkezi ara ya da hafta içi 9:00-14:00 arasında git; Cruz de Humilladero merkezi için ayrı bir randevu hattı var (951 926 236).
Durumunu sosyal hizmet ekibine anlat; ekip dört yardımdan hangisine uygun olduğunu ve gerekirse başka kurumların yardımlarını değerlendirir.
Çocuklu aileysen reşit olmayan çocuklar için aile ekonomik yardımını (ayuda económica familiar) sor; geçici, parasal ya da ayni olabiliyor.</t>
        </is>
      </c>
      <c r="P163" s="29" t="n"/>
      <c r="Q163" s="29" t="inlineStr">
        <is>
          <t>Merkezler Pazartesi-Cuma 9:00-14:00 arasında açıktır.</t>
        </is>
      </c>
      <c r="R163" s="29" t="n"/>
      <c r="S163" s="29" t="inlineStr">
        <is>
          <t>Merkezler (semt, adres ve telefon): 1 Centro: C/ Jorge Lamothe 4 (29007), tel 951 926 071; 2 Este: C/ Dánvila y Collado 4, tel 951 926 072; 3 Ciudad Jardín: C/ Las Moreras 6 (29014), tel 951 926 073; 4 Bailén-Miraflores: C/ Tejares 50 (29009), tel 951 926 074; 5 Palma-Palmilla: C/ Alonso Cruzado s/n (29011), tel 951 926 075; 6 Cruz de Humilladero: C/ Fernández Fermina 7 (29006), bilgi tel 951 926 076, randevu tel 951 926 236; 7 Carretera de Cádiz: Avenida Isaac Peral 23 (29002), tel 951 926 077; 8 Churriana: C/ Maestro Usandizaga 15 (29140), tel 951 926 078; 9 Campanillas: C/ Cristobalina Fernández 4 (29590), tel 951 926 079; 10 Puerto de la Torre: C/ Lara Castañeda 61 (29190), tel 951 926 070; 11 Teatinos-Universidad: C/ Juan de Robles 38 (29010), tel 951 926 171; 12 Huelin: C/ Emilio de la Cerda 24 (29002), tel 951 926 185.</t>
        </is>
      </c>
      <c r="T163" s="29" t="n"/>
    </row>
    <row r="164" ht="54" customHeight="1">
      <c r="A164" s="29" t="inlineStr">
        <is>
          <t>malaga:endulus-asgari-gelir-destegi-rmisa-kimler-alir-nereden-basvurulur</t>
        </is>
      </c>
      <c r="B164" s="29" t="inlineStr">
        <is>
          <t>malaga</t>
        </is>
      </c>
      <c r="C164" s="29" t="inlineStr">
        <is>
          <t>endulus-asgari-gelir-destegi-rmisa-kimler-alir-nereden-basvurulur</t>
        </is>
      </c>
      <c r="D164" s="29" t="inlineStr">
        <is>
          <t>Endülüs'te asgari gelir desteği (Renta Mínima de Inserción Social) kimlere verilir, Málaga'da nereden başvurulur?</t>
        </is>
      </c>
      <c r="E164" s="29" t="inlineStr">
        <is>
          <t>Endülüs'te idari ikametgâhı olan, yoksulluk ya da dışlanma riski altındaki aile birimlerine aylık yardım; karar süresi 2 ay</t>
        </is>
      </c>
      <c r="F164" s="29" t="inlineStr">
        <is>
          <t>Renta Mínima de Inserción Social en Andalucía (RMISA), idari ikametgâhı (vecindad administrativa) Endülüs'te olan, yoksulluk, sosyal dışlanma ya da bu riskle karşı karşıya olan ve gerekli şartları sağlayan aile birimlerine verilen aylık parasal yardımdır; şartları sağlamasa da acil ya da olağanüstü sosyal durumdaki (urgencia ya da emergencia social) aile birimleri de hak sahibi olabilir. Aylık tutar, yıllık katkısız emekli aylığı (pensión no contributiva) tutarının %100'ünün on ikide biridir; başvuran dışındaki her aile üyesi için %30 eklenir, toplam en çok %220'ye kadar çıkar; tek ebeveynli ya da engelli üyeli ailelerde %22 artış uygulanır. Başvuruyu tercihen oturduğun yerin servicios sociales comunitarios merkezine verirsin; Málaga'da bu, oturduğun semtin 12 merkezinden biridir. Yardım bir sosyal ve işgücü katılım planıyla (Plan de inclusión sociolaboral) birlikte verilir.</t>
        </is>
      </c>
      <c r="G164" s="29" t="inlineStr">
        <is>
          <t>RMISA, Renta Mínima de Inserción Social, asgari gelir, Endülüs, Junta de Andalucía, servicios sociales, pensión no contributiva</t>
        </is>
      </c>
      <c r="H164" s="29" t="inlineStr">
        <is>
          <t>new;settled</t>
        </is>
      </c>
      <c r="I164" s="29" t="inlineStr">
        <is>
          <t>malaga:kaynak:186;malaga:kaynak:183</t>
        </is>
      </c>
      <c r="J164" s="49" t="n">
        <v>46322</v>
      </c>
      <c r="K164" s="51" t="n">
        <v>605</v>
      </c>
      <c r="L164" s="29" t="inlineStr">
        <is>
          <t>Hayır</t>
        </is>
      </c>
      <c r="M164" s="29" t="inlineStr">
        <is>
          <t>Taslak</t>
        </is>
      </c>
      <c r="N164" s="29" t="inlineStr">
        <is>
          <t>malaga:para</t>
        </is>
      </c>
      <c r="O164" s="29" t="inlineStr">
        <is>
          <t>Önce Junta de Andalucía'nın RMISA simülatörüyle hakkın olup olmadığına ve tutara bak.
Başvuruyu formla ve eklerle birlikte tercihen kayıtlı olduğun ve fiilen oturduğun yerin servicios sociales comunitarios merkezine ver (Málaga'da semtinin CSSC merkezi); internetten vermek istersen Junta de Andalucía elektronik sedesinde 'Solicitud de la Renta Mínima de Inserción Social en Andalucía' işlemini kullan.
Cinsiyet temelli şiddet ya da cinsel veya işgücü sömürüsü mağduruysan; tahliye, ipotek icrası ya da asıl konutu kaybetme sürecindeysen veya günlük yaşamı engelleyen ağır bir hastalığın varsa merkeze git: başvurun öncelikli işlenir.
Karar çıktığında bir ay içinde servicios sociales ve Servicio Andaluz de Empleo ile ortak sosyal ve işgücü katılım planını imzala; 16 yaş üstü aile bireyleri de imzalar.
Yardım bitmeden en çok üç ay önce, başvurudaki 'Ampliación' kutusunu işaretleyerek uzatma iste: başvurulan nedenler sürüyor ve şartlar korunuyorsa 12 aylık ardışık dönemler için uzatılabilir; yardım bittikten sonra uzatma istenemez, yeni başvuru gerekir.</t>
        </is>
      </c>
      <c r="P164" s="29" t="inlineStr">
        <is>
          <t>Başvuru formu
Anexo II'de sayılan belgeler (başvuruyla birlikte verilir)
Uzatmada: güncel toplu geçmiş ikametgâh belgesi (certificado de empadronamiento histórico colectivo)</t>
        </is>
      </c>
      <c r="Q164" s="29" t="inlineStr">
        <is>
          <t>Karar süresi 2 aydır ve başvurunun karar verecek organa girdiği ayı izleyen ayın 1'inden sayılır. Başvuruyu verdiğin tarihten itibaren iki ay geçtiği hâlde açık bir karar çıkmazsa başvuru reddedilmiş sayılabilir; ama idare yine de karar vermek zorundadır ve yeni başvuru gerekmez. Ödeme, başvurunun girdiği ayı izleyen ayın 1'inden geçerlidir.</t>
        </is>
      </c>
      <c r="R164" s="29" t="inlineStr">
        <is>
          <t>Aylık yardım, yıllık katkısız emekli aylığı tutarının %100'ünün on ikide biri; başvuran dışındaki her üye için %30 ek, toplam en çok %220; tek ebeveynli ya da engelli üyeli ailelerde %22 artış.</t>
        </is>
      </c>
      <c r="S164" s="29" t="inlineStr">
        <is>
          <t>Junta, IMV alan aileler için ayrıca Ayuda Complementaria al Ingreso Mínimo Vital sayfası yayımlıyor. Ödeme banka hesabına, aylık, sonradan yapılır.</t>
        </is>
      </c>
      <c r="T164" s="29" t="n"/>
    </row>
    <row r="165" ht="54" customHeight="1">
      <c r="A165" s="29" t="inlineStr">
        <is>
          <t>malaga:banka-hesabi-acarken-istenen-kimlik-ve-para-kaynagi-belgeleri</t>
        </is>
      </c>
      <c r="B165" s="29" t="inlineStr">
        <is>
          <t>malaga</t>
        </is>
      </c>
      <c r="C165" s="29" t="inlineStr">
        <is>
          <t>banka-hesabi-acarken-istenen-kimlik-ve-para-kaynagi-belgeleri</t>
        </is>
      </c>
      <c r="D165" s="29" t="inlineStr">
        <is>
          <t>Málaga'da banka hesabı açmak için hangi belgeler gerekir?</t>
        </is>
      </c>
      <c r="E165" s="29" t="inlineStr">
        <is>
          <t>AB vatandaşından pasaport ya da kimlik belgesi ve NIE, AB dışından yabancıdan TIE istenebilir; banka para kaynağı belgesi de isteyebilir</t>
        </is>
      </c>
      <c r="F165" s="29" t="inlineStr">
        <is>
          <t>Banka hesap açarken önce kimliğini ister: AB vatandaşıysan pasaportun ya da ülkenin kimlik belgen NIE'nle birlikte istenebilir; AB dışından bir yabancıysan Tarjeta de Identidad de Extranjero (TIE) vermen gerekir. İspanya'da yerleşik değilsen banka ek bir belge isteyebilir; hangi belgeyi kabul ettiğini hesap açacağın bankaya sor. Kara para aklamayı önleme kuralları nedeniyle banka hesap açılırken hesaba yatacak paranın kaynağını gösteren bir belge isteyebilir; o an istemezse sonradan da isteyip kaynağı kanıtlamazsan paraya erişimini bloke edebilir.</t>
        </is>
      </c>
      <c r="G165" s="29" t="inlineStr">
        <is>
          <t>banka hesabı, cuenta bancaria, NIE, TIE, Tarjeta de Identidad de Extranjero, pasaport, kara para aklama, origen de los fondos</t>
        </is>
      </c>
      <c r="H165" s="29" t="inlineStr">
        <is>
          <t>new</t>
        </is>
      </c>
      <c r="I165" s="29" t="inlineStr">
        <is>
          <t>malaga:kaynak:187</t>
        </is>
      </c>
      <c r="J165" s="49" t="n">
        <v>46322</v>
      </c>
      <c r="K165" s="51" t="n">
        <v>606</v>
      </c>
      <c r="L165" s="29" t="inlineStr">
        <is>
          <t>Hayır</t>
        </is>
      </c>
      <c r="M165" s="29" t="inlineStr">
        <is>
          <t>Taslak</t>
        </is>
      </c>
      <c r="N165" s="29" t="inlineStr">
        <is>
          <t>malaga:para</t>
        </is>
      </c>
      <c r="O165" s="29" t="inlineStr">
        <is>
          <t>Bankaya kimlik belgenle git: AB vatandaşıysan pasaportunu ya da ülkenin kimlik belgesini NIE'nle birlikte, AB dışından bir yabancıysan TIE'ni göster.
İspanya'da yerleşik değilsen banka ek belge isteyebilir; hangi belgeyi kabul ettiğini hesap açacağın bankaya sor.
Hesaba yatıracağın paranın kaynağını gösteren belgeyi hazır tut: banka açılışta ya da sonradan isteyebilir.
İmzadan önce sözleşme öncesi bilgi formunu iste ve oku; hesaba bağlı debit kart, uzaktan bankacılık gibi ek sözleşmeleri, bakım komisyonunu ve düz tarife ile indirim şartlarını kontrol et. Banco de España'nın hesap karşılaştırıcısını kullanabilirsin.
Banco de España, hesap açarken temel ödeme hesabına (cuenta de pago básica) erişim olasılığını da değerlendirmeni öneriyor.</t>
        </is>
      </c>
      <c r="P165" s="29" t="inlineStr">
        <is>
          <t>Pasaport ya da AB ülkesi kimlik belgesi ve NIE (AB vatandaşı için; istenebilir)
Tarjeta de Identidad de Extranjero, TIE (AB dışından yabancı için)
Yerleşik değilsen bankanın istediği ek belge
Hesaba yatacak paranın kaynağını gösteren belge (banka isterse)</t>
        </is>
      </c>
      <c r="Q165" s="29" t="n"/>
      <c r="R165" s="29" t="inlineStr">
        <is>
          <t>Bakım komisyonunun tutarı ve ne sıklıkla tahsil edildiği (aylık, üç aylık, altı aylık) bankanın tarife belgesinde yazılıdır.</t>
        </is>
      </c>
      <c r="S165" s="29" t="n"/>
      <c r="T165" s="29" t="n"/>
    </row>
    <row r="166" ht="54" customHeight="1">
      <c r="A166" s="29" t="inlineStr">
        <is>
          <t>malaga:gestrisam-vergi-ofisi-adres-saat-ve-randevu</t>
        </is>
      </c>
      <c r="B166" s="29" t="inlineStr">
        <is>
          <t>malaga</t>
        </is>
      </c>
      <c r="C166" s="29" t="inlineStr">
        <is>
          <t>gestrisam-vergi-ofisi-adres-saat-ve-randevu</t>
        </is>
      </c>
      <c r="D166" s="29" t="inlineStr">
        <is>
          <t>Málaga'da belediye vergi ofisi (Gestrisam) nerede, randevu nasıl alınır, ofiste borç nasıl ödenir?</t>
        </is>
      </c>
      <c r="E166" s="29" t="inlineStr">
        <is>
          <t>Av. Sor Teresa Prat 17'de yalnız randevuyla; hafta içi 8:30-14:00, ofiste borç ödemesi yalnız banka kartıyla</t>
        </is>
      </c>
      <c r="F166" s="29" t="inlineStr">
        <is>
          <t>Gestrisam Av. Sor Teresa Prat 17'dedir (29003, Tabacalera); yüz yüze hizmet yalnız randevuyla verilir ve randevuyu Gestrisam sayfasından ya da 951 92 60 10 numarasından alırsın. Saatler Pazartesi-Cuma 8:30-14:00'tir. Randevulu hizmetler genel işlemler, cezalar ve diğer vergiler, belge kaydı, Padrón, Plusvalía, IBI (katastro belgeleri) ile ödeme erteleme ve taksitlendirmedir. Ofiste borç ödemesi yalnız banka kartıyla yapılır.</t>
        </is>
      </c>
      <c r="G166" s="29" t="inlineStr">
        <is>
          <t>Gestrisam, vergi ofisi, cita previa, randevu, Plusvalía, IBI, IVTM, Málaga belediye vergileri, Tabacalera</t>
        </is>
      </c>
      <c r="H166" s="29" t="inlineStr">
        <is>
          <t>new;settled</t>
        </is>
      </c>
      <c r="I166" s="29" t="inlineStr">
        <is>
          <t>malaga:kaynak:242</t>
        </is>
      </c>
      <c r="J166" s="49" t="n">
        <v>46322</v>
      </c>
      <c r="K166" s="51" t="n">
        <v>607</v>
      </c>
      <c r="L166" s="29" t="inlineStr">
        <is>
          <t>Hayır</t>
        </is>
      </c>
      <c r="M166" s="29" t="inlineStr">
        <is>
          <t>Taslak</t>
        </is>
      </c>
      <c r="N166" s="29" t="inlineStr">
        <is>
          <t>malaga:para</t>
        </is>
      </c>
      <c r="O166" s="29" t="inlineStr">
        <is>
          <t>Randevuyu Gestrisam sayfasından ya da 951 92 60 10 numaralı hattan al; 14:00'ten sonra 951 92 92 92 numarasında otomatik yanıtlayıcıya (seçenek 1) ulaşırsın, 010 hattı özel tarifelidir.
İşlemine uygun randevu hizmetini seç: genel işlemler, cezalar ve diğer vergiler, belge kaydı; Padrón; Plusvalía; IBI (katastro belgeleri); ödeme erteleme ve taksitlendirme.
Gideceğin işlemin kendi hizmet sayfasından gereken belgeleri öğren ve randevuya o belgelerle git.
Randevuya gidemeyeceksen iptal et ki başkası o saati kullanabilsin.
Borcu ofiste ödeyeceksen banka kartını götür; ödeme yalnız kartla yapılır.
65 yaşın üstündeysen kendi işlemlerin için randevusuz gidebilirsin, ama yalnız şu işlemlerde: genel bilgi, belge kaydı, elektronik imza alma, Padrón, IBI'de mülk sahibi değişikliği, vergi denetimi, genel işlemler (ödeme mektubu, otomatik ödeme talimatı gibi) ve ödeme erteleme/taksitlendirme. Plusvalía için randevu gerekir; ceza ve katastro belgesi bu listede geçmez.</t>
        </is>
      </c>
      <c r="P166" s="29" t="inlineStr">
        <is>
          <t>Gideceğin işlemin gerektirdiği belgeler (işlemin kendi hizmet sayfasında yazar)
Banka kartı (ofiste borç ödeyeceksen)</t>
        </is>
      </c>
      <c r="Q166" s="29" t="inlineStr">
        <is>
          <t>Pazartesi-Cuma 8:30-14:00; perşembe 17:00-19:00 (15 Haziran-15 Eylül ve 26 Aralık-5 Ocak hariç). Paskalya haftası, feria haftası ve 26 Aralık-5 Ocak arası iş günlerinde 9:00-14:00; 24 ve 31 Aralık kapalı.</t>
        </is>
      </c>
      <c r="R166" s="29" t="n"/>
      <c r="S166" s="29" t="inlineStr">
        <is>
          <t>65 yaş üstü için randevusuz hizmet Pazartesi-Cuma 8:30-13:30 arasındadır, yukarıda sayılan işlemlerle sınırlıdır ve yalnız kişinin kendi işlemlerini kapsar, başkası adına işlem yapılamaz. Perşembe akşamı dilimi genel işlemler, Padrón ile ödeme erteleme ve taksitlendirme içindir. Elektronik yoldan ilişki kurmak zorunda olanlar işlemlerini yalnız Sede Electrónica'dan yapabilir.</t>
        </is>
      </c>
      <c r="T166" s="29" t="n"/>
    </row>
    <row r="167" ht="54" customHeight="1">
      <c r="A167" s="29" t="inlineStr">
        <is>
          <t>malaga:tasinma-oncesi-vize-ve-ilk-oturum-izni</t>
        </is>
      </c>
      <c r="B167" s="29" t="inlineStr">
        <is>
          <t>malaga</t>
        </is>
      </c>
      <c r="C167" s="29" t="inlineStr">
        <is>
          <t>tasinma-oncesi-vize-ve-ilk-oturum-izni</t>
        </is>
      </c>
      <c r="D167" s="29" t="inlineStr">
        <is>
          <t>İspanya'ya taşınmadan önce çalışmayı içermeyen oturum vizesi ve ilk oturum izni nasıl ilerler?</t>
        </is>
      </c>
      <c r="E167" s="29" t="inlineStr">
        <is>
          <t>İstanbul Başkonsolosluğu'na göre çalışmayı içermeyen oturum vizesinde vize ve ilk oturum izni birlikte işlenir; vize 365 gün geçerlidir</t>
        </is>
      </c>
      <c r="F167" s="29" t="inlineStr">
        <is>
          <t>İstanbul Başkonsolosluğu'nun sayfasına göre çalışmayı içermeyen oturum vizesinde (residencia no lucrativa) ilk oturum izni, vize başvurusuyla aynı anda işleme alınır. Konsolosluk, başvuruları İstanbul konsolosluk bölgesinde oturan kişilerden kabul eder; anlatılanlar bu bölgede oturanlar içindir. Başvuruyu BLS International ofislerinde, önceden aldığın randevuyla yaparsın; BLS için ayrıca hizmet bedeli ödenir. Vize 365 gün geçerlidir ve çalışma izni vermez. İspanya'ya girdikten sonra 1 ay içinde yabancı kimlik kartını (TIE, Tarjeta de Identidad de Extranjero) istemen gerekir. Anlatılanlar yalnızca bu vize türü için geçerlidir.</t>
        </is>
      </c>
      <c r="G167" s="29" t="inlineStr">
        <is>
          <t>taşınma planı, oturum vizesi, residencia no lucrativa, ilk oturum izni, TIE, BLS International, İstanbul Başkonsolosluğu</t>
        </is>
      </c>
      <c r="H167" s="29" t="inlineStr">
        <is>
          <t>before;planning</t>
        </is>
      </c>
      <c r="I167" s="29" t="inlineStr">
        <is>
          <t>malaga:kaynak:010</t>
        </is>
      </c>
      <c r="J167" s="49" t="n">
        <v>46319</v>
      </c>
      <c r="K167" s="51" t="n">
        <v>9072</v>
      </c>
      <c r="L167" s="29" t="inlineStr">
        <is>
          <t>Hayır</t>
        </is>
      </c>
      <c r="M167" s="29" t="inlineStr">
        <is>
          <t>Taslak</t>
        </is>
      </c>
      <c r="N167" s="29" t="inlineStr">
        <is>
          <t>malaga:planlama</t>
        </is>
      </c>
      <c r="O167" s="29" t="inlineStr">
        <is>
          <t>İstanbul konsolosluk bölgesinde oturuyorsan vize başvurunu BLS International ofisinde, önceden aldığın randevuyla yap; başvuru genelde şahsen yapılır (gerekçeli ve konsolosluğun uygun gördüğü istisnalarda temsilci de başvurabilir).
Başvuru teslimi sırasında aldığın makbuzdaki kodla dosyanın durumunu sutramiteconsular.maec.es adresinden izle.
Vizeyi randevusuz, şahsen (reşit değilsen yasal temsilcinle) teslim al.
İspanya'ya girdiğin tarihten itibaren 1 ay içinde Oficina de Extranjeros'a (yabancılar bürosu) ya da ilgili Comisaría de Policía'ya başvurup TIE iste.</t>
        </is>
      </c>
      <c r="P167" s="29" t="n"/>
      <c r="Q167" s="29" t="inlineStr">
        <is>
          <t>Vize 365 gün geçerlidir; TIE için İspanya'ya girişten itibaren 1 ay vardır.</t>
        </is>
      </c>
      <c r="R167" s="29" t="inlineStr">
        <is>
          <t>BLS International'a başvuruda ayrıca hizmet bedeli ödenir.</t>
        </is>
      </c>
      <c r="S167" s="29" t="inlineStr">
        <is>
          <t>Çalışmayı içermeyen oturum vizesi çalışma yetkisi vermez. Konsolosluk eksik belge ya da ek bilgi isteyebilir, seni kişisel görüşmeye de çağırabilir.</t>
        </is>
      </c>
      <c r="T167" s="29" t="inlineStr">
        <is>
          <t>{"kind": "steps", "title": "Vize ve TIE adımları", "note": "Şematik", "items": [{"key": "1", "title": "Vize başvurusu", "text": "İstanbul bölgesinde oturanlar: BLS International, randevuyla; ilk oturum izni aynı anda işleme alınır"}, {"key": "2", "title": "Dosya takibi", "text": "Makbuzdaki kodla sutramiteconsular.maec.es"}, {"key": "3", "title": "Vizeyi teslim alma", "text": "Şahsen, randevusuz"}, {"key": "4", "title": "TIE başvurusu", "text": "İspanya'ya girişten itibaren 1 ay içinde"}]}</t>
        </is>
      </c>
    </row>
    <row r="168" ht="54" customHeight="1">
      <c r="A168" s="29" t="inlineStr">
        <is>
          <t>malaga:oturum-vizesi-basvurusunda-getirilecek-belgeler</t>
        </is>
      </c>
      <c r="B168" s="29" t="inlineStr">
        <is>
          <t>malaga</t>
        </is>
      </c>
      <c r="C168" s="29" t="inlineStr">
        <is>
          <t>oturum-vizesi-basvurusunda-getirilecek-belgeler</t>
        </is>
      </c>
      <c r="D168" s="29" t="inlineStr">
        <is>
          <t>İspanya'da çalışmayı içermeyen oturum vizesi (residencia no lucrativa) için hangi belgeleri hazırlamalısın?</t>
        </is>
      </c>
      <c r="E168" s="29" t="inlineStr">
        <is>
          <t>İstanbul Başkonsolosluğu'na göre yabancı belgeler apostilli ya da yasallaştırılmış, gerekiyorsa çevirili sunulur; belge listesi aşağıda</t>
        </is>
      </c>
      <c r="F168" s="29" t="inlineStr">
        <is>
          <t>İstanbul Başkonsolosluğu'nun sayfasına göre (başvurular İstanbul konsolosluk bölgesinde oturanlardan kabul edilir) yabancı belgelerin hepsi apostilli ya da yasallaştırılmış olmalı; İspanyolca dışındaki dilde hazırlanmışsa çevirisiyle birlikte sunulur. Listede vize formu, oturum izni formu EX-01, fotoğraf, pasaport, maddi yeterlilik belgeleri, sağlık sigortası, sabıka kaydı, tıbbi rapor, konsolosluk bölgesinde ikamet kanıtı ve harç ödemesi bulunur. Pasaportun en az 1 yıl geçerli olmalı ve iki boş sayfası bulunmalı. Maddi yeterlilik belgeleri, ilk oturum izni yılında İspanya'daki giderlerini karşılamaya yeterli imkânın ya da düzenli bir gelir kaynağının kanıtı olmalıdır; asgari tutar IPREM'in %400'üne eşittir ve bakmakla yükümlü olduğun her aile üyesi için IPREM'in %100'ü eklenir.</t>
        </is>
      </c>
      <c r="G168" s="29" t="inlineStr">
        <is>
          <t>oturum vizesi belgeleri, apostil, EX-01, IPREM, sabıka kaydı, tıbbi rapor, modelo 790, residencia no lucrativa</t>
        </is>
      </c>
      <c r="H168" s="29" t="inlineStr">
        <is>
          <t>before;planning</t>
        </is>
      </c>
      <c r="I168" s="29" t="inlineStr">
        <is>
          <t>malaga:kaynak:010</t>
        </is>
      </c>
      <c r="J168" s="49" t="n">
        <v>46319</v>
      </c>
      <c r="K168" s="51" t="n">
        <v>9073</v>
      </c>
      <c r="L168" s="29" t="inlineStr">
        <is>
          <t>Hayır</t>
        </is>
      </c>
      <c r="M168" s="29" t="inlineStr">
        <is>
          <t>Taslak</t>
        </is>
      </c>
      <c r="N168" s="29" t="inlineStr">
        <is>
          <t>malaga:planlama</t>
        </is>
      </c>
      <c r="O168" s="29" t="inlineStr">
        <is>
          <t>Yabancı belgelerinin hepsini apostilli ya da yasallaştırılmış hazırla; İspanyolca olmayanlara çeviri ekle.
Vize başvuru formunu ve EX-01 oturum izni formunu her bölümünü doldurup imzala.
Pasaportunun en az 1 yıl geçerli olduğunu ve iki boş sayfası bulunduğunu kontrol et; 10 yıldan daha önce düzenlenmiş pasaport kabul edilmez.
Maddi yeterlilik belgelerini, sağlık sigortası sertifikasını, tıbbi raporu ve (ceza ehliyeti yaşını doldurduysan) son 5 yıl yaşadığın ülke ya da ülkelerden sabıka kaydını ekle.
İstanbul konsolosluk bölgesinde ikamet ettiğini gösteren belgeyi ve harç ödemesini ekle: iki nüsha modelo 790 (kod 052, başlık 2.1) ya da internetten ödeyip aldığın makbuz.</t>
        </is>
      </c>
      <c r="P168" s="29" t="inlineStr">
        <is>
          <t>Ulusal vize başvuru formu (İspanyolca-İngilizce), imzalı
Oturum izni başvuru formu EX-01, imzalı
Yakın tarihli, renkli, açık fonlu vesikalık fotoğraf
Pasaport (orijinal ve biyometrik sayfaların fotokopisi): en az 1 yıl geçerli, iki boş sayfalı
Maddi yeterlilik belgeleri (orijinal ve kopya)
Sağlık sigortası sertifikası (orijinal ve kopya)
Sabıka kaydı (orijinal ve kopya): ceza ehliyeti yaşını doldurmuş başvurucular için, son 5 yıl yaşadığın ülke ya da ülkelerden
Tıbbi rapor (orijinal ve kopya): halk sağlığı açısından ciddi sonuç doğurabilecek bir hastalığın olmadığını, 2005 Uluslararası Sağlık Tüzüğü uyarınca gösterir
İstanbul konsolosluk bölgesinde ikamet kanıtı (orijinal ve fotokopi)
Harç ödemesi: modelo 790, kod 052, başlık 2.1 (ilk geçici oturum izni), iki nüsha; internetten de ödenebilir, makbuz eklenir</t>
        </is>
      </c>
      <c r="Q168" s="29" t="n"/>
      <c r="R168" s="29" t="n"/>
      <c r="S168" s="29" t="inlineStr">
        <is>
          <t>Konsolosluk gerekli görürse ek belge ya da bilgi isteyebilir ve seni kişisel görüşmeye çağırabilir. Aile üyeleri için de ayrı belge seti istenir.</t>
        </is>
      </c>
      <c r="T168" s="29" t="n"/>
    </row>
    <row r="169" ht="54" customHeight="1">
      <c r="A169" s="29" t="inlineStr">
        <is>
          <t>malaga:ilk-gunlerde-nuss-ve-temel-odeme-hesabi</t>
        </is>
      </c>
      <c r="B169" s="29" t="inlineStr">
        <is>
          <t>malaga</t>
        </is>
      </c>
      <c r="C169" s="29" t="inlineStr">
        <is>
          <t>ilk-gunlerde-nuss-ve-temel-odeme-hesabi</t>
        </is>
      </c>
      <c r="D169" s="29" t="inlineStr">
        <is>
          <t>İspanya'da sosyal güvenlik numarası (NUSS) ve temel ödeme hesabı için ne yapabilirsin?</t>
        </is>
      </c>
      <c r="E169" s="29" t="inlineStr">
        <is>
          <t>NUSS'u istediğin zaman isteyebilirsin; AB'de yasal oturanlar için ödeme hesabı sunan kredi kuruluşları temel ödeme hesabı sunmak zorundadır</t>
        </is>
      </c>
      <c r="F169" s="29" t="inlineStr">
        <is>
          <t>Sosyal güvenlik numaranı (NUSS, Número de la Seguridad Social) istediğin zaman isteyebilirsin; başvuruda kimlik bilgin (DNI ya da NIE), cep telefonu, e-posta ve mutat ikametgâh adresin gerekir. NUSS'u çalışmaya başlayıp ilk kez sosyal güvenliğe kaydolurken ve emeklilik, ödenek ve yardımlara erişirken kullanırsın; özerk bölgenin sağlık sistemi de sağlık kartını açarken bu numarayı kullanır. Bankada ise AB'de yasal olarak oturuyorsan (kaynak ölçüt olarak uyruğu değil, AB'de yasal ikameti sayar), ödeme hesabı sunan kredi kuruluşları sana temel ödeme hesabı (cuenta de pago básica) sunmak zorundadır; sabit adresin olmasa da bu hak geçerlidir.</t>
        </is>
      </c>
      <c r="G169" s="29" t="inlineStr">
        <is>
          <t>NUSS, sosyal güvenlik numarası, Seguridad Social, temel ödeme hesabı, cuenta de pago básica, banka hesabı, sağlık kartı</t>
        </is>
      </c>
      <c r="H169" s="29" t="inlineStr">
        <is>
          <t>new</t>
        </is>
      </c>
      <c r="I169" s="29" t="inlineStr">
        <is>
          <t>malaga:kaynak:093;malaga:kaynak:035</t>
        </is>
      </c>
      <c r="J169" s="49" t="n">
        <v>46319</v>
      </c>
      <c r="K169" s="51" t="n">
        <v>9074</v>
      </c>
      <c r="L169" s="29" t="inlineStr">
        <is>
          <t>Hayır</t>
        </is>
      </c>
      <c r="M169" s="29" t="inlineStr">
        <is>
          <t>Taslak</t>
        </is>
      </c>
      <c r="N169" s="29" t="inlineStr">
        <is>
          <t>malaga:planlama</t>
        </is>
      </c>
      <c r="O169" s="29" t="inlineStr">
        <is>
          <t>NUSS'un zaten olup olmadığına bak: daha önce çalıştıysan ya da Seguro Escolar (okul sigortası) kapsamında olduysan sana atanmış olabilir; numarayı bilmiyorsan kişisel alanından sorgula.
NUSS yoksa kimlik bilgin (DNI ya da NIE), telefon, e-posta ve mutat ikametgâh adresinle başvur.
Cl@ve ya da elektronik sertifikan yoksa ve reşitsen (ya da emancipe küçüksen) DNI/NIE'nin iki yüzünün kopyasını ve kimlik belgenin ön yüzünü gösteren bir selfie'yi sun.
AB'de yasal olarak oturuyorsan, ödeme hesabı sunan kredi kuruluşundan temel ödeme hesabı iste.</t>
        </is>
      </c>
      <c r="P169" s="29" t="inlineStr">
        <is>
          <t>NUSS başvurusu için: DNI ya da NIE
NUSS başvurusu için: cep telefonu ve e-posta bilgisi
NUSS başvurusu için: mutat ikametgâh adresi</t>
        </is>
      </c>
      <c r="Q169" s="29" t="inlineStr">
        <is>
          <t>NUSS'u istediğin zaman isteyebilirsin.</t>
        </is>
      </c>
      <c r="R169" s="29" t="n"/>
      <c r="S169" s="29" t="inlineStr">
        <is>
          <t>NUSS reşit olmayan biri içinse başvuruyu anne, baba ya da yasal vasi yapar. Banka şu durumlarda temel ödeme hesabını reddedebilir: İspanya'da zaten bir cari hesabın varsa, hesabın açılması ulusal güvenlik ya da kamu düzenine aykırıysa ya da kara para aklama ve terörün finansmanıyla mücadele için istenen bilgiyi vermezsen. Sığınma başvurusu yapanlar ve oturum izni olmayıp sınır dışı edilmesi mümkün olmayanlar da temel ödeme hesabı isteyebilir.</t>
        </is>
      </c>
      <c r="T169" s="29" t="inlineStr">
        <is>
          <t>{"kind": "steps", "title": "NUSS ve banka adımları", "note": "Şematik", "items": [{"key": "1", "title": "NUSS kontrolü", "text": "Daha önce çalıştıysan ya da Seguro Escolar kapsamındaysan numara zaten atanmış olabilir"}, {"key": "2", "title": "NUSS başvurusu", "text": "DNI/NIE, telefon, e-posta ve mutat ikametgâh adresi"}, {"key": "3", "title": "Elektronik kimlik yoksa", "text": "Reşit ya da emancipe küçüksen DNI/NIE'nin iki yüzü ve selfie"}, {"key": "4", "title": "Temel ödeme hesabı", "text": "AB'de yasal oturanlar için ödeme hesabı sunan kredi kuruluşları sunmak zorunda"}]}</t>
        </is>
      </c>
    </row>
    <row r="170" ht="54" customHeight="1">
      <c r="A170" s="29" t="inlineStr">
        <is>
          <t>malaga:ab-disindan-gelirken-esya-ve-nakit-gumruk-beyani</t>
        </is>
      </c>
      <c r="B170" s="29" t="inlineStr">
        <is>
          <t>malaga</t>
        </is>
      </c>
      <c r="C170" s="29" t="inlineStr">
        <is>
          <t>ab-disindan-gelirken-esya-ve-nakit-gumruk-beyani</t>
        </is>
      </c>
      <c r="D170" s="29" t="inlineStr">
        <is>
          <t>AB dışından İspanya'ya taşınırken ev eşyanı ve nakit paranı gümrükte nasıl bildirirsin?</t>
        </is>
      </c>
      <c r="E170" s="29" t="inlineStr">
        <is>
          <t>AEAT'e göre 10.000 euro ve üzeri nakit ya da ödeme aracı girişten önce beyan edilir; ikametini taşıyanın ev eşyası şartlarla vergi muafiyetiyle girebilir</t>
        </is>
      </c>
      <c r="F170" s="29" t="inlineStr">
        <is>
          <t>AEAT'in ödeme araçları sayfasına (23 Eylül 2026'da güncellenmiş) göre İspanya'ya girerken yanında 10.000 euro ya da üzerinde (başka para biriminde karşılığı dahil) nakit veya çek gibi ödeme aracı taşıyorsan, girişten önce yazılı olarak "Declaración de movimientos de Medios de Pago" adlı beyanı sunman gerekir; sınır kişi başına ve yolculuk başınadır. Banka havaleleri beyana tabi değildir. İkametini AB dışından İspanya'ya taşıyorsan ev eşyaların, AEAT'in taşınma sayfasındaki (12 Mayıs 2026'da güncellenmiş) şartlar sağlanırsa gümrük vergisi ve vergi muafiyetiyle girebilir.</t>
        </is>
      </c>
      <c r="G170" s="29" t="inlineStr">
        <is>
          <t>gümrük, eşya taşıma, 10.000 euro, nakit beyanı, medios de pago, E1 modeli, traslado de residencia, ev eşyası muafiyeti, AEAT</t>
        </is>
      </c>
      <c r="H170" s="29" t="inlineStr">
        <is>
          <t>before;planning</t>
        </is>
      </c>
      <c r="I170" s="29" t="inlineStr">
        <is>
          <t>malaga:kaynak:094;malaga:kaynak:095</t>
        </is>
      </c>
      <c r="J170" s="49" t="n">
        <v>46319</v>
      </c>
      <c r="K170" s="51" t="n">
        <v>9075</v>
      </c>
      <c r="L170" s="29" t="inlineStr">
        <is>
          <t>Hayır</t>
        </is>
      </c>
      <c r="M170" s="29" t="inlineStr">
        <is>
          <t>Taslak</t>
        </is>
      </c>
      <c r="N170" s="29" t="inlineStr">
        <is>
          <t>malaga:planlama</t>
        </is>
      </c>
      <c r="O170" s="29" t="inlineStr">
        <is>
          <t>AB dışından girerken yanında 10.000 euro ya da üzerinde (başka para biriminde karşılığı dahil) nakit veya çek gibi ödeme aracı varsa, girişten önce "Declaración de movimientos de Medios de Pago" beyanını sun. Sınır kişi başına ve yolculuk başınadır; banka havaleleri beyana tabi değildir.
Yanında taşıdığın tutar için AB dışından girişte E1 modelini kullan; beyanı kâğıt ya da elektronik olarak, AEAT Gümrük hizmetlerine sun. Beyan tek bir hareket ve beyanda yazılı tarih için geçerlidir; sınırda gümrüğe istenmeden gösterilir.
İkametini taşıyorsan ev eşyası muafiyetinin başlıca şartlarına bak: taşınmadan önce AB dışında en az 12 ay kesintisiz oturmuş ve İspanya'ya yerleşmeye niyetli olmalı, eşyalara taşınmadan önce en az 6 ay sahip olmalı ve eşyaları yeni ikametinde eskisiyle aynı kullanımlar için kullanmalısın.
Muafiyeti önceden başvurarak değil, ithalat beyannamesinde (DUA) iste.
Eşyaları kural olarak İspanya'da ikametini kurduktan sonraki 12 ay içinde beyan et. İstisna: taşınmadan önce de beyan edebilirsin; bunun için 6 ay içinde İspanya'ya fiilen yerleşme taahhüdü verir ve gümrüğün belirleyeceği teminatı sunarsın.
Eski ikametinden kayıt silme belgeni, TIE başvurunu ya da kartını ve eşya listeni hazırla; önceki ikametini göstermek için herhangi bir belge kullanılabilir.</t>
        </is>
      </c>
      <c r="P170" s="29" t="inlineStr">
        <is>
          <t>Eski ikametinden kayıt silme belgesi (ülken kayıt silme belgesi vermiyorsa, ikamet değişikliğini oradaki bir kuruma bildirdiğini gösteren belge)
TIE başvurusu ya da TIE kartı (AB ve AEA dışı uyruklular için)
Ayrıntılı eşya listesi: tahmini değer ve en azından yaklaşık alım tarihiyle
Önceki ikametini gösteren belgeler (herhangi bir kanıt yöntemi kullanılabilir; bazı durumlarda birkaçı birden gerekebilir). Örnekler: vergi ikametgâhını gösteren belge, kimlikteki adres, elektrik, su ya da gaz tüketim belgeleri</t>
        </is>
      </c>
      <c r="Q170" s="29" t="inlineStr">
        <is>
          <t>Eşyalar kural olarak İspanya'da ikametini kurduktan sonraki 12 ay içinde ithal edilmelidir; taşınmadan önce ithalat için 6 ay içinde yerleşme taahhüdü ve teminat gerekir. Nakit beyanı her zaman girişten önce yapılır.</t>
        </is>
      </c>
      <c r="R170" s="29" t="n"/>
      <c r="S170" s="29" t="inlineStr">
        <is>
          <t>Nakit beyanını yapmamak ağır bir ihlaldir: asgari ceza 600 euro, üst sınır ödeme araçlarının değerinin %50'sine kadar çıkabilir. Ev eşyası muafiyetinin dışında kalanlar: alkollü içkiler, tütün ve tütün mamulleri, ticari taşıtlar ve taşınabilir aletler dışındaki mesleki malzemeler. Muafiyetle giren eşyayı, gümrüğe haber vermeden 12 ay boyunca ödünç veremez, rehin veremez, kiralayamaz ya da devredemezsin; yaparsan o eşya için ithalat vergisi uygulanır. Kanarya Adaları'nda KDV muafiyeti yerine IGIC muafiyeti geçerlidir.</t>
        </is>
      </c>
      <c r="T170" s="29" t="n"/>
    </row>
    <row r="171" ht="54" customHeight="1">
      <c r="A171" s="29" t="inlineStr">
        <is>
          <t>malaga:ab-disindan-evcil-hayvanla-ispanyaya-giris</t>
        </is>
      </c>
      <c r="B171" s="29" t="inlineStr">
        <is>
          <t>malaga</t>
        </is>
      </c>
      <c r="C171" s="29" t="inlineStr">
        <is>
          <t>ab-disindan-evcil-hayvanla-ispanyaya-giris</t>
        </is>
      </c>
      <c r="D171" s="29" t="inlineStr">
        <is>
          <t>AB dışından İspanya'ya köpek, kedi ya da hurón ile girerken hangi şartlar aranır?</t>
        </is>
      </c>
      <c r="E171" s="29" t="inlineStr">
        <is>
          <t>22 Nisan 2026'dan beri AB kuralı (2026/131) AB dışından gelen köpek, kedi ve hurónda kuduz antikor testi ister (muaf listedekiler hariç); asgari yaş 15 hafta</t>
        </is>
      </c>
      <c r="F171" s="29" t="inlineStr">
        <is>
          <t>AEAT'in evcil hayvan sayfasına (23 Eylül 2026'da güncellenmiş) göre AB dışından gelen hayvan mikroçiple (ya da 3 Temmuz 2011'den önce yapılmış dövmeyle) tanımlanmış olmalı ve yolculuk anında geçerli bir kuduz aşısı taşımalıdır. 22 Nisan 2026'dan beri uygulanan AB kuralı (Reglamento Delegado (UE) 2026/131, md. 14), üçüncü ülkeden ticari olmayan amaçla gelen köpek, kedi ve hurónda ilk kuduz aşısının yolculuktan en az 21 gün önce tamamlanmış olmasını ve geçerli bir kuduz antikor testini şart koşar. Test yalnız Reglamento de Ejecución (UE) 2026/636'nın Ek I ya da Ek II listesindeki ülkelerden gelen hayvanda aranmaz (md. 17). AEAT sayfası bu konuda hâlâ eski Reglamento (UE) 577/2013 Ek II listesine atıf yapıyor (listede olmayan ülkeyi "kuduz riski taşıyan ülke" diye anıyor). Sayfanın "İspanya'ya dönüş" bölümü (AB dışındaki bir ülkeye gidip dönen hayvan), kuduz riski taşıyan ülke için şunları yazıyor: test yetkili bir laboratuvarda yolculuktan önce yapılır, sonuç en az 0,5 UI/ml olmalıdır, hayvanın girişine kan örneğinin alındığı tarihten 3 ay geçmeden izin verilmez ve hayvan en az 7 aylık olmalıdır. AB hayvan pasaportu yoksa hayvan, geldiği üçüncü ülkenin resmî veterinerinin imzaladığı zoosanitario sertifikası (en az Kastilyaca) ve beyanla gelir. İspanya'ya hayvanla yalnızca yetkili yolcu giriş noktalarından girebilirsin.</t>
        </is>
      </c>
      <c r="G171" s="29" t="inlineStr">
        <is>
          <t>evcil hayvan, mikroçip, kuduz aşısı, serolojik test, zoosanitario, hayvan pasaportu, köpek, kedi, giriş noktası, 2026/131, antikor testi</t>
        </is>
      </c>
      <c r="H171" s="29" t="inlineStr">
        <is>
          <t>before;planning</t>
        </is>
      </c>
      <c r="I171" s="29" t="inlineStr">
        <is>
          <t>malaga:kaynak:096;malaga:kaynak:097</t>
        </is>
      </c>
      <c r="J171" s="49" t="n">
        <v>46319</v>
      </c>
      <c r="K171" s="51" t="n">
        <v>9076</v>
      </c>
      <c r="L171" s="29" t="inlineStr">
        <is>
          <t>Hayır</t>
        </is>
      </c>
      <c r="M171" s="29" t="inlineStr">
        <is>
          <t>Taslak</t>
        </is>
      </c>
      <c r="N171" s="29" t="inlineStr">
        <is>
          <t>malaga:planlama</t>
        </is>
      </c>
      <c r="O171" s="29" t="inlineStr">
        <is>
          <t>Hayvanını mikroçiple (3 Temmuz 2011'den önce yapılmışsa dövmeyle) tanımlat.
Yolculuk anında geçerli olacak bir kuduz aşısı yaptır.
Geldiğin ülke Reglamento de Ejecución (UE) 2026/636'nın Ek I ya da Ek II listesinde değilse kuduz antikor testi yaptır (2026/131, md. 14 ve 17); zoosanitario sertifikayla geliyorsan AB'nin yetkilendirdiği laboratuvarın belgesini de getir.
Sayfanın "İspanya'ya dönüş" bölümüne göre, kuduz riski taşıyan bir ülkeye gidip dönüyorsan testi yolculuktan önce yetkili laboratuvarda yaptır; sonuç en az 0,5 UI/ml olmalı, giriş kan örneğinin alındığı tarihten 3 ay geçtikten sonra yapılmalı ve hayvan en az 7 aylık olmalı.
AB hayvan pasaportun yoksa geldiğin üçüncü ülkenin resmî veterinerine AB modeline uygun zoosanitario sertifika ve beyan hazırlat; hayvanın kimlik ve aşı bilgilerinin onaylı kopyasını da yanına al.
Yetkili yolcu giriş noktasından gir ve Guardia Civil'in Resguardo Fiscal birimine hayvanla seyahat ettiğini bildirip belgeleri göster.</t>
        </is>
      </c>
      <c r="P171" s="29" t="inlineStr">
        <is>
          <t>Zoosanitario sertifika (üçüncü ülkenin resmî veterineri imzalı, en az Kastilyaca) ve AB modeline uygun beyan; AB hayvan pasaportu yoksa
Hayvanın kimlik ve aşı bilgilerinin onaylı kopyası
Serolojik testte AB'nin yetkilendirdiği laboratuvarın belgesi (zoosanitario sertifikayla gelirken)</t>
        </is>
      </c>
      <c r="Q171" s="29" t="n"/>
      <c r="R171" s="29" t="n"/>
      <c r="S171" s="29" t="inlineStr">
        <is>
          <t>İspanya, 15 haftadan küçük köpek, kedi ve hurónun girişine izin vermez (sayfa 15 haftayı şöyle açıklıyor: kuduz aşısına kadar 3 ay, aşının geçerli olması için 21 gün). Sayfanın "İspanya'ya dönüş" bölümüne göre kuduz riski taşıyan ülkeden gelen hayvanda asgari yaş 7 aydır; bu durumda 15 hafta yeterli değildir. Bir kişi en çok beş hayvanla seyahat edebilir (istisnalar vardır). Yetkili giriş noktası dışındaki bir gümrükten girişe izin verilmez ve hayvan geldiği ülkeye geri gönderilir. Şartları karşılamayan hayvan karantinaya alınabilir, menşe ülkeye geri gönderilebilir ya da son çare olarak ötanazi edilebilir; masrafları hayvanın sahibi öder. Anlatılanlar köpek, kedi ve hurón içindir.</t>
        </is>
      </c>
      <c r="T171" s="29" t="n"/>
    </row>
    <row r="172" ht="54" customHeight="1">
      <c r="A172" s="29" t="inlineStr">
        <is>
          <t>malaga:oturum-ve-ogrenci-vizesinde-saglik-sigortasi-sarti</t>
        </is>
      </c>
      <c r="B172" s="29" t="inlineStr">
        <is>
          <t>malaga</t>
        </is>
      </c>
      <c r="C172" s="29" t="inlineStr">
        <is>
          <t>oturum-ve-ogrenci-vizesinde-saglik-sigortasi-sarti</t>
        </is>
      </c>
      <c r="D172" s="29" t="inlineStr">
        <is>
          <t>İspanya'da çalışmayı içermeyen oturum vizesi ve öğrenci vizesi için sağlık sigortası şartı nedir?</t>
        </is>
      </c>
      <c r="E172" s="29" t="inlineStr">
        <is>
          <t>İstanbul Başkonsolosluğu'na göre iki vize türünde de sigorta sertifikası istenir; öğrenci vizesinde sigorta kalış süresince geçerli olmalıdır</t>
        </is>
      </c>
      <c r="F172" s="29" t="inlineStr">
        <is>
          <t>İstanbul Başkonsolosluğu'nun sayfalarına göre çalışmayı içermeyen oturum vizesi (residencia no lucrativa) ile öğrenci vizesi (estudios) başvurusunda sağlık sigortası sertifikası istenir; sayfalar başvuruyu İstanbul konsolosluk bölgesinde oturan kişilerden kabul ettiklerini yazar. Oturum vizesinde sigorta, İspanya'da faaliyet izinli bir sigortacıdan alınmış kamu ya da özel sigorta olmalı ve İspanya kamu sağlık sisteminin sigortaladığı tüm riskleri kapsamalıdır. Öğrenci vizesinde sigortacı yine İspanya'da faaliyet izinli olmalı; sigorta Sistema Nacional de Salud'un ortak temel hizmet paketine benzer yardımlar sağlamalı ve öngörülen kalış süresince geçerli olmalıdır. Anlatılanlar yalnızca bu iki vize türü içindir.</t>
        </is>
      </c>
      <c r="G172" s="29" t="inlineStr">
        <is>
          <t>sağlık sigortası, vize sigortası, residencia no lucrativa, öğrenci vizesi, estudios, seguro de enfermedad, İstanbul Başkonsolosluğu</t>
        </is>
      </c>
      <c r="H172" s="29" t="inlineStr">
        <is>
          <t>before;planning</t>
        </is>
      </c>
      <c r="I172" s="29" t="inlineStr">
        <is>
          <t>malaga:kaynak:010;malaga:kaynak:098</t>
        </is>
      </c>
      <c r="J172" s="49" t="n">
        <v>46319</v>
      </c>
      <c r="K172" s="51" t="n">
        <v>9077</v>
      </c>
      <c r="L172" s="29" t="inlineStr">
        <is>
          <t>Hayır</t>
        </is>
      </c>
      <c r="M172" s="29" t="inlineStr">
        <is>
          <t>Taslak</t>
        </is>
      </c>
      <c r="N172" s="29" t="inlineStr">
        <is>
          <t>malaga:planlama</t>
        </is>
      </c>
      <c r="O172" s="29" t="inlineStr">
        <is>
          <t>Hangi vizeye başvuracağını belirle; sigorta şartı vize türüne göre değişir.
Oturum vizesi için İspanya'da faaliyet izinli bir sigortacıdan, kamu sağlık sisteminin sigortaladığı tüm riskleri kapsayan bir sigorta yaptır.
Öğrenci vizesi için İspanya'da faaliyet izinli bir sigortacıdan, Sistema Nacional de Salud'un ortak temel hizmet paketine benzer yardımlar sağlayan ve öngörülen kalış süresince geçerli bir sigorta yaptır.
Sigorta sertifikasının orijinalini ve bir kopyasını vize başvurusuna ekle.</t>
        </is>
      </c>
      <c r="P172" s="29" t="inlineStr">
        <is>
          <t>Sağlık sigortası sertifikası (orijinal ve bir kopya)</t>
        </is>
      </c>
      <c r="Q172" s="29" t="inlineStr">
        <is>
          <t>Öğrenci vizesinde sigorta, öngörülen kalış süresince geçerli olmalıdır.</t>
        </is>
      </c>
      <c r="R172" s="29" t="n"/>
      <c r="S172" s="29" t="n"/>
      <c r="T172" s="29" t="n"/>
    </row>
    <row r="173" ht="54" customHeight="1">
      <c r="A173" s="29" t="inlineStr">
        <is>
          <t>malaga:ispanya-para-birimi-euro-ve-resmi-dil</t>
        </is>
      </c>
      <c r="B173" s="29" t="inlineStr">
        <is>
          <t>malaga</t>
        </is>
      </c>
      <c r="C173" s="29" t="inlineStr">
        <is>
          <t>ispanya-para-birimi-euro-ve-resmi-dil</t>
        </is>
      </c>
      <c r="D173" s="29" t="inlineStr">
        <is>
          <t>İspanya'da euro madeni paralar yasal ödeme aracı mı, resmî dil nedir?</t>
        </is>
      </c>
      <c r="E173" s="29" t="inlineStr">
        <is>
          <t>Euro madeni paralar tüm eurobölgesinde yasal ödeme aracıdır; devletin resmî dili Kastilyacadır, diğer diller bölgelerinde de resmîdir</t>
        </is>
      </c>
      <c r="F173" s="29" t="inlineStr">
        <is>
          <t>Banco de España'nın sayfasına göre euro madeni paralar eurobölgesinin tüm ülkelerinde yasal ödeme aracıdır; İspanya'da bunları Fábrica Nacional de Moneda y Timbre basar, Banco de España ise İspanya devleti adına dolaşıma sokar ve geri çeker. Resmî dil: Anayasa'nın 3. maddesine göre Kastilyaca (castellano) devletin resmî dilidir. Diğer İspanyol dilleri de ilgili özerk bölgelerde, o bölgelerin Statüleri uyarınca resmî dildir; hangi dilin geçerli olduğu bölgeye göre değişir.</t>
        </is>
      </c>
      <c r="G173" s="29" t="inlineStr">
        <is>
          <t>para birimi, euro, resmî dil, Kastilyaca, castellano, Anayasa, özerk bölge dilleri, Banco de España</t>
        </is>
      </c>
      <c r="H173" s="29" t="inlineStr">
        <is>
          <t>before;planning;new</t>
        </is>
      </c>
      <c r="I173" s="29" t="inlineStr">
        <is>
          <t>malaga:kaynak:099;malaga:kaynak:100</t>
        </is>
      </c>
      <c r="J173" s="49" t="n">
        <v>46319</v>
      </c>
      <c r="K173" s="51" t="n">
        <v>9078</v>
      </c>
      <c r="L173" s="29" t="inlineStr">
        <is>
          <t>Hayır</t>
        </is>
      </c>
      <c r="M173" s="29" t="inlineStr">
        <is>
          <t>Taslak</t>
        </is>
      </c>
      <c r="N173" s="29" t="inlineStr">
        <is>
          <t>malaga:planlama</t>
        </is>
      </c>
      <c r="O173" s="29" t="inlineStr">
        <is>
          <t>Euro madeni paralar eurobölgesinin tüm ülkelerinde yasal ödeme aracıdır; İspanya'da bunları Banco de España dolaşıma sokar.
Yaşayacağın özerk bölgenin Statüsüne bak: Kastilyacanın yanında başka bir İspanyol dili de o bölgede resmî olabilir.</t>
        </is>
      </c>
      <c r="P173" s="29" t="n"/>
      <c r="Q173" s="29" t="n"/>
      <c r="R173" s="29" t="n"/>
      <c r="S173" s="29" t="n"/>
      <c r="T173" s="29" t="n"/>
    </row>
    <row r="174" ht="54" customHeight="1">
      <c r="A174" s="29" t="inlineStr">
        <is>
          <t>malaga:ispanya-resmi-saat-ve-yaz-saati-kurali</t>
        </is>
      </c>
      <c r="B174" s="29" t="inlineStr">
        <is>
          <t>malaga</t>
        </is>
      </c>
      <c r="C174" s="29" t="inlineStr">
        <is>
          <t>ispanya-resmi-saat-ve-yaz-saati-kurali</t>
        </is>
      </c>
      <c r="D174" s="29" t="inlineStr">
        <is>
          <t>İspanya'da kaç resmî saat var ve yaz saati ne zaman başlayıp biter?</t>
        </is>
      </c>
      <c r="E174" s="29" t="inlineStr">
        <is>
          <t>BOE'deki Kraliyet Kararnamesi'ne göre yarımada ve Balear Adaları bir, Kanarya Adaları ayrı resmî saat kullanır; yaz saati Mart ve Ekim'in son pazarı değişir</t>
        </is>
      </c>
      <c r="F174" s="29" t="inlineStr">
        <is>
          <t>İspanya'da iki resmî saat vardır: biri Yarımada ve Balear Adaları, öteki Kanarya Adaları için (Real Decreto 236/2002). Kararname bunu, saat değişiminin ülkenin her yerinde aynı anda yapılmasını sağlamak için dikkate alır. Yaz saati her yıl Mart ayının son pazarı başlar: gece 02:00'de (Kanarya'da 01:00) resmî saat 60 dakika ileri alınır ve o gün 23 saat sürer. Yaz saati her yıl Ekim ayının son pazarı biter: gece 03:00'te (Kanarya'da 02:00) resmî saat 60 dakika geri alınır ve o gün 25 saat sürer.</t>
        </is>
      </c>
      <c r="G174" s="29" t="inlineStr">
        <is>
          <t>saat dilimi, yaz saati, resmî saat, Kanarya Adaları, hora de verano, Mart son pazar, Ekim son pazar</t>
        </is>
      </c>
      <c r="H174" s="29" t="inlineStr">
        <is>
          <t>before;planning;new</t>
        </is>
      </c>
      <c r="I174" s="29" t="inlineStr">
        <is>
          <t>malaga:kaynak:101</t>
        </is>
      </c>
      <c r="J174" s="49" t="n">
        <v>46319</v>
      </c>
      <c r="K174" s="51" t="n">
        <v>9079</v>
      </c>
      <c r="L174" s="29" t="inlineStr">
        <is>
          <t>Hayır</t>
        </is>
      </c>
      <c r="M174" s="29" t="inlineStr">
        <is>
          <t>Taslak</t>
        </is>
      </c>
      <c r="N174" s="29" t="inlineStr">
        <is>
          <t>malaga:planlama</t>
        </is>
      </c>
      <c r="O174" s="29" t="inlineStr">
        <is>
          <t>Mart ayının son pazarı yaz saatine geç: gece 02:00'de (Kanarya'da 01:00) saati 60 dakika ileri al.
Ekim ayının son pazarı yaz saati biter: gece 03:00'te (Kanarya'da 02:00) saati 60 dakika geri al.
Yarımada ve Balear Adaları ile Kanarya Adaları arasında seyahat edeceksen iki ayrı resmî saat olduğunu unutma; saat değişimi her iki yerde de aynı anda yapılır.</t>
        </is>
      </c>
      <c r="P174" s="29" t="n"/>
      <c r="Q174" s="29" t="inlineStr">
        <is>
          <t>Yaz saati, Mart ayının son pazarından Ekim ayının son pazarına kadar sürer.</t>
        </is>
      </c>
      <c r="R174" s="29" t="n"/>
      <c r="S174" s="29" t="n"/>
      <c r="T174" s="29" t="n"/>
    </row>
    <row r="175" ht="54" customHeight="1">
      <c r="A175" s="29" t="inlineStr">
        <is>
          <t>malaga:ab-disindan-gelen-yolcunun-bagaj-muafiyeti</t>
        </is>
      </c>
      <c r="B175" s="29" t="inlineStr">
        <is>
          <t>malaga</t>
        </is>
      </c>
      <c r="C175" s="29" t="inlineStr">
        <is>
          <t>ab-disindan-gelen-yolcunun-bagaj-muafiyeti</t>
        </is>
      </c>
      <c r="D175" s="29" t="inlineStr">
        <is>
          <t>AB dışından İspanya'ya gelirken bagajında vergisiz ne kadar eşya, tütün ve alkol getirebilirsin?</t>
        </is>
      </c>
      <c r="E175" s="29" t="inlineStr">
        <is>
          <t>Ticari olmayan kişisel eşyada sınır kişi başı havayolu ve denizyolunda 430, karayolunda 300, 15 yaş altında 150 euro; tütün ve alkolde ayrı sınır var</t>
        </is>
      </c>
      <c r="F175" s="29" t="inlineStr">
        <is>
          <t>Ticari nitelik taşımayan kişisel eşyayı, toplam değeri havayolu ve denizyoluyla gelende kişi başı 430 euro'yu, karayoluyla gelende 300 euro'yu geçmiyorsa KDV (IVA) ve özel tüketim vergisi ödemeden getirebilirsin; 15 yaşından küçük yolcuda sınır, hangi yolla gelirse gelsin, 150 euro'dur. Bu kural AEAT'in güncel sayfasında AB dışındaki ülkelerden (üçüncü ülke) gelen yolcular için yazılıdır; kişisel kullanım için ilaçların değeri hesaba katılmaz. Değer sınırından ayrı olarak tütünde 200 sigara ya da 100 sigarillo (tanesi en çok 3 g) ya da 50 puro ya da 250 g sarma tütün muaftır; farklı tütün ürünleri toplam sınırı aşmadan birleştirilebilir. Alkolde 1 litre %80 ve üzeri etil alkol ya da 1 litre %22'nin üzerinde alkollü içki ya da 2 litre %22'nin altında damıtma türevi içki, takviyeli veya köpüklü şarap muaftır; her biri toplam hakkın tamamı sayılır ve toplamı aşmadan birleştirilebilir. Bunlara ek olarak 4 litre köpüksüz (sakin) şarap ve 16 litre bira da muaftır. 17 yaşından küçük yolcu tütün ve alkol muafiyetinden yararlanamaz.</t>
        </is>
      </c>
      <c r="G175" s="29" t="inlineStr">
        <is>
          <t>bagaj muafiyeti, gümrük, 430 euro, 300 euro, tütün, alkol, IVA, AEAT, üçüncü ülke, yolcu</t>
        </is>
      </c>
      <c r="H175" s="29" t="inlineStr">
        <is>
          <t>before;planning</t>
        </is>
      </c>
      <c r="I175" s="29" t="inlineStr">
        <is>
          <t>malaga:kaynak:102</t>
        </is>
      </c>
      <c r="J175" s="49" t="n">
        <v>46319</v>
      </c>
      <c r="K175" s="51" t="n">
        <v>9080</v>
      </c>
      <c r="L175" s="29" t="inlineStr">
        <is>
          <t>Hayır</t>
        </is>
      </c>
      <c r="M175" s="29" t="inlineStr">
        <is>
          <t>Taslak</t>
        </is>
      </c>
      <c r="N175" s="29" t="inlineStr">
        <is>
          <t>malaga:planlama</t>
        </is>
      </c>
      <c r="O175" s="29" t="inlineStr">
        <is>
          <t>Bagajındaki eşyanın ticari nitelik taşımadığından emin ol; muafiyet yalnız kişisel bagaj içindir.
Havayolu ya da denizyoluyla geliyorsan eşyanın toplam değerini kişi başı 430 euro'nun, karayoluyla geliyorsan 300 euro'nun altında tut; 15 yaş altındaki çocuk için sınır 150 euro'dur.
Tütünde 200 sigara ya da 100 sigarillo ya da 50 puro ya da 250 g sarma tütün sınırını aşma; farklı tütün ürünlerini birleştirebilirsin ama toplam sınırı aşamazsın.
Alkolde 1 litre %80 ve üzeri etil alkol ya da 1 litre %22 üzeri içki ya da 2 litre %22 altı damıtma türevi içki, takviyeli veya köpüklü şarap sınırını toplamda aşma; ek olarak 4 litre köpüksüz şarap ve 16 litre bira getirebilirsin.</t>
        </is>
      </c>
      <c r="P175" s="29" t="n"/>
      <c r="Q175" s="29" t="n"/>
      <c r="R175" s="29" t="n"/>
      <c r="S175" s="29" t="inlineStr">
        <is>
          <t>Kişisel kullanım için ilaçların değeri 430/300/150 euro sınırına sayılmaz. 17 yaşından küçük yolcular tütün ve alkol muafiyetinden yararlanamaz. Cebelitarık'a sınır bölgesinde oturan ya da çalışanlar için sigara muafiyeti 80 sigaraya iner. Andorra'dan gelen yolcular için AEAT sayfasında ayrı ve farklı sınırlar yazılıdır; bu karttaki sınırlar Andorra dışındaki üçüncü ülkeler içindir.</t>
        </is>
      </c>
      <c r="T175" s="29" t="n"/>
    </row>
    <row r="176" ht="54" customHeight="1">
      <c r="A176" s="29" t="inlineStr">
        <is>
          <t>malaga:havalimani-express-otobus-l-a-bilet-ve-duraklar</t>
        </is>
      </c>
      <c r="B176" s="29" t="inlineStr">
        <is>
          <t>malaga</t>
        </is>
      </c>
      <c r="C176" s="29" t="inlineStr">
        <is>
          <t>havalimani-express-otobus-l-a-bilet-ve-duraklar</t>
        </is>
      </c>
      <c r="D176" s="29" t="inlineStr">
        <is>
          <t>Málaga havalimanından şehir merkezine EMT Línea Express Aeropuerto (L-A) otobüsüyle nasıl gidersin?</t>
        </is>
      </c>
      <c r="E176" s="29" t="inlineStr">
        <is>
          <t>Tek yön 4 euro, yoğun saatte 20-25 dakikada bir sefer</t>
        </is>
      </c>
      <c r="F176" s="29" t="inlineStr">
        <is>
          <t>Havalimanından merkeze EMT'nin ekspres hattı Línea Express Aeropuerto (L-A) çalışır; merkezde Paseo del Parque ile havalimanı arasında gider. Tek yön bilet 4 euro, yoğun saatte seferler 20-25 dakikada bir. Hat, yol üstünde EMT ağına, AVE istasyonuna ve otogara bağlanır. Bileti otobüste nakit ya da kartla alırsın ya da EMT Málaga uygulamasından QR bilet satın alırsın.</t>
        </is>
      </c>
      <c r="G176" s="29" t="inlineStr">
        <is>
          <t>havalimanı otobüsü, Línea Express Aeropuerto, L-A, EMT Málaga, havalimanından merkeze, Paseo del Parque, Málaga havalimanı ulaşım</t>
        </is>
      </c>
      <c r="H176" s="29" t="inlineStr">
        <is>
          <t>planning;new</t>
        </is>
      </c>
      <c r="I176" s="29" t="inlineStr">
        <is>
          <t>malaga:kaynak:226;malaga:kaynak:227</t>
        </is>
      </c>
      <c r="J176" s="49" t="n">
        <v>46322</v>
      </c>
      <c r="K176" s="51" t="n">
        <v>100</v>
      </c>
      <c r="L176" s="29" t="inlineStr">
        <is>
          <t>Evet</t>
        </is>
      </c>
      <c r="M176" s="29" t="inlineStr">
        <is>
          <t>Taslak</t>
        </is>
      </c>
      <c r="N176" s="29" t="inlineStr">
        <is>
          <t>malaga:planlama</t>
        </is>
      </c>
      <c r="O176" s="29" t="inlineStr">
        <is>
          <t>Terminalin varış çıkışının yanındaki gişeden ya da doğrudan otobüste tek yön L-A bileti al.
Otobüste nakit öde ya da VISA/MASTERCARD kartını binerken okut (inerken okutman gerekmez); istersen EMT Málaga uygulamasından QR bilet alıp otobüste okut.
Yol üstündeki duraklarda inip EMT hattına, AVE istasyonuna ya da otogara geçebilirsin; L-A bileti aktarma hakkı vermediği için diğer hatta ayrı bilet ya da yükleme kullanırsın. Merkezde Paseo del Parque'ta ineceksen son durağa kadar git.</t>
        </is>
      </c>
      <c r="P176" s="29" t="n"/>
      <c r="Q176" s="29" t="inlineStr">
        <is>
          <t>Yoğun saatte 20-25 dakikada bir sefer</t>
        </is>
      </c>
      <c r="R176" s="29" t="inlineStr">
        <is>
          <t>Tek yön 4 euro (tarife 2026 boyunca uzatıldı)</t>
        </is>
      </c>
      <c r="S176" s="29" t="inlineStr">
        <is>
          <t>EMT'nin 1,40 euroluk normal bileti ve ağındaki çok yolculuklu kartlar L-A hattında geçmez; bu hat için ayrı 4 euroluk bilet alırsın ve aktarma hakkı yoktur.</t>
        </is>
      </c>
      <c r="T176" s="29" t="n"/>
    </row>
    <row r="177" ht="54" customHeight="1">
      <c r="A177" s="29" t="inlineStr">
        <is>
          <t>malaga:havalimanindan-trenle-cercanias-c1-maria-zambrano</t>
        </is>
      </c>
      <c r="B177" s="29" t="inlineStr">
        <is>
          <t>malaga</t>
        </is>
      </c>
      <c r="C177" s="29" t="inlineStr">
        <is>
          <t>havalimanindan-trenle-cercanias-c1-maria-zambrano</t>
        </is>
      </c>
      <c r="D177" s="29" t="inlineStr">
        <is>
          <t>Málaga havalimanından trenle María Zambrano garına nasıl gidersin?</t>
        </is>
      </c>
      <c r="E177" s="29" t="inlineStr">
        <is>
          <t>Cercanías C1 hattı havalimanını şehir merkeziyle bağlar</t>
        </is>
      </c>
      <c r="F177" s="29" t="inlineStr">
        <is>
          <t>Havalimanından treni seçersen Renfe Cercanías C1 hattına binersin; Renfe, C1'in Málaga-Costa del Sol havalimanıyla bağlantısı olduğunu yazıyor. María Zambrano garı şehir merkezinde, Explanada de la Estación sokağında; hızlı tren, uzun ve orta mesafe seferlerinin yanında C1 ile C2 Cercanías hatları da burada kesişir, gar otogar ve metroyla bağlantılıdır. Gar 05:00 ile 00:45 arasında açıktır. Cercanías'ta Consorcio kartıyla ödersen ücret gittiğin bölge sayısına (salto) göre belirlenir; Cercanías saatleri ve hat haritası Consorcio'nun Renfe Cercanías sayfasındaki bağlantılardadır.</t>
        </is>
      </c>
      <c r="G177" s="29" t="inlineStr">
        <is>
          <t>María Zambrano, Cercanías C1, havalimanı treni, Renfe Málaga, tren garı, Málaga AVE, C2 Álora</t>
        </is>
      </c>
      <c r="H177" s="29" t="inlineStr">
        <is>
          <t>planning;new</t>
        </is>
      </c>
      <c r="I177" s="29" t="inlineStr">
        <is>
          <t>malaga:kaynak:234;malaga:kaynak:230</t>
        </is>
      </c>
      <c r="J177" s="49" t="n">
        <v>46322</v>
      </c>
      <c r="K177" s="51" t="n">
        <v>101</v>
      </c>
      <c r="L177" s="29" t="inlineStr">
        <is>
          <t>Hayır</t>
        </is>
      </c>
      <c r="M177" s="29" t="inlineStr">
        <is>
          <t>Taslak</t>
        </is>
      </c>
      <c r="N177" s="29" t="inlineStr">
        <is>
          <t>malaga:planlama</t>
        </is>
      </c>
      <c r="O177" s="29" t="inlineStr">
        <is>
          <t>Havalimanından Cercanías C1 hattına bin ve şehir yönünde María Zambrano'ya kadar git.
Garda AVE, uzun ve orta mesafe trenlerine ya da C2 hattına (Málaga-Álora) geç.
Gar otogar ve metroyla bağlantılıdır; otogara ya da metroya buradan geçebilirsin.
Consorcio kartın varsa bakiyeni Cercanías otomatlarında ve istasyon gişelerinde yükleyebilirsin.</t>
        </is>
      </c>
      <c r="P177" s="29" t="n"/>
      <c r="Q177" s="29" t="inlineStr">
        <is>
          <t>Gar 05:00-00:45 arası açık</t>
        </is>
      </c>
      <c r="R177" s="29" t="inlineStr">
        <is>
          <t>Consorcio kartıyla ücret gittiğin bölge sayısına (salto) göre belirlenir.</t>
        </is>
      </c>
      <c r="S177" s="29" t="inlineStr">
        <is>
          <t>Garın yürüyerek 20 dakikadan kısa mesafesinde Málaga limanı ve Malagueta plajına ulaşırsın.</t>
        </is>
      </c>
      <c r="T177" s="29" t="n"/>
    </row>
    <row r="178" ht="54" customHeight="1">
      <c r="A178" s="29" t="inlineStr">
        <is>
          <t>malaga:cercanias-konsorsiyum-karti-cikista-tekrar-okutma</t>
        </is>
      </c>
      <c r="B178" s="29" t="inlineStr">
        <is>
          <t>malaga</t>
        </is>
      </c>
      <c r="C178" s="29" t="inlineStr">
        <is>
          <t>cercanias-konsorsiyum-karti-cikista-tekrar-okutma</t>
        </is>
      </c>
      <c r="D178" s="29" t="inlineStr">
        <is>
          <t>Málaga Cercanías trenlerinde Consorcio kartıyla yolculuk nasıl ödenir, çıkışta kartı neden tekrar okutursun?</t>
        </is>
      </c>
      <c r="E178" s="29" t="inlineStr">
        <is>
          <t>Girişte 0 salto kesilir, çıkışta ücret düzeltilir; azami süre 180 dakika</t>
        </is>
      </c>
      <c r="F178" s="29" t="inlineStr">
        <is>
          <t>Consorcio ulaşım kartıyla Cercanías C-1 (Málaga-Fuengirola) ve C-2 (Málaga-Álora) hatlarında yolculuk edersin. Girişte turnikeden geçerken kartından her zaman 0 salto tarifesi düşer; varış istasyonunda kartı yeniden okutman gerekir, böylece ücret gittiğin bölgeye göre otomatik düzeltilir. Girişten çıkışa en çok 180 dakikan var; aşarsan Renfe biletsiz yolcu cezası uygular, çıkış turnikesinde Consorcio de en yüksek (beş salto) tarifeyi keser.</t>
        </is>
      </c>
      <c r="G178" s="29" t="inlineStr">
        <is>
          <t>Cercanías kart, Consorcio kartı, salto, turnike, çıkışta okutma, Renfe Málaga ödeme, tarjeta de transporte</t>
        </is>
      </c>
      <c r="H178" s="29" t="inlineStr">
        <is>
          <t>new;settled</t>
        </is>
      </c>
      <c r="I178" s="29" t="inlineStr">
        <is>
          <t>malaga:kaynak:230</t>
        </is>
      </c>
      <c r="J178" s="49" t="n">
        <v>46322</v>
      </c>
      <c r="K178" s="51" t="n">
        <v>102</v>
      </c>
      <c r="L178" s="29" t="inlineStr">
        <is>
          <t>Hayır</t>
        </is>
      </c>
      <c r="M178" s="29" t="inlineStr">
        <is>
          <t>Taslak</t>
        </is>
      </c>
      <c r="N178" s="29" t="inlineStr">
        <is>
          <t>malaga:planlama</t>
        </is>
      </c>
      <c r="O178" s="29" t="inlineStr">
        <is>
          <t>Trene binerken kartını turnikeye ya da doğrulama makinesine okut.
Varış istasyonunda kartını çıkış turnikesine ya da doğrulama makinesine yeniden okut; istasyonun turnikesi açık olsa bile okut.
Girişten çıkışa 180 dakikayı geçirme.
Kartı Consorcio'nun satış noktaları listesinde yer alan Cercanías gişelerinden (taquilla) al; liste Consorcio sitesindeki satış noktaları bölümündedir. Bakiyeyi gişelerde ya da Cercanías otomatlarında yükle.</t>
        </is>
      </c>
      <c r="P178" s="29" t="n"/>
      <c r="Q178" s="29" t="inlineStr">
        <is>
          <t>Giriş turnikesinden çıkış turnikesine en çok 180 dakika</t>
        </is>
      </c>
      <c r="R178" s="29" t="inlineStr">
        <is>
          <t>Girişte 0 salto tarifesi düşer; son ücret, otobüste olduğu gibi çıkış ve varış bölgesine göre salto sayısıyla belirlenir.</t>
        </is>
      </c>
      <c r="S178" s="29" t="inlineStr">
        <is>
          <t>Vazgeçersen girişten sonra 15 dakika içinde, aynı istasyondan çıkarak yolculuğu iptal edebilirsin. Fotoğraflı (kişiselleştirilmiş) kartla yalnız kart sahibi yolculuk eder; kişiselleştirilmemiş kartla 15 kişiye kadar birlikte geçersin ve grup için izin verilen süre beş dakikadır.</t>
        </is>
      </c>
      <c r="T178" s="29" t="n"/>
    </row>
    <row r="179" ht="54" customHeight="1">
      <c r="A179" s="29" t="inlineStr">
        <is>
          <t>malaga:consorcio-ulasim-karti-alma-ve-yukleme</t>
        </is>
      </c>
      <c r="B179" s="29" t="inlineStr">
        <is>
          <t>malaga</t>
        </is>
      </c>
      <c r="C179" s="29" t="inlineStr">
        <is>
          <t>consorcio-ulasim-karti-alma-ve-yukleme</t>
        </is>
      </c>
      <c r="D179" s="29" t="inlineStr">
        <is>
          <t>Málaga'da Consorcio ulaşım kartı (tarjeta de transporte) nasıl alınır ve yüklenir, nerelerde geçer?</t>
        </is>
      </c>
      <c r="E179" s="29" t="inlineStr">
        <is>
          <t>Kart alma 1,50 euro, en az yükleme 5 euro, azami bakiye 500 euro</t>
        </is>
      </c>
      <c r="F179" s="29" t="inlineStr">
        <is>
          <t>Consorcio kartını, Consorcio'ya bağlı herhangi bir satış noktasından alırsın; kart alırken 1,50 euro işlem bedeli kesilir. Kart yüklenebilen bir cüzdan kartıdır: en az 5 euroyla yüklersin ve kartta biriken bakiye 500 euroyu aşamaz. Kart şehirlerarası otobüslerde, Málaga şehir otobüslerinde ve komşu belediyelerin otobüslerinde, Málaga/Cádiz/Sevilla Cercanías trenlerinde ve Málaga/Sevilla/Granada metrolarında geçer.</t>
        </is>
      </c>
      <c r="G179" s="29" t="inlineStr">
        <is>
          <t>Consorcio kartı, tarjeta de transporte, Málaga ulaşım kartı, estanco, kart yükleme, CTMAM, metropolitan ulaşım</t>
        </is>
      </c>
      <c r="H179" s="29" t="inlineStr">
        <is>
          <t>new;settled</t>
        </is>
      </c>
      <c r="I179" s="29" t="inlineStr">
        <is>
          <t>malaga:kaynak:229;malaga:kaynak:230</t>
        </is>
      </c>
      <c r="J179" s="49" t="n">
        <v>46322</v>
      </c>
      <c r="K179" s="51" t="n">
        <v>103</v>
      </c>
      <c r="L179" s="29" t="inlineStr">
        <is>
          <t>Hayır</t>
        </is>
      </c>
      <c r="M179" s="29" t="inlineStr">
        <is>
          <t>Taslak</t>
        </is>
      </c>
      <c r="N179" s="29" t="inlineStr">
        <is>
          <t>malaga:planlama</t>
        </is>
      </c>
      <c r="O179" s="29" t="inlineStr">
        <is>
          <t>Kartı bir Consorcio satış noktasından al (estanco, kiosko ya da librería); satış noktalarının listesi Consorcio sitesindeki satış noktaları bölümündedir.
Sierra de las Nieves'in işlettiği hatlardan (ör. M-253 Málaga-Antequera, M-152 Málaga-Los Gámez) birini kullanacaksan alırken kartın salto sayısını (0, 1, 2 ya da 3) belirlet.
Kartı en az 5 euroyla yükle; yüklemeyi aynı satış noktalarında ya da Cercanías otomat ve gişelerinde yapabilirsin. Satış noktasında yüklerken salto sayısını da değiştirebilirsin.
Şehirlerarası otobüste şoföre varış yerini söyle, sonra kartı okutucuya yaklaştır; Málaga EMT otobüslerinde ve metro turnikelerinde bilet çıkmaz, kartı okutman yeterlidir.</t>
        </is>
      </c>
      <c r="P179" s="29" t="n"/>
      <c r="Q179" s="29" t="n"/>
      <c r="R179" s="29" t="inlineStr">
        <is>
          <t>Kart alma işlem bedeli 1,50 euro; en az yükleme 5 euro; en çok bakiye 500 euro</t>
        </is>
      </c>
      <c r="S179" s="29" t="inlineStr">
        <is>
          <t>Şehirlerarası otobüste kart ya da okutucu çalışmazsa kartı şoföre göster: şoför kart numaranı kaydedip yolculuk bedelini nakit alır ve bilet verir; kartla ödeme farkı üç ay içinde, bir sonraki yükleme ya da yapılandırma değişikliği sırasında otomatik iade edilir.</t>
        </is>
      </c>
      <c r="T179" s="29" t="n"/>
    </row>
    <row r="180" ht="54" customHeight="1">
      <c r="A180" s="29" t="inlineStr">
        <is>
          <t>malaga:emt-bilet-turleri-yeni-gelen-icin-secim</t>
        </is>
      </c>
      <c r="B180" s="29" t="inlineStr">
        <is>
          <t>malaga</t>
        </is>
      </c>
      <c r="C180" s="29" t="inlineStr">
        <is>
          <t>emt-bilet-turleri-yeni-gelen-icin-secim</t>
        </is>
      </c>
      <c r="D180" s="29" t="inlineStr">
        <is>
          <t>Málaga'ya yeni geldiysen EMT otobüsünde hangi bileti ya da kartı seçersin?</t>
        </is>
      </c>
      <c r="E180" s="29" t="inlineStr">
        <is>
          <t>Tekil bilet 1,40 euro; çok yolculuklu yükleme 5 euroya 10 yolculuk; aylık sınırsız 23,95 euro</t>
        </is>
      </c>
      <c r="F180" s="29" t="inlineStr">
        <is>
          <t>Otobüse seyrek bineceksen otobüste 1,40 euroluk tekil bileti al; aktarma hakkı vermez. Sık bineceksen EMT kartına çok yolculuklu yükleme yaparsın: 5 euroya 10 yolculuk, bir saat içinde hat değiştirirken aktarma ücretsiz. Düzenli binenlere aylık sınırsız yükleme 23,95 euro; 16-25 yaş arası Tarjeta Joven sahipleri ile 16 yaş altı sık binenler için Tarjeta Estudiante sahipleri aylık yüklemeyi (koşullar tutuyorsa) 13,50 euroya yapar. 3-14 yaş arası çocuklar 1 Temmuz 2025'ten beri EMT otobüslerinde ücretsiz gider, 3 yaşından küçükler zaten bilet almaz.</t>
        </is>
      </c>
      <c r="G180" s="29" t="inlineStr">
        <is>
          <t>EMT Málaga, otobüs bileti, Recarga Multiviaje, aylık abonman, Tarjeta Joven, Málaga şehir otobüsü, EMT tarifesi</t>
        </is>
      </c>
      <c r="H180" s="29" t="inlineStr">
        <is>
          <t>new;settled</t>
        </is>
      </c>
      <c r="I180" s="29" t="inlineStr">
        <is>
          <t>malaga:kaynak:227;malaga:kaynak:228</t>
        </is>
      </c>
      <c r="J180" s="49" t="n">
        <v>46322</v>
      </c>
      <c r="K180" s="51" t="n">
        <v>104</v>
      </c>
      <c r="L180" s="29" t="inlineStr">
        <is>
          <t>Hayır</t>
        </is>
      </c>
      <c r="M180" s="29" t="inlineStr">
        <is>
          <t>Taslak</t>
        </is>
      </c>
      <c r="N180" s="29" t="inlineStr">
        <is>
          <t>malaga:planlama</t>
        </is>
      </c>
      <c r="O180" s="29" t="inlineStr">
        <is>
          <t>Seyrek bineceksen bileti otobüste nakit (5 euroyu aşan banknot kabul edilmez), banka kartı ya da QR bilet ile al.
Sık bineceksen kartına 10, 20 ya da 30 yolculuk yükle; yüklemeyi müşteri hizmetleri merkezinde (Centro de Atención al Cliente), satış ağındaki noktalarda ya da EMT Málaga uygulamasındaki NFC yüklemesiyle yapabilirsin.
Her gün bineceksen aynı yükleme noktalarında aylık sınırsız yükleme yap.
Bir yıl boyunca sınırsız binecek ve koşulları taşıyorsan yıllık abonmanı Tarjeta Anual'a yalnız EMT Müşteri Hizmetleri Merkezi'nde yüklet; abonman kendiliğinden yenilenmez.</t>
        </is>
      </c>
      <c r="P180" s="29" t="n"/>
      <c r="Q180" s="29" t="inlineStr">
        <is>
          <t>Çok yolculuklu yüklemedeki yolculuklar yükleme gününden itibaren 1 yıl geçerli</t>
        </is>
      </c>
      <c r="R180" s="29" t="inlineStr">
        <is>
          <t>Tekil bilet 1,40 euro; 10 yolculuk yüklemesi 5 euro; aylık sınırsız 23,95 euro; aylık bonifiye yükleme 13,50 euro (Tarjeta Joven, Tarjeta Estudiante ve Tarjeta UMA'ya; Joven ve Estudiante koşullara bağlı); yıllık abonman 174 euro (koşullara bağlı, yalnız müşteri hizmetleri merkezinde yüklenir, otomatik yenilenmez; tarifeler 2026 boyunca geçerli)</t>
        </is>
      </c>
      <c r="S180" s="29" t="inlineStr">
        <is>
          <t>Sürücü 5 euroyu aşan banknotları bozmak zorunda değildir. Tüm bu bilet ve yüklemeler havalimanı hattı L-A'da geçmez.</t>
        </is>
      </c>
      <c r="T180" s="29" t="n"/>
    </row>
    <row r="181" ht="54" customHeight="1">
      <c r="A181" s="29" t="inlineStr">
        <is>
          <t>malaga:metro-malaga-banka-karti-ile-metro-pay</t>
        </is>
      </c>
      <c r="B181" s="29" t="inlineStr">
        <is>
          <t>malaga</t>
        </is>
      </c>
      <c r="C181" s="29" t="inlineStr">
        <is>
          <t>metro-malaga-banka-karti-ile-metro-pay</t>
        </is>
      </c>
      <c r="D181" s="29" t="inlineStr">
        <is>
          <t>Málaga metrosunda bilet almadan banka kartıyla (Metro Pay) nasıl yolculuk edersin?</t>
        </is>
      </c>
      <c r="E181" s="29" t="inlineStr">
        <is>
          <t>Metro Pay 1,35 euro; kayıtlı Metro Pay Plus ile ayda 41. yolculuktan sonra 0,25 euro</t>
        </is>
      </c>
      <c r="F181" s="29" t="inlineStr">
        <is>
          <t>Metro de Málaga'da bilet almadan temassız Visa ya da Mastercard banka kartı ya da akıllı cihazınla geçersin. Kayıt gerektirmeyen Metro Pay'de her yolculuk 1,35 euro (Billete Ocasional) ve ücret günün sonunda çekilir. Sık bineceksen Metro Pay Plus'a kaydolup kayıtlı fiziksel kartınla doğrularsın: ayın 1-20. yolculuğu 0,49, 21-40. yolculuğu 0,37, 41. yolculuktan sonrası 0,25 euro olur ve tüm ay tek çekimle ertesi ayın ilk günlerinde tahsil edilir.</t>
        </is>
      </c>
      <c r="G181" s="29" t="inlineStr">
        <is>
          <t>Metro Pay, Metro Málaga, temassız ödeme, Metro Pay Plus, metro bileti, banka kartıyla metro, Billete Ocasional</t>
        </is>
      </c>
      <c r="H181" s="29" t="inlineStr">
        <is>
          <t>new;settled</t>
        </is>
      </c>
      <c r="I181" s="29" t="inlineStr">
        <is>
          <t>malaga:kaynak:233</t>
        </is>
      </c>
      <c r="J181" s="49" t="n">
        <v>46322</v>
      </c>
      <c r="K181" s="51" t="n">
        <v>105</v>
      </c>
      <c r="L181" s="29" t="inlineStr">
        <is>
          <t>Hayır</t>
        </is>
      </c>
      <c r="M181" s="29" t="inlineStr">
        <is>
          <t>Taslak</t>
        </is>
      </c>
      <c r="N181" s="29" t="inlineStr">
        <is>
          <t>malaga:planlama</t>
        </is>
      </c>
      <c r="O181" s="29" t="inlineStr">
        <is>
          <t>Temassız Visa ya da Mastercard kartını (ya da telefonunu) Metro Pay logolu geçiş okuyucusuna yaklaştır. Yeraltı istasyonlarında logolu geniş (PMR) geçişi kullan; Guadalmedina ve Atarazanas istasyonlarında tüm doğrulama hatları geçerlidir. Yüzey duraklarında iki perondaki tüm doğrulama noktaları geçerlidir.
Çıkışta girişte kullandığın aynı kart ya da cihazı yeniden okut; yüzey duraklarından çıkıyorsan yeniden okutman gerekmez.
Sık bineceksen Metro Pay Plus'a kaydol ve yolculukları kayıtlı fiziksel kartınla doğrula.</t>
        </is>
      </c>
      <c r="P181" s="29" t="n"/>
      <c r="Q181" s="29" t="inlineStr">
        <is>
          <t>Metro Pay: ücret günün sonunda çekilir. Metro Pay Plus: tek çekim ertesi ayın ilk günlerinde</t>
        </is>
      </c>
      <c r="R181" s="29" t="inlineStr">
        <is>
          <t>Metro Pay 1,35 euro/yolculuk; Metro Pay Plus ayda 1-20. yolculuk 0,49 euro, 21-40. yolculuk 0,37 euro, 41. yolculuktan sonrası 0,25 euro</t>
        </is>
      </c>
      <c r="S181" s="29" t="inlineStr">
        <is>
          <t>Fiziksel kart ile aynı kartın telefon ya da saatteki sanal hâli farklı ödeme aracı sayılır ve ek ücret çıkabilir. Consorcio kartının indirimlerinden yararlanacaksan o kartla doğrulaman gerekir; Metro Pay Plus bu indirimleri uygulamaz. En çok dokuz kişi aynı kartla, aynı yerden aynı yere birlikte geçebilir; Metro Pay Plus'ta grupla geçersen yalnız ilk doğrulama indirim kademesine sayılır, diğerleri 0,49 euro üzerinden çekilir.</t>
        </is>
      </c>
      <c r="T181" s="29" t="n"/>
    </row>
    <row r="182" ht="54" customHeight="1">
      <c r="A182" s="29" t="inlineStr">
        <is>
          <t>malaga:yaz-sicak-uyari-seviyeleri-ve-risk-gruplari</t>
        </is>
      </c>
      <c r="B182" s="29" t="inlineStr">
        <is>
          <t>malaga</t>
        </is>
      </c>
      <c r="C182" s="29" t="inlineStr">
        <is>
          <t>yaz-sicak-uyari-seviyeleri-ve-risk-gruplari</t>
        </is>
      </c>
      <c r="D182" s="29" t="inlineStr">
        <is>
          <t>Málaga'da yazın aşırı sıcağa karşı hangi uyarı seviyeleri var, nasıl korunursun?</t>
        </is>
      </c>
      <c r="E182" s="29" t="inlineStr">
        <is>
          <t>Nivel 0 yeşil, 1 sarı, 2 turuncu, 3 kırmızı; protokol 2026'da 15 Mayıs - 30 Eylül</t>
        </is>
      </c>
      <c r="F182" s="29" t="inlineStr">
        <is>
          <t>Endülüs'te sıcak riski dört seviyedir: Nivel 0 yeşil (risk yok), Nivel 1 sarı (düşük), Nivel 2 turuncu (orta), Nivel 3 kırmızı (yüksek). Korunmak için öğle saatlerinde doğrudan güneşten kaçın, hafif ve açık renkli giy, iyi bir hidrasyon düzeyini koru. Endülüs sağlık yönetimi aşırı sıcakların etkisini azaltmak için bir koordinasyon protokolü yürütür; 2026 sezonunda protokol 15 Mayıs ile 30 Eylül arasında yürürlükteydi. Málaga ilindeki Costa del Sol y Guadalhorce bölgesi 2025 sezonunda en riskli bölgelerden biri oldu. Turistler ve göçmenler, yabancı oldukları ortama uyum sorunu nedeniyle özellikle 14:00-19:00 arasında sıcaktan etkilenebilecekler arasında sayılıyor.</t>
        </is>
      </c>
      <c r="G182" s="29" t="inlineStr">
        <is>
          <t>sıcak dalgası, Málaga yaz sıcağı, Nivel 3, Salud Responde, meteosalud, Costa del Sol y Guadalhorce, yaz hazırlığı</t>
        </is>
      </c>
      <c r="H182" s="29" t="inlineStr">
        <is>
          <t>planning;new</t>
        </is>
      </c>
      <c r="I182" s="29" t="inlineStr">
        <is>
          <t>malaga:kaynak:235</t>
        </is>
      </c>
      <c r="J182" s="49" t="n">
        <v>46322</v>
      </c>
      <c r="K182" s="51" t="n">
        <v>106</v>
      </c>
      <c r="L182" s="29" t="inlineStr">
        <is>
          <t>Evet</t>
        </is>
      </c>
      <c r="M182" s="29" t="inlineStr">
        <is>
          <t>Taslak</t>
        </is>
      </c>
      <c r="N182" s="29" t="inlineStr">
        <is>
          <t>malaga:planlama</t>
        </is>
      </c>
      <c r="O182" s="29" t="inlineStr">
        <is>
          <t>Günün ortasında doğrudan güneşten mümkün olduğunca uzak dur; çıkman gerekirse güneş kremi, şapka, güneş gözlüğü ve açık renkli hafif giysi kullan.
İyi bir hidrasyon düzeyini koru; meyve ve sebze ye.
Sıcakla ilgili güncel bilgi ve önerileri Salud Responde uygulamasından, sıcak önerilerini Verano y Salud Andalucía web sitesinden al.
Altı aydan küçük bebekleri doğrudan güneşe maruz bırakma.</t>
        </is>
      </c>
      <c r="P182" s="29" t="n"/>
      <c r="Q182" s="29" t="inlineStr">
        <is>
          <t>2026 sezonunda 15 Mayıs - 30 Eylül</t>
        </is>
      </c>
      <c r="R182" s="29" t="n"/>
      <c r="S182" s="29" t="inlineStr">
        <is>
          <t>Özellikle risk altındakiler: 65 yaş üstü kişiler, kronik hastalar, ısıya uyumu etkileyebilecek ilaç kullananlar, hamileler, dört yaşından küçük çocuklar ve bebekler.</t>
        </is>
      </c>
      <c r="T182" s="29" t="n"/>
    </row>
    <row r="183" ht="54" customHeight="1">
      <c r="A183" s="29" t="inlineStr">
        <is>
          <t>malaga:terral-ruzgari-malaga-guadalhorce-ve-diger-ruzgarlar</t>
        </is>
      </c>
      <c r="B183" s="29" t="inlineStr">
        <is>
          <t>malaga</t>
        </is>
      </c>
      <c r="C183" s="29" t="inlineStr">
        <is>
          <t>terral-ruzgari-malaga-guadalhorce-ve-diger-ruzgarlar</t>
        </is>
      </c>
      <c r="D183" s="29" t="inlineStr">
        <is>
          <t>Terral rüzgârı nedir, Málaga'da hangi rüzgâr ne getirir?</t>
        </is>
      </c>
      <c r="E183" s="29" t="inlineStr">
        <is>
          <t>Terral: Guadalhorce boyunca esen sıcak ve kuru kuzey rüzgârı</t>
        </is>
      </c>
      <c r="F183" s="29" t="inlineStr">
        <is>
          <t>Terral, Málaga'da kuzey bileşenli, sıcak ve kuru rüzgâra verilen addır; Junta de Andalucía'ya göre Málaga'nın terral rüzgârları Guadalhorce nehri boyunca yönlenir. Alborán Denizi çevresinde batıdan, Atlantik'ten gelen rüzgârlar nemli; doğudan, Akdeniz'den gelenler sıcak ve nemlidir. Junta'ya göre güneyden, Afrika çöllerinden gelen rüzgârlar sıcak ve kuru kabul edilir, havada toz ve kum taşıyabilir; aynı sayfaya göre bu rüzgârlar Alborán Denizi'nde nem yükler, Subbético dağ sistemini aşınca Guadalquivir vadisine kuru ve sıcak ulaşır.</t>
        </is>
      </c>
      <c r="G183" s="29" t="inlineStr">
        <is>
          <t>terral, Málaga rüzgâr, Guadalhorce, Alborán, Afrika tozu, sıcak rüzgâr</t>
        </is>
      </c>
      <c r="H183" s="29" t="inlineStr">
        <is>
          <t>planning;new</t>
        </is>
      </c>
      <c r="I183" s="29" t="inlineStr">
        <is>
          <t>malaga:kaynak:236;malaga:kaynak:235</t>
        </is>
      </c>
      <c r="J183" s="49" t="n">
        <v>46322</v>
      </c>
      <c r="K183" s="51" t="n">
        <v>107</v>
      </c>
      <c r="L183" s="29" t="inlineStr">
        <is>
          <t>Hayır</t>
        </is>
      </c>
      <c r="M183" s="29" t="inlineStr">
        <is>
          <t>Taslak</t>
        </is>
      </c>
      <c r="N183" s="29" t="inlineStr">
        <is>
          <t>malaga:planlama</t>
        </is>
      </c>
      <c r="O183" s="29" t="inlineStr">
        <is>
          <t>Terral estiği günlerde hava durumunu ve sıcak uyarılarını izle; sıcakla ilgili güncel bilgi ve önerileri Salud Responde uygulamasından, sıcak önerilerini Verano y Salud Andalucía web sitesinden alabilirsin.
Güney rüzgârı günlerinde havada toz ve kum olabileceğini hesaba kat.</t>
        </is>
      </c>
      <c r="P183" s="29" t="n"/>
      <c r="Q183" s="29" t="n"/>
      <c r="R183" s="29" t="n"/>
      <c r="S183" s="29" t="n"/>
      <c r="T183" s="29" t="n"/>
    </row>
    <row r="184" ht="54" customHeight="1">
      <c r="A184" s="29" t="inlineStr">
        <is>
          <t>malaga:belediye-yabancilar-hukuki-danisma-010</t>
        </is>
      </c>
      <c r="B184" s="29" t="inlineStr">
        <is>
          <t>malaga</t>
        </is>
      </c>
      <c r="C184" s="29" t="inlineStr">
        <is>
          <t>belediye-yabancilar-hukuki-danisma-010</t>
        </is>
      </c>
      <c r="D184" s="29" t="inlineStr">
        <is>
          <t>Málaga Belediyesi'nin yabancılara yönelik hukuki danışma ve yönlendirme hizmeti nedir, nasıl ulaşırsın?</t>
        </is>
      </c>
      <c r="E184" s="29" t="inlineStr">
        <is>
          <t>Yabancılar hukuku (extranjería) için karşılama, hukuki destek ve 010 üzerinden telefonla danışma</t>
        </is>
      </c>
      <c r="F184" s="29" t="inlineStr">
        <is>
          <t>Málaga Belediyesi, göçmenlere yabancılar hukuku (extranjería) konusunda bilgi, yönlendirme ve hukuki destek veren bir program yürütür; telefonla hukuki danışmaya 010 numarası üzerinden ulaşırsın. Programın faaliyetleri karşılama ve bilgilendirme, göçmenlere hukuki ilgi, 010 üzerinden telefonla hukuki danışma, gerektiğinde yabancılar işlemlerinde takip, refakat ve arabuluculuk ile yabancılar alanındaki hukuki girişimlerdir. 010 özel tarifeli bir numaradır; 951 92 60 10 ise metropol arama sayılır ve operatörünün tarifesiyle ücretlendirilir.</t>
        </is>
      </c>
      <c r="G184" s="29" t="inlineStr">
        <is>
          <t>yabancılar hukuku, extranjería danışma, Málaga belediyesi, 010, hukuki destek, göçmen desteği, Málaga Acoge</t>
        </is>
      </c>
      <c r="H184" s="29" t="inlineStr">
        <is>
          <t>planning;new;settled</t>
        </is>
      </c>
      <c r="I184" s="29" t="inlineStr">
        <is>
          <t>malaga:kaynak:292;malaga:kaynak:245</t>
        </is>
      </c>
      <c r="J184" s="49" t="n">
        <v>46322</v>
      </c>
      <c r="K184" s="51" t="n">
        <v>108</v>
      </c>
      <c r="L184" s="29" t="inlineStr">
        <is>
          <t>Hayır</t>
        </is>
      </c>
      <c r="M184" s="29" t="inlineStr">
        <is>
          <t>Taslak</t>
        </is>
      </c>
      <c r="N184" s="29" t="inlineStr">
        <is>
          <t>malaga:planlama</t>
        </is>
      </c>
      <c r="O184" s="29" t="inlineStr">
        <is>
          <t>Hukuki danışma için 010'u ara (özel tarifeli); belediyenin merkezi hattı 951 92 60 10 da var (operatör tarifesiyle metropol arama).
Aramada yabancılar hukuku (extranjería) konusunda hukuki danışma istediğini söyle.
Programın yüz yüze destek ve işlem takibi (refakat, arabuluculuk) hizmetleri de vardır; sayfada Málaga Acoge'nin web sitesine bağlantı bulunur.</t>
        </is>
      </c>
      <c r="P184" s="29" t="n"/>
      <c r="Q184" s="29" t="inlineStr">
        <is>
          <t>Belediyenin merkezi telefon hattı her gün 07:00-22:00 arasında açıktır.</t>
        </is>
      </c>
      <c r="R184" s="29" t="inlineStr">
        <is>
          <t>010 özel tarifeli bir numaradır; 951 92 60 10 aramasında operatörünün tarifesi uygulanır.</t>
        </is>
      </c>
      <c r="S184" s="29" t="n"/>
      <c r="T184" s="29" t="n"/>
    </row>
    <row r="185" ht="54" customHeight="1">
      <c r="A185" s="29" t="inlineStr">
        <is>
          <t>malaga:junta-goc-politikalari-birimi-malaga-iletisim</t>
        </is>
      </c>
      <c r="B185" s="29" t="inlineStr">
        <is>
          <t>malaga</t>
        </is>
      </c>
      <c r="C185" s="29" t="inlineStr">
        <is>
          <t>junta-goc-politikalari-birimi-malaga-iletisim</t>
        </is>
      </c>
      <c r="D185" s="29" t="inlineStr">
        <is>
          <t>Málaga'da Junta de Andalucía'nın göç politikaları birimi nerede, nasıl iletişim kurarsın?</t>
        </is>
      </c>
      <c r="E185" s="29" t="inlineStr">
        <is>
          <t>Avda. Manuel Agustín Heredia 26, 3. kat; telefon 681 308 264</t>
        </is>
      </c>
      <c r="F185" s="29" t="inlineStr">
        <is>
          <t>Junta de Andalucía'nın Málaga'daki göç politikaları birimi (Asesoría Técnica de Políticas Migratorias) Avda. Manuel Agustín Heredia, 26, 3. kat, 29001 Málaga adresindedir. Telefonu 681 308 264, e-posta adresi pmigratorias.ma.cisjufi@juntadeandalucia.es. Junta'ya göre il delegasyonları her ilde göç politikalarının koordinasyonundan sorumludur; bu politikalar göçmen nüfusun Endülüs'te entegrasyonuna, birlikte yaşamın, çeşitliliğe saygının ve kültürlerarası ilişkilerin geliştirilmesine yöneliktir.</t>
        </is>
      </c>
      <c r="G185" s="29" t="inlineStr">
        <is>
          <t>göç politikaları, Junta de Andalucía, Políticas Migratorias Málaga, entegrasyon, delegasyon, göçmen birimi</t>
        </is>
      </c>
      <c r="H185" s="29" t="inlineStr">
        <is>
          <t>new;settled</t>
        </is>
      </c>
      <c r="I185" s="29" t="inlineStr">
        <is>
          <t>malaga:kaynak:237</t>
        </is>
      </c>
      <c r="J185" s="49" t="n">
        <v>46322</v>
      </c>
      <c r="K185" s="51" t="n">
        <v>109</v>
      </c>
      <c r="L185" s="29" t="inlineStr">
        <is>
          <t>Hayır</t>
        </is>
      </c>
      <c r="M185" s="29" t="inlineStr">
        <is>
          <t>Taslak</t>
        </is>
      </c>
      <c r="N185" s="29" t="inlineStr">
        <is>
          <t>malaga:planlama</t>
        </is>
      </c>
      <c r="O185" s="29" t="inlineStr">
        <is>
          <t>Birime 681 308 264 numaralı telefondan ya da pmigratorias.ma.cisjufi@juntadeandalucia.es adresinden ulaş.
Birimin adresini not et: Avda. Manuel Agustín Heredia, 26, 3. kat, 29001 Málaga.</t>
        </is>
      </c>
      <c r="P185" s="29" t="n"/>
      <c r="Q185" s="29" t="n"/>
      <c r="R185" s="29" t="n"/>
      <c r="S185" s="29" t="n"/>
      <c r="T185" s="29" t="n"/>
    </row>
    <row r="186" ht="54" customHeight="1">
      <c r="A186" s="29" t="inlineStr">
        <is>
          <t>malaga:turistik-daire-vut-kayit-kontrolu-gecici-konaklama</t>
        </is>
      </c>
      <c r="B186" s="29" t="inlineStr">
        <is>
          <t>malaga</t>
        </is>
      </c>
      <c r="C186" s="29" t="inlineStr">
        <is>
          <t>turistik-daire-vut-kayit-kontrolu-gecici-konaklama</t>
        </is>
      </c>
      <c r="D186" s="29" t="inlineStr">
        <is>
          <t>Málaga'da ilk günler için turistik daire (VUT) tutarken dairenin kayıtlı olup olmadığını nasıl kontrol edersin?</t>
        </is>
      </c>
      <c r="E186" s="29" t="inlineStr">
        <is>
          <t>Junta de Andalucía arama motoru ve VUT hattı 900 10 15 70</t>
        </is>
      </c>
      <c r="F186" s="29" t="inlineStr">
        <is>
          <t>Junta de Andalucía'nın turizm kuruluşları ve hizmetleri arama motorunda "actividad" alanında "viviendas de uso turístico" filtresini seçip daireyi aratırsın; faaliyet için kayıtlı turistik konutlar bu listede çıkar. Endülüs'te turistik konut (vivienda de uso turístico, VUT), hemen kullanıma hazır donatılmış ve düzenli olarak ücret karşılığı turistik konaklama olarak sunulan konuttur; seyahat acentesi ya da aracı platformlar gibi turizm kanallarından pazarlanır. Konuyla ilgili vatandaş sorularını Junta'nın VUT hattından sorabilirsin.</t>
        </is>
      </c>
      <c r="G186" s="29" t="inlineStr">
        <is>
          <t>turistik daire, VUT, vivienda de uso turístico, geçici konaklama, kısa süreli kiralama, Junta de Andalucía, Málaga ilk günler</t>
        </is>
      </c>
      <c r="H186" s="29" t="inlineStr">
        <is>
          <t>planning;new</t>
        </is>
      </c>
      <c r="I186" s="29" t="inlineStr">
        <is>
          <t>malaga:kaynak:238</t>
        </is>
      </c>
      <c r="J186" s="49" t="n">
        <v>46322</v>
      </c>
      <c r="K186" s="51" t="n">
        <v>110</v>
      </c>
      <c r="L186" s="29" t="inlineStr">
        <is>
          <t>Hayır</t>
        </is>
      </c>
      <c r="M186" s="29" t="inlineStr">
        <is>
          <t>Taslak</t>
        </is>
      </c>
      <c r="N186" s="29" t="inlineStr">
        <is>
          <t>malaga:planlama</t>
        </is>
      </c>
      <c r="O186" s="29" t="inlineStr">
        <is>
          <t>Junta'nın "Buscador de establecimientos y servicios turísticos" sayfasını aç.
"Actividad" filtresinde "viviendas de uso turístico" seçeneğini seç ve tutmak istediğin daireyi ara.
Sorun ya da soruların için Junta'nın VUT vatandaş hattını (900 10 15 70) hafta içi 9:00-14:00 arasında ara.</t>
        </is>
      </c>
      <c r="P186" s="29" t="n"/>
      <c r="Q186" s="29" t="n"/>
      <c r="R186" s="29" t="n"/>
      <c r="S186" s="29" t="inlineStr">
        <is>
          <t>Düzenleyici çerçeve Decreto 28/2016'dır (turistik konutlar kararnamesi).</t>
        </is>
      </c>
      <c r="T186" s="29" t="n"/>
    </row>
    <row r="187" ht="54" customHeight="1">
      <c r="A187" s="29" t="inlineStr">
        <is>
          <t>malaga:emt-karti-nereden-alinir-ve-musteri-merkezi</t>
        </is>
      </c>
      <c r="B187" s="29" t="inlineStr">
        <is>
          <t>malaga</t>
        </is>
      </c>
      <c r="C187" s="29" t="inlineStr">
        <is>
          <t>emt-karti-nereden-alinir-ve-musteri-merkezi</t>
        </is>
      </c>
      <c r="D187" s="29" t="inlineStr">
        <is>
          <t>Málaga'da EMT otobüs kartını nereden alıp yüklersin, EMT müşteri merkezi nerede ve ne zaman açık?</t>
        </is>
      </c>
      <c r="E187" s="29" t="inlineStr">
        <is>
          <t>Satış ağı çoğunlukla estanco ve gazete bayileri; Android'de NFC yükleme; müşteri merkezi Alameda Principal 47</t>
        </is>
      </c>
      <c r="F187" s="29" t="inlineStr">
        <is>
          <t>EMT otobüs kartını (bonobús) şehirdeki satış ağından ya da Alameda Principal 47'deki (29001 Málaga) EMT Müşteri Hizmetleri Merkezi'nden (Centro de Atención al Cliente) alırsın; merkez hafta içi 9:00-13:30 ve 17:00-19:00 açıktır (resmî tatiller hariç). Satış ağının büyük bölümü estanco ve gazete-dergi bayilerinden (kiosko) oluşur, nokta listesi EMT'nin sayfasındadır. Yüklemeyi EMT Málaga uygulamasındaki Recarga NFC ile de yapabilirsin; bu yöntem yalnız NFC'li uyumlu Android telefonlarda çalışır.</t>
        </is>
      </c>
      <c r="G187" s="29" t="inlineStr">
        <is>
          <t>EMT kartı, Centro de Atención al Cliente, Recarga NFC, estanco, Alameda Principal, Málaga otobüs kartı, EMT Málaga</t>
        </is>
      </c>
      <c r="H187" s="29" t="inlineStr">
        <is>
          <t>new;settled</t>
        </is>
      </c>
      <c r="I187" s="29" t="inlineStr">
        <is>
          <t>malaga:kaynak:257;malaga:kaynak:258;malaga:kaynak:227;malaga:kaynak:435</t>
        </is>
      </c>
      <c r="J187" s="49" t="n">
        <v>46322</v>
      </c>
      <c r="K187" s="51" t="n">
        <v>111</v>
      </c>
      <c r="L187" s="29" t="inlineStr">
        <is>
          <t>Hayır</t>
        </is>
      </c>
      <c r="M187" s="29" t="inlineStr">
        <is>
          <t>Taslak</t>
        </is>
      </c>
      <c r="N187" s="29" t="inlineStr">
        <is>
          <t>malaga:planlama</t>
        </is>
      </c>
      <c r="O187" s="29" t="inlineStr">
        <is>
          <t>Kartı estanco ya da gazete-dergi kiosku gibi bir satış noktasından (liste EMT'nin kart alma ve yükleme sayfasında) ya da Alameda Principal 47'deki EMT Müşteri Hizmetleri Merkezi'nden al; kart için 1,90 € fianza (depozito) ödersin ve satış noktası sana makbuz verir.
Kartı 10, 20 ya da 30 yolculuk (Multiviajes; 10 yolculuk 5,00 €) ya da bir aylık sınırsız yolculuk (23,95 €) yükleyerek kullan; yükleme satış noktalarında, müşteri merkezinde ya da NFC'li Android telefonunda EMT Málaga uygulamasındaki Recarga NFC ile yapılır.
Müşteri merkezinde işlem sırası için numara (gestor de turnos) alırsın; numara verme saati yoğunluğa göre kısıtlanabilir. Açık saatler hafta içi: normal dönemde 9:00-13:30 ve 17:00-19:00, Temmuz-Ağustos'ta 8:30-14:30.</t>
        </is>
      </c>
      <c r="P187" s="29" t="n"/>
      <c r="Q187" s="29" t="inlineStr">
        <is>
          <t>Müşteri merkezi hafta içi (resmî tatiller hariç) 9:00-13:30 ve 17:00-19:00; Temmuz-Ağustos'ta 8:30-14:30</t>
        </is>
      </c>
      <c r="R187" s="29" t="inlineStr">
        <is>
          <t>Kart için 1,90 € fianza (depozito); yükleme: 10 yolculuk 5,00 €, bir aylık sınırsız yolculuk 23,95 € (1 Ocak 2025'ten geçerli tarifeler 2026 boyunca uzatıldı)</t>
        </is>
      </c>
      <c r="S187" s="29" t="inlineStr">
        <is>
          <t>Kartı alıp bir yıl dolmadan, iyi durumdaysa geri verirsen fianza iade edilir; yüklü bakiye iade edilmez. Semana Santa-Feria de Málaga haftasında, 24-31 Aralık ve 5 Ocak'ta resmî tatil olmayan günlerde merkez 9:00-13:30 arası açıktır. Telefon: 900 922 404 ya da 952 367 200; e-posta: clientes@emtsam.es.</t>
        </is>
      </c>
      <c r="T187" s="29" t="n"/>
    </row>
    <row r="188" ht="54" customHeight="1">
      <c r="A188" s="29" t="inlineStr">
        <is>
          <t>malaga:empadronamiento-nedir-neden-gerekir</t>
        </is>
      </c>
      <c r="B188" s="29" t="inlineStr">
        <is>
          <t>malaga</t>
        </is>
      </c>
      <c r="C188" s="29" t="inlineStr">
        <is>
          <t>empadronamiento-nedir-neden-gerekir</t>
        </is>
      </c>
      <c r="D188" s="29" t="inlineStr">
        <is>
          <t>Empadronamiento (belediye nüfus kaydı) nedir, neden gerekir?</t>
        </is>
      </c>
      <c r="E188" s="29" t="inlineStr">
        <is>
          <t>İspanya'da yaşayan herkes oturduğu belediyenin Padrón kaydına yazılmak zorunda</t>
        </is>
      </c>
      <c r="F188" s="29" t="inlineStr">
        <is>
          <t>Empadronamiento, oturduğun belediyenin Padrón (belediye nüfus sicili) kaydına yazılmandır. İspanya'da yaşayan herkes düzenli olarak oturduğu belediyenin Padrón'una kayıt olmak zorunda; birden çok belediyede yaşıyorsan yalnız yılın en uzun kısmını geçirdiğin belediyeye yazılırsın. Padrón belediyenin idari kaydıdır; verileri o belediyede oturduğunun ve adresinin kanıtı sayılır ve kayıt, çok sayıda idari işlem için ön şarttır. Kayıt olduğun anda o belediyenin vecino'su (hemşehrisi) olursun. Málaga'da padrón işlemini belediyenin OMAC ofislerinde ya da Tabacalera'daki Gestión Tributaria ofisinde (yalnız randevuyla) yaptırırsın.</t>
        </is>
      </c>
      <c r="G188" s="29" t="inlineStr">
        <is>
          <t>empadronamiento, padrón, belediye kaydı, nüfus kaydı, vecino, ikamet kanıtı, adres kaydı</t>
        </is>
      </c>
      <c r="H188" s="29" t="inlineStr">
        <is>
          <t>new;settled</t>
        </is>
      </c>
      <c r="I188" s="29" t="inlineStr">
        <is>
          <t>malaga:kaynak:017;malaga:kaynak:223</t>
        </is>
      </c>
      <c r="J188" s="49" t="n">
        <v>46322</v>
      </c>
      <c r="K188" s="51" t="n">
        <v>9014</v>
      </c>
      <c r="L188" s="29" t="inlineStr">
        <is>
          <t>Hayır</t>
        </is>
      </c>
      <c r="M188" s="29" t="inlineStr">
        <is>
          <t>Taslak</t>
        </is>
      </c>
      <c r="N188" s="29" t="inlineStr">
        <is>
          <t>malaga:resmi</t>
        </is>
      </c>
      <c r="O188" s="29" t="inlineStr">
        <is>
          <t>Düzenli olarak oturduğun belediyeyi belirle; birden çok belediyede yaşıyorsan yılın en uzun kısmını geçirdiğin belediye geçerli.
O belediyenin Padrón'una kayıt ol; Málaga'da bunu OMAC ofislerinde ya da Gestión Tributaria ofisinde (yalnız randevuyla) yaptır.
Kayıt anından itibaren belediyenin vecino'su sayılırsın; adres ve ikamet kanıtı için belediyeden Padrón sertifikasını (certificado de empadronamiento) al.
AB, AEA ya da anlaşmayla aynı rejimin tanındığı bir devletin vatandaşı değilsen ve uzun süreli oturum iznin yoksa kaydını her iki yılda bir yenile.</t>
        </is>
      </c>
      <c r="P188" s="29" t="n"/>
      <c r="Q188" s="29" t="n"/>
      <c r="R188" s="29" t="n"/>
      <c r="S188" s="29" t="inlineStr">
        <is>
          <t>AB, AEA ve anlaşmayla aynı rejimin tanındığı devletlerin vatandaşları dışındaki, uzun süreli oturum izni olmayan yabancıların kaydı her iki yılda bir yenilenmek zorunda; yenilenmezse kayıt, ilgiliye önceden söz hakkı tanınmadan düşürülebilir.</t>
        </is>
      </c>
      <c r="T188" s="29" t="n"/>
    </row>
    <row r="189" ht="54" customHeight="1">
      <c r="A189" s="29" t="inlineStr">
        <is>
          <t>malaga:certificado-ve-volante-farki</t>
        </is>
      </c>
      <c r="B189" s="29" t="inlineStr">
        <is>
          <t>malaga</t>
        </is>
      </c>
      <c r="C189" s="29" t="inlineStr">
        <is>
          <t>certificado-ve-volante-farki</t>
        </is>
      </c>
      <c r="D189" s="29" t="inlineStr">
        <is>
          <t>Certificado de empadronamiento ile volante arasındaki fark nedir?</t>
        </is>
      </c>
      <c r="E189" s="29" t="inlineStr">
        <is>
          <t>Certificado kesin kanıt, volante yalnız bilgi belgesidir</t>
        </is>
      </c>
      <c r="F189" s="29" t="inlineStr">
        <is>
          <t>Padrón kaydın için belediyeden iki tür belge isteyebilirsin: certificado (sertifika) ve volante (bilgi kâğıdı). Certificado, empadronamiento kaydını kesin delil olarak kanıtlayan belgedir ve resmî işlemlerde kamu belgesi sayılır. Kâğıt hâlindeki certificado'yu belediye sekreteri imzalar, belediye başkanı onaylar (ya da yerlerine bakanlar); imzalar elle ya da elektronik olabilir. Volante ise yalnız bilgi vermek için düzenlenen bir belgedir: certificado'daki biçim şartları aranmaz ve hiçbir belediye görevlisinin imzasını taşımaz.</t>
        </is>
      </c>
      <c r="G189" s="29" t="inlineStr">
        <is>
          <t>certificado de empadronamiento, volante de empadronamiento, padrón belgesi, ikamet belgesi, adres kanıtı</t>
        </is>
      </c>
      <c r="H189" s="29" t="inlineStr">
        <is>
          <t>new;settled</t>
        </is>
      </c>
      <c r="I189" s="29" t="inlineStr">
        <is>
          <t>malaga:kaynak:017;malaga:kaynak:018</t>
        </is>
      </c>
      <c r="J189" s="49" t="n">
        <v>46319</v>
      </c>
      <c r="K189" s="51" t="n">
        <v>9015</v>
      </c>
      <c r="L189" s="29" t="inlineStr">
        <is>
          <t>Hayır</t>
        </is>
      </c>
      <c r="M189" s="29" t="inlineStr">
        <is>
          <t>Taslak</t>
        </is>
      </c>
      <c r="N189" s="29" t="inlineStr">
        <is>
          <t>malaga:resmi</t>
        </is>
      </c>
      <c r="O189" s="29" t="inlineStr">
        <is>
          <t>Belediyenin Padrón servisinden certificado ya da volante iste; ikisi de elektronik yolla istenip verilebilir.
Bir işlemde kayıt kanıtı gerekiyorsa certificado'yu iste; volante yalnız bilgi verir.
Belgeyi posta ya da kurye ile istersen belediye onu yalnız Padrón kaydındaki adrese gönderir.</t>
        </is>
      </c>
      <c r="P189" s="29" t="n"/>
      <c r="Q189" s="29" t="n"/>
      <c r="R189" s="29" t="n"/>
      <c r="S189" s="29" t="inlineStr">
        <is>
          <t>Elektronik yolla istediğinde belediye erişimi yalnız ilgili kişiye açık tutmak zorunda; bunun için elektronik imza ya da kişisel şifre şart.</t>
        </is>
      </c>
      <c r="T189" s="29" t="n"/>
    </row>
    <row r="190" ht="54" customHeight="1">
      <c r="A190" s="29" t="inlineStr">
        <is>
          <t>malaga:sosyal-guvenlik-numarasi-alma</t>
        </is>
      </c>
      <c r="B190" s="29" t="inlineStr">
        <is>
          <t>malaga</t>
        </is>
      </c>
      <c r="C190" s="29" t="inlineStr">
        <is>
          <t>sosyal-guvenlik-numarasi-alma</t>
        </is>
      </c>
      <c r="D190" s="29" t="inlineStr">
        <is>
          <t>Sosyal güvenlik numarası (Seguridad Social, NAF/NUSS) nasıl alınır?</t>
        </is>
      </c>
      <c r="E190" s="29" t="inlineStr">
        <is>
          <t>Çevrimiçi hizmetle ya da TA.1 formuyla</t>
        </is>
      </c>
      <c r="F190" s="29" t="inlineStr">
        <is>
          <t>Sosyal güvenlik numarası NAF ya da NUSS adıyla geçer. Numarayı TGSS portalındaki "Solicitar el número de Seguridad Social" hizmetiyle çevrimiçi alabilirsin. Bu hizmete erişemiyorsan "TA.1 - Solicitud de afiliación a la Seguridad Social, Asignación de Número de Seguridad Social y Variación de datos" formunu doldurup imzalayarak sunarsın.</t>
        </is>
      </c>
      <c r="G190" s="29" t="inlineStr">
        <is>
          <t>sosyal güvenlik numarası, Seguridad Social, NAF, NUSS, TA.1, afiliación, TGSS</t>
        </is>
      </c>
      <c r="H190" s="29" t="inlineStr">
        <is>
          <t>new;settled</t>
        </is>
      </c>
      <c r="I190" s="29" t="inlineStr">
        <is>
          <t>malaga:kaynak:019</t>
        </is>
      </c>
      <c r="J190" s="49" t="n">
        <v>46319</v>
      </c>
      <c r="K190" s="51" t="n">
        <v>9016</v>
      </c>
      <c r="L190" s="29" t="inlineStr">
        <is>
          <t>Hayır</t>
        </is>
      </c>
      <c r="M190" s="29" t="inlineStr">
        <is>
          <t>Taslak</t>
        </is>
      </c>
      <c r="N190" s="29" t="inlineStr">
        <is>
          <t>malaga:resmi</t>
        </is>
      </c>
      <c r="O190" s="29" t="inlineStr">
        <is>
          <t>TGSS portalında "Solicitar el número de Seguridad Social" hizmetini aç ve numarayı çevrimiçi iste.
Hizmete erişemiyorsan TA.1 formunu eksiksiz doldur, imzala ve sun.
Ev işinde çalışacaksan numaranın hazır olduğundan emin ol; işverenin seni numaran olmadan kayda geçiremez.</t>
        </is>
      </c>
      <c r="P190" s="29" t="inlineStr">
        <is>
          <t>TA.1 formu (çevrimiçi hizmete erişemezsen)</t>
        </is>
      </c>
      <c r="Q190" s="29" t="n"/>
      <c r="R190" s="29" t="n"/>
      <c r="S190" s="29" t="inlineStr">
        <is>
          <t>Ev hizmetlisi olarak (Sistema Especial para Empleados de Hogar) çalışacaksan işverenin seni kayda geçirmesi için bu numaranın olması şart; işveren tarafında da hane için bir CCC (Código de Cuenta de Cotización) gerekir.</t>
        </is>
      </c>
      <c r="T190" s="29" t="n"/>
    </row>
    <row r="191" ht="54" customHeight="1">
      <c r="A191" s="29" t="inlineStr">
        <is>
          <t>malaga:vida-laboral-raporu-alma</t>
        </is>
      </c>
      <c r="B191" s="29" t="inlineStr">
        <is>
          <t>malaga</t>
        </is>
      </c>
      <c r="C191" s="29" t="inlineStr">
        <is>
          <t>vida-laboral-raporu-alma</t>
        </is>
      </c>
      <c r="D191" s="29" t="inlineStr">
        <is>
          <t>Vida laboral (çalışma geçmişi raporu) nasıl alınır?</t>
        </is>
      </c>
      <c r="E191" s="29" t="inlineStr">
        <is>
          <t>Seguridad Social kayıt ve çıkış geçmişin PDF olarak, çevrimiçi</t>
        </is>
      </c>
      <c r="F191" s="29" t="inlineStr">
        <is>
          <t>Vida laboral raporu, Seguridad Social'daki tüm kayıt (alta) ve çıkış (baja) durumlarını ve kaç gün kayıtlı kaldığını gösterir. İstediğin zaman isteyebilirsin; rapor o günün güncel bilgisini verir. Seguridad Social'a hiç kayıtlı olmadıysan rapor alamazsın; yurtdışındaki dönemleri, askerlik ve alternatif sosyal hizmet dönemlerini raporda göremezsin. Raporu tüm geçmişin ya da seçtiğin dönem için PDF olarak alırsın.</t>
        </is>
      </c>
      <c r="G191" s="29" t="inlineStr">
        <is>
          <t>vida laboral, çalışma geçmişi, Seguridad Social, alta baja, çalışma raporu, Cl@ve</t>
        </is>
      </c>
      <c r="H191" s="29" t="inlineStr">
        <is>
          <t>new;settled</t>
        </is>
      </c>
      <c r="I191" s="29" t="inlineStr">
        <is>
          <t>malaga:kaynak:020</t>
        </is>
      </c>
      <c r="J191" s="49" t="n">
        <v>46319</v>
      </c>
      <c r="K191" s="51" t="n">
        <v>9017</v>
      </c>
      <c r="L191" s="29" t="inlineStr">
        <is>
          <t>Hayır</t>
        </is>
      </c>
      <c r="M191" s="29" t="inlineStr">
        <is>
          <t>Taslak</t>
        </is>
      </c>
      <c r="N191" s="29" t="inlineStr">
        <is>
          <t>malaga:resmi</t>
        </is>
      </c>
      <c r="O191" s="29" t="inlineStr">
        <is>
          <t>"Informe de tu vida laboral" sayfasında "Consultar vida laboral" düğmesini seç.
Kimlik yöntemini seç: Cl@ve Permanente, Cl@ve Móvil, DNIe, elektronik sertifika ya da SMS yolu.
Elektronik kimliğin yoksa "Ninguno de los anteriores" seçeneğiyle kişisel bilgilerini gir, selfie çek ve kimlik belgenin fotoğrafını ekle.
Raporu tüm geçmişin ya da seçtiğin dönem için PDF olarak al.
Raporda hata görürsen veri ekleme ya da değiştirme talebinde bulun.
İstersen raporun Seguridad Social'a bildirdiğin adrese postalanmasını iste.</t>
        </is>
      </c>
      <c r="P191" s="29" t="n"/>
      <c r="Q191" s="29" t="inlineStr">
        <is>
          <t>İstediğin zaman başvurabilirsin; rapor o günkü güncel bilgiyi verir.</t>
        </is>
      </c>
      <c r="R191" s="29" t="n"/>
      <c r="S191" s="29" t="n"/>
      <c r="T191" s="29" t="n"/>
    </row>
    <row r="192" ht="54" customHeight="1">
      <c r="A192" s="29" t="inlineStr">
        <is>
          <t>malaga:vergi-numarasi-nif-nie-alma</t>
        </is>
      </c>
      <c r="B192" s="29" t="inlineStr">
        <is>
          <t>malaga</t>
        </is>
      </c>
      <c r="C192" s="29" t="inlineStr">
        <is>
          <t>vergi-numarasi-nif-nie-alma</t>
        </is>
      </c>
      <c r="D192" s="29" t="inlineStr">
        <is>
          <t>Vergi numarası (NIF) ve NIE nasıl alınır?</t>
        </is>
      </c>
      <c r="E192" s="29" t="inlineStr">
        <is>
          <t>NIE'yi polis, NIE'si olmayanlara NIF'i Agencia Tributaria atar</t>
        </is>
      </c>
      <c r="F192" s="29" t="inlineStr">
        <is>
          <t>Vergiyle ilgili işlemlerde NIF (vergi kimlik numarası) gerekir; çoğu kişide NIF, DNI ya da NIE ile aynıdır. DNI ya da NIE'n yoksa NIF atanmasını Agencia Tributaria'dan istersin (Modelo 030, çevrimiçi). NIE ise İspanya ile ekonomik, mesleki veya sosyal bağı olan yabancılar için Polis Genel Müdürlüğü'nden (Dirección General de la Policía) istenir; EX15 formu ve Modelo 790 Kod 012 harç dekontu gerekir. Polisin karar vermesi için yasal süre beş gündür.</t>
        </is>
      </c>
      <c r="G192" s="29" t="inlineStr">
        <is>
          <t>NIF, NIE, vergi numarası, Agencia Tributaria, EX15, Modelo 030, Modelo 790, yabancı kimlik numarası</t>
        </is>
      </c>
      <c r="H192" s="29" t="inlineStr">
        <is>
          <t>new;settled</t>
        </is>
      </c>
      <c r="I192" s="29" t="inlineStr">
        <is>
          <t>malaga:kaynak:021;malaga:kaynak:001</t>
        </is>
      </c>
      <c r="J192" s="49" t="n">
        <v>46319</v>
      </c>
      <c r="K192" s="51" t="n">
        <v>9018</v>
      </c>
      <c r="L192" s="29" t="inlineStr">
        <is>
          <t>Hayır</t>
        </is>
      </c>
      <c r="M192" s="29" t="inlineStr">
        <is>
          <t>Taslak</t>
        </is>
      </c>
      <c r="N192" s="29" t="inlineStr">
        <is>
          <t>malaga:resmi</t>
        </is>
      </c>
      <c r="O192" s="29" t="inlineStr">
        <is>
          <t>NIE istiyorsan EX15 formunu (NIE ve sertifika talebi) doldur.
Modelo 790 Kod 012 harcını öde; bankalarda, tasarruf kasalarında ve kredi kooperatiflerinde ödeyebilirsin, hesabının olması gerekmez. Dekontu başvuruya ekle.
Başvuruyu Polis Genel Müdürlüğü'ne doğrudan, Oficina de Extranjería ya da polis karakolu üzerinden yap; İspanya'da değilsen İspanya'nın yurtdışındaki konsolosluklarından yap.
Başvuruda NIE'yi neden istediğini bildir; İspanya'da düzensiz durumda olmaman gerekir.
DNI ya da NIE'n yoksa ve vergi işlemi yapacaksan Modelo 030 ile Agencia Tributaria'dan NIF atanmasını iste.</t>
        </is>
      </c>
      <c r="P192" s="29" t="inlineStr">
        <is>
          <t>EX15 formu (NIE ve sertifika talebi)
Modelo 790 Kod 012 harç ödeme belgesi</t>
        </is>
      </c>
      <c r="Q192" s="29" t="inlineStr">
        <is>
          <t>Polis, NIE başvurusunu başvurunun ilgili kuruma girmesinden itibaren en geç beş günde sonuçlandırmak zorunda; bu sürede cevap gelmezse başvuru reddedilmiş sayılır.</t>
        </is>
      </c>
      <c r="R192" s="29" t="n"/>
      <c r="S192" s="29" t="n"/>
      <c r="T192" s="29" t="n"/>
    </row>
    <row r="193" ht="54" customHeight="1">
      <c r="A193" s="29" t="inlineStr">
        <is>
          <t>malaga:clave-pin-ve-permanente-farki</t>
        </is>
      </c>
      <c r="B193" s="29" t="inlineStr">
        <is>
          <t>malaga</t>
        </is>
      </c>
      <c r="C193" s="29" t="inlineStr">
        <is>
          <t>clave-pin-ve-permanente-farki</t>
        </is>
      </c>
      <c r="D193" s="29" t="inlineStr">
        <is>
          <t>Cl@ve sistemi: Cl@ve uygulaması (Cl@ve Móvil) ile Cl@ve Permanente farkı nedir?</t>
        </is>
      </c>
      <c r="E193" s="29" t="inlineStr">
        <is>
          <t>Cl@ve uygulaması telefonla onay verir, Permanente kalıcı şifreyle çalışır</t>
        </is>
      </c>
      <c r="F193" s="29" t="inlineStr">
        <is>
          <t>Cl@ve uygulaması (Cl@ve Móvil) işlem anında telefonuna gelen istekle kimliğini onaylatır; Cl@ve Permanente ise DNI ya da NIE'ne, kullanıcı koduna ve aktivasyonda kendin belirlediğin şifreye dayanır. Eski Cl@ve PIN uygulamasını kullananlar yeni Cl@ve uygulamasına güncellenir; etkinleştirdikten sonra yapmak istediğin işlemler için kimlik doğrulama istekleri telefonuna Cl@ve Móvil ile gelir. Permanente, idareye sık giriş yapanlar için tasarlanmıştır. Yüksek güvenlik isteyen hizmetlerde Permanente'ye ek olarak telefonuna SMS ile gelen tek kullanımlık bir kod da istenir.</t>
        </is>
      </c>
      <c r="G193" s="29" t="inlineStr">
        <is>
          <t>Cl@ve, Cl@ve Móvil, Cl@ve PIN, Cl@ve Permanente, e-devlet girişi, dijital kimlik, OTP</t>
        </is>
      </c>
      <c r="H193" s="29" t="inlineStr">
        <is>
          <t>new;settled</t>
        </is>
      </c>
      <c r="I193" s="29" t="inlineStr">
        <is>
          <t>malaga:kaynak:022;malaga:kaynak:023</t>
        </is>
      </c>
      <c r="J193" s="49" t="n">
        <v>46322</v>
      </c>
      <c r="K193" s="51" t="n">
        <v>9019</v>
      </c>
      <c r="L193" s="29" t="inlineStr">
        <is>
          <t>Hayır</t>
        </is>
      </c>
      <c r="M193" s="29" t="inlineStr">
        <is>
          <t>Taslak</t>
        </is>
      </c>
      <c r="N193" s="29" t="inlineStr">
        <is>
          <t>malaga:resmi</t>
        </is>
      </c>
      <c r="O193" s="29" t="inlineStr">
        <is>
          <t>Önce Cl@ve sistemine kayıt ol; Permanente'nin aktivasyonu için kayıt şarttır. Henüz kayıtlı değilsen Cl@ve uygulaması kayıt için şu yolları sunar: elektronik sertifika, davet mektubu (carta de invitación) ya da yüz yüze kayıt.
Telefonundan kullanacaksan Cl@ve uygulamasını Android için Google Play'den, iOS için Apple Store'dan indir; Android 8 ya da üstü, iOS 15 ya da üstü gerekir.
Cl@ve'ye kayıtlıysan uygulamayı SMS ile gelen etkinleştirme koduyla ya da elektronik sertifikayla etkinleştir.
Sık kullanacaksan Cl@ve Permanente'yi aktive et ve aktivasyonda kendi şifreni belirle.</t>
        </is>
      </c>
      <c r="P193" s="29" t="n"/>
      <c r="Q193" s="29" t="n"/>
      <c r="R193" s="29" t="n"/>
      <c r="S193" s="29" t="n"/>
      <c r="T193" s="29" t="n"/>
    </row>
    <row r="194" ht="54" customHeight="1">
      <c r="A194" s="29" t="inlineStr">
        <is>
          <t>malaga:fnmt-dijital-sertifika-kurma</t>
        </is>
      </c>
      <c r="B194" s="29" t="inlineStr">
        <is>
          <t>malaga</t>
        </is>
      </c>
      <c r="C194" s="29" t="inlineStr">
        <is>
          <t>fnmt-dijital-sertifika-kurma</t>
        </is>
      </c>
      <c r="D194" s="29" t="inlineStr">
        <is>
          <t>Dijital sertifika (FNMT) nasıl kurulur?</t>
        </is>
      </c>
      <c r="E194" s="29" t="inlineStr">
        <is>
          <t>Dört adım: yazılım, çevrimiçi başvuru, ofiste kimlik doğrulama, indirme</t>
        </is>
      </c>
      <c r="F194" s="29" t="inlineStr">
        <is>
          <t>FNMT'nin kişisel yazılım sertifikası (indirilebilir dosya) dört adımda alınır ve adımların bu sırayla yapılması gerekir. Önce gerekli yazılımı kurar, sonra çevrimiçi başvurursun; başvuru bitince e-postana bir Código de Solicitud (başvuru kodu) gelir. Ardından bir Oficina de Acreditación de Identidad'de (kimlik doğrulama ofisi) yüz yüze kimliğini doğrularsın. Kimliğini doğruladıktan yaklaşık 1 saat sonra aynı kodla sertifikayı indirir, kurar ve yedeğini alırsın.</t>
        </is>
      </c>
      <c r="G194" s="29" t="inlineStr">
        <is>
          <t>FNMT, dijital sertifika, certificado digital, elektronik sertifika, Código de Solicitud, kimlik doğrulama ofisi</t>
        </is>
      </c>
      <c r="H194" s="29" t="inlineStr">
        <is>
          <t>new;settled</t>
        </is>
      </c>
      <c r="I194" s="29" t="inlineStr">
        <is>
          <t>malaga:kaynak:024</t>
        </is>
      </c>
      <c r="J194" s="49" t="n">
        <v>46319</v>
      </c>
      <c r="K194" s="51" t="n">
        <v>9020</v>
      </c>
      <c r="L194" s="29" t="inlineStr">
        <is>
          <t>Hayır</t>
        </is>
      </c>
      <c r="M194" s="29" t="inlineStr">
        <is>
          <t>Taslak</t>
        </is>
      </c>
      <c r="N194" s="29" t="inlineStr">
        <is>
          <t>malaga:resmi</t>
        </is>
      </c>
      <c r="O194" s="29" t="inlineStr">
        <is>
          <t>FNMT sayfasında belirtilen yazılımı bilgisayarına kur.
Sertifikayı internetten iste; işlem bitince e-postana Código de Solicitud gelir.
Kodla birlikte bir Oficina de Acreditación de Identidad'e git ve kimliğini yüz yüze doğrulat; FNMT'nin ofis bulucu servisinden ofis seçebilirsin.
Kimlik doğrulamadan yaklaşık 1 saat sonra aynı kodla sertifikayı indir, kur ve yedeğini al.</t>
        </is>
      </c>
      <c r="P194" s="29" t="inlineStr">
        <is>
          <t>Código de Solicitud (e-postana gelen başvuru kodu)</t>
        </is>
      </c>
      <c r="Q194" s="29" t="inlineStr">
        <is>
          <t>Sertifika, kimlik doğrulamadan yaklaşık 1 saat sonra indirilebilir.</t>
        </is>
      </c>
      <c r="R194" s="29" t="n"/>
      <c r="S194" s="29" t="inlineStr">
        <is>
          <t>AEAT, Seguridad Social ve bazı diğer ofislerde kimlik doğrulama için randevu gerekir. FNMT yedek almayı öneriyor; kriptografik kart ya da USB istersen FNMT'nin hizmet kataloğuna bak.</t>
        </is>
      </c>
      <c r="T194" s="29" t="n"/>
    </row>
    <row r="195" ht="54" customHeight="1">
      <c r="A195" s="29" t="inlineStr">
        <is>
          <t>malaga:belge-ceviri-ve-apostil</t>
        </is>
      </c>
      <c r="B195" s="29" t="inlineStr">
        <is>
          <t>malaga</t>
        </is>
      </c>
      <c r="C195" s="29" t="inlineStr">
        <is>
          <t>belge-ceviri-ve-apostil</t>
        </is>
      </c>
      <c r="D195" s="29" t="inlineStr">
        <is>
          <t>Resmî belgeler nasıl tercüme ve apostil edilir?</t>
        </is>
      </c>
      <c r="E195" s="29" t="inlineStr">
        <is>
          <t>Yeminli tercüman resmî tercüme yapar; apostil belgenin düzenlendiği ülkede alınır</t>
        </is>
      </c>
      <c r="F195" s="29" t="inlineStr">
        <is>
          <t>Bir tercümenin İspanya'da resmî nitelik kazanması için yeminli tercüman (Traductor-Intérprete Jurado) tarafından yapılması gerekir; bu kişilerin tercümeleri mahkemelere ve idari makamlara sunulabilir. Yeminli tercümanları Dışişleri Bakanlığı atar ve Oficina de Interpretación de Lenguas resmî listeyi yayımlar; ofis aracılık etmez, tercümanı listeden kendin seçersin. Apostil, 5 Ekim 1961 tarihli La Haye Sözleşmesi'ni imzalayan ülkelerde düzenlenen resmî belgenin imzasının gerçekliğini onaylayan nottur; apostilli belge, Sözleşme'ye taraf başka ülkede ek bir onay istenmeden tanınır. İspanya'da düzenlenen adli ya da idari belge için başvuruyu İspanya Adalet Bakanlığı'nın (Ministerio de Justicia) apostil sayfasından yaparsın; noter belgelerinin apostili yalnız Colegio de Notarios'a aittir. Adli, idari ve noter belgeleri apostil edilebilir.</t>
        </is>
      </c>
      <c r="G195" s="29" t="inlineStr">
        <is>
          <t>apostil, yeminli tercüman, traductor jurado, belge tercümesi, La Haye Sözleşmesi, legalización, noter belgesi</t>
        </is>
      </c>
      <c r="H195" s="29" t="inlineStr">
        <is>
          <t>planning;new</t>
        </is>
      </c>
      <c r="I195" s="29" t="inlineStr">
        <is>
          <t>malaga:kaynak:025;malaga:kaynak:026</t>
        </is>
      </c>
      <c r="J195" s="49" t="n">
        <v>46319</v>
      </c>
      <c r="K195" s="51" t="n">
        <v>9021</v>
      </c>
      <c r="L195" s="29" t="inlineStr">
        <is>
          <t>Hayır</t>
        </is>
      </c>
      <c r="M195" s="29" t="inlineStr">
        <is>
          <t>Taslak</t>
        </is>
      </c>
      <c r="N195" s="29" t="inlineStr">
        <is>
          <t>malaga:resmi</t>
        </is>
      </c>
      <c r="O195" s="29" t="inlineStr">
        <is>
          <t>Belgeyi çevirtmek için Dışişleri Bakanlığı'nın resmî listesindeki arama motorundan dil çiftine uygun bir yeminli tercüman seç.
Tercüme resmî kurumlara sunulacaksa tercümanın imzası ve mührüyle tasdikli olduğundan emin ol.
İspanya'da düzenlenen adli ya da idari belge için İspanya Adalet Bakanlığı'nın (Ministerio de Justicia) apostil sayfasından başvur; noter belgesi için yalnız Colegio de Notarios'a başvur.
Belge sözleşmeye taraf bir başka ülkede kullanılacaksa apostilli belge ek bir onay istenmeden tanınır.</t>
        </is>
      </c>
      <c r="P195" s="29" t="n"/>
      <c r="Q195" s="29" t="n"/>
      <c r="R195" s="29" t="n"/>
      <c r="S195" s="29" t="inlineStr">
        <is>
          <t>Diplomatik ya da konsolosluk görevlilerinin düzenlediği belgeler ile doğrudan ticari veya gümrük işlemiyle ilgili idari belgeler apostil edilemez. Katalanca, Galiçyaca ve Baskça için yeminli tercümanları 1992'den beri ilgili özerk yönetimler (Generalitat de Catalunya, Xunta de Galicia, Bask Hükümeti) atıyor ve kendi listelerini tutuyor. Bu kart yalnız İspanya'da düzenlenen belgelerin apostilini anlatır.</t>
        </is>
      </c>
      <c r="T195" s="29" t="n"/>
    </row>
    <row r="196" ht="54" customHeight="1">
      <c r="A196" s="29" t="inlineStr">
        <is>
          <t>malaga:noter-islemleri-ve-ucretleri</t>
        </is>
      </c>
      <c r="B196" s="29" t="inlineStr">
        <is>
          <t>malaga</t>
        </is>
      </c>
      <c r="C196" s="29" t="inlineStr">
        <is>
          <t>noter-islemleri-ve-ucretleri</t>
        </is>
      </c>
      <c r="D196" s="29" t="inlineStr">
        <is>
          <t>Noter ücretleri: noter tarifesi (arancel) nasıl hesaplanır?</t>
        </is>
      </c>
      <c r="E196" s="29" t="inlineStr">
        <is>
          <t>Tarife Real Decreto 1426/1989'a göre; aşağıdaki tutarlar tarife tutarlarıdır</t>
        </is>
      </c>
      <c r="F196" s="29" t="inlineStr">
        <is>
          <t>Noter ücretleri, Real Decreto 1426/1989 ile onaylanan Noter Tarifesi'ne (Arancel de los Notarios) göre belirlenir. Aşağıdaki tutarlar tarifedeki tutarlardır (kuruşa yuvarlanmıştır); ödeyeceğin tutar uygulanan indirimlere göre değişir. Değeri olmayan belgelerde sabit tutarlar var: genel vekâletname 30,05 euro, dava vekâletnamesi 15,03 euro, tutanak (acta) 36,06 euro; vasiyetname (vasiyet eden başına), evlilik sözleşmesi ve medeni hâl gibi diğer belgeler 30,05 euro. İmza tasdiki (legitimación de firma) 6,01 euro; aynı belgedeki her ek imza 3,01 euro. Değeri olan işlemlerde ücret, işlemin konusu malın değerine göre kademeli ölçekle hesaplanır ve ölçekle bulunan tarife tutarından yüzde 5 indirim yapılır. Kişisel ve ipotekli kredilerde ayrıca yüzde 25 indirim vardır; devletin, özerk bölgelerin, il ve belediyelerin yasal olarak ödemekle yükümlü olduğu işlemler, siyasi partilerle sendikaların ödediği işlemler, kamu konut kredileri ve korunan konutların sonraki devirleri gibi sayılan hâllerde indirim yüzde 50'dir. Bu indirimler yürürlükteki diğer indirimlere ek olarak uygulanır.</t>
        </is>
      </c>
      <c r="G196" s="29" t="inlineStr">
        <is>
          <t>noter, notario, noter ücreti, arancel, vekâletname, imza tasdiki, legitimación de firma, vasiyetname</t>
        </is>
      </c>
      <c r="H196" s="29" t="inlineStr">
        <is>
          <t>new;settled</t>
        </is>
      </c>
      <c r="I196" s="29" t="inlineStr">
        <is>
          <t>malaga:kaynak:027</t>
        </is>
      </c>
      <c r="J196" s="49" t="n">
        <v>46319</v>
      </c>
      <c r="K196" s="51" t="n">
        <v>9022</v>
      </c>
      <c r="L196" s="29" t="inlineStr">
        <is>
          <t>Hayır</t>
        </is>
      </c>
      <c r="M196" s="29" t="inlineStr">
        <is>
          <t>Taslak</t>
        </is>
      </c>
      <c r="N196" s="29" t="inlineStr">
        <is>
          <t>malaga:resmi</t>
        </is>
      </c>
      <c r="O196" s="29" t="inlineStr">
        <is>
          <t>İşlemin değeri olup olmadığını belirle: vekâlet, vasiyet, evlilik sözleşmesi gibi değersiz belgelerde sabit tutar, değeri olan işlemde ölçek uygulanır.
Değeri olan işlemde ölçeği uygula: değer 6.010,12 euroyu aşmıyorsa tarife tutarı 90,15 euro; fazla kısım için 6.010,13 ile 30.050,61 euro arasında binde 4,5; 30.050,62 ile 60.101,21 euro arasında binde 1,50; 60.101,22 ile 150.253,03 euro arasında binde 1; 150.253,04 ile 601.012,10 euro arasında binde 0,5; 601.012,10 ile 6.010.121,04 euro arasında binde 0,3.
Ölçekle bulduğun tarife tutarından yüzde 5 indirimi düş; kredi ya da sayılan kamu işlemlerinde ilgili yüzde 25 ya da yüzde 50 indirimi de uygula.
İmza tasdiki ya da kopya da gerekiyorsa bunları ayrı kalem olarak ekle.
Değer 6.010.121,04 euroyu aşıyorsa aşan kısım için noter ücreti, taraflarla serbestçe anlaştığı tutardır.
Tarifenin tam nüshası ve ek normlar bütün noterliklerde halka açık bulundurulur; tutarı noterlikte bu nüshadan görebilirsin.</t>
        </is>
      </c>
      <c r="P196" s="29" t="n"/>
      <c r="Q196" s="29" t="n"/>
      <c r="R196" s="29" t="inlineStr">
        <is>
          <t>Tarife tutarları: yetkili kopya sayfa başına 3,01 euro (12. sayfadan itibaren yarısı); basit kopya sayfa başına 0,60 euro; değeri 6.010,12 euroyu aşmayan işlemde tarife tutarı 90,15 euro (değeri olan işlemlerde bu tutardan yüzde 5 indirim yapılır).</t>
        </is>
      </c>
      <c r="S196" s="29" t="inlineStr">
        <is>
          <t>BOE'deki birleştirilmiş tarife metninin son güncellemesi 17/11/2011 tarihlidir; yukarıdaki tutarlar bu metne göre.</t>
        </is>
      </c>
      <c r="T196" s="29" t="n"/>
    </row>
    <row r="197" ht="54" customHeight="1">
      <c r="A197" s="29" t="inlineStr">
        <is>
          <t>malaga:libro-de-familia-nedir</t>
        </is>
      </c>
      <c r="B197" s="29" t="inlineStr">
        <is>
          <t>malaga</t>
        </is>
      </c>
      <c r="C197" s="29" t="inlineStr">
        <is>
          <t>libro-de-familia-nedir</t>
        </is>
      </c>
      <c r="D197" s="29" t="inlineStr">
        <is>
          <t>Libro de Familia (aile cüzdanı) nedir?</t>
        </is>
      </c>
      <c r="E197" s="29" t="inlineStr">
        <is>
          <t>30 Nisan 2021'den beri yeni Libro de Familia verilmiyor; eskiler etkisini sürdürüyor</t>
        </is>
      </c>
      <c r="F197" s="29" t="inlineStr">
        <is>
          <t>Libro de Familia (aile cüzdanı), eski Registro Civil (medeni hâl sicili) sisteminde verilen bir belgedir. Ley 20/2011 (Registro Civil Yasası) 30 Nisan 2021'de yürürlüğe girdi; o tarihten itibaren yeni Libro de Familia verilmiyor. Daha önce verilmiş olanlar ise 8 Haziran 1957 tarihli eski Registro Civil Yasası'nın 8. ve 75. maddelerindeki etkilerini sürdürüyor. Yeni sistemde her bireysel kayıtta kişinin bilgilerini gösteren bir sayfa ya da özet bulunuyor.</t>
        </is>
      </c>
      <c r="G197" s="29" t="inlineStr">
        <is>
          <t>Libro de Familia, aile cüzdanı, Registro Civil, Ley 20/2011, medeni hâl kaydı, bireysel kayıt</t>
        </is>
      </c>
      <c r="H197" s="29" t="inlineStr">
        <is>
          <t>new;settled</t>
        </is>
      </c>
      <c r="I197" s="29" t="inlineStr">
        <is>
          <t>malaga:kaynak:028;malaga:kaynak:029</t>
        </is>
      </c>
      <c r="J197" s="49" t="n">
        <v>46319</v>
      </c>
      <c r="K197" s="51" t="n">
        <v>9023</v>
      </c>
      <c r="L197" s="29" t="inlineStr">
        <is>
          <t>Hayır</t>
        </is>
      </c>
      <c r="M197" s="29" t="inlineStr">
        <is>
          <t>Taslak</t>
        </is>
      </c>
      <c r="N197" s="29" t="inlineStr">
        <is>
          <t>malaga:resmi</t>
        </is>
      </c>
      <c r="O197" s="29" t="inlineStr">
        <is>
          <t>Elinde eskiden verilmiş bir Libro de Familia varsa saklamaya devam et; bu belgeler yasadaki etkilerini sürdürüyor. Yeni Libro de Familia alamazsın, çünkü artık verilmiyor.
Kayıtlarının sertifikasını bağlı olduğun Registro Civil'den iste; Registro Civil sertifikaları ücretsizdir.</t>
        </is>
      </c>
      <c r="P197" s="29" t="n"/>
      <c r="Q197" s="29" t="n"/>
      <c r="R197" s="29" t="n"/>
      <c r="S197" s="29" t="n"/>
      <c r="T197" s="29" t="n"/>
    </row>
    <row r="198" ht="54" customHeight="1">
      <c r="A198" s="29" t="inlineStr">
        <is>
          <t>malaga:registro-civil-ne-ise-yarar</t>
        </is>
      </c>
      <c r="B198" s="29" t="inlineStr">
        <is>
          <t>malaga</t>
        </is>
      </c>
      <c r="C198" s="29" t="inlineStr">
        <is>
          <t>registro-civil-ne-ise-yarar</t>
        </is>
      </c>
      <c r="D198" s="29" t="inlineStr">
        <is>
          <t>Registro Civil (medeni hâl sicili) ne işe yarar?</t>
        </is>
      </c>
      <c r="E198" s="29" t="inlineStr">
        <is>
          <t>Doğum, evlilik, ölüm gibi olaylar kaydedilir; kayıtlar ve sertifikalar ücretsiz</t>
        </is>
      </c>
      <c r="F198" s="29" t="inlineStr">
        <is>
          <t>Registro Civil, kişilerin medeni hâline ilişkin olayların kaydedildiği sicildir: doğum, soybağı, ad ve soyad ile değişiklikleri, uyruk ve vecindad, velayet ve vesayet, evlilik, ölüm gibi. Sicildeki kayıtlar, kayıtlı olayların kanıtıdır. Kayıtlar, defin ruhsatları ve sicille ilgili dosyalar tamamen ücretsizdir; sertifikalar da hiçbir harca tabi değildir. Sertifikaları ilgili Registro Civil ofisinden yüz yüze ya da Adalet Bakanlığı'nın elektronik sedesinden alabilirsin.</t>
        </is>
      </c>
      <c r="G198" s="29" t="inlineStr">
        <is>
          <t>Registro Civil, medeni hâl sicili, doğum kaydı, evlilik kaydı, ölüm kaydı, sertifika, ücretsiz</t>
        </is>
      </c>
      <c r="H198" s="29" t="inlineStr">
        <is>
          <t>new;settled</t>
        </is>
      </c>
      <c r="I198" s="29" t="inlineStr">
        <is>
          <t>malaga:kaynak:029</t>
        </is>
      </c>
      <c r="J198" s="49" t="n">
        <v>46319</v>
      </c>
      <c r="K198" s="51" t="n">
        <v>9024</v>
      </c>
      <c r="L198" s="29" t="inlineStr">
        <is>
          <t>Hayır</t>
        </is>
      </c>
      <c r="M198" s="29" t="inlineStr">
        <is>
          <t>Taslak</t>
        </is>
      </c>
      <c r="N198" s="29" t="inlineStr">
        <is>
          <t>malaga:resmi</t>
        </is>
      </c>
      <c r="O198" s="29" t="inlineStr">
        <is>
          <t>Olayın (doğum, evlilik, ölüm) gerçekleştiği yerdeki Registro Civil'e başvur.
Sertifika için ilgili Registro Civil ofisine git ya da Adalet Bakanlığı'nın elektronik sedesini kullan.
Sertifika karşılığında ücret isteyen sitelere ödeme yapma; Adalet Bakanlığı bu sitelerle ilgili değil ve sertifikalar ücretsiz.</t>
        </is>
      </c>
      <c r="P198" s="29" t="n"/>
      <c r="Q198" s="29" t="n"/>
      <c r="R198" s="29" t="n"/>
      <c r="S198" s="29" t="inlineStr">
        <is>
          <t>Yurtdışında doğan İspanyolların doğumu Registro Civil Central'de kaydedilir.</t>
        </is>
      </c>
      <c r="T198" s="29" t="n"/>
    </row>
    <row r="199" ht="54" customHeight="1">
      <c r="A199" s="29" t="inlineStr">
        <is>
          <t>malaga:yabanci-ehliyet-degisimi</t>
        </is>
      </c>
      <c r="B199" s="29" t="inlineStr">
        <is>
          <t>malaga</t>
        </is>
      </c>
      <c r="C199" s="29" t="inlineStr">
        <is>
          <t>yabanci-ehliyet-degisimi</t>
        </is>
      </c>
      <c r="D199" s="29" t="inlineStr">
        <is>
          <t>Türk ehliyeti İspanyol ehliyetine nasıl değiştirilir (DGT)?</t>
        </is>
      </c>
      <c r="E199" s="29" t="inlineStr">
        <is>
          <t>Türkiye ile 2011'den beri anlaşma var: A2 ve B sınavsız, C/D/E sınıflarında sınav gerekir, A1/F/G/H değişmez</t>
        </is>
      </c>
      <c r="F199" s="29" t="inlineStr">
        <is>
          <t>Türkiye ile İspanya arasında ehliyet tanıma ve değişim anlaşması var; anlaşma 25 Nisan 2011'de yürürlüğe girdi. İspanya'da yasal ikamet ettikten sonra Türk ehliyetini anlaşmadaki eşdeğerlik tablosuna göre İspanyol ehliyetiyle değiştirebilirsin. Türk A2 ve B sınıfları teorik ve pratik sınav olmadan değişir. Türk C, D ve E sınıflarının İspanyol karşılıkları arasında C1, C, D1, D ve +E sınıfları da bulunur; bunlar için hem özel bilgi (teorik) sınavı hem trafikte sürüş sınavı gerekir. Türk A1, F, G ve H sınıfları değiştirilemez. 25 Nisan 2011'den sonra alınan ehliyetin, başvuranın yasal ikametinin bulunduğu devlette verilmiş olması şarttır. İspanya'da normal ikamet ettiğin günden itibaren yabancı ehliyetin en çok altı ay geçerlidir; sürmeye devam etmek istiyorsan değişim zorunludur.</t>
        </is>
      </c>
      <c r="G199" s="29" t="inlineStr">
        <is>
          <t>ehliyet değişimi, canje, DGT, yabancı ehliyet, permiso de conducir, convenio, psikofiziksel rapor</t>
        </is>
      </c>
      <c r="H199" s="29" t="inlineStr">
        <is>
          <t>new;settled</t>
        </is>
      </c>
      <c r="I199" s="29" t="inlineStr">
        <is>
          <t>malaga:kaynak:030;malaga:kaynak:031</t>
        </is>
      </c>
      <c r="J199" s="49" t="n">
        <v>46319</v>
      </c>
      <c r="K199" s="51" t="n">
        <v>9025</v>
      </c>
      <c r="L199" s="29" t="inlineStr">
        <is>
          <t>Hayır</t>
        </is>
      </c>
      <c r="M199" s="29" t="inlineStr">
        <is>
          <t>Taslak</t>
        </is>
      </c>
      <c r="N199" s="29" t="inlineStr">
        <is>
          <t>malaga:resmi</t>
        </is>
      </c>
      <c r="O199" s="29" t="inlineStr">
        <is>
          <t>Ehliyetinin sınıfına bak: Türk A2 ve B sınıfı sınavsız değişir; C, D ve E sınıfında sınav gerekir; A1, F, G ve H sınıfı değiştirilemez.
Ehliyeti 25 Nisan 2011'den sonra aldıysan, onu yasal ikametinin bulunduğu devlette aldığından emin ol; İspanya'da yasal ikametçiyken alınmış yabancı ehliyet değiştirilemez.
Geçerli oturum kartını ve ehliyeti İspanya'da yerleşik olmadan önce aldığını gösteren belgeyi hazırla.
Yetkili bir Centro de Reconocimiento de Conductores'tan psikofiziksel yeterlilik raporu al; rapor 90 gün geçerli, başvurunu bu süre dolmadan yap.
Randevuyu telefonla ya da internetten al; İspanya'daki oturum kartı numaranı, ikamet ettiğin ili, kimlik numaranı ve Türk ehliyetinin numarasını, verildiği yeri ve tarihini bildir. Sınav gerektirmeyen sınıflarda ehliyeti değiştir; sınav gerektirenlerde sınavlara gir.
İşlem sırasında sana geçici ehliyet verilir; kalıcı ehliyet yaklaşık bir buçuk ayda gelir.</t>
        </is>
      </c>
      <c r="P199" s="29" t="inlineStr">
        <is>
          <t>Orijinal Türk ehliyeti
Geçerli oturum kartı (tarjeta de residencia)
Ehliyeti İspanya'da yerleşik olmadan önce aldığını gösteren belge (oturum, öğrenci ya da AB kartı ya da yabancılar kayıt belgesi)
Psikofiziksel yeterlilik raporu (Centro de Reconocimiento de Conductores)</t>
        </is>
      </c>
      <c r="Q199" s="29" t="inlineStr">
        <is>
          <t>Başvuruda geçici ehliyet verilir; kalıcı ehliyet yaklaşık bir buçuk ayda gelir.</t>
        </is>
      </c>
      <c r="R199" s="29" t="n"/>
      <c r="S199" s="29" t="inlineStr">
        <is>
          <t>Değiştirmek istediğin ehliyet de başka bir ülkeden, o ülkeyle anlaşma olmadan değişimle alınmışsa değişim yapılamaz. Anlaşmaya göre ehliyetin geçerliliğinden ya da sürüş yeterliliğinden şüphe edilirse teorik ve/veya pratik sınav istenebilir.</t>
        </is>
      </c>
      <c r="T199" s="29" t="n"/>
    </row>
    <row r="200" ht="54" customHeight="1">
      <c r="A200" s="29" t="inlineStr">
        <is>
          <t>malaga:arac-kaydi-ulusal-cerceve</t>
        </is>
      </c>
      <c r="B200" s="29" t="inlineStr">
        <is>
          <t>malaga</t>
        </is>
      </c>
      <c r="C200" s="29" t="inlineStr">
        <is>
          <t>arac-kaydi-ulusal-cerceve</t>
        </is>
      </c>
      <c r="D200" s="29" t="inlineStr">
        <is>
          <t>Araç kaydı (matriculación) nasıl yapılır? Ulusal çerçeve</t>
        </is>
      </c>
      <c r="E200" s="29" t="inlineStr">
        <is>
          <t>Yeni ya da yurtdışından alınan araç tescil edilmeden yollarda kullanılamaz</t>
        </is>
      </c>
      <c r="F200" s="29" t="inlineStr">
        <is>
          <t>İspanya'da yeni ya da yurtdışından alınmış (yeni veya kullanılmış) bir aracı yollarda kullanmadan önce tescil ettirmen (matriculación) gerekir; plakalar takılmadan motorlu araçla dolaşılmaz. DGT'nin tescil işlemi için azami süresi 3 aydır; bu sürede cevap gelmezse işlem yapılmamıştır, idari sessizlik olumsuz sayılır. İşlem bitince araç için plaka numarası ve Permiso de circulación (ruhsat) verilir; plakaları bu belgelerle alırsın. Başvuruyu alıcı-malik ya da onun yetkilendirdiği kişi yapar; işlemi çoğunlukla satıcı firma (concesionario) veya gestor halleder ama kendin de yapabilirsin.</t>
        </is>
      </c>
      <c r="G200" s="29" t="inlineStr">
        <is>
          <t>araç tescili, matriculación, DGT, Permiso de circulación, plaka, Modelo 576, IVTM, ITV</t>
        </is>
      </c>
      <c r="H200" s="29" t="inlineStr">
        <is>
          <t>new;settled</t>
        </is>
      </c>
      <c r="I200" s="29" t="inlineStr">
        <is>
          <t>malaga:kaynak:032;malaga:kaynak:033</t>
        </is>
      </c>
      <c r="J200" s="49" t="n">
        <v>46319</v>
      </c>
      <c r="K200" s="51" t="n">
        <v>9026</v>
      </c>
      <c r="L200" s="29" t="inlineStr">
        <is>
          <t>Hayır</t>
        </is>
      </c>
      <c r="M200" s="29" t="inlineStr">
        <is>
          <t>Taslak</t>
        </is>
      </c>
      <c r="N200" s="29" t="inlineStr">
        <is>
          <t>malaga:resmi</t>
        </is>
      </c>
      <c r="O200" s="29" t="inlineStr">
        <is>
          <t>Aracın elektronik ITV kartı (ficha ITV electrónica) olup olmadığına bak; yalnız kâğıt kartı varsa DGT'nin genel başvuru formuyla başvurabilirsin, bunun için dijital DNI, geçerli elektronik sertifika ya da Cl@ve bilgilerin gerekir.
Tescil vergisini Modelo 576 ile öde ya da muafiyet veya tabi olmama belgesi (Modelo 06 veya 05) al; Bask Bölgesi ve Navarra'da ilgili Hacienda Foral'a başvurulur.
Oturduğun belediyenin Impuesto de Circulación (IVTM) ödeme veya muafiyet belgesini al.
DGT harcını öde; yeni araçta genel durumda çevrimiçi formdaki "Pagar" düğmesiyle ya da önceden aldığın tasa numarasıyla öde, yüz yüze başvuruda harcı kartla öde (nakit olmaz).
Başvuruyu çevrimiçi yap ya da internetten veya 060'tan randevu alıp Jefatura ya da Oficina local de Tráfico'ya git; yüz yüze başvuru yalnız bireylere açık.
Tescil bitince plaka numarası ve Permiso de circulación ile plakaları al.</t>
        </is>
      </c>
      <c r="P200" s="29" t="inlineStr">
        <is>
          <t>Elektronik ITV kartı (NIVE) ya da satış kaydı düşülmüş ITV kartı; yoksa fatura veya açık artırma tahsis tutanağı
Impuesto Especial sobre Determinados Medios de Transporte ödeme, muafiyet ya da tabi olmama belgesi (Modelo 576, 06 veya 05)
Oturduğun belediyenin Impuesto de Circulación (IVTM) ödeme veya muafiyet belgesi
DGT harcı ödeme belgesi
Kimlik belgesi (yüz yüze başvuruda orijinal ve geçerli)</t>
        </is>
      </c>
      <c r="Q200" s="29" t="inlineStr">
        <is>
          <t>DGT'nin tescil için azami süresi 3 aydır; bu sürede cevap gelmezse işlem yapılmamış sayılır.</t>
        </is>
      </c>
      <c r="R200" s="29" t="n"/>
      <c r="S200" s="29" t="inlineStr">
        <is>
          <t>Tescil vergisi (Impuesto Especial sobre Determinados Medios de Transporte) Modelo 576 ile kendi beyanınla ödenir (autoliquidación); tutar aracın özelliğine ve bölgeye göre değişir. Römorklar bu vergiden muaftır.</t>
        </is>
      </c>
      <c r="T200" s="29" t="n"/>
    </row>
    <row r="201" ht="54" customHeight="1">
      <c r="A201" s="29" t="inlineStr">
        <is>
          <t>malaga:endulus-carpeta-ciudadana-junta-dijital-islemler</t>
        </is>
      </c>
      <c r="B201" s="29" t="inlineStr">
        <is>
          <t>malaga</t>
        </is>
      </c>
      <c r="C201" s="29" t="inlineStr">
        <is>
          <t>endulus-carpeta-ciudadana-junta-dijital-islemler</t>
        </is>
      </c>
      <c r="D201" s="29" t="inlineStr">
        <is>
          <t>Endülüs'te Junta de Andalucía ile dijital işlem için Carpeta Ciudadana nedir ve nasıl girilir?</t>
        </is>
      </c>
      <c r="E201" s="29" t="inlineStr">
        <is>
          <t>Junta işlemleri, belgeleri, randevuları ve kartları tek uygulamada; giriş Cl@ve ya da dijital sertifika ile</t>
        </is>
      </c>
      <c r="F201" s="29" t="inlineStr">
        <is>
          <t>Carpeta Ciudadana, Junta de Andalucía'nın işlemlerini, bildirimlerini, dosyalarını (expediente) ve kartlarını tek yerde toplayan uygulamadır; mobil uygulama ve web uygulaması olarak sunulur. Uygulamada resmî belge ve sertifikaları indirip yazdırabilir, idareyle randevularını alıp değiştirebilir, işlemlerinin durumuna dair bildirim alabilir ve açık dosyalarının durumuna bakabilirsin. Kartlar bölümünde familia numerosa, carné joven, tarjeta 65, engelli ve sağlık kartı gösterilir. Girişte kimliğini Cl@ve ile ya da dijital sertifika ile doğrularsın.</t>
        </is>
      </c>
      <c r="G201" s="29" t="inlineStr">
        <is>
          <t>Carpeta Ciudadana, Junta de Andalucía, Cl@ve, certificado digital, expediente, cita previa, JUNTAS</t>
        </is>
      </c>
      <c r="H201" s="29" t="inlineStr">
        <is>
          <t>new;settled</t>
        </is>
      </c>
      <c r="I201" s="29" t="inlineStr">
        <is>
          <t>malaga:kaynak:141</t>
        </is>
      </c>
      <c r="J201" s="49" t="n">
        <v>46319</v>
      </c>
      <c r="K201" s="51" t="n">
        <v>9104</v>
      </c>
      <c r="L201" s="29" t="inlineStr">
        <is>
          <t>Hayır</t>
        </is>
      </c>
      <c r="M201" s="29" t="inlineStr">
        <is>
          <t>Taslak</t>
        </is>
      </c>
      <c r="N201" s="29" t="inlineStr">
        <is>
          <t>malaga:resmi</t>
        </is>
      </c>
      <c r="O201" s="29" t="inlineStr">
        <is>
          <t>Uygulama mağazasından Carpeta Ciudadana uygulamasını indir ya da web uygulamasını aç.
Kimliğini Cl@ve ile ya da dijital sertifikayla doğrula.
Belgelerine, randevularına, bildirimlerine, kartlarına ve dosyalarına uygulamadan eriş.</t>
        </is>
      </c>
      <c r="P201" s="29" t="inlineStr">
        <is>
          <t>Cl@ve ya da dijital sertifika</t>
        </is>
      </c>
      <c r="Q201" s="29" t="n"/>
      <c r="R201" s="29" t="n"/>
      <c r="S201" s="29" t="inlineStr">
        <is>
          <t>Giriş için Cl@ve ya da dijital sertifika gerekir.</t>
        </is>
      </c>
      <c r="T201" s="29" t="n"/>
    </row>
    <row r="202" ht="54" customHeight="1">
      <c r="A202" s="29" t="inlineStr">
        <is>
          <t>malaga:malaga-padron-kaydi-gestion-tributaria-ofisi-ve-randevu</t>
        </is>
      </c>
      <c r="B202" s="29" t="inlineStr">
        <is>
          <t>malaga</t>
        </is>
      </c>
      <c r="C202" s="29" t="inlineStr">
        <is>
          <t>malaga-padron-kaydi-gestion-tributaria-ofisi-ve-randevu</t>
        </is>
      </c>
      <c r="D202" s="29" t="inlineStr">
        <is>
          <t>Málaga'da empadronamiento (padrón kaydı) için nereye gidersin, randevuyu nasıl alırsın?</t>
        </is>
      </c>
      <c r="E202" s="29" t="inlineStr">
        <is>
          <t>Tabacalera'daki Gestión Tributaria ofisi yalnız randevuyla; OMAC ofislerinde de yapılır</t>
        </is>
      </c>
      <c r="F202" s="29" t="inlineStr">
        <is>
          <t>Málaga'da padrón işlemini belediyenin OMAC ofislerinde ya da Gestión Tributaria'nın Tabacalera'daki ofisinde (Av. Sor Teresa Prat 17, 29003) yaptırırsın; Gestión Tributaria ofisi yalnız randevuyla çalışır. Randevuyu internet sayfasından ya da 951 92 60 10 veya 010 numarasından alırsın. Ofis pazartesi-cuma 8:30-14:00 arasında açıktır; perşembe 17:00-19:00 arasında da padrón dahil genel işlemler için hizmet verir (15 Haziran-15 Eylül ve 26 Aralık-5 Ocak hariç). 65 yaşını geçenler kendi işlemleri için (başkası adına değil) randevusuz gidebilir; randevusuz kabul pazartesi-cuma 8:30-13:30 arasındadır.</t>
        </is>
      </c>
      <c r="G202" s="29" t="inlineStr">
        <is>
          <t>padrón, empadronamiento, Málaga adres kaydı, Gestión Tributaria, Tabacalera, cita previa, OMAC</t>
        </is>
      </c>
      <c r="H202" s="29" t="inlineStr">
        <is>
          <t>new;settled</t>
        </is>
      </c>
      <c r="I202" s="29" t="inlineStr">
        <is>
          <t>malaga:kaynak:223;malaga:kaynak:242</t>
        </is>
      </c>
      <c r="J202" s="49" t="n">
        <v>46322</v>
      </c>
      <c r="K202" s="51" t="n">
        <v>300</v>
      </c>
      <c r="L202" s="29" t="inlineStr">
        <is>
          <t>Evet</t>
        </is>
      </c>
      <c r="M202" s="29" t="inlineStr">
        <is>
          <t>Taslak</t>
        </is>
      </c>
      <c r="N202" s="29" t="inlineStr">
        <is>
          <t>malaga:resmi</t>
        </is>
      </c>
      <c r="O202" s="29" t="inlineStr">
        <is>
          <t>Padrón işlemini yapacağın yeri seç: semtindeki OMAC ofisi ya da Tabacalera'daki Gestión Tributaria ofisi.
Gestión Tributaria için randevuyu web sayfasından ya da 951 92 60 10 veya 010 numarasından al.
Randevudan önce ilgili hizmetin ve işlemin sayfasına bakıp gereken belgeleri öğren. Randevu gününde bu belgelerle Av. Sor Teresa Prat 17, 29003 Málaga adresindeki ofise git.
Ek bilgi için gestrisam@malaga.eu adresine yazabilirsin.</t>
        </is>
      </c>
      <c r="P202" s="29" t="n"/>
      <c r="Q202" s="29" t="inlineStr">
        <is>
          <t>Pazartesi-cuma 8:30-14:00; perşembe 17:00-19:00 (15 Haziran-15 Eylül ve 26 Aralık-5 Ocak hariç)</t>
        </is>
      </c>
      <c r="R202" s="29" t="n"/>
      <c r="S202" s="29" t="inlineStr">
        <is>
          <t>Her yıl Semana Santa haftasında, feria haftasında ve 26 Aralık-5 Ocak arasındaki iş günlerinde ofis 9:00-14:00 arası çalışır; 24 ve 31 Aralık kapalıdır. Belediyenin e-ofisi (Sede Electrónica) üzerinden de işlem yapabilirsin.</t>
        </is>
      </c>
      <c r="T202" s="29" t="n"/>
    </row>
    <row r="203" ht="54" customHeight="1">
      <c r="A203" s="29" t="inlineStr">
        <is>
          <t>malaga:omac-semt-ofisleri-calisma-saati-ve-islemler</t>
        </is>
      </c>
      <c r="B203" s="29" t="inlineStr">
        <is>
          <t>malaga</t>
        </is>
      </c>
      <c r="C203" s="29" t="inlineStr">
        <is>
          <t>omac-semt-ofisleri-calisma-saati-ve-islemler</t>
        </is>
      </c>
      <c r="D203" s="29" t="inlineStr">
        <is>
          <t>Málaga'da OMAC (semt belediye hizmet ofisi) nedir, hangi işler için gidersin, randevuyu nasıl alırsın?</t>
        </is>
      </c>
      <c r="E203" s="29" t="inlineStr">
        <is>
          <t>Pazartesi-cuma 9:00-14:00; randevuyla, 65 yaş üstü randevusuz</t>
        </is>
      </c>
      <c r="F203" s="29" t="inlineStr">
        <is>
          <t>OMAC, Málaga Belediyesi'nin semtlerde bulunan ve çok sayıda belediye hizmetinin bilgi ve işlemlerini tek yerde toplayan yüz yüze ofisidir; pazartesi-cuma 9:00-14:00 açıktır ve randevuyla çalışır, 65 yaş üstü kişiler randevusuz gidebilir. Randevuyu citaprevia.malaga.eu adresinden ya da belediye bilgi hattı 951 92 60 10'dan alırsın. OMAC bir kayıt gişesidir: belediyeye yönelik belgeleri burada kayda geçirebilirsin (mevzuat başka bir gişe öngörüyorsa orada yalnız form ve başvuru evrakını alırsın); ayrıca şikâyet ve öneri bırakır, işlemlerin ne olduğu, nereden istendiği, süreci, harçları ve formları hakkında bilgi alırsın. OMAC, FNMT sözleşmesi kapsamında dijital sertifika işlemleri için de yetkilidir.</t>
        </is>
      </c>
      <c r="G203" s="29" t="inlineStr">
        <is>
          <t>OMAC, Málaga belediye ofisi, cita previa, semt ofisi, Junta Municipal de Distrito, dijital sertifika, belge sunma</t>
        </is>
      </c>
      <c r="H203" s="29" t="inlineStr">
        <is>
          <t>new;settled</t>
        </is>
      </c>
      <c r="I203" s="29" t="inlineStr">
        <is>
          <t>malaga:kaynak:243;malaga:kaynak:244</t>
        </is>
      </c>
      <c r="J203" s="49" t="n">
        <v>46322</v>
      </c>
      <c r="K203" s="51" t="n">
        <v>301</v>
      </c>
      <c r="L203" s="29" t="inlineStr">
        <is>
          <t>Hayır</t>
        </is>
      </c>
      <c r="M203" s="29" t="inlineStr">
        <is>
          <t>Taslak</t>
        </is>
      </c>
      <c r="N203" s="29" t="inlineStr">
        <is>
          <t>malaga:resmi</t>
        </is>
      </c>
      <c r="O203" s="29" t="inlineStr">
        <is>
          <t>Randevuyu citaprevia.malaga.eu adresinden ya da 951 92 60 10 numaralı belediye bilgi hattından al; 65 yaşını geçtiysen randevusuz gidebilirsin.
Semtindeki OMAC'ı bul; merkezde OMAC, Calle La Merced 1 adresindeki Junta Municipal de Distrito 1 binasındadır.
Belediyeye sunacağın belgeyi OMAC gişesinde kayda geçir ya da formları ve başvuru evraklarını oradan al; başka bir gişe öngörülen belgelerde OMAC yalnız form ve evrak alır.</t>
        </is>
      </c>
      <c r="P203" s="29" t="n"/>
      <c r="Q203" s="29" t="inlineStr">
        <is>
          <t>Pazartesi-cuma 9:00-14:00 (resmî tatiller ile 24 ve 31 Aralık hariç)</t>
        </is>
      </c>
      <c r="R203" s="29" t="n"/>
      <c r="S203" s="29" t="inlineStr">
        <is>
          <t>Merkez ilçedeki (Distrito 1) bina ayrıca merkezde oturanlar için park kartı (Tarjeta Verde) işlemlerini yürütür; bina santrali 951928852, e-posta distrito1@malaga.eu.</t>
        </is>
      </c>
      <c r="T203" s="29" t="n"/>
    </row>
    <row r="204" ht="54" customHeight="1">
      <c r="A204" s="29" t="inlineStr">
        <is>
          <t>malaga:belediye-randevu-malaga-24h-ve-merkezi-hat</t>
        </is>
      </c>
      <c r="B204" s="29" t="inlineStr">
        <is>
          <t>malaga</t>
        </is>
      </c>
      <c r="C204" s="29" t="inlineStr">
        <is>
          <t>belediye-randevu-malaga-24h-ve-merkezi-hat</t>
        </is>
      </c>
      <c r="D204" s="29" t="inlineStr">
        <is>
          <t>Málaga belediyesinden randevu nasıl alınır, hangi telefon numaralarından ulaşırsın?</t>
        </is>
      </c>
      <c r="E204" s="29" t="inlineStr">
        <is>
          <t>Málaga 24h sekmesi, Málaga Funciona uygulaması, 010 ve 951 92 60 10</t>
        </is>
      </c>
      <c r="F204" s="29" t="inlineStr">
        <is>
          <t>Belediye randevusunu malaga.eu'daki "Málaga 24h" sekmesinde Cita Previa bölümünden ya da ücretsiz "Málaga Funciona" uygulamasından alırsın: servisi seç, takvimden gün ve saati belirle, istenen bilgileri doldur ve "Pedir Cita"ya bas. Telefonla 010 (özel tarifeli) ya da 951 92 60 10 (metropol arama) numaralarına ulaşırsın; hatlar her gün 08:00-22:00 arasında açıktır (belediye rehberi açılışı 07:00 olarak yazıyor). Gestión Tributaria padrón randevusunda randevudan 10 dakika önce gişeye gidersin; o randevuya gelemeyeceksen değiştir ya da iptal et. Dijital sertifikan varsa birçok işlemi belediyenin e-ofisinden de yapabilirsin.</t>
        </is>
      </c>
      <c r="G204" s="29" t="inlineStr">
        <is>
          <t>cita previa, Málaga 24h, Málaga Funciona, 010, belediye randevusu, Registro General, sede electrónica</t>
        </is>
      </c>
      <c r="H204" s="29" t="inlineStr">
        <is>
          <t>new;settled</t>
        </is>
      </c>
      <c r="I204" s="29" t="inlineStr">
        <is>
          <t>malaga:kaynak:245;malaga:kaynak:224;malaga:kaynak:223</t>
        </is>
      </c>
      <c r="J204" s="49" t="n">
        <v>46322</v>
      </c>
      <c r="K204" s="51" t="n">
        <v>302</v>
      </c>
      <c r="L204" s="29" t="inlineStr">
        <is>
          <t>Hayır</t>
        </is>
      </c>
      <c r="M204" s="29" t="inlineStr">
        <is>
          <t>Taslak</t>
        </is>
      </c>
      <c r="N204" s="29" t="inlineStr">
        <is>
          <t>malaga:resmi</t>
        </is>
      </c>
      <c r="O204" s="29" t="inlineStr">
        <is>
          <t>malaga.eu ana sayfasında "Málaga 24h" sekmesinden Cita Previa'ya gir ya da Málaga Funciona uygulamasını (Android ve iOS) aç.
Randevuyu citaprevia.malaga.eu adresinden de alabilirsin. Randevu alacağın alanı ya da servisi seç, takvimden gün ve saati belirle, bilgileri doldur ve "Pedir Cita"ya bas.
Gestión Tributaria padrón randevusunda, randevudan 10 dakika önce 13 numaralı gişeye gidip kimliğini ve katılımını doğrulat.
Gestión Tributaria padrón randevusuna gelemeyeceksen randevu kodunu söyleyerek 951 92 60 10 ya da 010'u ara ve randevuyu değiştir ya da iptal et.</t>
        </is>
      </c>
      <c r="P204" s="29" t="n"/>
      <c r="Q204" s="29" t="inlineStr">
        <is>
          <t>Gestión Tributaria padrón randevusunda randevudan 10 dakika önce gişede ol</t>
        </is>
      </c>
      <c r="R204" s="29" t="n"/>
      <c r="S204" s="29" t="inlineStr">
        <is>
          <t>Registro General (Avenida de Cervantes 4) hafta içi 9:00-14:00 arasında yalnız randevuyla çalışır; randevuyu citaprevia.malaga.eu adresinden ya da 951 92 72 16 numarasından alırsın.</t>
        </is>
      </c>
      <c r="T204" s="29" t="n"/>
    </row>
    <row r="205" ht="54" customHeight="1">
      <c r="A205" s="29" t="inlineStr">
        <is>
          <t>malaga:fnmt-dijital-sertifika-kimlik-dogrulama-omac-malaga</t>
        </is>
      </c>
      <c r="B205" s="29" t="inlineStr">
        <is>
          <t>malaga</t>
        </is>
      </c>
      <c r="C205" s="29" t="inlineStr">
        <is>
          <t>fnmt-dijital-sertifika-kimlik-dogrulama-omac-malaga</t>
        </is>
      </c>
      <c r="D205" s="29" t="inlineStr">
        <is>
          <t>Málaga'da FNMT dijital sertifikası için kimlik doğrulamasını nerede yaptırırsın?</t>
        </is>
      </c>
      <c r="E205" s="29" t="inlineStr">
        <is>
          <t>Belediye OMAC ofisleri FNMT ile sözleşmeli; AEAT ve Seguridad Social ofislerinde randevu gerekir</t>
        </is>
      </c>
      <c r="F205" s="29" t="inlineStr">
        <is>
          <t>Málaga'da FNMT dijital sertifikası için kimlik doğrulamasını belediyenin OMAC ofislerinde yaptırabilirsin; OMAC, FNMT ile yapılan sözleşme kapsamında dijital sertifika işlemleri için yetkilidir. AEAT, Seguridad Social ve diğer doğrulama ofislerinde ise randevu gerekir. Süreç dört adımdır ve bu sırayla ilerler: gerekli yazılımı kur, çevrimiçi başvur, e-postana gelen başvuru koduyla kimliğini doğrulat, sertifikayı indir.</t>
        </is>
      </c>
      <c r="G205" s="29" t="inlineStr">
        <is>
          <t>FNMT, dijital sertifika, certificado digital, Oficina de Acreditación de Identidad, OMAC, kimlik doğrulama, video kimlik</t>
        </is>
      </c>
      <c r="H205" s="29" t="inlineStr">
        <is>
          <t>new;settled</t>
        </is>
      </c>
      <c r="I205" s="29" t="inlineStr">
        <is>
          <t>malaga:kaynak:249;malaga:kaynak:243</t>
        </is>
      </c>
      <c r="J205" s="49" t="n">
        <v>46322</v>
      </c>
      <c r="K205" s="51" t="n">
        <v>303</v>
      </c>
      <c r="L205" s="29" t="inlineStr">
        <is>
          <t>Hayır</t>
        </is>
      </c>
      <c r="M205" s="29" t="inlineStr">
        <is>
          <t>Taslak</t>
        </is>
      </c>
      <c r="N205" s="29" t="inlineStr">
        <is>
          <t>malaga:resmi</t>
        </is>
      </c>
      <c r="O205" s="29" t="inlineStr">
        <is>
          <t>FNMT sayfasındaki yazılımı bilgisayarına kur.
Sertifikayı çevrimiçi iste; işlem bitince e-postana bir başvuru kodu (Código de Solicitud) gelir.
Kimliğini e-postana gelen başvuru koduyla (Código de Solicitud) bir Oficina de Acreditación de Identidad'te doğrulat: Málaga'da OMAC'a randevuyla git; AEAT ve Seguridad Social ofislerinde de randevu gerekir.
Kimlik doğrulamadan yaklaşık 1 saat sonra başvuru koduyla sertifikayı indir, kur ve yedeğini al.</t>
        </is>
      </c>
      <c r="P205" s="29" t="inlineStr">
        <is>
          <t>E-postana gelen başvuru kodu (Código de Solicitud)</t>
        </is>
      </c>
      <c r="Q205" s="29" t="inlineStr">
        <is>
          <t>Kimlik doğrulamadan yaklaşık 1 saat sonra indirilir</t>
        </is>
      </c>
      <c r="R205" s="29" t="n"/>
      <c r="S205" s="29" t="inlineStr">
        <is>
          <t>OMAC'ta randevuyu citaprevia.malaga.eu ya da 951 92 60 10 üzerinden alırsın; ofis pazartesi-cuma 9:00-14:00 açıktır, 65 yaş üstü kişiler randevusuz gidebilir.</t>
        </is>
      </c>
      <c r="T205" s="29" t="n"/>
    </row>
    <row r="206" ht="54" customHeight="1">
      <c r="A206" s="29" t="inlineStr">
        <is>
          <t>malaga:clave-yuz-yuze-kayit-randevu-ve-gerekli-belgeler</t>
        </is>
      </c>
      <c r="B206" s="29" t="inlineStr">
        <is>
          <t>malaga</t>
        </is>
      </c>
      <c r="C206" s="29" t="inlineStr">
        <is>
          <t>clave-yuz-yuze-kayit-randevu-ve-gerekli-belgeler</t>
        </is>
      </c>
      <c r="D206" s="29" t="inlineStr">
        <is>
          <t>Cl@ve'e yüz yüze kaydolmak için randevuyu nasıl alırsın, randevuya ne götürürsün?</t>
        </is>
      </c>
      <c r="E206" s="29" t="inlineStr">
        <is>
          <t>Randevu: 91 333 5 333 ya da Sede Electrónica; kayıt şahsen yapılır</t>
        </is>
      </c>
      <c r="F206" s="29" t="inlineStr">
        <is>
          <t>Cl@ve'e yüz yüze kayıt için randevuyu 91 333 5 333 numarasından (pazartesi-cuma 9:00-19:00, Ağustos'ta 15:00'e kadar) ya da Agencia Tributaria Sede Electrónica'daki "Asistencia y Cita" bölümünden alırsın. Kayıtta kişinin şahsen bulunması şarttır; temsilciyle ya da vekâletle yapılamaz. Yanında DNI'ni (geçerlilik tarihiyle) ya da NIE'ni (düzenleme tarihiyle), cep telefonu numaranı ve e-posta adresini götürürsün; yabancılar kimliklerini ülkelerinin yetkili makamlarınca verilmiş pasaport ya da seyahat belgesiyle kanıtlar. Ofise gitmeden kayıt yolları da var: davet mektubuyla CSV ya da dijital sertifika/elektronik DNI; uygulamayla video kimlik doğrulaması ise şu an yalnız geçerli DNI'si olan İspanyol vatandaşları için açık.</t>
        </is>
      </c>
      <c r="G206" s="29" t="inlineStr">
        <is>
          <t>Cl@ve, Cl@ve kaydı, yüz yüze kayıt, Agencia Tributaria, Asistencia y Cita, NIE, elektronik kimlik</t>
        </is>
      </c>
      <c r="H206" s="29" t="inlineStr">
        <is>
          <t>new;settled</t>
        </is>
      </c>
      <c r="I206" s="29" t="inlineStr">
        <is>
          <t>malaga:kaynak:248</t>
        </is>
      </c>
      <c r="J206" s="49" t="n">
        <v>46322</v>
      </c>
      <c r="K206" s="51" t="n">
        <v>304</v>
      </c>
      <c r="L206" s="29" t="inlineStr">
        <is>
          <t>Hayır</t>
        </is>
      </c>
      <c r="M206" s="29" t="inlineStr">
        <is>
          <t>Taslak</t>
        </is>
      </c>
      <c r="N206" s="29" t="inlineStr">
        <is>
          <t>malaga:resmi</t>
        </is>
      </c>
      <c r="O206" s="29" t="inlineStr">
        <is>
          <t>Randevuyu 91 333 5 333 numarasından ya da Sede Electrónica'daki "Asistencia y Cita" bölümünden al.
Çevrimiçi randevuda "Otras gestiones" altında "Identificación electrónica" ve "Registro en Cl@ve" hizmetini seç, ilini ya da posta kodunu gir ve sana en yakın ofisten randevu seç.
Randevuya kimlik belgen, cep telefonu numaran ve e-posta adresinle şahsen git.</t>
        </is>
      </c>
      <c r="P206" s="29" t="inlineStr">
        <is>
          <t>DNI (geçerlilik tarihiyle) ya da NIE (düzenleme tarihiyle)
Yabancılar için ülkesinin yetkili makamlarınca verilmiş pasaport veya seyahat belgesi
Ulusal ya da yabancı cep telefonu numarası
E-posta adresi
Reşit olmayanlarda velayet sahibi ve velayeti gösteren belge (libro de familia)</t>
        </is>
      </c>
      <c r="Q206" s="29" t="inlineStr">
        <is>
          <t>Randevu hattı pazartesi-cuma 9:00-19:00 (Ağustos'ta 15:00'e kadar)</t>
        </is>
      </c>
      <c r="R206" s="29" t="n"/>
      <c r="S206" s="29" t="inlineStr">
        <is>
          <t>Kayıt vekâletle ya da temsilciyle yapılamaz, kişinin kendisinin gitmesi gerekir.</t>
        </is>
      </c>
      <c r="T206" s="29" t="n"/>
    </row>
    <row r="207" ht="54" customHeight="1">
      <c r="A207" s="29" t="inlineStr">
        <is>
          <t>malaga:ehliyet-degisimi-canje-dgt-cevrimici-basvuru-ve-jefatura-teslimi</t>
        </is>
      </c>
      <c r="B207" s="29" t="inlineStr">
        <is>
          <t>malaga</t>
        </is>
      </c>
      <c r="C207" s="29" t="inlineStr">
        <is>
          <t>ehliyet-degisimi-canje-dgt-cevrimici-basvuru-ve-jefatura-teslimi</t>
        </is>
      </c>
      <c r="D207" s="29" t="inlineStr">
        <is>
          <t>Türk ehliyetini İspanyol ehliyetiyle değiştirirken (canje) Málaga'daki trafik şubesine ne zaman gidersin?</t>
        </is>
      </c>
      <c r="E207" s="29" t="inlineStr">
        <is>
          <t>Başvuru çevrimiçi; şubeye yalnız asıl ehliyeti teslim edip geçici belgeyi almak için gidersin</t>
        </is>
      </c>
      <c r="F207" s="29" t="inlineStr">
        <is>
          <t>Ehliyet değişiminde başvuruyu çevrimiçi yaparsın; trafik şubesine (Jefatura Provincial de Tráfico) yalnızca son aşamada gidip asıl ehliyetini teslim eder ve geçici sürüş belgeni alırsın. DGT, Türkiye'yi önce ehliyetin ülkesince doğrulanmasını isteyen ülkeler arasında sayar: doğrulama olumlu gelince canje başvurusunu yaparsın; doğrulama e-postası günler, hatta haftalar sürebilir. Yalnız motosiklet ve otomobil sınıflarını (A1, A, B, B+E) içeren ehliyette ek sınav yoktur ve değişim bedeli 28,87 euro; kamyon ve otobüs sınıflarında (C, D) 94,05 euro.</t>
        </is>
      </c>
      <c r="G207" s="29" t="inlineStr">
        <is>
          <t>ehliyet değişimi, canje, DGT, Jefatura Provincial de Tráfico Málaga, Türk ehliyeti, permiso de conducir, sürücü belgesi</t>
        </is>
      </c>
      <c r="H207" s="29" t="inlineStr">
        <is>
          <t>new;settled</t>
        </is>
      </c>
      <c r="I207" s="29" t="inlineStr">
        <is>
          <t>malaga:kaynak:246;malaga:kaynak:247</t>
        </is>
      </c>
      <c r="J207" s="49" t="n">
        <v>46322</v>
      </c>
      <c r="K207" s="51" t="n">
        <v>305</v>
      </c>
      <c r="L207" s="29" t="inlineStr">
        <is>
          <t>Evet</t>
        </is>
      </c>
      <c r="M207" s="29" t="inlineStr">
        <is>
          <t>Taslak</t>
        </is>
      </c>
      <c r="N207" s="29" t="inlineStr">
        <is>
          <t>malaga:resmi</t>
        </is>
      </c>
      <c r="O207" s="29" t="inlineStr">
        <is>
          <t>Yetkili bir sürücü muayene merkezinden (Centro de Reconocimiento de Conductores) psikofiziksel yeterlilik raporu al; yalnız A ve B sınıflarında grup I raporu yeterlidir.
DGT Sede Electrónica'ya Cl@ve ya da dijital sertifikanla gir, ehliyetin verildiği ülkeyi seç ve ehliyetinin geçerliliğinin doğrulanmasını iste.
Doğrulama olumlu gelince canje başvurusunu doldur, belgeleri tarayıp yükle ve bedeli öde.
Başvurun işlenince gelen e-postadaki yönergeyle başvuruda seçtiğin Jefatura'ya git, asıl ehliyetini teslim et ve geçici sürüş belgeni al.
Kalıcı ehliyetin yaklaşık bir buçuk ay içinde adresine postayla gelir.</t>
        </is>
      </c>
      <c r="P207" s="29" t="inlineStr">
        <is>
          <t>Geçerli kimlik: DNI, pasaport ya da AB dışı yabancılar için oturum izni
İkamet kanıtı: DNI, TIE veya AB vatandaşı kayıt sertifikası
Ehliyet aslı (geçerli ve yürürlükte)
Yetkili merkezden psikofiziksel yeterlilik raporu
Ehliyeti İspanya'da oturmuyorken aldığını gösteren belge: yabancı kimlik/oturum kartı (TIE) ya da öğrenci kartı ya da yabancılar sicilinde kayıt belgesi (bunlardan biri)</t>
        </is>
      </c>
      <c r="Q207" s="29" t="inlineStr">
        <is>
          <t>Ülke doğrulaması günler hatta haftalar sürebilir; kalıcı ehliyet yaklaşık bir buçuk ayda gelir; DGT başvurunun işlenme süresini garanti etmez; geçici belge 6 ay geçerli ve yalnız İspanya'da kullanılır</t>
        </is>
      </c>
      <c r="R207" s="29" t="inlineStr">
        <is>
          <t>A1, A, B, B+E sınıfları 28,87 euro (tasa 2.3); C ve D sınıfları 94,05 euro (tasa 2.1, iki sınav hakkı dahil); ofiste yüz yüze ödemede yalnız kart kabul edilir, nakit değil</t>
        </is>
      </c>
      <c r="S207" s="29" t="inlineStr">
        <is>
          <t>Yabancı ehliyetin İspanya'da geçerliliği, normal ikamet kazandığın günden (normal ikamet: İspanya'da yasal statüyle, bir takvim yılında en az 185 gün kalmak) itibaren en çok altı aydır; sonrasında araç kullanmaya devam etmek için değişim yaptırman gerekir. DGT'ye göre çevrimiçi canje başvurusunda randevu almazsın; gün ve saat e-postayla bildirilir. Şubelerdeki öteki işlemler için randevuyu çevrimiçi ya da 060 numarasından alırsın.</t>
        </is>
      </c>
      <c r="T207" s="29" t="n"/>
    </row>
    <row r="208" ht="54" customHeight="1">
      <c r="A208" s="29" t="inlineStr">
        <is>
          <t>malaga:apostil-endulus-tsj-secretaria-de-gobierno-ve-elektronik-apostil</t>
        </is>
      </c>
      <c r="B208" s="29" t="inlineStr">
        <is>
          <t>malaga</t>
        </is>
      </c>
      <c r="C208" s="29" t="inlineStr">
        <is>
          <t>apostil-endulus-tsj-secretaria-de-gobierno-ve-elektronik-apostil</t>
        </is>
      </c>
      <c r="D208" s="29" t="inlineStr">
        <is>
          <t>Málaga'da aldığın İspanyol belgeyi başka ülkede kullanmak için apostili ya da legalizasyonu nereden yaptırırsın?</t>
        </is>
      </c>
      <c r="E208" s="29" t="inlineStr">
        <is>
          <t>Belge türüne göre TSJA Secretaría de Gobierno, Colegio Notarial ya da Adalet Bakanlığı</t>
        </is>
      </c>
      <c r="F208" s="29" t="inlineStr">
        <is>
          <t>Belge Endülüs'te düzenlendiyse apostili belgenin türü belirler: mahkeme ve adli kaynaklı belgelerde Tribunal Superior de Justicia'nın Secretaría de Gobierno'su, noter belgelerinde Colegio Notarial dekanı, merkezî idare belgelerinde (Registro Civil Central dahil) Adalet Bakanlığı apostil verir. Belgenin kullanılacağı ülke 5 Ekim 1961 tarihli Lahey Sözleşmesi'ne taraf ise işlem apostil; taraf değilse legalizasyondur ve zincir uzar: adli belge ile medeni hâl belgesi için TSJ Secretaría de Gobierno'su, noter belgesi için Colegio Notarial, ardından Adalet Bakanlığı, Dışişleri Bakanlığı Legalizasyon Şubesi (Madrid) ve belgenin kullanılacağı ülkenin İspanya'daki diplomatik ya da konsolosluk temsilciliği. Başvuruda belgenin kullanılacağı ülkeyi yazman zorunludur. Adalet Bakanlığı'nın bazı belgeleri için elektronik apostili Cl@ve ile çevrimiçi de alabilirsin.</t>
        </is>
      </c>
      <c r="G208" s="29" t="inlineStr">
        <is>
          <t>apostil, legalizasyon, Lahey Sözleşmesi, TSJA, Secretaría de Gobierno, Colegio Notarial, elektronik apostil, belge onayı</t>
        </is>
      </c>
      <c r="H208" s="29" t="inlineStr">
        <is>
          <t>planning;new</t>
        </is>
      </c>
      <c r="I208" s="29" t="inlineStr">
        <is>
          <t>malaga:kaynak:250;malaga:kaynak:251</t>
        </is>
      </c>
      <c r="J208" s="49" t="n">
        <v>46322</v>
      </c>
      <c r="K208" s="51" t="n">
        <v>306</v>
      </c>
      <c r="L208" s="29" t="inlineStr">
        <is>
          <t>Hayır</t>
        </is>
      </c>
      <c r="M208" s="29" t="inlineStr">
        <is>
          <t>Taslak</t>
        </is>
      </c>
      <c r="N208" s="29" t="inlineStr">
        <is>
          <t>malaga:resmi</t>
        </is>
      </c>
      <c r="O208" s="29" t="inlineStr">
        <is>
          <t>Belgenin türünü belirle: adli, noter ya da merkezî idare belgesi. Öğrenim belgeleri için ayrı bir düzenleme (Eğitim Bakanlığı'nın 16 Nisan 1990 tarihli emri) var; bölgesel ve yerel idare belgelerinin de kendi kuralları var.
Belgeyi ilgili merciye ver: Secretaría de Gobierno (adli belgeler), Colegio Notarial dekanı (noter belgeleri) ya da Adalet Bakanlığı (merkezî idare belgeleri).
Başvuruda belgenin kullanılacağı ülkeyi yaz.
Postayla yapacaksan 662 977 334 numaralı hattan bilgi al ve başvuru formunu (Formulario de solicitud de Legalización o Apostilla) doldurup belgeyle birlikte Secretaría de Gobierno. T.S.J.A. Plaza Nueva 10, 18071 Granada adresine gönder.
Ülke Lahey Sözleşmesi'ne taraf değilse legalizasyon zincirini izle: önce Secretaría de Gobierno ya da Colegio Notarial, sonra Adalet Bakanlığı, Dışişleri Bakanlığı Legalizasyon Şubesi ve belgenin kullanılacağı ülkenin temsilciliği.
Adalet Bakanlığı belgelerinde çevrimiçi apostil için Bakanlığın sitesinde Cl@ve ile giriş yap.</t>
        </is>
      </c>
      <c r="P208" s="29" t="inlineStr">
        <is>
          <t>Orijinal belge (orijinal mühür ve imzası olmayan fotokopi işleme alınmaz); belgenin güncel olması önerilir
Belgenin kullanılacağı ülke bilgisi</t>
        </is>
      </c>
      <c r="Q208" s="29" t="inlineStr">
        <is>
          <t>Elektronik apostil, düzenlendiği tarihten itibaren 1 yıl boyunca indirilebilir; doğrulaması 25 yıl yapılabilir</t>
        </is>
      </c>
      <c r="R208" s="29" t="n"/>
      <c r="S208" s="29" t="inlineStr">
        <is>
          <t>Andalucía dışında düzenlenen belgeler, orijinal mühür ve imzası olmayan fotokopiler, TSJ'de imzası tanınmayan belgeler ve iki imzası (Juez de Paz ile Secretario) bulunmayan Juzgado de Paz belgeleri legalize edilmez.</t>
        </is>
      </c>
      <c r="T208" s="29" t="n"/>
    </row>
    <row r="209" ht="54" customHeight="1">
      <c r="A209" s="29" t="inlineStr">
        <is>
          <t>malaga:kamu-saglik-sistemine-erisim-hak-sahipleri</t>
        </is>
      </c>
      <c r="B209" s="29" t="inlineStr">
        <is>
          <t>malaga</t>
        </is>
      </c>
      <c r="C209" s="29" t="inlineStr">
        <is>
          <t>kamu-saglik-sistemine-erisim-hak-sahipleri</t>
        </is>
      </c>
      <c r="D209" s="29" t="inlineStr">
        <is>
          <t>İspanya'da kamu sağlık sistemine (SNS) kimler girebilir, ikamet izni olmayanlar tedavi görebilir mi?</t>
        </is>
      </c>
      <c r="E209" s="29" t="inlineStr">
        <is>
          <t>Hak ikamete bağlıdır: yabancıda yasal ve mutat ikamet aranır, ikamet izni olmayanlar da belirli koşullarla kapsanır; uygulama özerk bölgelerdedir</t>
        </is>
      </c>
      <c r="F209" s="29" t="inlineStr">
        <is>
          <t>Evet, koşullarla: İspanyol vatandaşları ve İspanya'da ikameti yerleşik olan yabancılar kamu sağlık sisteminin (SNS) hak sahibidir; ikamet izni olmayan yabancılar da İspanyol vatandaşlarıyla aynı koşullarda sağlık hakkına sahiptir (Real Decreto-ley 7/2018), ancak tedavinin kamu fonlarından karşılanması aşağıdaki koşullara bağlıdır. Kamu fonuyla tedavi için yabancıda yasal ve mutat ikamet aranır ve kişinin zorunlu sağlık güvencesini başka bir yoldan kanıtlama yükümlülüğü olmaması gerekir; yasal ikamet oturum izniyle, mutat ikamet empadronamiento (belediye nüfus kaydı) ile belgelenir. İkamet izni olmayanların tedavisinin kamu fonlarından karşılanması için üç koşul aranır: başka bir yoldan zorunlu güvence yükümlülüğünün olmaması, güvencenin menşe ülkeden aktarılamaması ve ödemeyle yükümlü bir üçüncü kişinin bulunmaması; bu kişiler için hakkın tanınması özerk bölgelerin sağlık servislerinin yetkisindedir. AB, AEA veya İsviçre vatandaşlarının RD 240/2007 art. 6'daki üç aydan kısa kalışı bu "kayıtsız ve izinsiz yabancı" kategorisine girmez. Sigortalı ya da yararlanıcı olmayan ve başka bir yoldan kamu sağlık korumasına erişimi bulunmayanlar ücret karşılığı convenio especial (kamu sistemine ücretle katılım sözleşmesi) ile de hizmet alabilir; bu sözleşmeleri özerk bölgelerin sağlık servisleri yönetir ve temel koşulları Orden SSI/1475/2014 ile belirlenmiştir.</t>
        </is>
      </c>
      <c r="G209" s="29" t="inlineStr">
        <is>
          <t>kamu sağlık sistemi, SNS, evrensel erişim, Real Decreto-ley 7/2018, tarjeta sanitaria, empadronamiento, ikamet izni olmayan, convenio especial</t>
        </is>
      </c>
      <c r="H209" s="29" t="inlineStr">
        <is>
          <t>new;settled</t>
        </is>
      </c>
      <c r="I209" s="29" t="inlineStr">
        <is>
          <t>malaga:kaynak:080;malaga:kaynak:081</t>
        </is>
      </c>
      <c r="J209" s="49" t="n">
        <v>46319</v>
      </c>
      <c r="K209" s="51" t="n">
        <v>9059</v>
      </c>
      <c r="L209" s="29" t="inlineStr">
        <is>
          <t>Hayır</t>
        </is>
      </c>
      <c r="M209" s="29" t="inlineStr">
        <is>
          <t>Taslak</t>
        </is>
      </c>
      <c r="N209" s="29" t="inlineStr">
        <is>
          <t>malaga:saglik</t>
        </is>
      </c>
      <c r="O209" s="29" t="inlineStr">
        <is>
          <t>Yasal ikametini oturum izninle, mutat ikametini empadronamiento (belediye nüfus kaydı) ile kanıtla.
Hak koşullarının denetimi Seguridad Social tarafında INSS'e (denizcilerde Instituto Social de la Marina'ya) aittir; koşulları sağlıyorsan bölgenin sağlık idaresi sana bireysel sağlık kartını (tarjeta sanitaria individual) verir.
İkamet iznin yoksa belgeyi bölgenin sağlık servisinden al: başvuru ve belge usulünü özerk bölgeler belirler, geçici kalış durumundaki yabancılar için ayrıca bölgenin sosyal hizmetlerinden olumlu bir ön rapor gerekir.
Sigortalı olarak kabul edilirsen eşin (ya da benzer ilişkideki kişi; resmî kayıt gerekir) ile bakımındaki çocukların ve benzer kişilerin (descendientes y personas asimiladas) yararlanıcı olarak kapsanabilir; çocuklar 26 yaşın altında ya da %65 ve üzeri engelli olmalıdır.
Sigortalı ya da yararlanıcı değilsen ve başka bir yoldan kamu sağlık korumasına erişimin yoksa convenio especial ile ücret karşılığı kamu sistemine girebilirsin; sözleşmeyi özerk bölgenin sağlık servisi yönetir, temel koşulları Orden SSI/1475/2014'te belirlenmiştir.</t>
        </is>
      </c>
      <c r="P209" s="29" t="inlineStr">
        <is>
          <t>Oturum izni (yasal ikamet için)
Empadronamiento belgesi (mutat ikamet için)</t>
        </is>
      </c>
      <c r="Q209" s="29" t="n"/>
      <c r="R209" s="29" t="n"/>
      <c r="S209" s="29" t="inlineStr">
        <is>
          <t>AB koordinasyon yönetmelikleri ya da ikili sosyal güvenlik sözleşmeleri uyarınca İspanya'da sağlık hakkı olanlar, İspanya'da ikamet ettikleri sürece ya da İspanya'ya geçici gelişlerinde, bu düzenlemelerde yazılan biçim ve koşullarla hak sahibidir. Yararlanıcı sayılacak eş ve çocukların İspanya'da yasal ve mutat ikamet etmesi (ilgili uluslararası norm aksini öngörmedikçe) ve kendilerinin çalışan, emekli ya da düzenli ödenek alan sigortalı olmaması gerekir.</t>
        </is>
      </c>
      <c r="T209" s="29" t="n"/>
    </row>
    <row r="210" ht="54" customHeight="1">
      <c r="A210" s="29" t="inlineStr">
        <is>
          <t>malaga:saglik-sigortasi-sarti-ve-convenio-especial</t>
        </is>
      </c>
      <c r="B210" s="29" t="inlineStr">
        <is>
          <t>malaga</t>
        </is>
      </c>
      <c r="C210" s="29" t="inlineStr">
        <is>
          <t>saglik-sigortasi-sarti-ve-convenio-especial</t>
        </is>
      </c>
      <c r="D210" s="29" t="inlineStr">
        <is>
          <t>İspanya'da vize ve oturum için sağlık sigortası gerekir mi, kamu sistemine convenio especial ile nasıl girilir?</t>
        </is>
      </c>
      <c r="E210" s="29" t="inlineStr">
        <is>
          <t>Sigorta şartı vize ve oturum türüne bağlıdır; kamu güvencesi olmayanlar için convenio especial aylık 60 € (65 yaş ve üstü 157 €)</t>
        </is>
      </c>
      <c r="F210" s="29" t="inlineStr">
        <is>
          <t>Sigorta şartı vize ve oturum türüne bağlıdır; Real Decreto 1155/2024'e göre uzun süreli öğrenci, öğrenci hareketliliği, gönüllülük ya da eğitim faaliyeti vizesinde (art. 35) İspanya'da faaliyet izni olan bir sigortacıdan, kamu sağlık sisteminin temel ortak hizmet paketine benzer teminatlı ve planlanan kalış süresince geçerli bir sağlık sigortası, çalışmaksızın geçici oturumda (art. 61) ise bir sağlık sigortası şarttır. Kamu güvencesi olmayanlar için convenio especial var: Sanidad Bakanlığı sayfasına göre kamu sağlık sistemine (SNS) ücretle katılım sağlar, 65 yaşın altında aylık 60 €, 65 yaş ve üstünde aylık 157 € tutar (sayfada yıl yok, güncel tarife). Koşullar başvurudan hemen önce en az bir yıl kesintisiz fiilî ikamet, başvuru anında İspanya'da empadronamiento ve başka bir yoldan kamu sağlık güvencesinin bulunmamasıdır. Sözleşme, empadronamiento'nun bulunduğu özerk bölgenin sağlık servisiyle (Ceuta ve Melilla'da INGESA ile) imzalanır. Sayfa convenio especial'i, ikamet için sağlık sigortası yaptırmak zorunda olan ekonomik olarak aktif olmayan yabancılara yönelik olarak tanımlıyor; dayanak olarak hem AB/AEA vatandaşlarının ikametini düzenleyen RD 240/2007'yi hem de AB dışı yabancılar için çıkarılan yönetmeliği (RD 557/2011) gösteriyor.</t>
        </is>
      </c>
      <c r="G210" s="29" t="inlineStr">
        <is>
          <t>sağlık sigortası, convenio especial, öğrenci vizesi, residencia no lucrativa, seguro de enfermedad, kamu sağlık sistemi, SNS, INGESA</t>
        </is>
      </c>
      <c r="H210" s="29" t="inlineStr">
        <is>
          <t>before;planning;new</t>
        </is>
      </c>
      <c r="I210" s="29" t="inlineStr">
        <is>
          <t>malaga:kaynak:005;malaga:kaynak:082</t>
        </is>
      </c>
      <c r="J210" s="49" t="n">
        <v>46319</v>
      </c>
      <c r="K210" s="51" t="n">
        <v>9060</v>
      </c>
      <c r="L210" s="29" t="inlineStr">
        <is>
          <t>Hayır</t>
        </is>
      </c>
      <c r="M210" s="29" t="inlineStr">
        <is>
          <t>Taslak</t>
        </is>
      </c>
      <c r="N210" s="29" t="inlineStr">
        <is>
          <t>malaga:saglik</t>
        </is>
      </c>
      <c r="O210" s="29" t="inlineStr">
        <is>
          <t>Uzun süreli öğrenci vizesi için başvuruyorsan İspanya'da faaliyet izni olan bir sigortacıdan, kamu sistemine benzer teminatlı ve kalış süresince geçerli bir sağlık sigortası yaptır.
Çalışmaksızın geçici oturum için başvuruyorsan başvurunda bir sağlık sigortasına sahip olduğunu göster.
Kamu sağlık güvencen yoksa ve en az bir yıldır kesintisiz İspanya'da yaşıyorsan, empadronamiento'nun bulunduğu bölgenin sağlık servisinden convenio especial'i imzala.
Başvuruya kimlik belgeni, bir yıllık ikametini gösteren belgeyi ve empadronamiento belgeni ekle.
AB sosyal güvenlik yönetmeliklerinin uygulandığı ülkelerden ya da ikili sözleşmesi olan ülkelerden (Andorra ve Şili) geliyorsan, sağlık güvencenin İspanya'ya aktarılamadığını gösteren beyan ya da belge de ekle; sayfadaki ülke listesinde Türkiye yok; bu yalnız bu sayfadaki listeye ilişkin bir tespittir.</t>
        </is>
      </c>
      <c r="P210" s="29" t="inlineStr">
        <is>
          <t>Kimlik belgesi: kimlik kartı, NIE, pasaport ya da oturum kartı
Bir yıllık ikameti gösteren belge: Policía'nın verdiği ikamet belgesi (certificado de residente) ya da belediyenin verdiği empadronamiento belgesi
Empadronamiento belgesi (belediye nüfus kaydı)</t>
        </is>
      </c>
      <c r="Q210" s="29" t="n"/>
      <c r="R210" s="29" t="inlineStr">
        <is>
          <t>65 yaşın altında aylık 60 €; 65 yaş ve üstünde aylık 157 € (Sanidad Bakanlığı sayfasındaki güncel tarife; sayfada yıl yok).</t>
        </is>
      </c>
      <c r="S210" s="29" t="inlineStr">
        <is>
          <t>Convenio especial kamu sistemindeki tüm temel hizmetleri katkı payı ve bekleme süresi olmadan kapsar; ancak ayakta ilaç, ayakta ortopedik ürün, diyet ürünleri ve acil olmayan sağlık nakli bedelinin %100'ü hastaya aittir.</t>
        </is>
      </c>
      <c r="T210" s="29" t="n"/>
    </row>
    <row r="211" ht="54" customHeight="1">
      <c r="A211" s="29" t="inlineStr">
        <is>
          <t>malaga:recete-ilac-katilim-payi-copago</t>
        </is>
      </c>
      <c r="B211" s="29" t="inlineStr">
        <is>
          <t>malaga</t>
        </is>
      </c>
      <c r="C211" s="29" t="inlineStr">
        <is>
          <t>recete-ilac-katilim-payi-copago</t>
        </is>
      </c>
      <c r="D211" s="29" t="inlineStr">
        <is>
          <t>İspanya'da reçeteli ilaçların ne kadarını ödersin? Katılım payı (copago) oranları ve aylık tavanlar</t>
        </is>
      </c>
      <c r="E211" s="29" t="inlineStr">
        <is>
          <t>Art. 102'nin 28/05/2026'dan beri yürürlükteki metnine göre oran statü ve gelire bağlı: %40, %45, %50, %60; Seguridad Social emeklilerinde %10</t>
        </is>
      </c>
      <c r="F211" s="29" t="inlineStr">
        <is>
          <t>Reçeteli ilaçlarda halka satış fiyatının (PVP) bir yüzdesini eczanede kendin ödersin: BOE'deki konsolide metinde art. 102'nin 28/05/2026'dan beri yürürlükte olan redaksiyonuna göre aktif sigortalılarda (asegurado activo) ve yararlanıcılarında oran gelire bağlı olarak %40, %45, %50 ya da %60, Seguridad Social emeklilerinde ve yararlanıcılarında %10'dur. Aktif sigortalılarda gelir 18.000 € ve üzeri, 60.000 € altıysa %45, 60.000 € ve üzeri, 100.000 € altıysa %50, 100.000 € ve üzeriyse %60 ödenir; bu gruplara girmeyen aktif sigortalılar %40 öder. Emeklilerde de gelir 100.000 € ve üzeriyse oran %60'tır. Gelir, IRPF beyanındaki vergilendirilebilir genel ve tasarruf matrahı (base liquidable general y del ahorro) kutusundaki tutardır. İkamet izni olmayan yabancılarda (art. 3 ter) oran %40'tır. Oranların yanında aylık tavanlar vardır; tavanı aşan tutarı ilgili özerk bölge en geç altı ayda bir iade eder. Bu oranlar ve tavanlar yalnız reçeteli (ayakta) ilaç içindir. Temel ortak hizmet paketi tamamen kamu finansmanıyla karşılanır; ilaç, ortopedik ürün, diyet ürünleri ve acil olmayan sağlık nakli ise ek (suplementaria) pakettedir ve kullanıcı katkısına tabidir.</t>
        </is>
      </c>
      <c r="G211" s="29" t="inlineStr">
        <is>
          <t>ilaç katılım payı, copago, aportación farmacéutica, reçeteli ilaç, PVP, aylık tavan, eczane, Real Decreto Legislativo 1/2015</t>
        </is>
      </c>
      <c r="H211" s="29" t="inlineStr">
        <is>
          <t>settled</t>
        </is>
      </c>
      <c r="I211" s="29" t="inlineStr">
        <is>
          <t>malaga:kaynak:083;malaga:kaynak:084</t>
        </is>
      </c>
      <c r="J211" s="49" t="n">
        <v>46319</v>
      </c>
      <c r="K211" s="51" t="n">
        <v>9061</v>
      </c>
      <c r="L211" s="29" t="inlineStr">
        <is>
          <t>Hayır</t>
        </is>
      </c>
      <c r="M211" s="29" t="inlineStr">
        <is>
          <t>Taslak</t>
        </is>
      </c>
      <c r="N211" s="29" t="inlineStr">
        <is>
          <t>malaga:saglik</t>
        </is>
      </c>
      <c r="O211" s="29" t="inlineStr">
        <is>
          <t>Reçeteni (resmî reçete ya da hastane dağıtım emri) eczaneye götür; katılım payı yalnız eczaneden bu belgeyle verilen ilaçlarda uygulanır.
Payını ilaç teslim edilirken öde; magistral formül, kişiye özel aşı ve benzeri kişiselleştirilmiş ürünlerde sipariş anında istenebilir.
Sağlık Sistemi hekimi ya da eczane isterse, kullandığın ödeme biçimine (katılım oranına) hakkın olduğunu göstermek zorundasın (art. 101.3).
Aylık tavanı aştıysan fazla ödediğin tutar için ilgili özerk bölgenin iadesini bekle; iade en geç altı ayda bir yapılır.</t>
        </is>
      </c>
      <c r="P211" s="29" t="n"/>
      <c r="Q211" s="29" t="n"/>
      <c r="R211" s="29" t="inlineStr">
        <is>
          <t>Oranlar: aktif sigortalılar gelire göre %40 / %45 / %50 / %60, Seguridad Social emeklileri %10 (geliri 100.000 € ve üzeri olanlar %60), ikamet izni olmayan yabancılar %40. Azaltılmış katılımlı ATC gruplarındaki ilaçlarda PVP'nin %10'u, en çok 4,98 €. Aylık tavan, aktif sigortalılarda gelire göre: 9.000 € altı 8,23 €; 9.000 € ve üzeri, 18.000 € altı 18,52 €; 18.000 € ve üzeri, 35.000 € altı 61,75 € (aktif sigortalılar için art. 102'de bundan yüksek gelir dilimi için tavan yazılı değildir). Emeklilerde: gelir 18.000 € altıysa 8,23 € (aşağıdaki gruplara girmeyenlerde de); 18.000 € ve üzeri, 60.000 € altı 13,37 €; 60.000 € ve üzeri, 100.000 € altı 18,52 €; 100.000 € ve üzeri 61,75 €. İkamet izni olmayan yabancılarda aylık tavan 8,23 €.</t>
        </is>
      </c>
      <c r="S211" s="29" t="inlineStr">
        <is>
          <t>Katkıdan muaf olanlar arasında iş kazası ve meslek hastalığı tedavileri, asgari yaşam geliri (ingreso mínimo vital) alanlar, katkısız emekli aylığı alanlar ve %33 ve üzeri engelli çocuklar vardır. Mutualidad General de Funcionarios Civiles del Estado, Mutualidad General Judicial ve Instituto Social de las Fuerzas Armadas kapsamındakilerde genel oran %30'dur.</t>
        </is>
      </c>
      <c r="T211" s="29" t="n"/>
    </row>
    <row r="212" ht="54" customHeight="1">
      <c r="A212" s="29" t="inlineStr">
        <is>
          <t>malaga:acil-durumda-112</t>
        </is>
      </c>
      <c r="B212" s="29" t="inlineStr">
        <is>
          <t>malaga</t>
        </is>
      </c>
      <c r="C212" s="29" t="inlineStr">
        <is>
          <t>acil-durumda-112</t>
        </is>
      </c>
      <c r="D212" s="29" t="inlineStr">
        <is>
          <t>İspanya'da acil durumda hangi numara aranır, arama ücretli mi?</t>
        </is>
      </c>
      <c r="E212" s="29" t="inlineStr">
        <is>
          <t>112 Avrupa ortak acil çağrı numarasıdır, arama ücretsizdir; çağrı bulunduğun bölgedeki merkeze yönlendirilir</t>
        </is>
      </c>
      <c r="F212" s="29" t="inlineStr">
        <is>
          <t>112'yi ara: Avrupa ortak (tek Avrupa) acil çağrı numarasıdır, İspanya'da ulusal düzeyde kullanılır ve aramalar ücretsizdir (Real Decreto 903/1997); idarelerin kullandığı başka acil çağrı hizmetleri de 112 ile birlikte sürebilir. Bu numaradan acil sağlık hizmetleri, yangın söndürme ve kurtarma, vatandaş güvenliği ve sivil koruma hizmetlerinden yardım isteyebilirsin. Çağrı, arama yapılan coğrafi alana göre ilgili çağrı karşılama merkezine yönlendirilir; bu merkezleri özerk bölgeler kurar ve işletir.</t>
        </is>
      </c>
      <c r="G212" s="29" t="inlineStr">
        <is>
          <t>112, acil durum, acil çağrı numarası, ambulans, itfaiye, sivil koruma, ücretsiz arama</t>
        </is>
      </c>
      <c r="H212" s="29" t="inlineStr">
        <is>
          <t>new;settled</t>
        </is>
      </c>
      <c r="I212" s="29" t="inlineStr">
        <is>
          <t>malaga:kaynak:085</t>
        </is>
      </c>
      <c r="J212" s="49" t="n">
        <v>46319</v>
      </c>
      <c r="K212" s="51" t="n">
        <v>9062</v>
      </c>
      <c r="L212" s="29" t="inlineStr">
        <is>
          <t>Hayır</t>
        </is>
      </c>
      <c r="M212" s="29" t="inlineStr">
        <is>
          <t>Taslak</t>
        </is>
      </c>
      <c r="N212" s="29" t="inlineStr">
        <is>
          <t>malaga:saglik</t>
        </is>
      </c>
      <c r="O212" s="29" t="inlineStr">
        <is>
          <t>Sağlık acili, yangın ve kurtarma, vatandaş güvenliği ya da sivil koruma yardımı gerektiren acil bir durumda 112'yi çevir.
Aramanın ücretsiz olduğunu bil: trafik maliyetini şebeke operatörleri üstlenir.
Çağrın bulunduğun yerin coğrafi alanına göre ilgili merkeze düşer; merkezi özerk bölge işletir.</t>
        </is>
      </c>
      <c r="P212" s="29" t="n"/>
      <c r="Q212" s="29" t="n"/>
      <c r="R212" s="29" t="inlineStr">
        <is>
          <t>Arama ücretsizdir.</t>
        </is>
      </c>
      <c r="S212" s="29" t="n"/>
      <c r="T212" s="29" t="n"/>
    </row>
    <row r="213" ht="54" customHeight="1">
      <c r="A213" s="29" t="inlineStr">
        <is>
          <t>malaga:ulusal-asi-takvimi</t>
        </is>
      </c>
      <c r="B213" s="29" t="inlineStr">
        <is>
          <t>malaga</t>
        </is>
      </c>
      <c r="C213" s="29" t="inlineStr">
        <is>
          <t>ulusal-asi-takvimi</t>
        </is>
      </c>
      <c r="D213" s="29" t="inlineStr">
        <is>
          <t>İspanya'da ulusal aşı takvimi var mı, aşıları kim uygular?</t>
        </is>
      </c>
      <c r="E213" s="29" t="inlineStr">
        <is>
          <t>Sağlık Bakanlığı 2026 için yaşam boyu ortak aşı takvimini yayımlıyor; takvimin uygulanması özerk bölgelerin yetkisindedir</t>
        </is>
      </c>
      <c r="F213" s="29" t="inlineStr">
        <is>
          <t>Evet: İspanya'da Ulusal Sağlık Sistemi Bölgelerarası Konseyi'nin (CISNS) yaşam boyu ortak aşı takvimi var; Sağlık Bakanlığı sayfası bunu 2026 için yayımlıyor ve takvim yaşa göre tüm nüfusa önerilen aşıları içeriyor. Takvimi CISNS'de tüm özerk bölgeler ve Sağlık Bakanlığı birlikte uyumlaştırır; ancak takvimin kendi bölgende kurulması, uygulanması ve değerlendirilmesi özerk bölgelerin yetkisindedir. Aynı sayfada risk gruplarına yönelik çocuk ve yetişkin takvimleri, hızlandırılmış takvim ve özerk bölgelerin kendi takvimleri için ayrı bağlantılar bulunur.</t>
        </is>
      </c>
      <c r="G213" s="29" t="inlineStr">
        <is>
          <t>aşı takvimi, calendario de vacunación, CISNS, yaşam boyu aşı, risk grupları, özerk bölge, aşılama</t>
        </is>
      </c>
      <c r="H213" s="29" t="inlineStr">
        <is>
          <t>settled</t>
        </is>
      </c>
      <c r="I213" s="29" t="inlineStr">
        <is>
          <t>malaga:kaynak:086</t>
        </is>
      </c>
      <c r="J213" s="49" t="n">
        <v>46319</v>
      </c>
      <c r="K213" s="51" t="n">
        <v>9063</v>
      </c>
      <c r="L213" s="29" t="inlineStr">
        <is>
          <t>Hayır</t>
        </is>
      </c>
      <c r="M213" s="29" t="inlineStr">
        <is>
          <t>Taslak</t>
        </is>
      </c>
      <c r="N213" s="29" t="inlineStr">
        <is>
          <t>malaga:saglik</t>
        </is>
      </c>
      <c r="O213" s="29" t="inlineStr">
        <is>
          <t>2026 yaşam boyu aşı takvimini Sanidad Bakanlığı sayfasındaki "Calendario de vacunación a lo largo de toda la vida" bağlantısından aç.
Risk grubundaysan sayfadaki risk grupları takvimine (çocuklar için ya da yetişkinler için) bak.
Sayfada ayrıca hızlandırılmış takvim (calendario acelerado) bağlantısı var; Ocak 2025'te güncellenmiş.
Kendi bölgenin takvimi için sayfadaki "Calendarios de CCAA" bağlantısını kullan; takvimi bölgenin kendisi uygular.</t>
        </is>
      </c>
      <c r="P213" s="29" t="n"/>
      <c r="Q213" s="29" t="inlineStr">
        <is>
          <t>Takvim 2026 için yayımlanmıştır.</t>
        </is>
      </c>
      <c r="R213" s="29" t="n"/>
      <c r="S213" s="29" t="n"/>
      <c r="T213" s="29" t="n"/>
    </row>
    <row r="214" ht="54" customHeight="1">
      <c r="A214" s="29" t="inlineStr">
        <is>
          <t>malaga:hamilelik-dogum-ve-cocuk-sagligi-haklari</t>
        </is>
      </c>
      <c r="B214" s="29" t="inlineStr">
        <is>
          <t>malaga</t>
        </is>
      </c>
      <c r="C214" s="29" t="inlineStr">
        <is>
          <t>hamilelik-dogum-ve-cocuk-sagligi-haklari</t>
        </is>
      </c>
      <c r="D214" s="29" t="inlineStr">
        <is>
          <t>İspanya'da hamilelik, doğum ve çocuk sağlığı için kamu sistemi hangi hizmetleri sunar, doğum ödeneği kime verilir?</t>
        </is>
      </c>
      <c r="E214" s="29" t="inlineStr">
        <is>
          <t>Gebelik takibi, doğum sonrası ilk ay ziyareti ve çocuk sağlığı ortak hizmet paketindedir; doğum ve bakım ödeneği çalışanlara Seguridad Social'dan verilir</t>
        </is>
      </c>
      <c r="F214" s="29" t="inlineStr">
        <is>
          <t>Gebelik takibi, doğumdan sonraki ilk ay ziyareti ve çocuk sağlığı hizmetleri kamu sağlık sisteminin (SNS) ortak hizmet paketinde yer alır; doğum ve bakım ödeneği (prestación por nacimiento y cuidado de menor) ise Seguridad Social'ın çalışanlara verdiği ayrı bir ödenektir. Birinci basamakta hamile kadın ilk trimesterde sisteme alınır ve riskli gebelikler saptanır, normal gebelik uzman bakımla koordineli izlenir, emzirme ve doğuma hazırlık dahil anne eğitimi verilir ve doğumdan sonraki ilk ayda anne ile yenidoğanın durumunu değerlendiren lohusa ziyareti yapılır; hizmetin düzeni ilgili bölgenin sağlık servisine göre değişir. Çocuklar için büyüme ve psikomotor gelişim değerlendirmesi, ani bebek ölümünün önlenmesi, yenidoğan metabolizma hastalıkları taraması ile işitme ve görme sorunlarının erken saptanması ortak paketin parçasıdır. Doğum ve bakım izninin süresi 31/07/2025'te yürürlüğe giren Real Decreto-ley 9/2025 ile uzatıldı; ödenek düzenleyici matrahın %100'üdür, ücretli ya da serbest çalışan, cinsiyetten bağımsız sigortalılara verilir; sigortalı (alta ya da alta benzeri durumda) olmak ve doğum tarihindeki yaşa göre asgari prim süresini tamamlamak gerekir.</t>
        </is>
      </c>
      <c r="G214" s="29" t="inlineStr">
        <is>
          <t>hamilelik, doğum, lohusa, çocuk sağlığı, doğum ödeneği, nacimiento y cuidado de menor, prenatal tarama, Seguridad Social</t>
        </is>
      </c>
      <c r="H214" s="29" t="inlineStr">
        <is>
          <t>settled</t>
        </is>
      </c>
      <c r="I214" s="29" t="inlineStr">
        <is>
          <t>malaga:kaynak:087;malaga:kaynak:088</t>
        </is>
      </c>
      <c r="J214" s="49" t="n">
        <v>46319</v>
      </c>
      <c r="K214" s="51" t="n">
        <v>9064</v>
      </c>
      <c r="L214" s="29" t="inlineStr">
        <is>
          <t>Hayır</t>
        </is>
      </c>
      <c r="M214" s="29" t="inlineStr">
        <is>
          <t>Taslak</t>
        </is>
      </c>
      <c r="N214" s="29" t="inlineStr">
        <is>
          <t>malaga:saglik</t>
        </is>
      </c>
      <c r="O214" s="29" t="inlineStr">
        <is>
          <t>Hamileliğini öğrenince ilk trimesterde birinci basamak sağlık hizmetine başvur; gebelik takibi ve riskli gebelik taraması burada başlar.
Takipte sifiliz, HIV, hepatit B ve B grubu streptokok taramalarını iste; bunların tüm hamile kadınlara önerilmesi gerekir.
Gebelikte en az bir diş hekimi muayenesi yaptır; mümkünse ilk trimesterde.
Doğumdan sonraki ilk ay içinde lohusa ziyaretine git; anne ve yenidoğanın sağlık durumu değerlendirilir.
Doğum ve bakım ödeneği için Seguridad Social'da sigortalı (alta) olmalı ve doğum tarihindeki yaşına göre asgari prim süresini tamamlamış olmalısın: 21 yaşın altında prim süresi aranmaz; 21-25 yaşta son 7 yıl içinde 90 gün ya da yaşam boyu 180 gün; 26 yaş ve üstünde son 7 yıl içinde 180 gün ya da yaşam boyu 360 gün.
Diğer koşulları sağlayıp asgari prim süresini tamamlayamıyorsan, IPREM'in %100'üne denk gelen (matrah daha düşükse matrahın tutarındaki) prim şartsız ödeneğe (subsidio no contributivo) başvurabilirsin.
Kararlar ve bildirimler yalnız elektronik yoldan gönderilir; Seguridad Social'ın elektronik bildirim hizmetini (Notificaciones telemáticas) takip et.</t>
        </is>
      </c>
      <c r="P214" s="29" t="n"/>
      <c r="Q214" s="29" t="n"/>
      <c r="R214" s="29" t="inlineStr">
        <is>
          <t>Doğum ve bakım ödeneği düzenleyici matrahın %100'üdür; prim şartsız ödenek IPREM'in %100'ü ya da matrah daha düşükse matrahtır.</t>
        </is>
      </c>
      <c r="S214" s="29" t="inlineStr">
        <is>
          <t>Prim şartlı ödeneğin süresi, İşçi Statüsü (ET) art. 48.4, 5 ve 6 uyarınca kullanılan dinlenme ve izin dönemleri kadardır; prim şartsız ödenek (subsidio no contributivo) ise zorunlu dinlenme süresi kadardır; süre en çok 14 takvim günü artabilir.</t>
        </is>
      </c>
      <c r="T214" s="29" t="n"/>
    </row>
    <row r="215" ht="54" customHeight="1">
      <c r="A215" s="29" t="inlineStr">
        <is>
          <t>malaga:ruh-sagligi-ve-yasli-bakimi-dependencia</t>
        </is>
      </c>
      <c r="B215" s="29" t="inlineStr">
        <is>
          <t>malaga</t>
        </is>
      </c>
      <c r="C215" s="29" t="inlineStr">
        <is>
          <t>ruh-sagligi-ve-yasli-bakimi-dependencia</t>
        </is>
      </c>
      <c r="D215" s="29" t="inlineStr">
        <is>
          <t>İspanya'da ruh sağlığı bakımı ve yaşlı-bağımlı bakımı (dependencia) kamu sistemi kapsamında mı, kimler yararlanır?</t>
        </is>
      </c>
      <c r="E215" s="29" t="inlineStr">
        <is>
          <t>Ruh sağlığı ortak hizmet paketindedir; bakım desteği (SAAD) için 23/10/2026 itibarıyla ayrı koşullar geçerlidir ve uygulama özerk bölgelerle birliktedir</t>
        </is>
      </c>
      <c r="F215" s="29" t="inlineStr">
        <is>
          <t>Evet: ruh sağlığı bakımı Ulusal Sağlık Sistemi'nin ortak hizmet paketindedir; yaşlı ve bağımlı kişilerin bakımı ise Ley 39/2006 ile kurulan ayrı bir sistem (SAAD) üzerinden desteklenir ve hak sahipliği ayrı koşullara bağlıdır. Ruh sağlığı bakımı ruhsal bozuklukların tanı ve klinik takibini, ilaç tedavisini, bireysel, grup ve aile psikoterapilerini (psikanaliz ve hipnoz hariç), elektrokonvülsif tedaviyi ve gerekirse hastaneye yatışı kapsar; birinci basamakta uyum, kaygı ve depresif bozuklukların tanı ve tedavisi yapılır, gerekirse ruh sağlığı servislerine sevk edilir. 23/10/2026 itibarıyla (Ley 4/2026 ile değişen güncel metne göre) Ley 39/2006 art. 5.1, hak sahipliğini şu şartları taşıyan İspanyol vatandaşlarına tanır: bağımlılık derecelerinden birinde bulunmak ve İspanya'da beş yıl yaşamış olmak (son iki yıl başvurudan hemen önce). Asilo başvurucuları (ilgili belgeyi sunmuşlarsa), asilo ya da ikincil koruma sahipleri ve geçici koruma yararlanıcıları için İspanyol vatandaşlığı ve beş yıllık ikamet şartı aranmaz. Art. 5.2'ye göre yukarıdaki şartları taşıyıp İspanyol vatandaşı olmayanlar Ley Orgánica 4/2000'e, uluslararası antlaşmalara ve menşe ülkeyle yapılan sözleşmelere tabidir; yani yabancının durumu yalnız asilo ve geçici korumayla sınırlı değildir, koşulları bu düzenlemeler belirler. Bu kaynak Türk vatandaşları için ayrı bir hüküm içermez. Sistemi Devlet ve özerk bölgeler birlikte yürütür: Devlet ülkenin her yerinde geçerli ortak bir asgari hak içeriğini garanti eder, bağımlı kişi yaşadığı bölgeden bağımsız olarak, bu Ley'de öngörülen hizmet ve ödeneklere Ley'de yazılı koşullarla eşit koşullarda erişim hakkına sahiptir; özerk bölgeler isterlerse ek bir koruma düzeyi geliştirebilir, bu yüzden ek hizmetler bölgeye göre değişir.</t>
        </is>
      </c>
      <c r="G215" s="29" t="inlineStr">
        <is>
          <t>ruh sağlığı, psikoterapi, bağımlılık, dependencia, Ley 39/2006, SAAD, yaşlı bakımı, bakım veren, asilo</t>
        </is>
      </c>
      <c r="H215" s="29" t="inlineStr">
        <is>
          <t>settled</t>
        </is>
      </c>
      <c r="I215" s="29" t="inlineStr">
        <is>
          <t>malaga:kaynak:087;malaga:kaynak:089</t>
        </is>
      </c>
      <c r="J215" s="49" t="n">
        <v>46319</v>
      </c>
      <c r="K215" s="51" t="n">
        <v>9065</v>
      </c>
      <c r="L215" s="29" t="inlineStr">
        <is>
          <t>Hayır</t>
        </is>
      </c>
      <c r="M215" s="29" t="inlineStr">
        <is>
          <t>Taslak</t>
        </is>
      </c>
      <c r="N215" s="29" t="inlineStr">
        <is>
          <t>malaga:saglik</t>
        </is>
      </c>
      <c r="O215" s="29" t="inlineStr">
        <is>
          <t>Ruh sağlığı sorunları için önce birinci basamak sağlık hizmetine başvur: uyum, kaygı ve depresif bozuklukların tanı ve tedavisi burada yapılır, gerekirse ruh sağlığı servislerine sevk edilirsin.
Alkol ve kumar gibi bağımlılıklar için de ortak pakette tanı ve tedavi vardır.
Çocuk ve ergenlerin ruh sağlığı sorunlarında (otizm ve yeme bozuklukları dahil) ayakta tedavi, gündüz hastanesinde (hospital de día) psikoterapötik müdahaleler ve gerektiğinde yatış kapsanır.
Bakıma muhtaç bir yakının için hak sahipliği koşullarına (bağımlılık derecesi, İspanya'da beş yıl ikamet; İspanyol vatandaşı değilsen art. 5.2 uyarınca Ley Orgánica 4/2000, uluslararası antlaşmalar ve menşe ülke sözleşmeleri; asilo ve geçici korumada yukarıdaki istisnalar) uyup uymadığını belirle.
Yakınına evde bakıyorsan ve aile ortamında bakım için ekonomik ödeneği tanıyan kararda ana bakım veren olarak belirtildiysen, istihdam politikasında öncelikli grup olma, bakım sorumluluğunu çalışma hayatıyla uyumlaştıran önlemler ve Seguridad Social'a dahil olma haklarından yararlanabilirsin.</t>
        </is>
      </c>
      <c r="P215" s="29" t="n"/>
      <c r="Q215" s="29" t="inlineStr">
        <is>
          <t>Ley 39/2006 art. 5'in güncel metni 23/10/2026'dan itibaren yürürlüktedir; bakım veren haklarını düzenleyen art. 4 bis de 23/10/2026'dan itibaren yürürlüktedir.</t>
        </is>
      </c>
      <c r="R215" s="29" t="n"/>
      <c r="S215" s="29" t="inlineStr">
        <is>
          <t>Bakıma muhtaçlık (dependencia), yaşa, engelliliğe ya da hastalığa bağlı olabilen ve günlük yaşam etkinlikleri için başkalarının bakımına ya da önemli desteğe ihtiyaç doğuran kalıcı bir durumdur. 6 yaşından küçük çocuklar için ayrı bir ek hüküm uygulanır.</t>
        </is>
      </c>
      <c r="T215" s="29" t="n"/>
    </row>
    <row r="216" ht="54" customHeight="1">
      <c r="A216" s="29" t="inlineStr">
        <is>
          <t>malaga:endulus-saglik-karti-tarjeta-sanitaria-ve-aile-hekimi-secimi</t>
        </is>
      </c>
      <c r="B216" s="29" t="inlineStr">
        <is>
          <t>malaga</t>
        </is>
      </c>
      <c r="C216" s="29" t="inlineStr">
        <is>
          <t>endulus-saglik-karti-tarjeta-sanitaria-ve-aile-hekimi-secimi</t>
        </is>
      </c>
      <c r="D216" s="29" t="inlineStr">
        <is>
          <t>Endülüs'te kamu sağlık kartı (tarjeta sanitaria) nasıl alınır, aile hekimi ve sağlık merkezi nasıl seçilir?</t>
        </is>
      </c>
      <c r="E216" s="29" t="inlineStr">
        <is>
          <t>İlk kart yalnız sağlık merkezinde başvuruyla alınır; hekim seçimi merkezde ya da Cl@ve gibi güvenli kimlikle çevrim içi yapılır</t>
        </is>
      </c>
      <c r="F216" s="29" t="inlineStr">
        <is>
          <t>İlk tarjeta sanitaria'yı çevrim içi alamazsın; kendi sağlık merkezine (centro de salud) gidip başvurursun. Kartı kamu sağlık kapsamı olan ve Endülüs'te oturan kişi isteyebilir. Merkez, INSS'in verdiği sigortalı ya da yararlanıcı belgesini ve empadronamiento (belediye nüfus kaydı) belgesini ister. Aile hekimini ve merkezi, evinin bağlı olduğu sağlık bölgesindeki (distrito sanitario) profesyoneller arasından seçersin; merkezde başvurursan yanıt 45 günden önce gelir, Cl@ve, dijital sertifika ya da e-DNI'ın varsa seçim ClicSalud+ üzerinden çevrim içi yapılır.</t>
        </is>
      </c>
      <c r="G216" s="29" t="inlineStr">
        <is>
          <t>tarjeta sanitaria, sağlık kartı, centro de salud, aile hekimi, médico de familia, ClicSalud+, empadronamiento, Cl@ve</t>
        </is>
      </c>
      <c r="H216" s="29" t="inlineStr">
        <is>
          <t>new;settled</t>
        </is>
      </c>
      <c r="I216" s="29" t="inlineStr">
        <is>
          <t>malaga:kaynak:128;malaga:kaynak:129</t>
        </is>
      </c>
      <c r="J216" s="49" t="n">
        <v>46319</v>
      </c>
      <c r="K216" s="51" t="n">
        <v>9096</v>
      </c>
      <c r="L216" s="29" t="inlineStr">
        <is>
          <t>Hayır</t>
        </is>
      </c>
      <c r="M216" s="29" t="inlineStr">
        <is>
          <t>Taslak</t>
        </is>
      </c>
      <c r="N216" s="29" t="inlineStr">
        <is>
          <t>malaga:saglik</t>
        </is>
      </c>
      <c r="O216" s="29" t="inlineStr">
        <is>
          <t>Endülüs'teki sağlık merkezini (centro de atención primaria) bul ve ilk başvuru için doğrudan oraya git.
Başvuru formunu (modelo de solicitud) doldur; belgelerin aslını ve fotokopisini götür.
Aile hekimini ve merkezi, evinin bağlı olduğu sağlık bölgesindeki profesyoneller arasından seç; merkezde seçim formunu doldur.
Cl@ve, dijital sertifika ya da e-DNI'ın varsa seçimi ClicSalud+ üzerinden yap, hekim değişikliği hemen işlenir; atama belgesini yazdır ya da kaydet.
Kartla ilgili sorular için merkeze gitmeden önce Salud Responde'yi 955 54 50 60 numarasından arayabilirsin.</t>
        </is>
      </c>
      <c r="P216" s="29" t="inlineStr">
        <is>
          <t>Başvuru formu (modelo de solicitud), doldurulmuş
Başvuru sahibinin DNI'ı
14 yaşından büyük yararlanıcı için DNI; 14 yaşından küçük ya da yeni doğan için Libro de Familia
INSS'in verdiği sigortalı (asegurado) ya da sigortalının yararlanıcısı (beneficiario) olduğunu gösteren belge
Endülüs'te ikameti gösteren empadronamiento belgesi</t>
        </is>
      </c>
      <c r="Q216" s="29" t="inlineStr">
        <is>
          <t>Merkezde yaptığın hekim seçimi başvurusuna 45 günden önce yanıt gelir; çevrim içi seçim hemen işlenir. Hekim değişikliği için son değişiklikten en az üç ay geçmiş olmalı.</t>
        </is>
      </c>
      <c r="R216" s="29" t="n"/>
      <c r="S216" s="29" t="inlineStr">
        <is>
          <t>Hekim talebi, hekimin hasta kotasının dolu olması gibi nedenlerle reddedilebilir. Cl@ve, dijital sertifika ya da e-DNI'ın yoksa hekim ve merkez seçimini yalnızca sağlık merkezinde yapabilirsin; oturmadığın bir yerleşimdeki merkezi seçersen de merkezde yapılır. Hangi merkez ve sağlık bölgesine bağlı olduğun evinin adresine göre değişir. Kartın sanal sürümü (TSV) 26 Mart 2026'dan beri kamu sağlık kapsamı olan ve Endülüs'te oturan kişilere açıktır; Salud Andalucía uygulaması, ClicSalud+ ya da Carpeta ciudadana üzerinden Cl@ve, dijital sertifika veya e-DNI ile etkinleştirilir. TSV için yaş sınırı yoktur, ancak 18 yaş altı için Cl@ve gerekir.</t>
        </is>
      </c>
      <c r="T216" s="29" t="n"/>
    </row>
    <row r="217" ht="54" customHeight="1">
      <c r="A217" s="29" t="inlineStr">
        <is>
          <t>malaga:malaga-aile-hekimi-ve-hemsire-randevusu-clicsalud-salud-responde</t>
        </is>
      </c>
      <c r="B217" s="29" t="inlineStr">
        <is>
          <t>malaga</t>
        </is>
      </c>
      <c r="C217" s="29" t="inlineStr">
        <is>
          <t>malaga-aile-hekimi-ve-hemsire-randevusu-clicsalud-salud-responde</t>
        </is>
      </c>
      <c r="D217" s="29" t="inlineStr">
        <is>
          <t>Málaga'da aile hekimi, pediatri ya da hemşire randevusu nasıl alınır (ClicSalud+, uygulama, telefon)?</t>
        </is>
      </c>
      <c r="E217" s="29" t="inlineStr">
        <is>
          <t>İnternet, uygulama ya da Salud Responde telefonu 955 54 50 60 (7/24); merkezde Unidad de Atención a la Ciudadanía</t>
        </is>
      </c>
      <c r="F217" s="29" t="inlineStr">
        <is>
          <t>Sağlık merkezi (centro de salud) randevusunu üç uzaktan yoldan alabilirsin: ClicSalud+ internet sitesi, 'Salud Andalucía' ya da 'Salud Responde' uygulaması ve günün 24 saati, yılın 365 günü açık olan Salud Responde telefonu (955 54 50 60). Yüz yüze almak için sağlık merkezindeki Unidad de Atención a la Ciudadanía'ya tarjeta sanitaria ya da kimliğinle gidersin. Aile hekimi (medicina de familia), pediatri, 0-15 yaş diş hekimi, hemşire, idari işlemler, çocuk aşıları ve yıllık grip aşısı için randevu alınır. ClicSalud+'ta kişisel bilgilerle ya da dijital sertifika, e-DNI veya Cl@ve ile girilir. Aynı anda yalnız bir talep üzerine randevu (cita a demanda) tutabilirsin; yenisini almak için önce eskisini iptal edersin.</t>
        </is>
      </c>
      <c r="G217" s="29" t="inlineStr">
        <is>
          <t>randevu, cita previa, centro de salud, ClicSalud+, Salud Andalucía, Salud Responde, aile hekimi, médico de familia, 955 54 50 60</t>
        </is>
      </c>
      <c r="H217" s="29" t="inlineStr">
        <is>
          <t>new;settled</t>
        </is>
      </c>
      <c r="I217" s="29" t="inlineStr">
        <is>
          <t>malaga:kaynak:192;malaga:kaynak:193</t>
        </is>
      </c>
      <c r="J217" s="49" t="n">
        <v>46322</v>
      </c>
      <c r="K217" s="51" t="n">
        <v>700</v>
      </c>
      <c r="L217" s="29" t="inlineStr">
        <is>
          <t>Evet</t>
        </is>
      </c>
      <c r="M217" s="29" t="inlineStr">
        <is>
          <t>Taslak</t>
        </is>
      </c>
      <c r="N217" s="29" t="inlineStr">
        <is>
          <t>malaga:saglik</t>
        </is>
      </c>
      <c r="O217" s="29" t="inlineStr">
        <is>
          <t>ClicSalud+'ta kişisel bilgilerinle ya da dijital sertifika, e-DNI veya Cl@ve ile giriş yap; sistem sana uygun gün ve saatleri gösterir. Randevuyu yazdırabilir, değiştirebilir veya iptal edebilirsin.
Telefonla almak için Salud Responde'yi ara: 955 54 50 60 (günün 24 saati, haftanın her günü).
Uygulamayla almak için 'Salud Andalucía' ya da 'Salud Responde' uygulamasını iOS veya Android için indir.
Yüz yüze almak için sağlık merkezindeki Unidad de Atención a la Ciudadanía'ya tarjeta sanitaria ya da kimlik belgenle git; merkezde her tür randevu alınır.
Bekleyemeyeceğin bir durumda randevu beklemeden sağlık merkezine git: ertelenemez konsültasyonlar (atención no demorable) merkezin konsültasyon saatlerinde verilir.
Kronik ilaç yenileme veya tetkik sonuçları gibi gelmeyi gerektirmeyen işler için merkezin telefon konsültasyonundan yararlanabilirsin: hekim, hemşire ya da pediatri uzmanı seni arar, elektronik dosyana bakarak ilacı yazabilir ya da yenileyebilir.</t>
        </is>
      </c>
      <c r="P217" s="29" t="inlineStr">
        <is>
          <t>Tarjeta sanitaria ya da kimlik belgesi (merkezde randevu alırken)</t>
        </is>
      </c>
      <c r="Q217" s="29" t="inlineStr">
        <is>
          <t>Salud Responde telefonu günün 24 saati, haftanın 7 günü, yılın 365 günü açıktır.</t>
        </is>
      </c>
      <c r="R217" s="29" t="n"/>
      <c r="S217" s="29" t="n"/>
      <c r="T217" s="29" t="n"/>
    </row>
    <row r="218" ht="54" customHeight="1">
      <c r="A218" s="29" t="inlineStr">
        <is>
          <t>malaga:malaga-saglik-merkezleri-telefon-listesi-distrito-sanitario</t>
        </is>
      </c>
      <c r="B218" s="29" t="inlineStr">
        <is>
          <t>malaga</t>
        </is>
      </c>
      <c r="C218" s="29" t="inlineStr">
        <is>
          <t>malaga-saglik-merkezleri-telefon-listesi-distrito-sanitario</t>
        </is>
      </c>
      <c r="D218" s="29" t="inlineStr">
        <is>
          <t>Málaga bölgesinde sağlık merkezlerinin (centro de salud) telefon numaraları ve Distrito Sanitario iletişimi</t>
        </is>
      </c>
      <c r="E218" s="29" t="inlineStr">
        <is>
          <t>Distrito Sanitario Málaga-Guadalhorce'nin yayımladığı merkez telefonları, vatandaş hizmetleri hattı 951 031 333</t>
        </is>
      </c>
      <c r="F218" s="29" t="inlineStr">
        <is>
          <t>Distrito Sanitario Málaga-Guadalhorce, "Centros de salud Málaga" listesindeki sağlık merkezlerinin telefon numaralarını yayımlar; aşağıdaki listede 27 merkezin numarası var. Bölgenin genel bilgi ve evrak kayıt (Información / Registro) hattı 951 031 300, vatandaş hizmetleri (Atención al Ciudadano) hattı 951 031 333'tür. Semtindeki merkezi bulup doğrudan arayabilirsin; randevu için ClicSalud+ ve Salud Responde de kullanılabilir.</t>
        </is>
      </c>
      <c r="G218" s="29" t="inlineStr">
        <is>
          <t>sağlık merkezi, centro de salud, telefon, Distrito Sanitario Málaga-Guadalhorce, atención al ciudadano, Málaga mahalle</t>
        </is>
      </c>
      <c r="H218" s="29" t="inlineStr">
        <is>
          <t>new;settled</t>
        </is>
      </c>
      <c r="I218" s="29" t="inlineStr">
        <is>
          <t>malaga:kaynak:199;malaga:kaynak:192</t>
        </is>
      </c>
      <c r="J218" s="49" t="n">
        <v>46322</v>
      </c>
      <c r="K218" s="51" t="n">
        <v>701</v>
      </c>
      <c r="L218" s="29" t="inlineStr">
        <is>
          <t>Hayır</t>
        </is>
      </c>
      <c r="M218" s="29" t="inlineStr">
        <is>
          <t>Taslak</t>
        </is>
      </c>
      <c r="N218" s="29" t="inlineStr">
        <is>
          <t>malaga:saglik</t>
        </is>
      </c>
      <c r="O218" s="29" t="inlineStr">
        <is>
          <t>Semtindeki sağlık merkezini nottaki listeden bul ve doğrudan ara.
Bölgenin vatandaş hizmetleri (Atención al Ciudadano) hattını ara: 951 031 333; genel bilgi ve evrak kayıt (Información / Registro) için 951 031 300.</t>
        </is>
      </c>
      <c r="P218" s="29" t="n"/>
      <c r="Q218" s="29" t="n"/>
      <c r="R218" s="29" t="n"/>
      <c r="S218" s="29" t="inlineStr">
        <is>
          <t>Merkez telefonları: Alameda-Perchel 951 299 402; Campanillas 951 308 667; Capuchinos 951 308 832; Carlinda 951 924 270; Carranque 951 308 637; Churriana 951 308 810; Ciudad Jardín 951 308 770; Colonia Santa Inés 951 924 301; Cruz de Humilladero 951 308 691; Delicias 951 308 731; El Cónsul 951 924 350; El Palo 951 308 432; Huelin 951 308 081; La Luz 951 308 393; La Roca 951 924 900; Limonar 951 308 334; Miraflores-Ángeles 951 308 297; Nueva Málaga 951 308 810; Palma-Palmilla 951 308 266; Portada Alta 951 308 254; Puerta Blanca 951 308 518; Puerto de la Torre 951 308 223; Rincón de la Victoria 951 924 030; San Andrés-Torcal 951 308 963; Tiro Pichón 951 308 028; Trinidad-Cautivo 951 299 448; Victoria 951 308 469. Bölgenin destek birimleri: Unidad de Atención a la Mujer 670 945 129; Unidad de Salud Sexual y Reproductiva 951 308 505 ve 951 924 908; mama birimi (La Roca ve Puerta Blanca) 951 308 527.</t>
        </is>
      </c>
      <c r="T218" s="29" t="n"/>
    </row>
    <row r="219" ht="54" customHeight="1">
      <c r="A219" s="29" t="inlineStr">
        <is>
          <t>malaga:malaga-hospital-universitario-regional-carlos-haya-adres-acil-ve-cita</t>
        </is>
      </c>
      <c r="B219" s="29" t="inlineStr">
        <is>
          <t>malaga</t>
        </is>
      </c>
      <c r="C219" s="29" t="inlineStr">
        <is>
          <t>malaga-hospital-universitario-regional-carlos-haya-adres-acil-ve-cita</t>
        </is>
      </c>
      <c r="D219" s="29" t="inlineStr">
        <is>
          <t>Málaga'da Hospital Universitario Regional (Carlos Haya) nerede, telefonları ve randevu noktaları neler?</t>
        </is>
      </c>
      <c r="E219" s="29" t="inlineStr">
        <is>
          <t>Avda. Carlos Haya s/n, 29010; santral 951 29 00 00; randevu noktaları hafta içi 08:00-15:00 açık</t>
        </is>
      </c>
      <c r="F219" s="29" t="inlineStr">
        <is>
          <t>Hospital Universitario Regional de Málaga, Avda. Carlos Haya s/n, 29010 Málaga adresindeki bölgesel hastanedir. Santral 951 29 00 00, vatandaş hizmetleri 951 29 11 46, acil servis (Urgencias) numarası 951 03 14 37'dir. Hastanenin yatış merkezleri Hospital Civil, Hospital General ve Hospital Materno-Infantil, poliklinik merkezi Centro de Alta Resolución José Estrada (CARE)'dir. Poliklinik ve tetkik randevusunu telefonla, internetten (web ya da uygulama) veya hastanede yüz yüze alabilirsin; Pabellón General, Hospital Civil, Hospital Materno-Infantil ve CARE'deki randevu noktaları hafta içi 08:00-15:00 arası açıktır.</t>
        </is>
      </c>
      <c r="G219" s="29" t="inlineStr">
        <is>
          <t>Hospital Regional de Málaga, Carlos Haya, hastane, acil, urgencias, cita previa, CARE José Estrada, Hospital Civil</t>
        </is>
      </c>
      <c r="H219" s="29" t="inlineStr">
        <is>
          <t>new;settled</t>
        </is>
      </c>
      <c r="I219" s="29" t="inlineStr">
        <is>
          <t>malaga:kaynak:195;malaga:kaynak:198</t>
        </is>
      </c>
      <c r="J219" s="49" t="n">
        <v>46322</v>
      </c>
      <c r="K219" s="51" t="n">
        <v>702</v>
      </c>
      <c r="L219" s="29" t="inlineStr">
        <is>
          <t>Hayır</t>
        </is>
      </c>
      <c r="M219" s="29" t="inlineStr">
        <is>
          <t>Taslak</t>
        </is>
      </c>
      <c r="N219" s="29" t="inlineStr">
        <is>
          <t>malaga:saglik</t>
        </is>
      </c>
      <c r="O219" s="29" t="inlineStr">
        <is>
          <t>Hastane acili (Urgencias) için 951 03 14 37'yi ara ya da Avda. Carlos Haya s/n adresindeki hastaneye git; genel bilgi için santral 951 29 00 00.
Poliklinik ya da radyoloji tetkiki (TAC, rezonans vb.) randevusunu telefonla, internetten (web ya da uygulama) veya hastanedeki randevu noktasında al.
Randevu noktalarına hafta içi 08:00-15:00 arasında git: Pabellón General, Hospital Civil, Hospital Materno-Infantil ve CARE'de var.
Randevunu değiştirmek ya da iptal etmek için aynı kanalları kullan; istersen mesaj ya da e-postayla hatırlatma alırsın.</t>
        </is>
      </c>
      <c r="P219" s="29" t="n"/>
      <c r="Q219" s="29" t="inlineStr">
        <is>
          <t>Randevu noktaları hafta içi (pazartesi-cuma) 08:00-15:00 arası açıktır.</t>
        </is>
      </c>
      <c r="R219" s="29" t="n"/>
      <c r="S219" s="29" t="inlineStr">
        <is>
          <t>Randevu noktalarının e-postaları: Pabellón General citareclamaciones.hrmal.sspa@juntadeandalucia.es, Hospital Civil citas.hc.hrmal.sspa@juntadeandalucia.es, Hospital Materno-Infantil citasmi.hch.sspa@juntadeandalucia.es.</t>
        </is>
      </c>
      <c r="T219" s="29" t="n"/>
    </row>
    <row r="220" ht="54" customHeight="1">
      <c r="A220" s="29" t="inlineStr">
        <is>
          <t>malaga:malaga-hospital-materno-infantil-adres-acil-ve-randevu-kanallari</t>
        </is>
      </c>
      <c r="B220" s="29" t="inlineStr">
        <is>
          <t>malaga</t>
        </is>
      </c>
      <c r="C220" s="29" t="inlineStr">
        <is>
          <t>malaga-hospital-materno-infantil-adres-acil-ve-randevu-kanallari</t>
        </is>
      </c>
      <c r="D220" s="29" t="inlineStr">
        <is>
          <t>Málaga'da Hospital Materno-Infantil nerede, acil servis ve randevu kanalları neler?</t>
        </is>
      </c>
      <c r="E220" s="29" t="inlineStr">
        <is>
          <t>Avda. Arroyo de los Ángeles s/n, 29011; santral 951 29 00 00; acil servis 951 03 14 37</t>
        </is>
      </c>
      <c r="F220" s="29" t="inlineStr">
        <is>
          <t>Hospital Materno-Infantil için acil servis (Urgencias) numarası 951 03 14 37; muayene randevusu ClicSalud+, 'Salud Andalucía' uygulaması ya da Salud Responde (955 54 50 60) ile alınır. Hastane, Avda. Arroyo de los Ángeles s/n, 29011 Málaga adresindedir, santrali 951 29 00 00'dır ve Hospital Universitario Regional'e bağlıdır.</t>
        </is>
      </c>
      <c r="G220" s="29" t="inlineStr">
        <is>
          <t>Hospital Materno-Infantil, Málaga hastane, urgencias, Arroyo de los Ángeles, Salud Responde, Hospital Regional</t>
        </is>
      </c>
      <c r="H220" s="29" t="inlineStr">
        <is>
          <t>new;settled</t>
        </is>
      </c>
      <c r="I220" s="29" t="inlineStr">
        <is>
          <t>malaga:kaynak:196;malaga:kaynak:447</t>
        </is>
      </c>
      <c r="J220" s="49" t="n">
        <v>46322</v>
      </c>
      <c r="K220" s="51" t="n">
        <v>703</v>
      </c>
      <c r="L220" s="29" t="inlineStr">
        <is>
          <t>Hayır</t>
        </is>
      </c>
      <c r="M220" s="29" t="inlineStr">
        <is>
          <t>Taslak</t>
        </is>
      </c>
      <c r="N220" s="29" t="inlineStr">
        <is>
          <t>malaga:saglik</t>
        </is>
      </c>
      <c r="O220" s="29" t="inlineStr">
        <is>
          <t>Hastane acili için Urgencias numarasını (951 03 14 37) ara ya da Avda. Arroyo de los Ángeles s/n adresindeki hastaneye git.
Genel bilgi için santrali ara: 951 29 00 00.
Muayene randevusu ve işlemler için ClicSalud+, 'Salud Andalucía' uygulaması ya da Salud Responde (955 54 50 60) kanallarını kullan.</t>
        </is>
      </c>
      <c r="P220" s="29" t="n"/>
      <c r="Q220" s="29" t="n"/>
      <c r="R220" s="29" t="n"/>
      <c r="S220" s="29" t="inlineStr">
        <is>
          <t>Hayati tehlike varsa (bilinç kaybı, kalp krizi, çok kan kaybı gibi) 061'i ara; 112 Endülüs ise sağlık, yangın ve kurtarma, güvenlik ve sivil koruma için tek ve ücretsiz telefondur.</t>
        </is>
      </c>
      <c r="T220" s="29" t="n"/>
    </row>
    <row r="221" ht="54" customHeight="1">
      <c r="A221" s="29" t="inlineStr">
        <is>
          <t>malaga:malaga-hospital-virgen-de-la-victoria-teatinos-adres-ve-bagli-merkezler</t>
        </is>
      </c>
      <c r="B221" s="29" t="inlineStr">
        <is>
          <t>malaga</t>
        </is>
      </c>
      <c r="C221" s="29" t="inlineStr">
        <is>
          <t>malaga-hospital-virgen-de-la-victoria-teatinos-adres-ve-bagli-merkezler</t>
        </is>
      </c>
      <c r="D221" s="29" t="inlineStr">
        <is>
          <t>Málaga'da Hospital Universitario Virgen de la Victoria (Teatinos) nerede, telefonları ve bağlı hastaneler neler?</t>
        </is>
      </c>
      <c r="E221" s="29" t="inlineStr">
        <is>
          <t>Campus Universitario Teatinos s/n, 29010; vatandaş hizmetleri 951 03 26 24; Torremolinos, Cártama ve Benalmádena merkezleri bağlı</t>
        </is>
      </c>
      <c r="F221" s="29" t="inlineStr">
        <is>
          <t>Hospital Universitario Virgen de la Victoria, Campus Universitario Teatinos s/n, 29010 Málaga adresindeki bir uzmanlık hastanesidir. Vatandaş hizmetleri 951 03 26 24, santral 951 03 20 00 ve 951 02 25 00, acil servis (Urgencias) numarası 951 03 14 37'dir. Hastane yönetimi Hospital Virgen de la Victoria'nın yanında Hospital Marítimo de Torremolinos, Hospital Valle del Guadalhorce de Cártama, Benalmádena Hospital de Alta Resolución ve San José Obrero poliklinik merkezini de kapsar.</t>
        </is>
      </c>
      <c r="G221" s="29" t="inlineStr">
        <is>
          <t>Hospital Virgen de la Victoria, Teatinos, Málaga hastane, urgencias, Marítimo de Torremolinos, Valle del Guadalhorce, Benalmádena</t>
        </is>
      </c>
      <c r="H221" s="29" t="inlineStr">
        <is>
          <t>new;settled</t>
        </is>
      </c>
      <c r="I221" s="29" t="inlineStr">
        <is>
          <t>malaga:kaynak:197;malaga:kaynak:193</t>
        </is>
      </c>
      <c r="J221" s="49" t="n">
        <v>46322</v>
      </c>
      <c r="K221" s="51" t="n">
        <v>704</v>
      </c>
      <c r="L221" s="29" t="inlineStr">
        <is>
          <t>Hayır</t>
        </is>
      </c>
      <c r="M221" s="29" t="inlineStr">
        <is>
          <t>Taslak</t>
        </is>
      </c>
      <c r="N221" s="29" t="inlineStr">
        <is>
          <t>malaga:saglik</t>
        </is>
      </c>
      <c r="O221" s="29" t="inlineStr">
        <is>
          <t>Hastane acili (Urgencias) için 951 03 14 37'yi ara ya da Campus Universitario Teatinos s/n adresindeki hastaneye git.
Bilgi için vatandaş hizmetlerini (951 03 26 24) ya da santrali (951 03 20 00, 951 02 25 00) ara.
Bu hastane yönetimine bağlı merkezler: Hospital Marítimo de Torremolinos, Hospital Valle del Guadalhorce de Cártama ve Benalmádena Hospital de Alta Resolución.
Hastane poliklinik ya da tetkik randevunun tarih ve saatini öğrenmek, değiştirmek veya iptal etmek için Salud Responde'yi ara: 955 54 50 60.</t>
        </is>
      </c>
      <c r="P221" s="29" t="n"/>
      <c r="Q221" s="29" t="n"/>
      <c r="R221" s="29" t="n"/>
      <c r="S221" s="29" t="n"/>
      <c r="T221" s="29" t="n"/>
    </row>
    <row r="222" ht="54" customHeight="1">
      <c r="A222" s="29" t="inlineStr">
        <is>
          <t>malaga:salud-responde-24-saat-saglik-hatti-39-dilde-ceviri</t>
        </is>
      </c>
      <c r="B222" s="29" t="inlineStr">
        <is>
          <t>malaga</t>
        </is>
      </c>
      <c r="C222" s="29" t="inlineStr">
        <is>
          <t>salud-responde-24-saat-saglik-hatti-39-dilde-ceviri</t>
        </is>
      </c>
      <c r="D222" s="29" t="inlineStr">
        <is>
          <t>Salud Responde nedir, İspanyolca bilmiyorsam sağlık hizmetinde çeviri alabilir miyim?</t>
        </is>
      </c>
      <c r="E222" s="29" t="inlineStr">
        <is>
          <t>Servicio Andaluz de Salud'ın 7/24 hattı 955 54 50 60: randevu, hastane randevu bilgisi ve 39 dilde çeviri</t>
        </is>
      </c>
      <c r="F222" s="29" t="inlineStr">
        <is>
          <t>Evet: Salud Responde (955 54 50 60), İspanyolca bilmeyenlere 39 dilde çeviri hizmeti sunar; bu hizmetle her sağlık merkezinde kendi dilinde hizmet alabilirsin. Servicio Andaluz de Salud'ın hattı günün 24 saati, yılın her günü, Endülüs'ün her yerinden ulaşılan çok kanallı bir hattır: telefon 955 54 50 60, e-posta saludresponde@juntadeandalucia.es ve 'Salud Responde' uygulaması. Hat sağlık merkezi randevusu verir, hastane poliklinik ya da tetkik randevunun tarih ve saatini söyler, değiştirir veya iptal eder; ameliyat için hastane seçme hakkı, ikinci hekim görüşü (Segunda Opinión Médica) işleminin yürütülmesi ve sağlık tavsiyeleri de hattın hizmetleri arasındadır.</t>
        </is>
      </c>
      <c r="G222" s="29" t="inlineStr">
        <is>
          <t>Salud Responde, 955 54 50 60, çeviri, 39 dil, SAS, sağlık hattı, ikinci görüş, hastane seçimi</t>
        </is>
      </c>
      <c r="H222" s="29" t="inlineStr">
        <is>
          <t>new;settled</t>
        </is>
      </c>
      <c r="I222" s="29" t="inlineStr">
        <is>
          <t>malaga:kaynak:193</t>
        </is>
      </c>
      <c r="J222" s="49" t="n">
        <v>46322</v>
      </c>
      <c r="K222" s="51" t="n">
        <v>705</v>
      </c>
      <c r="L222" s="29" t="inlineStr">
        <is>
          <t>Evet</t>
        </is>
      </c>
      <c r="M222" s="29" t="inlineStr">
        <is>
          <t>Taslak</t>
        </is>
      </c>
      <c r="N222" s="29" t="inlineStr">
        <is>
          <t>malaga:saglik</t>
        </is>
      </c>
      <c r="O222" s="29" t="inlineStr">
        <is>
          <t>Salud Responde'yi ara: 955 54 50 60; e-posta ile saludresponde@juntadeandalucia.es adresine de yazabilirsin.
Salud Responde'nin hizmetleri arasında 39 dilde çeviri var; İspanyolca bilmeyenler bu hizmetle sağlık merkezinde kendi dillerinde hizmet alabilir.
Hastane poliklinik ya da tetkik randevunun tarih ve saatini öğrenmek, değiştirmek veya iptal etmek için hattı kullan.
Ameliyat için hastane seçme hakkı ve ikinci hekim görüşü (Segunda Opinión Médica) işleminin yürütülmesi de hattın hizmetleri arasındadır; bunlar için hattı arayabilirsin.
Sıcak havanın etkilerine karşı Endülüs önleme planı gibi özel planlar da hattın hizmetleri arasındadır.</t>
        </is>
      </c>
      <c r="P222" s="29" t="n"/>
      <c r="Q222" s="29" t="inlineStr">
        <is>
          <t>Günün 24 saati, yılın her günü.</t>
        </is>
      </c>
      <c r="R222" s="29" t="n"/>
      <c r="S222" s="29" t="n"/>
      <c r="T222" s="29" t="n"/>
    </row>
    <row r="223" ht="54" customHeight="1">
      <c r="A223" s="29" t="inlineStr">
        <is>
          <t>malaga:endulus-2026-asi-takvimi-cocuk-ve-ergen-yenilikleri-ve-randevu</t>
        </is>
      </c>
      <c r="B223" s="29" t="inlineStr">
        <is>
          <t>malaga</t>
        </is>
      </c>
      <c r="C223" s="29" t="inlineStr">
        <is>
          <t>endulus-2026-asi-takvimi-cocuk-ve-ergen-yenilikleri-ve-randevu</t>
        </is>
      </c>
      <c r="D223" s="29" t="inlineStr">
        <is>
          <t>Endülüs'te 2026 aşı takviminde çocuklar ve ergenler için ne değişti, aşı randevusu nasıl alınır?</t>
        </is>
      </c>
      <c r="E223" s="29" t="inlineStr">
        <is>
          <t>İkinci kızamık-kabakulak-kızamıkçık ve suçiçeği dozu 2 yaşta; rotavirüs ağızdan; HPV 21 yaşa kadar tek doz</t>
        </is>
      </c>
      <c r="F223" s="29" t="inlineStr">
        <is>
          <t>Endülüs'ün 2026 takviminde kızamık-kabakulak-kızamıkçık (triple vírica) ve suçiçeği (varicela) aşısının ikinci dozu 3 yaşından 2 yaşına çekildi; 2026'da 2 ve 3 yaşındaki çocuklar (2024 ve 2023 doğumlular) bu aşılarla aşılanır. Rotavirüs aşısı (Rotarix) ağızdan, 2. ve 4. aylarda iki dozdur. HPV aşısı kız ve erkekler için 12-18 yaştan 21 yaşına kadar genişletildi; 2026'da hiç HPV aşısı olmamış gençlere tek doz yapılır. Çocuk aşısı randevusunu ClicSalud+, Salud Andalucía uygulaması, Salud Responde (955 54 50 60) ya da sağlık merkezinden alırsın.</t>
        </is>
      </c>
      <c r="G223" s="29" t="inlineStr">
        <is>
          <t>aşı takvimi, Andalucía 2026, triple vírica, varicela, rotavirus, HPV, papilomavirus, çocuk aşısı, calendario de vacunaciones</t>
        </is>
      </c>
      <c r="H223" s="29" t="inlineStr">
        <is>
          <t>settled</t>
        </is>
      </c>
      <c r="I223" s="29" t="inlineStr">
        <is>
          <t>malaga:kaynak:200;malaga:kaynak:192</t>
        </is>
      </c>
      <c r="J223" s="49" t="n">
        <v>46322</v>
      </c>
      <c r="K223" s="51" t="n">
        <v>706</v>
      </c>
      <c r="L223" s="29" t="inlineStr">
        <is>
          <t>Hayır</t>
        </is>
      </c>
      <c r="M223" s="29" t="inlineStr">
        <is>
          <t>Taslak</t>
        </is>
      </c>
      <c r="N223" s="29" t="inlineStr">
        <is>
          <t>malaga:saglik</t>
        </is>
      </c>
      <c r="O223" s="29" t="inlineStr">
        <is>
          <t>Çocuğun 2026'da 2 ya da 3 yaşındaysa (2024 ve 2023 doğumlu) kızamık-kabakulak-kızamıkçık ve suçiçeği ikinci dozu için randevu al.
Bebeğin 1 Ekim 2025'te ya da sonrasında doğduysa ve rotavirüs aşısına başlamadıysa ya da bitirmediyse, henüz 20 haftalık değilken aşılatmak için randevu al.
12-21 yaşında hiç HPV aşısı olmamış gençler için 2026'da tek doz HPV aşısı için randevu al.
Aşı randevusunu ClicSalud+, Salud Andalucía uygulaması, Salud Responde (955 54 50 60) ya da doğrudan sağlık merkezinden al.</t>
        </is>
      </c>
      <c r="P223" s="29" t="n"/>
      <c r="Q223" s="29" t="inlineStr">
        <is>
          <t>2026 Endülüs aşı takvimi; rotavirüs aşısı iki dozdur: 2. ve 4. aylarda.</t>
        </is>
      </c>
      <c r="R223" s="29" t="n"/>
      <c r="S223" s="29" t="inlineStr">
        <is>
          <t>Kızamık-kabakulak-kızamıkçık için 65 yaşa kadar her yaşta aktif yakalama sürüyor; 12 ve 14 yaşlarında aşı geçmişi gözden geçirilerek eksik olanlar yakalanıyor. Daha önce özel olarak Rotarix'in bir dozunu yaptırmış bebekler ikinci dozu 24 haftalık olmadan tamamlayabilir. Bazı sağlık merkezlerinde örgütsel nedenlerle randevu uygulamayla değil, ClicSalud+ üzerinden, Salud Responde telefonuyla ya da doğrudan sağlık merkezinde alınır.</t>
        </is>
      </c>
      <c r="T223" s="29" t="n"/>
    </row>
    <row r="224" ht="54" customHeight="1">
      <c r="A224" s="29" t="inlineStr">
        <is>
          <t>malaga:endulus-2026-asi-takvimi-yetiskin-pnomokok-zoster-covid-ve-randevu</t>
        </is>
      </c>
      <c r="B224" s="29" t="inlineStr">
        <is>
          <t>malaga</t>
        </is>
      </c>
      <c r="C224" s="29" t="inlineStr">
        <is>
          <t>endulus-2026-asi-takvimi-yetiskin-pnomokok-zoster-covid-ve-randevu</t>
        </is>
      </c>
      <c r="D224" s="29" t="inlineStr">
        <is>
          <t>Endülüs'te 2026'da yetişkinler için hangi aşılar yapılıyor (pnömokok, zona, COVID-19), randevu nasıl alınır?</t>
        </is>
      </c>
      <c r="E224" s="29" t="inlineStr">
        <is>
          <t>60-80 yaş pnömokok, 65 yaş herpes zoster, 70 yaş ve üstü COVID-19 önerisi; COVID-19 aşısı randevusu sigorta durumundan bağımsız</t>
        </is>
      </c>
      <c r="F224" s="29" t="inlineStr">
        <is>
          <t>2026'da Endülüs, 60-80 yaş arası (1946-1966 doğumlu) ve daha önce konjuge pnömokok aşısı (VNC13, VNC15 ya da VNC20) olmamış tüm yetişkinlere bir doz verir; yaş aralığı önceki 60-76'dan genişletildi. Herpes zoster (zona) aşısı 65 yaşta (1961 doğumlular) sürüyor; iki dozluk programı başlatmamış ya da bitirmemiş 66 ve 67 yaşındakiler (1959 ve 1960 doğumlular) için yakalama yapılıyor. COVID-19 aşısı 70 yaş ve üstü herkese, ayrıca riskli hastalığı olanlara öneriliyor. Randevuyu ClicSalud+, Salud Andalucía uygulaması, Salud Responde ya da sağlık merkezinden alırsın; COVID-19 aşısı için randevu sigorta durumundan bağımsız alınabilir.</t>
        </is>
      </c>
      <c r="G224" s="29" t="inlineStr">
        <is>
          <t>yetişkin aşısı, pnömokok, neumococo, herpes zoster, zona, COVID-19 aşısı, grip aşısı, Andalucía 2026</t>
        </is>
      </c>
      <c r="H224" s="29" t="inlineStr">
        <is>
          <t>settled</t>
        </is>
      </c>
      <c r="I224" s="29" t="inlineStr">
        <is>
          <t>malaga:kaynak:200;malaga:kaynak:192</t>
        </is>
      </c>
      <c r="J224" s="49" t="n">
        <v>46322</v>
      </c>
      <c r="K224" s="51" t="n">
        <v>707</v>
      </c>
      <c r="L224" s="29" t="inlineStr">
        <is>
          <t>Hayır</t>
        </is>
      </c>
      <c r="M224" s="29" t="inlineStr">
        <is>
          <t>Taslak</t>
        </is>
      </c>
      <c r="N224" s="29" t="inlineStr">
        <is>
          <t>malaga:saglik</t>
        </is>
      </c>
      <c r="O224" s="29" t="inlineStr">
        <is>
          <t>60-80 yaş arasındaysan ve daha önce konjuge pnömokok aşısı yaptırmadıysan 2026'da tek doz için sağlık merkezinden randevu al.
65 yaşındaysan (1961 doğumlu) herpes zoster aşısı için randevu al; 66 ve 67 yaşında olup iki dozluk programı bitirmediysen yakalama kapsamındasın.
70 yaşında ya da daha büyüksen (70 yaş ve üzeri) ya da riskli bir hastalığın varsa COVID-19 aşısı için randevu al.
Yıllık grip kampanyası sırasında grip aşısı randevusunu ClicSalud+, Salud Andalucía uygulaması, Salud Responde (955 54 50 60) veya sağlık merkezinden al.</t>
        </is>
      </c>
      <c r="P224" s="29" t="n"/>
      <c r="Q224" s="29" t="inlineStr">
        <is>
          <t>2026 Endülüs aşı takvimi; grip aşısı yıllık kampanya döneminde yapılır.</t>
        </is>
      </c>
      <c r="R224" s="29" t="n"/>
      <c r="S224" s="29" t="n"/>
      <c r="T224" s="29" t="n"/>
    </row>
    <row r="225" ht="54" customHeight="1">
      <c r="A225" s="29" t="inlineStr">
        <is>
          <t>malaga:endulus-cocuk-dis-hekimi-0-15-yas-kamu-sagligi-ve-kontrol-randevusu</t>
        </is>
      </c>
      <c r="B225" s="29" t="inlineStr">
        <is>
          <t>malaga</t>
        </is>
      </c>
      <c r="C225" s="29" t="inlineStr">
        <is>
          <t>endulus-cocuk-dis-hekimi-0-15-yas-kamu-sagligi-ve-kontrol-randevusu</t>
        </is>
      </c>
      <c r="D225" s="29" t="inlineStr">
        <is>
          <t>Endülüs kamu sağlığında 0-15 yaş çocuklar diş hekimine nasıl gider, kontrol randevusu nasıl alınır?</t>
        </is>
      </c>
      <c r="E225" s="29" t="inlineStr">
        <is>
          <t>Sevk gerekmez, ilk ziyarette tarjeta sanitaria yeterli; 0-5 yaş kamu kliniğinde, 6-15 yaş karma model</t>
        </is>
      </c>
      <c r="F225" s="29" t="inlineStr">
        <is>
          <t>0-15 yaş çocuklar için Endülüs kamu sağlığında diş hekimi hizmeti vardır: seçtiğin diş hekimine sevk gerekmeden istediğin kadar gidebilirsin, ilk ziyarette tarjeta sanitaria sunman yeterlidir. 0-5 yaş çocuklar yalnız referans kamu diş kliniğinde görülür; 6-15 yaşta karma model vardır: kamu diş kliniğine ya da yardıma katılan özel diş hekimlerinin kliniklerine başvurabilirsin. Planlı kontroller 2, 6 ve 12 yaşlarında özellikle önerilir ve randevusu ClicSalud+, Salud Andalucía uygulaması, Salud Responde (955 54 50 60) ya da sağlık merkezinden alınır.</t>
        </is>
      </c>
      <c r="G225" s="29" t="inlineStr">
        <is>
          <t>çocuk diş hekimi, dentista infantil, asistencia dental infantil, 0-15 yaş, tarjeta sanitaria, Andalucía, kontrol</t>
        </is>
      </c>
      <c r="H225" s="29" t="inlineStr">
        <is>
          <t>new;settled</t>
        </is>
      </c>
      <c r="I225" s="29" t="inlineStr">
        <is>
          <t>malaga:kaynak:192;malaga:kaynak:453</t>
        </is>
      </c>
      <c r="J225" s="49" t="n">
        <v>46322</v>
      </c>
      <c r="K225" s="51" t="n">
        <v>708</v>
      </c>
      <c r="L225" s="29" t="inlineStr">
        <is>
          <t>Hayır</t>
        </is>
      </c>
      <c r="M225" s="29" t="inlineStr">
        <is>
          <t>Taslak</t>
        </is>
      </c>
      <c r="N225" s="29" t="inlineStr">
        <is>
          <t>malaga:saglik</t>
        </is>
      </c>
      <c r="O225" s="29" t="inlineStr">
        <is>
          <t>Çocuğun diş hekimini seç; sevk almana gerek yok.
İlk ziyarette çocuğun tarjeta sanitaria'sını göster.
0-5 yaş için referans kamu diş kliniğine git; 6-15 yaş için kamu kliniğini ya da yardıma katılan özel diş hekimlerinden birini seç.
Planlı kontrol randevusunu ClicSalud+, Salud Andalucía uygulaması, Salud Responde (955 54 50 60) ya da sağlık merkezinden al; kontroller 2, 6 ve 12 yaşlarında özellikle önerilir.</t>
        </is>
      </c>
      <c r="P225" s="29" t="inlineStr">
        <is>
          <t>Çocuğun tarjeta sanitaria'sı (ilk ziyarette)</t>
        </is>
      </c>
      <c r="Q225" s="29" t="n"/>
      <c r="R225" s="29" t="inlineStr">
        <is>
          <t>Temel diş bakımı ve belirli özel tedaviler, Endülüs kamu sağlık sistemi kapsamındaki 15 yaşından küçük çocuklar için ücretsizdir.</t>
        </is>
      </c>
      <c r="S225" s="29" t="inlineStr">
        <is>
          <t>6-15 yaşta aralık ayında diş hekimini yalnız kamu sektöründeki diş hekimleri arasından seçebilirsin.</t>
        </is>
      </c>
      <c r="T225" s="29" t="n"/>
    </row>
    <row r="226" ht="54" customHeight="1">
      <c r="A226" s="29" t="inlineStr">
        <is>
          <t>malaga:endulus-siginma-basvurucusu-saglik-hakki-ve-saglik-merkezi-kaydi</t>
        </is>
      </c>
      <c r="B226" s="29" t="inlineStr">
        <is>
          <t>malaga</t>
        </is>
      </c>
      <c r="C226" s="29" t="inlineStr">
        <is>
          <t>endulus-siginma-basvurucusu-saglik-hakki-ve-saglik-merkezi-kaydi</t>
        </is>
      </c>
      <c r="D226" s="29" t="inlineStr">
        <is>
          <t>Endülüs'te sığınma (uluslararası koruma) başvurucusu kamu sağlık hizmetine nasıl erişir?</t>
        </is>
      </c>
      <c r="E226" s="29" t="inlineStr">
        <is>
          <t>Sığınma başvurusu yapanların kamu sağlık hakkı vardır; kayıt en yakın sağlık merkezinde yapılır, ilaç katkı payı %40</t>
        </is>
      </c>
      <c r="F226" s="29" t="inlineStr">
        <is>
          <t>Endülüs'te uluslararası koruma (sığınma) başvurusu yapan yabancıların kamu sağlık hizmetine hakkı vardır; Ley 12/2009'un 18. maddesinde sayılan başvurucu haklarının arasında sağlık hizmeti de yer alır. Kayıt için oturacağın adrese en yakın sağlık merkezine ('centro de atención primaria') başvurursun: 'Solicitud de tarjeta/alta/modificación de datos en BDU' formunu, pasaportunu (mümkün değilse başka bir resmî belge; geçerliliği bitmiş olsa da kabul edilir) ve İçişleri Bakanlığı'na yaptığın sığınma başvurusunu verirsin. Kaydın 'Solicitante protección internacional' (Título 80 ANE) olarak girilir ve ilaçlarda katkı payı ilaç fiyatının %40'ıdır.</t>
        </is>
      </c>
      <c r="G226" s="29" t="inlineStr">
        <is>
          <t>sığınma, asilo, uluslararası koruma, protección internacional, sağlık kaydı, tarjeta sanitaria, Ley 12/2009, Andalucía</t>
        </is>
      </c>
      <c r="H226" s="29" t="inlineStr">
        <is>
          <t>new</t>
        </is>
      </c>
      <c r="I226" s="29" t="inlineStr">
        <is>
          <t>malaga:kaynak:191</t>
        </is>
      </c>
      <c r="J226" s="49" t="n">
        <v>46322</v>
      </c>
      <c r="K226" s="51" t="n">
        <v>709</v>
      </c>
      <c r="L226" s="29" t="inlineStr">
        <is>
          <t>Hayır</t>
        </is>
      </c>
      <c r="M226" s="29" t="inlineStr">
        <is>
          <t>Taslak</t>
        </is>
      </c>
      <c r="N226" s="29" t="inlineStr">
        <is>
          <t>malaga:saglik</t>
        </is>
      </c>
      <c r="O226" s="29" t="inlineStr">
        <is>
          <t>Oturacağın adrese en yakın sağlık merkezine git (centro de atención primaria).
'Solicitud de tarjeta/alta/modificación de datos en BDU' formunu doldur.
Formla birlikte pasaportunu (mümkün değilse başka bir resmî belge; geçerliliği bitmiş olsa da kabul edilir) ve İçişleri Bakanlığı'na yönelik sığınma başvurunu ver.
Kaydının 'Solicitante protección internacional' (Título 80 ANE) olarak girildiğini ve ilaç katkı payının %40 olduğunu bil.</t>
        </is>
      </c>
      <c r="P226" s="29" t="inlineStr">
        <is>
          <t>Pasaport (mümkünse); olmuyorsa başka bir resmî belge (geçerliliği bitmiş olsa da kabul edilir)
Ministerio del Interior'a yönelik sığınma başvurusu
Solicitud de tarjeta/alta/modificación de datos en BDU formu</t>
        </is>
      </c>
      <c r="Q226" s="29" t="n"/>
      <c r="R226" s="29" t="inlineStr">
        <is>
          <t>İlaçlarda katkı payı ilaç fiyatının %40'ı.</t>
        </is>
      </c>
      <c r="S226" s="29" t="n"/>
      <c r="T226" s="29" t="n"/>
    </row>
    <row r="227" ht="54" customHeight="1">
      <c r="A227" s="29" t="inlineStr">
        <is>
          <t>malaga:endulus-yenidogan-saglik-karti-rupyna-inss-kaydi-ve-kart-yenileme</t>
        </is>
      </c>
      <c r="B227" s="29" t="inlineStr">
        <is>
          <t>malaga</t>
        </is>
      </c>
      <c r="C227" s="29" t="inlineStr">
        <is>
          <t>endulus-yenidogan-saglik-karti-rupyna-inss-kaydi-ve-kart-yenileme</t>
        </is>
      </c>
      <c r="D227" s="29" t="inlineStr">
        <is>
          <t>Endülüs'te bir hastanede doğan bebeğin sağlık kartı (tarjeta sanitaria) nasıl alınır, kart kaybolursa nasıl yenilenir?</t>
        </is>
      </c>
      <c r="E227" s="29" t="inlineStr">
        <is>
          <t>Bebek hastanede otomatik kaydedilir ama kart için INSS'in bebeği yararlanıcı olarak tanıması ve sağlık merkezi başvurusu gerekir</t>
        </is>
      </c>
      <c r="F227" s="29" t="inlineStr">
        <is>
          <t>Endülüs'teki bir hastanede doğan bebeğin bilgileri Rupyna sistemine girilir ve ona otomatik olarak bir pediatri hekimi ve bir sağlık merkezi atanır. Kartın çıkması için, INSS'in tanıdığı kamu sağlık kapsamı şarttır; ayrıca INSS'in (Instituto Nacional de la Seguridad Social) bebeği anne ya da babanın yararlanıcısı (beneficiario) olarak tanıması ve BADAS'a kaydetmesi gerekir; bu işlem Seguridad Social'ın e-sedesinden elektronik sertifikasız internetten ya da randevuyla INSS ofisinde yapılır. Sonra sağlık merkezine başvuru formu, yasal temsilcinin kimliği ve libro de familia ile gidersin; kart posta ile kayıtlı adrese gönderilir. Küçüklerin doğumdan itibaren kendi kartı olması önemlidir.</t>
        </is>
      </c>
      <c r="G227" s="29" t="inlineStr">
        <is>
          <t>yenidoğan, tarjeta sanitaria, sağlık kartı, Rupyna, BADAS, INSS, libro de familia, pediatri, bebek kaydı</t>
        </is>
      </c>
      <c r="H227" s="29" t="inlineStr">
        <is>
          <t>settled</t>
        </is>
      </c>
      <c r="I227" s="29" t="inlineStr">
        <is>
          <t>malaga:kaynak:188</t>
        </is>
      </c>
      <c r="J227" s="49" t="n">
        <v>46322</v>
      </c>
      <c r="K227" s="51" t="n">
        <v>710</v>
      </c>
      <c r="L227" s="29" t="inlineStr">
        <is>
          <t>Hayır</t>
        </is>
      </c>
      <c r="M227" s="29" t="inlineStr">
        <is>
          <t>Taslak</t>
        </is>
      </c>
      <c r="N227" s="29" t="inlineStr">
        <is>
          <t>malaga:saglik</t>
        </is>
      </c>
      <c r="O227" s="29" t="inlineStr">
        <is>
          <t>Bebeğin INSS'te anne ya da babanın yararlanıcısı olarak tanınması ve BADAS'a kaydedilmesi için başvur: Seguridad Social e-sedesinden elektronik sertifikasız internetten ya da randevuyla INSS ofisinde.
Sağlık merkezine başvuru formu (modelo de solicitud), yasal temsilcinin (anne, baba ya da vasi) kimliği ve libro de familia ile git.
Merkezde istersen bebeğin merkezini ya da pediatri hekimini değiştirmeyi, çalışma saatlerini ve hizmetleri sorabilirsin.
Kartın posta ile kayıtlı adrese gelmesini bekle; adresin BDU'daki kayıtla uyuştuğundan emin ol.
Kart bozulur, kaybolur ya da çalınırsa ClicSalud+ ya da Salud Andalucía uygulamasından yenileme iste.</t>
        </is>
      </c>
      <c r="P227" s="29" t="inlineStr">
        <is>
          <t>Modelo de solicitud (başvuru formu)
Yasal temsilcinin (anne, baba veya vasi) kimlik belgesi
Libro de familia</t>
        </is>
      </c>
      <c r="Q227" s="29" t="n"/>
      <c r="R227" s="29" t="n"/>
      <c r="S227" s="29" t="inlineStr">
        <is>
          <t>Kartı yenilerken adresin doğru olduğunu kontrol et: kart BDU'daki adrese olağan postayla gönderilir. ClicSalud+ ve uygulamada kişisel bilgilerle (kart numarası, doğum tarihi, 14 yaşından itibaren kimlik belgesi) ya da dijital sertifika, e-DNI, Cl@ve ile işlem yapılır. Yukarıdaki kayıt adımları Endülüs'teki bir hastanede doğan bebekler içindir; diğer durumlarda ilk kez başvuruda başvuru formu, DNI (yabancı residentlerde NIE) ve empadronamiento belgesiyle sağlık merkezine gidilir, 14 yaşından küçük yararlanıcı için libro de familia da istenir.</t>
        </is>
      </c>
      <c r="T227" s="29" t="n"/>
    </row>
    <row r="228" ht="54" customHeight="1">
      <c r="A228" s="29" t="inlineStr">
        <is>
          <t>malaga:endulus-convenio-especial-basvurusu-nereye-hangi-belgelerle-ve-kapsam</t>
        </is>
      </c>
      <c r="B228" s="29" t="inlineStr">
        <is>
          <t>malaga</t>
        </is>
      </c>
      <c r="C228" s="29" t="inlineStr">
        <is>
          <t>endulus-convenio-especial-basvurusu-nereye-hangi-belgelerle-ve-kapsam</t>
        </is>
      </c>
      <c r="D228" s="29" t="inlineStr">
        <is>
          <t>Endülüs'te convenio especial (ücretli kamu sağlık sözleşmesi) başvurusu nereye, hangi belgelerle yapılır?</t>
        </is>
      </c>
      <c r="E228" s="29" t="inlineStr">
        <is>
          <t>Başvuru sağlık bölgelerinin vatandaş hizmetleri birimlerinde ya da kayıt ofislerinde; aylık 60 euro (65 yaş ve üstü 157 euro)</t>
        </is>
      </c>
      <c r="F228" s="29" t="inlineStr">
        <is>
          <t>Başvuru formunu (modelo de solicitud) sağlık bölgelerinin (Distritos sanitarios) ve sağlık yönetim alanlarının Unidades de Atención a la Ciudadanía birimlerinden ya da SAS sayfasından alır, kimlik, ikamet, güncel empadronamiento ve başka bir kamu sağlık korumasına erişimin olmadığını gösteren belgelerle aynı birimlere verirsin; ayrıca herhangi bir idarenin kayıt ofisine (randevuyla), Correos'a ya da Junta de Andalucía'nın elektronik kaydına başvurabilirsin. Convenio especial, İspanya'da fiilen oturan ama Ulusal Sağlık Sistemi'nde sigortalı ya da yararlanıcı olmayanların ücret karşılığı kamu sağlık hizmetine girmesini sağlar. Gerekli koşullar: başvurudan hemen önce en az bir yıl kesintisiz fiilî ikamet, başvuru anında Endülüs'te empadronamiento ve başka bir yoldan kamu sağlık korumasının olmaması. Aylık ücret 65 yaşından küçüklerde 60 euro, büyüklerde 157 euro; ilaç, ortopedik ürün, diyet ürünü ve acil olmayan sağlık nakli kapsam dışıdır.</t>
        </is>
      </c>
      <c r="G228" s="29" t="inlineStr">
        <is>
          <t>convenio especial, ücretli sağlık sözleşmesi, SAS, Andalucía, empadronamiento, sağlık sigortası, kamu sağlığı, 60 euro</t>
        </is>
      </c>
      <c r="H228" s="29" t="inlineStr">
        <is>
          <t>new;settled</t>
        </is>
      </c>
      <c r="I228" s="29" t="inlineStr">
        <is>
          <t>malaga:kaynak:190;malaga:kaynak:199</t>
        </is>
      </c>
      <c r="J228" s="49" t="n">
        <v>46322</v>
      </c>
      <c r="K228" s="51" t="n">
        <v>711</v>
      </c>
      <c r="L228" s="29" t="inlineStr">
        <is>
          <t>Hayır</t>
        </is>
      </c>
      <c r="M228" s="29" t="inlineStr">
        <is>
          <t>Taslak</t>
        </is>
      </c>
      <c r="N228" s="29" t="inlineStr">
        <is>
          <t>malaga:saglik</t>
        </is>
      </c>
      <c r="O228" s="29" t="inlineStr">
        <is>
          <t>Başvuru formunu (modelo de solicitud) sağlık bölgenin ya da sağlık yönetim alanının Unidad de Atención a la Ciudadanía biriminden al veya SAS sayfasından indir.
Formu kimlik belgen, İspanya'daki ikametini gösteren belge, güncel empadronamiento belgen ve başka bir sağlık korumana erişimin olmadığını gösteren belgeyle bu birimlere ver; kayıt ofisine (randevuyla), Correos'a ya da Junta de Andalucía'nın elektronik kaydına da verebilirsin.
Başvuru kabul edilirse sözleşme örneği adresine gönderilir; imzalayıp ilk aidatın ödeme belgesiyle birlikte SAS Yönetimi'ne geri gönder.
Sözleşme formalize edildiği gün yürürlüğe girer; aylık aidatı Tesorería General de la Junta de Andalucía hesabına yatırırsın (CAIXABANK, S.A.; BIC/SWIFT CAIXESBBXXX; IBAN ES47 2100 8688 7102 0012 8558).</t>
        </is>
      </c>
      <c r="P228" s="29" t="inlineStr">
        <is>
          <t>Kimlik belgesi: DNI, NIE ya da pasaport
İspanya'da fiilî ikameti gösteren belge
Endülüs belediyesinden başvuru tarihine yakın empadronamiento belgesi
Başka bir kamu sağlık korumasına erişimin olmadığını gösteren belge</t>
        </is>
      </c>
      <c r="Q228" s="29" t="inlineStr">
        <is>
          <t>Başvurudan önce en az bir yıl kesintisiz fiilî ikamet gerekir. Sözleşme formalize edildiği gün yürürlüğe girer.</t>
        </is>
      </c>
      <c r="R228" s="29" t="inlineStr">
        <is>
          <t>Aylık: 65 yaşından küçüklerde 60 euro, 65 yaş ve üstünde 157 euro.</t>
        </is>
      </c>
      <c r="S228" s="29" t="inlineStr">
        <is>
          <t>Posta ile başvuru adresi: Servicio Andaluz de Salud, Servicio de Coordinación-Gestión Ciudadana, Avda. de la Constitución 18, 41071 Sevilla. Başka bir AB, AEA, İsviçre ya da Birleşik Krallık ülkesindeki ikamet süresi de bir yıllık şarta sayılır. SAS'a göre AB vatandaşları ve aile üyeleri için üç aydan fazla ikamet kamu sağlık sistemine kayıt için yeterlidir; bunun convenio especial'in bir yıllık ikamet şartının yerine geçip geçmediğini sormak için Málaga'da Distrito Sanitario Málaga-Guadalhorce'nin vatandaş hizmetleri (Atención al Ciudadano) hattını ara: 951 031 333.</t>
        </is>
      </c>
      <c r="T228" s="29" t="n"/>
    </row>
    <row r="229" ht="54" customHeight="1">
      <c r="A229" s="29" t="inlineStr">
        <is>
          <t>malaga:acil-saglik-numarasi-061-ve-nobetci-eczane-bulma</t>
        </is>
      </c>
      <c r="B229" s="29" t="inlineStr">
        <is>
          <t>malaga</t>
        </is>
      </c>
      <c r="C229" s="29" t="inlineStr">
        <is>
          <t>acil-saglik-numarasi-061-ve-nobetci-eczane-bulma</t>
        </is>
      </c>
      <c r="D229" s="29" t="inlineStr">
        <is>
          <t>Málaga'da acil durumda hangi numarayı ararsın (061, 112), nöbetçi eczaneyi nasıl bulursun?</t>
        </is>
      </c>
      <c r="E229" s="29" t="inlineStr">
        <is>
          <t>Sağlık acilinde 061, her türlü acil için 112 Endülüs (ücretsiz); nöbetçi eczane Málaga Eczacılar Odası verileriyle eczacılar sitesinden bulunur</t>
        </is>
      </c>
      <c r="F229" s="29" t="inlineStr">
        <is>
          <t>Hayatını tehlikeye sokan bir sağlık acilinde Endülüs'te doğrudan 061'i ara ya da hemen yakındaki bir acil servise git. 112 Endülüs ise sağlık, yangın ve kurtarma, vatandaş güvenliği ve sivil koruma için tek ve ücretsiz numaradır. Aradığında nereden aradığın, ne olduğu ve kaç kişinin etkilendiği sorulur. Hayati tehlike olmayan ama hemen bakım gereken durumlarda (ateş, ağrı, kusma) acil birimi olan bir sağlık ocağına ya da hastane acil servisine gidebilirsin. Nöbetçi eczaneyi farmaceuticos.com sitesinin Málaga nöbetçi eczane sayfasından bulursun; sayfa gece, bayram günleri ve hafta sonu da en yakın açık eczaneyi bulmana yardım ettiğini ve nöbet çizelgeleri için Málaga Eczacılar Odası'nın (Colegio de Farmacéuticos de Málaga) resmî kaynaklarını kullandığını yazar.</t>
        </is>
      </c>
      <c r="G229" s="29" t="inlineStr">
        <is>
          <t>061, 112, acil durum, ambulans, acil servis, urgencias, nöbetçi eczane, farmacia de guardia, Endülüs</t>
        </is>
      </c>
      <c r="H229" s="29" t="inlineStr">
        <is>
          <t>new;settled</t>
        </is>
      </c>
      <c r="I229" s="29" t="inlineStr">
        <is>
          <t>malaga:kaynak:447;malaga:kaynak:448</t>
        </is>
      </c>
      <c r="J229" s="49" t="n">
        <v>46322</v>
      </c>
      <c r="K229" s="51" t="n">
        <v>712</v>
      </c>
      <c r="L229" s="29" t="inlineStr">
        <is>
          <t>Hayır</t>
        </is>
      </c>
      <c r="M229" s="29" t="inlineStr">
        <is>
          <t>Taslak</t>
        </is>
      </c>
      <c r="N229" s="29" t="inlineStr">
        <is>
          <t>malaga:saglik</t>
        </is>
      </c>
      <c r="O229" s="29" t="inlineStr">
        <is>
          <t>Bilinç kaybı, kalp krizi ya da kalp durması, çok kan kaybı gibi hayati tehlike varsa 061'i ara ya da hemen yakındaki bir acil servise (servicio de urgencias) git.
Sağlık, yangın ve kurtarma, vatandaş güvenliği ya da sivil koruma yardımı gerekiyorsa 112'yi ara; numara tek ve ücretsizdir.
Aradığında üç soruya hazır ol: nereden arıyorsun, ne oldu, kaç kişi etkilendi.
Ateş, ağrı, kusma gibi hayati tehlike olmayan ama hemen bakım gereken bir durumda, mesai saatleri içinde acil birimi olan bir sağlık ocağına (centro de salud) git; mesai dışında hastane acil servisine başvur.
Diğer sağlık hizmetleri hakkında bilgi için Salud Responde'yi ara: 955 545 060.
Nöbetçi eczane gerekiyorsa farmaceuticos.com'daki Málaga nöbetçi eczane sayfasını aç ve sayfadaki bağlantıyla nöbet listesine geç.</t>
        </is>
      </c>
      <c r="P229" s="29" t="n"/>
      <c r="Q229" s="29" t="n"/>
      <c r="R229" s="29" t="inlineStr">
        <is>
          <t>112 araması ücretsizdir.</t>
        </is>
      </c>
      <c r="S229" s="29" t="n"/>
      <c r="T229" s="29" t="n"/>
    </row>
    <row r="230" ht="54" customHeight="1">
      <c r="A230" s="29" t="inlineStr">
        <is>
          <t>malaga:renfe-bilet-iptal-degisiklik-genc-indirimi</t>
        </is>
      </c>
      <c r="B230" s="29" t="inlineStr">
        <is>
          <t>malaga</t>
        </is>
      </c>
      <c r="C230" s="29" t="inlineStr">
        <is>
          <t>renfe-bilet-iptal-degisiklik-genc-indirimi</t>
        </is>
      </c>
      <c r="D230" s="29" t="inlineStr">
        <is>
          <t>İspanya'da Renfe AVE ve uzun mesafe biletinde iptal ve değişiklik nasıl işler, gençlere indirim var mı?</t>
        </is>
      </c>
      <c r="E230" s="29" t="inlineStr">
        <is>
          <t>Her bilet satın almadan sonra 2 saat içinde masrafsız iptal edilir; ek esneklik bilet türüne bağlıdır; 14-25 yaş için Más Renfe Joven 50 €</t>
        </is>
      </c>
      <c r="F230" s="29" t="inlineStr">
        <is>
          <t>Her Renfe AVE ve Larga Distancia (uzun mesafe) bileti, satın almadan sonraki 2 saat içinde masrafsız iptal edilebilir; daha fazla esneklik için Básico yerine Elige ya da Prémium bilet almak gerekir. Bilet türleri Básico, Elige Estándar, Elige Confort ve Prémium'dur; AVE Internacional (İspanya-Fransa) hattında Prémium yoktur. Sınırsız ücretsiz değişiklik, Puente AVE, tam iade ve Pack Superflex ekstraları yalnız satın alma anında alınır ve Básico biletlerde bulunmaz. 14-25 yaşındaysan Más Renfe Joven üyeliği (50 €) AVE ve Larga Distancia'da %30, Avant, Media Distancia ve Cercanías/Rodalies'te %25 indirim verir.</t>
        </is>
      </c>
      <c r="G230" s="29" t="inlineStr">
        <is>
          <t>Renfe, AVE, Larga Distancia, tren bileti, iptal, değişiklik, Básico, Elige, Prémium, Más Renfe Joven, Carné Joven, gençlik indirimi</t>
        </is>
      </c>
      <c r="H230" s="29" t="inlineStr">
        <is>
          <t>new;settled</t>
        </is>
      </c>
      <c r="I230" s="29" t="inlineStr">
        <is>
          <t>malaga:kaynak:110;malaga:kaynak:111</t>
        </is>
      </c>
      <c r="J230" s="49" t="n">
        <v>46319</v>
      </c>
      <c r="K230" s="51" t="n">
        <v>9085</v>
      </c>
      <c r="L230" s="29" t="inlineStr">
        <is>
          <t>Hayır</t>
        </is>
      </c>
      <c r="M230" s="29" t="inlineStr">
        <is>
          <t>Taslak</t>
        </is>
      </c>
      <c r="N230" s="29" t="inlineStr">
        <is>
          <t>malaga:ulasim</t>
        </is>
      </c>
      <c r="O230" s="29" t="inlineStr">
        <is>
          <t>Biletini alırken Básico, Elige Estándar, Elige Confort ve Prémium türlerini karşılaştır; esneklik istiyorsan Elige ya da Prémium seç.
Sınırsız ücretsiz değişiklik, Puente AVE, tam iade ya da Pack Superflex istiyorsan bunları bilet satın alırken ekle; sonradan eklenmez.
Vazgeçersen satın almadan sonraki 2 saat içinde iptal et; bu süre içinde masraf çıkmaz.
14-25 yaşındaysan Más Renfe Joven'e üye ol (50 €, 1 yıl geçerli).
Özerk topluluğunun verdiği Carné Joven de indirim sağlar: AVE ve Larga Distancia'da %5, Avant, Media Distancia ve Feve Regionales'te %20.
Yolculukta fotoğraflı, geçerli kimlik belgeni yanında taşı; biletler isme düzenlenir.</t>
        </is>
      </c>
      <c r="P230" s="29" t="inlineStr">
        <is>
          <t>Fotoğraflı geçerli kimlik belgesi: DNI, ehliyet, Tarjeta de Residencia ya da pasaport</t>
        </is>
      </c>
      <c r="Q230" s="29" t="inlineStr">
        <is>
          <t>Masrafsız iptal: satın almadan sonra 2 saat. Más Renfe Joven üyeliği: 1 yıl</t>
        </is>
      </c>
      <c r="R230" s="29" t="inlineStr">
        <is>
          <t>Más Renfe Joven: 50 €. İndirimler: AVE ve Larga Distancia %30; Avant, Media Distancia ve Cercanías/Rodalies %25. Carné Joven: AVE ve Larga Distancia %5; Avant, Media Distancia ve Feve Regionales %20</t>
        </is>
      </c>
      <c r="S230" s="29" t="inlineStr">
        <is>
          <t>Más Renfe Joven ve Carné Joven ile alınan biletlerde değişiklik ve iptal, biletin izin verdiği ölçüde ve masraflı olabilir. ISIC, European Youth Card gibi uluslararası kartlar da geçerlidir. Carné Joven'i özerk topluluk verir; koşulları bölgene göre değişir.</t>
        </is>
      </c>
      <c r="T230" s="29" t="n"/>
    </row>
    <row r="231" ht="54" customHeight="1">
      <c r="A231" s="29" t="inlineStr">
        <is>
          <t>malaga:otobus-yolcu-haklari-rotar-bagaj-engelli</t>
        </is>
      </c>
      <c r="B231" s="29" t="inlineStr">
        <is>
          <t>malaga</t>
        </is>
      </c>
      <c r="C231" s="29" t="inlineStr">
        <is>
          <t>otobus-yolcu-haklari-rotar-bagaj-engelli</t>
        </is>
      </c>
      <c r="D231" s="29" t="inlineStr">
        <is>
          <t>İspanya'da uzun mesafe otobüs gecikir ya da iptal olursa, bagaj zarar görürse ve engelli yolcuysam hangi haklarım var?</t>
        </is>
      </c>
      <c r="E231" s="29" t="inlineStr">
        <is>
          <t>AB 181/2011 Tüzüğü: programlı mesafe 250 km ve üzerindeyse, kalkışta 120 dakikadan uzun gecikme ya da iptalde iade veya alternatif yolculuk</t>
        </is>
      </c>
      <c r="F231" s="29" t="inlineStr">
        <is>
          <t>Evet: AB 181/2011 sayılı Tüzük, AB'de kalkış ya da varış noktası olan ve programlı mesafesi 250 km ve üzeri düzenli otobüs hatlarında yolcuya hak tanır; üye devletin muafiyet tanıdığı düzenli ulusal hatlar bunun dışında kalabilir. Kalkış 120 dakikadan fazla gecikirse ya da sefer iptal olursa taşıyıcı hemen iki seçenek sunar: ek ücretsiz devam ya da alternatif güzergâh, veya bilet bedelinin iadesi; seçenek sunulmazsa bilet fiyatının %50'si tutarında tazminat hakkın doğar. Süresi 3 saati aşan yolculukta kalkış 90 dakikadan fazla gecikirse ya da iptal olursa ücretsiz yiyecek-içecek ve gerekirse otel hakkın vardır. Engelli ve hareket kısıtlı yolcuya durak ve araçta ücretsiz yardım yapılır. Bagajda Tüzüğün tazminat hakkı yalnız otobüs kazasından doğan kayıp ya da hasarı kapsar; Tüzük tarifelerde yolcunun uyruğuna göre ayrımcılığı da yasaklar.</t>
        </is>
      </c>
      <c r="G231" s="29" t="inlineStr">
        <is>
          <t>otobüs, autobús, autocar, yolcu hakları, 181/2011, gecikme, iptal, bagaj, engelli, hareket kısıtlı, 250 km</t>
        </is>
      </c>
      <c r="H231" s="29" t="inlineStr">
        <is>
          <t>new;settled</t>
        </is>
      </c>
      <c r="I231" s="29" t="inlineStr">
        <is>
          <t>malaga:kaynak:112;malaga:kaynak:113</t>
        </is>
      </c>
      <c r="J231" s="49" t="n">
        <v>46319</v>
      </c>
      <c r="K231" s="51" t="n">
        <v>9086</v>
      </c>
      <c r="L231" s="29" t="inlineStr">
        <is>
          <t>Hayır</t>
        </is>
      </c>
      <c r="M231" s="29" t="inlineStr">
        <is>
          <t>Taslak</t>
        </is>
      </c>
      <c r="N231" s="29" t="inlineStr">
        <is>
          <t>malaga:ulasim</t>
        </is>
      </c>
      <c r="O231" s="29" t="inlineStr">
        <is>
          <t>Seferin programlı mesafesine bak: 250 km ve üzerindeyse Tüzüğün tamamı uygulanır; daha kısa hatlarda yalnız bazı maddeler (ayrımcılık yasağı, engelli yolcu hakları, bilgi, şikâyet mekanizması) uygulanır.
Kalkış 120 dakikadan fazla gecikir ya da sefer iptal olursa devam/alternatif güzergâh ile iade arasında seç; iade bilet bedelinin tamamını kapsar ve 14 gün içinde ödenir.
Seçenek sana sunulmadıysa taşıyıcıdan bilet fiyatının %50'si tutarında tazminat iste; taşıyıcı bunu talepten itibaren bir ay içinde öder.
Engelliysen ya da hareket kısıtlıysan yardım ihtiyacını taşıyıcıya, istasyon yöneticisine, seyahat acentesine ya da tur operatörüne en az 36 saat önce bildir ve taşıyıcının belirlediği noktada, belirlediği saatte hazır ol (saat belirlenmediyse kalkıştan en az 30 dakika önce); koltukla ilgili özel ihtiyacını rezervasyon ya da bilet alımı sırasında söyle.
Şikâyetini önce taşıyıcıya hizmetin verildiği ya da verilmesi gereken tarihten itibaren 3 ay içinde yap.</t>
        </is>
      </c>
      <c r="P231" s="29" t="n"/>
      <c r="Q231" s="29" t="inlineStr">
        <is>
          <t>Şikâyet: hizmet tarihinden itibaren 3 ay içinde taşıyıcıya; taşıyıcı 1 ay içinde durumu bildirir, nihai yanıt en geç 3 ay içinde verilir. Engelli yardımı: en az 36 saat önceden bildirim</t>
        </is>
      </c>
      <c r="R231" s="29" t="inlineStr">
        <is>
          <t>Otel gideri taşıyıcı tarafından geceliği 80 €, en çok iki geceyle sınırlanabilir (istasyon-otel ulaşımı bu sınıra dahil değildir)</t>
        </is>
      </c>
      <c r="S231" s="29" t="inlineStr">
        <is>
          <t>Bagaj: tazminat hakkı yalnız otobüs kazası sonucu bagaj kaybı ya da hasarı içindir ve ulusal hukuka göre belirlenir; ulusal hukukta konan üst sınır parça başına 1.200 €'dan az olamaz, tekerlekli sandalye ve benzeri ekipman hasarında yenileme ya da onarım bedeli ödenir. Aşırı hava koşulları ya da doğal afet nedeniyle gecikmede taşıyıcı konaklama sağlamakla yükümlü değildir. Üye devletler düzenli ulusal hatları en çok dört yıl, bir kez yenilenebilir süreyle Tüzüğün kapsamı dışında bırakabilir.</t>
        </is>
      </c>
      <c r="T231" s="29" t="n"/>
    </row>
    <row r="232" ht="54" customHeight="1">
      <c r="A232" s="29" t="inlineStr">
        <is>
          <t>malaga:hiz-siniri-alkol-ehliyet-puani</t>
        </is>
      </c>
      <c r="B232" s="29" t="inlineStr">
        <is>
          <t>malaga</t>
        </is>
      </c>
      <c r="C232" s="29" t="inlineStr">
        <is>
          <t>hiz-siniri-alkol-ehliyet-puani</t>
        </is>
      </c>
      <c r="D232" s="29" t="inlineStr">
        <is>
          <t>İspanya'da hız sınırları kaç, alkol sınırı nedir ve ehliyet puanı sistemi nasıl işler?</t>
        </is>
      </c>
      <c r="E232" s="29" t="inlineStr">
        <is>
          <t>Şehir içi 20/30/50 km/h; otoyolda otomobil 120, konvansiyonel yolda genelde 90; alkol 0,5 g/l kan, 0,25 mg/l nefes; ehliyet 12 puanla başlar</t>
        </is>
      </c>
      <c r="F232" s="29" t="inlineStr">
        <is>
          <t>Şehir içinde genel sınır yolun yapısına göre 20, 30 ya da 50 km/h'dir; şehir dışında otomobil ve motosiklet için otoyol ve otovíada 120, konvansiyonel yolda 90 km/h'dir; iki yönü fiziksel olarak ayrılmış konvansiyonel yolda yol sahibi otomobil, motosiklet ve 3.500 kg'a kadar karavan için 100 km/h sınırı koyabilir. Alkol sınırı kanda 0,5 gram/litre, nefeste 0,25 miligram/litredir; ağır vasıta, 9'dan fazla yolcu taşıyan, toplu taşıma ve benzeri araç sürücülerinde ve ehliyeti yeni alanlarda 2 yıl boyunca sınır 0,3 g/l kan, 0,15 mg/l nefestir. Ehliyet puanı genelde 12 ile başlar, ehliyeti yeni alanlar ve ehliyeti geri alanlar 8 ile başlar; puan sıfırlanırsa ehliyetin geçerliliğini yitirmesi işlemi başlar ve sürme yasağı bu kararın sana bildirilmesinden sonra başlar. Hız metni Real Decreto 1428/2003'ün BOE konsolide metnine (son güncelleme 26/06/2026; md. 48.1.b'deki değişiklik 01/10/2026'dan beri yürürlükte), puan bilgisi DGT sayfasına (22/09/2026) göredir.</t>
        </is>
      </c>
      <c r="G232" s="29" t="inlineStr">
        <is>
          <t>hız sınırı, alkol sınırı, ehliyet puanı, permiso por puntos, DGT, Reglamento General de Circulación, otoyol, autovía, 1428/2003</t>
        </is>
      </c>
      <c r="H232" s="29" t="inlineStr">
        <is>
          <t>new;settled</t>
        </is>
      </c>
      <c r="I232" s="29" t="inlineStr">
        <is>
          <t>malaga:kaynak:114;malaga:kaynak:115</t>
        </is>
      </c>
      <c r="J232" s="49" t="n">
        <v>46319</v>
      </c>
      <c r="K232" s="51" t="n">
        <v>9087</v>
      </c>
      <c r="L232" s="29" t="inlineStr">
        <is>
          <t>Hayır</t>
        </is>
      </c>
      <c r="M232" s="29" t="inlineStr">
        <is>
          <t>Taslak</t>
        </is>
      </c>
      <c r="N232" s="29" t="inlineStr">
        <is>
          <t>malaga:ulasim</t>
        </is>
      </c>
      <c r="O232" s="29" t="inlineStr">
        <is>
          <t>Şehir içinde yolun yapısına bak: tek yüzeyli (kaldırımla aynı seviyede) yolda 20, yön başına tek şeritli yolda 30, yön başına iki ya da daha fazla şeritli yolda 50 km/h.
Şehir dışında aracının türüne göre sınırı uygula: otomobil, motosiklet, 3.500 kg'a kadar karavan ve pick-up için otoyol/otovía 120, konvansiyonel yol 90 km/h; kamyon ve furgonlar için 90 ve 80; otobüsler için 100 ve 90.
Otobüste ayakta yolcu taşımaya izin varsa ya da otobüste emniyet kemeri yoksa şehir dışında yol türü ne olursa olsun sınır 80 km/h'dir. Okul ve çocuk taşıyan ya da tehlikeli madde taşıyan araçlarda yukarıdaki tablodaki sınır 10 km/h düşürülür (md. 48.1.b, 01/10/2026'dan beri).
Kanında 0,5 g/l ya da nefesinde 0,25 mg/l üzeri alkolle araç kullanma; ehliyeti yeni aldıysan ya da ağır vasıta sürüyorsan sınır 0,3 g/l ve 0,15 mg/l'dir.
Ehliyetinin puanını koru: ağır ihlallerde 2, 3, 4 ya da 6 puan düşer; 3 yıl ihlalsiz sürersen puanın artar.
Puanın sıfırlanırsa ve ehliyetin geçersiz sayıldığı bildirilirse araç sürme; bildirimden sonra sürmek suçtur.</t>
        </is>
      </c>
      <c r="P232" s="29" t="n"/>
      <c r="Q232" s="29" t="inlineStr">
        <is>
          <t>Puan bonusu: 3 yıl ihlalsiz +2 (14 puan), 3 yıl daha ihlalsiz +1 (en çok 15). Yeni sürücüler 2 yıl ihlalsiz sürerse 12 puana çıkar</t>
        </is>
      </c>
      <c r="R232" s="29" t="n"/>
      <c r="S232" s="29" t="inlineStr">
        <is>
          <t>Şehir içinde yetkili belediye genel sınırları işaretle düşürebilir; sınırlar bölgene ve yola göre işaretle değişebilir. Şehir içi otoyol ve otovíada genel sınır 80 km/h, travesíalarda (yerleşim içinden geçen şehirlerarası yol) 50 km/h'dir. Bir günde genel olarak en çok 8 puan kaybedilir; alkol ya da uyuşturucuyla sürme, testi reddetme, izin verilen hızı %50'den fazla aşma gibi çok ağır ihlallerde tüm puanlar tek günde gidebilir. Puanı sıfır olan ehliyetle, kayıp bildirildikten sonra araç sürmek 3-6 ay hapis, 12-24 ay gün-para cezası ya da 31-90 gün kamu yararına çalışma ile cezalandırılır.</t>
        </is>
      </c>
      <c r="T232" s="29" t="n"/>
    </row>
    <row r="233" ht="54" customHeight="1">
      <c r="A233" s="29" t="inlineStr">
        <is>
          <t>malaga:itv-arac-muayene-periyotlari</t>
        </is>
      </c>
      <c r="B233" s="29" t="inlineStr">
        <is>
          <t>malaga</t>
        </is>
      </c>
      <c r="C233" s="29" t="inlineStr">
        <is>
          <t>itv-arac-muayene-periyotlari</t>
        </is>
      </c>
      <c r="D233" s="29" t="inlineStr">
        <is>
          <t>İspanya'da ITV araç muayenesi kaç yılda bir yapılır?</t>
        </is>
      </c>
      <c r="E233" s="29" t="inlineStr">
        <is>
          <t>Otomobilde ilk 4 yıl muaf, 4 yıldan sonra 2 yılda bir, 10 yıldan sonra her yıl; periyot aracın türüne göre değişir (RD 920/2017 md. 6)</t>
        </is>
      </c>
      <c r="F233" s="29" t="inlineStr">
        <is>
          <t>İspanya'da tescilli bir otomobil (M1) ilk 4 yıl ITV'den muaftır; 4 yılı geçince 2 yılda bir, 10 yılı geçince her yıl muayeneye girer. Araç yaşı ilk tescil ya da hizmete giriş tarihinden hesaplanır. Motosiklet, hafif ticari araç (N1), otobüs, karavan römorku, taksi ve sürücü kursu araçlarında periyot farklıdır. Muayene sonucu olumluysa geçerlilik süresi, o tarihe periyodun eklenmesiyle bulunur; önceki muayenenin bitişine kalan son 30 takvim gününde yapılırsa süre eski bitiş tarihinden başlar. Bilgi, Real Decreto 920/2017 md. 6'nın BOE konsolide metnine (son güncelleme 18/09/2024) göredir.</t>
        </is>
      </c>
      <c r="G233" s="29" t="inlineStr">
        <is>
          <t>ITV, inspección técnica de vehículos, araç muayenesi, periyot, M1, otomobil, Real Decreto 920/2017, muayene sıklığı</t>
        </is>
      </c>
      <c r="H233" s="29" t="inlineStr">
        <is>
          <t>new;settled</t>
        </is>
      </c>
      <c r="I233" s="29" t="inlineStr">
        <is>
          <t>malaga:kaynak:116</t>
        </is>
      </c>
      <c r="J233" s="49" t="n">
        <v>46319</v>
      </c>
      <c r="K233" s="51" t="n">
        <v>9088</v>
      </c>
      <c r="L233" s="29" t="inlineStr">
        <is>
          <t>Hayır</t>
        </is>
      </c>
      <c r="M233" s="29" t="inlineStr">
        <is>
          <t>Taslak</t>
        </is>
      </c>
      <c r="N233" s="29" t="inlineStr">
        <is>
          <t>malaga:ulasim</t>
        </is>
      </c>
      <c r="O233" s="29" t="inlineStr">
        <is>
          <t>Aracının kategorisini ve ilk tescil tarihini belirle; yaş bu tarihten sayılır.
Otomobilsen (M1) 4. yıldan sonra 2 yılda bir, 10. yıldan sonra her yıl muayeneye gir.
Hafif ticari (N1), otobüs (M2, M3), motosiklet, taksi ya da sürücü kursu aracıysan kendi satırındaki periyodu uygula.
Muayeneyi yetkili ITV istasyonunda yaptır; istasyonları bulunduğu özerk topluluğun yetkili organı yetkilendirir.
Muayene süresini kaçırırsan ve kolluk fark ederse sana araca muayene yaptırman için 10 gün verilir; süre dolunca Jefatura de Tráfico (trafik idaresi) aracı resen kayıttan düşürme (baja) işlemini başlatır.</t>
        </is>
      </c>
      <c r="P233" s="29" t="n"/>
      <c r="Q233" s="29" t="inlineStr">
        <is>
          <t>Otomobil (M1): 4 yıla kadar muaf, 4 yıldan sonra 2 yılda bir, 10 yıldan sonra yıllık. Eksik muayene için kolluğun verdiği süre: 10 gün</t>
        </is>
      </c>
      <c r="R233" s="29" t="n"/>
      <c r="S233" s="29" t="inlineStr">
        <is>
          <t>Diğer periyotlar: ciclomotor (L1e) 3 yıla kadar muaf, sonra 2 yılda bir; diğer L (motosiklet, kuadrisiklet) 4 yıla kadar muaf, sonra 2 yılda bir; otobüs (M2, M3) 5 yıla kadar yıllık, sonra 6 aylık; hafif ticari (N1) 2 yıla kadar muaf, 2-6 yıl 2 yılda bir, 6-10 yıl yıllık, 10 yıldan sonra 6 aylık; çekilen karavan (O2) 6 yıla kadar muaf, sonra 2 yılda bir. Taksi, ambulans ve okul servisi olan M1 araçlar 5 yıla kadar yıllık, sonra 6 aylık; sürücü kursu araçlarında (M1, L) 2 yıla kadar muaf, 2-5 yıl yıllık, 5 yıldan sonra 6 aylık. Kaza sonrası önemli hasar ya da güvenlik sistemlerinde değişiklik olursa süreyi beklemeden muayene istenebilir. Ücret ve randevu bölgene göre değişir.</t>
        </is>
      </c>
      <c r="T233" s="29" t="n"/>
    </row>
    <row r="234" ht="54" customHeight="1">
      <c r="A234" s="29" t="inlineStr">
        <is>
          <t>malaga:ucus-gecikme-iptal-aesa-sikayet</t>
        </is>
      </c>
      <c r="B234" s="29" t="inlineStr">
        <is>
          <t>malaga</t>
        </is>
      </c>
      <c r="C234" s="29" t="inlineStr">
        <is>
          <t>ucus-gecikme-iptal-aesa-sikayet</t>
        </is>
      </c>
      <c r="D234" s="29" t="inlineStr">
        <is>
          <t>İspanya'dan kalkan uçuşum gecikir ya da iptal olursa tazminatı nasıl isterim, AESA'ya nasıl şikâyet ederim?</t>
        </is>
      </c>
      <c r="E234" s="29" t="inlineStr">
        <is>
          <t>Önce havayoluna yazılı şikâyet; bir ay yanıt yoksa AESA'ya ücretsiz; 3 saat ve üzeri gecikmede olağanüstü durum yoksa 250-600 € tazminat</t>
        </is>
      </c>
      <c r="F234" s="29" t="inlineStr">
        <is>
          <t>Önce havayoluna şikâyet et: olaydan sonra 5 yıl içinde yap; bir ay içinde yanıt gelmezse ya da yanıt yetersizse AESA'ya ücretsiz şikâyet edebilirsin. Nihai varış noktana 3 saat ya da daha geç ulaşırsan sabit tutarlı tazminat (250-600 €) hakkın doğar; havayolu gecikmenin kendi kontrolü dışındaki bir olağanüstü durumdan (ör. kontrolör grevi, kötü hava) kaynaklandığını kanıtlarsa tazminat ödemeyebilir. AESA yolu uçuş tarihi 02/06/2023 ve sonrası olan, İspanya'daki bir havalimanından kalkan yolcular için uyruğa bakılmaksızın açıktır; iptal, 3 saat ve üzeri gecikme, haksız biniş reddi, sınıf değişikliği ve hareket kısıtlı yolcuların hakları şikâyet konusudur. AESA kararı havayolunu bağlar, seni bağlamaz.</t>
        </is>
      </c>
      <c r="G234" s="29" t="inlineStr">
        <is>
          <t>AESA, uçuş gecikmesi, uçuş iptali, tazminat, 261/2004, yolcu hakları, şikâyet, resolución alternativa de litigios, havayolu şikâyeti</t>
        </is>
      </c>
      <c r="H234" s="29" t="inlineStr">
        <is>
          <t>new;settled</t>
        </is>
      </c>
      <c r="I234" s="29" t="inlineStr">
        <is>
          <t>malaga:kaynak:117;malaga:kaynak:118</t>
        </is>
      </c>
      <c r="J234" s="49" t="n">
        <v>46319</v>
      </c>
      <c r="K234" s="51" t="n">
        <v>9089</v>
      </c>
      <c r="L234" s="29" t="inlineStr">
        <is>
          <t>Hayır</t>
        </is>
      </c>
      <c r="M234" s="29" t="inlineStr">
        <is>
          <t>Taslak</t>
        </is>
      </c>
      <c r="N234" s="29" t="inlineStr">
        <is>
          <t>malaga:ulasim</t>
        </is>
      </c>
      <c r="O234" s="29" t="inlineStr">
        <is>
          <t>Havayoluna şikâyetini kendi başvuru kanalından (web sayfası, e-posta, şikâyet formu) ya da AESA'nın yolculara sunduğu havayolu şikâyet formuyla yap; olaydan 5 yıl geçmeden yap ve bileti ile belgeleri sakla.
Havayolundan bir ay içinde yanıt gelmezse ya da yanıt seni tatmin etmezse AESA'ya şikâyet et; bunu havayoluna şikâyet ettiğin tarihten itibaren 1 yıl içinde yap.
AESA'ya elektronik yoldan (dijital sertifika, Cl@ve Permanente ya da Cl@ve'i olmayan yabancılar için önceden kayıt gerektiren e4F; Cl@ve PIN imza vermediği için bununla başvuru baştan sona yapılamaz, çıktısını alıp postayla göndermen gerekir), yarı yüz yüze ya da kâğıtla başvur; yarı yüz yüze yolda imzalı formu 10 gün içinde AESA'ya ulaştır.
Başvuruya kimlik belgesi, biletler ve biniş kartları, havayolu yazışmaları ve varsa masraf faturalarını ekle.
AESA kararını bekle; karar, başvurunun tamamlanmasından itibaren 90 gün içinde sana ve havayoluna gönderilir.</t>
        </is>
      </c>
      <c r="P234" s="29" t="inlineStr">
        <is>
          <t>Şikâyet formu, havayoluna yapılan şikâyet ve varsa yanıt, tüm yolcuların kimlik belgeleri, bilet ve biniş kartları, varsa masraf faturaları</t>
        </is>
      </c>
      <c r="Q234" s="29" t="inlineStr">
        <is>
          <t>Havayoluna şikâyet: olaydan sonra 5 yıl; havayolunun yanıt süresi 1 ay; AESA şikâyeti: havayoluna şikâyetten sonra 1 yıl; AESA karar süresi: 90 gün; karara uyma süresi: 1 ay</t>
        </is>
      </c>
      <c r="R234" s="29" t="inlineStr">
        <is>
          <t>AESA şikâyeti ücretsizdir. Tazminat: 250-600 €</t>
        </is>
      </c>
      <c r="S234" s="29" t="inlineStr">
        <is>
          <t>Gecikme ya da iptalde havayolu olağanüstü durumu kanıtlasa da yiyecek, içecek, otel ve iletişim yardımı hakkın sürer; havayolunun kendi personelinin grevi ya da teknik sorunlar genelde olağanüstü durum sayılmaz. AB dışındaki bir havalimanından İspanya'ya gelen uçuşta AB havayolu taşıyorsa AESA yolu açıktır. Bagaj, hizmet kalitesi, taşıma sözleşmesi ve şartları, tarife ve vergiler, seyahat acentesi ve paket tur konuları AESA'nın bu şikâyet yoluna girmez; uçuş normal yapılıp yolcunun uçmamaya karar verdiği durumlar da girmez. Başka bir AB ülkesinden kalkan uçuşlar için o ülkenin yetkili kuruluşuna başvurulur. Önce mahkemeye başvurulursa AESA şikâyeti kabul edilmez. AESA sayfasında şikâyet sayısındaki artış nedeniyle çözüm sürelerinin uzadığı belirtiliyor. Hareket kısıtlı yolcu en çok iki hareketlilik ekipmanını ek ücretsiz taşıyabilir; ekipman özelliklerini rezervasyonda havayoluna bildirmesi gerekir.</t>
        </is>
      </c>
      <c r="T234" s="29" t="n"/>
    </row>
    <row r="235" ht="54" customHeight="1">
      <c r="A235" s="29" t="inlineStr">
        <is>
          <t>malaga:ada-ceuta-melilla-yerlesik-ucus-indirimi</t>
        </is>
      </c>
      <c r="B235" s="29" t="inlineStr">
        <is>
          <t>malaga</t>
        </is>
      </c>
      <c r="C235" s="29" t="inlineStr">
        <is>
          <t>ada-ceuta-melilla-yerlesik-ucus-indirimi</t>
        </is>
      </c>
      <c r="D235" s="29" t="inlineStr">
        <is>
          <t>Adalar, Ceuta ve Melilla ile anakara arasındaki uçuşlarda yerleşik indirimi var mı, Türk vatandaşı yararlanabilir mi?</t>
        </is>
      </c>
      <c r="E235" s="29" t="inlineStr">
        <is>
          <t>Doğrudan hatlarda %75 indirim; Türk vatandaşı için şart uzun dönem oturum ya da AB/AEA/İsviçre vatandaşının aile üyesi olarak oturum hakkı</t>
        </is>
      </c>
      <c r="F235" s="29" t="inlineStr">
        <is>
          <t>Evet: Canarias, Illes Balears, Ceuta ve Melilla'da ikamet eden hak sahipleri için bu bölgeler ile anakara arasındaki doğrudan düzenli uçuşlarda bonificación (indirim) %75'tir ve süresizdir. Türk vatandaşı üçüncü ülke vatandaşıdır; Ley 17/2012 DA 13ª, dört bölge için de aynı kuralla iki yoldan birini arar: ya "residente de larga duración" (uzun dönem oturum sahibi) olursun ya da İspanyol ya da AB/AEA/İsviçre vatandaşının, oturum hakkı ya da kalıcı oturum hakkı olan üçüncü ülke vatandaşı aile üyesisin. Her iki durumda bölgede ikamet ettiğini kanıtlaman gerekir. Yasanın saydığı hak sahipleri şunlardır: İspanyol vatandaşları, AB/AEA/İsviçre vatandaşları, bunların oturum hakkı ya da kalıcı oturum hakkı olan üçüncü ülke vatandaşı aile üyeleri ve uzun dönem oturumlu üçüncü ülke vatandaşları. İndirim, yerleşik kişinin kendi bölgesi ile anakara arasındaki doğrudan yolculuk içindir; uçakta adalar arası uçuşlarda da %75'tir.</t>
        </is>
      </c>
      <c r="G235" s="29" t="inlineStr">
        <is>
          <t>yerleşik indirimi, bonificación, %75, Canarias, Baleares, Ceuta, Melilla, residente de larga duración, uzun dönem oturum, uçuş indirimi, RD 949/2018</t>
        </is>
      </c>
      <c r="H235" s="29" t="inlineStr">
        <is>
          <t>new;settled</t>
        </is>
      </c>
      <c r="I235" s="29" t="inlineStr">
        <is>
          <t>malaga:kaynak:119;malaga:kaynak:120</t>
        </is>
      </c>
      <c r="J235" s="49" t="n">
        <v>46319</v>
      </c>
      <c r="K235" s="51" t="n">
        <v>9090</v>
      </c>
      <c r="L235" s="29" t="inlineStr">
        <is>
          <t>Hayır</t>
        </is>
      </c>
      <c r="M235" s="29" t="inlineStr">
        <is>
          <t>Taslak</t>
        </is>
      </c>
      <c r="N235" s="29" t="inlineStr">
        <is>
          <t>malaga:ulasim</t>
        </is>
      </c>
      <c r="O235" s="29" t="inlineStr">
        <is>
          <t>Bölgeni belirle: indirim Canarias, Illes Balears, Ceuta ve Melilla'da ikamet edenler için, kendi bölgen ile anakara arasındaki doğrudan yolculuklarda geçerlidir (adalar arası uçuşlarda da geçerlidir).
Doğrudan yolculuk seç: doğrudan gidiş yolculuğu, ara iniş olmayan ya da ara inişleri 12 saati aşmayan yolculuktur; hizmetin teknik ihtiyaçlarının ya da mücbir sebebin zorunlu kıldığı ara inişler bu süreye sayılmaz.
Türk vatandaşıysan dört bölgede de şu iki durumdan birinde olman gerekir: uzun dönem oturumlu (residente de larga duración) üçüncü ülke vatandaşı olmak ya da İspanyol ya da AB/AEA/İsviçre vatandaşının oturum hakkı olan üçüncü ülke vatandaşı aile üyesi olmak.
Bölgedeki ikametini yürürlükteki certificado de empadronamiento (belediye ikamet kaydı belgesi) ile kanıtla.
Kimliğini geçerli bir belgeyle kanıtla: uzun dönem oturumluysan statünün yazılı olduğu yabancı kimlik kartı, AB vatandaşının aile üyesiysen aile üyesi oturum kartı.
Hesapta tarife tutarından Ley 21/2003 art. 68.2 d, e, f'deki kamu mali yükümlülükleri düşülür.</t>
        </is>
      </c>
      <c r="P235" s="29" t="inlineStr">
        <is>
          <t>Yürürlükte certificado de empadronamiento; uzun dönem oturumlu için bu statünün yazılı olduğu geçerli yabancı kimlik kartı; AB vatandaşının aile üyesi için geçerli aile üyesi oturum kartı; İspanyol ve AB/AEA/İsviçre vatandaşları için geçerli nüfus cüzdanı (DNI) ya da pasaport</t>
        </is>
      </c>
      <c r="Q235" s="29" t="inlineStr">
        <is>
          <t>RD 949/2018: 29/07/2018'den itibaren yürürlükte, süresiz (carácter indefinido). Ley 17/2012 DA 13ª: %75 bonificación süresiz</t>
        </is>
      </c>
      <c r="R235" s="29" t="inlineStr">
        <is>
          <t>İndirim: %75</t>
        </is>
      </c>
      <c r="S235" s="29" t="inlineStr">
        <is>
          <t>Adalar arası (interinsular) uçuşlarda da %75'tir. Doğrudan gemi seferlerinde de %75 indirim vardır. Aynı yolculukta birden çok uyumlu indirim birikirse toplam indirim tarifenin %85'ini aşamaz.</t>
        </is>
      </c>
      <c r="T235" s="29" t="n"/>
    </row>
    <row r="236" ht="54" customHeight="1">
      <c r="A236" s="29" t="inlineStr">
        <is>
          <t>malaga:endulus-metropol-ulasim-konsorsiyum-kartlari-ve-interoperabilite</t>
        </is>
      </c>
      <c r="B236" s="29" t="inlineStr">
        <is>
          <t>malaga</t>
        </is>
      </c>
      <c r="C236" s="29" t="inlineStr">
        <is>
          <t>endulus-metropol-ulasim-konsorsiyum-kartlari-ve-interoperabilite</t>
        </is>
      </c>
      <c r="D236" s="29" t="inlineStr">
        <is>
          <t>Endülüs'te metropol ulaşım konsorsiyumlarının kartı başka konsorsiyumun alanında da geçer mi?</t>
        </is>
      </c>
      <c r="E236" s="29" t="inlineStr">
        <is>
          <t>Kartlar konsorsiyumlar arasında kullanılabilir (interoperabilidad); başka bir alanda tarife o alanın konsorsiyumunun çerçevesine bağlıdır</t>
        </is>
      </c>
      <c r="F236" s="29" t="inlineStr">
        <is>
          <t>Evet, kartlar birbirinin alanında kullanılabilir (interoperabilidad). Endülüs'te birden çok metropol ulaşım konsorsiyumu vardır ve her biri kendi alanında kendi tarife çerçevesini belirler. Başka bir konsorsiyumun alanında kullanırken o konsorsiyumun belirlediği tarifeler geçerlidir.</t>
        </is>
      </c>
      <c r="G236" s="29" t="inlineStr">
        <is>
          <t>ulaşım kartı, Consorcio de Transporte, interoperatividad, tarjeta de transporte, metropol ulaşım, salto, bono</t>
        </is>
      </c>
      <c r="H236" s="29" t="inlineStr">
        <is>
          <t>new;settled</t>
        </is>
      </c>
      <c r="I236" s="29" t="inlineStr">
        <is>
          <t>malaga:kaynak:138;malaga:kaynak:139</t>
        </is>
      </c>
      <c r="J236" s="49" t="n">
        <v>46319</v>
      </c>
      <c r="K236" s="51" t="n">
        <v>9102</v>
      </c>
      <c r="L236" s="29" t="inlineStr">
        <is>
          <t>Hayır</t>
        </is>
      </c>
      <c r="M236" s="29" t="inlineStr">
        <is>
          <t>Taslak</t>
        </is>
      </c>
      <c r="N236" s="29" t="inlineStr">
        <is>
          <t>malaga:ulasim</t>
        </is>
      </c>
      <c r="O236" s="29" t="inlineStr">
        <is>
          <t>Başka bir Endülüs metropol alanına gittiğinde kartını oradaki ulaşımda da kullanabilirsin; orada o alanın konsorsiyumunun belirlediği tarife uygulanır.</t>
        </is>
      </c>
      <c r="P236" s="29" t="n"/>
      <c r="Q236" s="29" t="n"/>
      <c r="R236" s="29" t="n"/>
      <c r="S236" s="29" t="inlineStr">
        <is>
          <t>Tarife ve kart kuralları konsorsiyumdan konsorsiyuma değişir; belirli bir konsorsiyuma ait tutarlar ve kurallar bu kartta yer almaz.</t>
        </is>
      </c>
      <c r="T236" s="29" t="n"/>
    </row>
    <row r="237" ht="54" customHeight="1">
      <c r="A237" s="29" t="inlineStr">
        <is>
          <t>malaga:emt-otobus-temassiz-banka-karti-ile-odeme</t>
        </is>
      </c>
      <c r="B237" s="29" t="inlineStr">
        <is>
          <t>malaga</t>
        </is>
      </c>
      <c r="C237" s="29" t="inlineStr">
        <is>
          <t>emt-otobus-temassiz-banka-karti-ile-odeme</t>
        </is>
      </c>
      <c r="D237" s="29" t="inlineStr">
        <is>
          <t>EMT otobüsünde temassız banka kartı ya da telefonla bilet nasıl alınır, kart reddedilirse ne olur?</t>
        </is>
      </c>
      <c r="E237" s="29" t="inlineStr">
        <is>
          <t>Visa ve Mastercard, yalnız binerken okutulur; tekil bilet 1,40 euro</t>
        </is>
      </c>
      <c r="F237" s="29" t="inlineStr">
        <is>
          <t>Temassız ve PIN'siz ödemeye açık Visa ya da Mastercard kartını (ya da telefona tanımlı halini) sürücüye en yakın okuyucuya yaklaştırarak tekil bileti ya da havalimanı biletini alırsın; okutmayı yalnız binerken yaparsın, inerken yapmazsın. İşlem olduysa okuyucu yeşil yanar ve ekranda "Aceptado. Buen viaje" yazar; olmadıysa kırmızı yanar ve "Tarjeta denegada" çıkar. Kart bozuksa ya da reddedilirse sürücüye söyle, çözülmezse nakit öde; nakdin ya da çalışan başka bir kartın yoksa otobüsten inmen gerekir. Yanındakilerin biletini de aynı kartla alabilirsin, bilet başına bir okutma yaparsın ve bir otobüste aynı kartla en çok 10 okutma geçer.</t>
        </is>
      </c>
      <c r="G237" s="29" t="inlineStr">
        <is>
          <t>EMT Málaga, temassız ödeme, banka kartıyla otobüs, contactless, tekil bilet, Visa Mastercard, validadora</t>
        </is>
      </c>
      <c r="H237" s="29" t="inlineStr">
        <is>
          <t>new;settled</t>
        </is>
      </c>
      <c r="I237" s="29" t="inlineStr">
        <is>
          <t>malaga:kaynak:256;malaga:kaynak:227</t>
        </is>
      </c>
      <c r="J237" s="49" t="n">
        <v>46322</v>
      </c>
      <c r="K237" s="51" t="n">
        <v>1000</v>
      </c>
      <c r="L237" s="29" t="inlineStr">
        <is>
          <t>Evet</t>
        </is>
      </c>
      <c r="M237" s="29" t="inlineStr">
        <is>
          <t>Taslak</t>
        </is>
      </c>
      <c r="N237" s="29" t="inlineStr">
        <is>
          <t>malaga:ulasim</t>
        </is>
      </c>
      <c r="O237" s="29" t="inlineStr">
        <is>
          <t>Kartını çantandan ya da cüzdanından çıkar ve sürücüye en yakın okuyucuya bir santimetreden az mesafede tut.
Binerken bir kez okut; inerken tekrar okutma.
Ekranda yeşil ışığı ve "Aceptado. Buen viaje" mesajını bekle.
"Tarjeta denegada" çıkarsa bir kez daha dene; yine reddedilirse nakitle ya da başka bir kartla öde.
Birkaç kişinin biletini alıyorsan her bilet için bir kez okut; herkes farklı yerde inecekse kartın sahibi otobüsten en son inmeli.</t>
        </is>
      </c>
      <c r="P237" s="29" t="inlineStr">
        <is>
          <t>Temassız (contactless) ve PIN'siz ödemeye açık Visa ya da Mastercard banka kartı ya da telefona tanımlanmış hali</t>
        </is>
      </c>
      <c r="Q237" s="29" t="n"/>
      <c r="R237" s="29" t="inlineStr">
        <is>
          <t>Tekil bilet 1,40 euro; havalimanı hattı L-A bileti 4 euro (tarifeler 2025'ten beri geçerli, 2026 boyunca sürüyor)</t>
        </is>
      </c>
      <c r="S237" s="29" t="inlineStr">
        <is>
          <t>Maestro kartlarda Mastercard kuralı gereği 20 euro bloke edilir; süre kartı veren bankaya göre değişir, sonra bilet tutarı çekilip kalan iade edilir. Yeni ya da yenilenmiş kart, önce çip ve PIN ile bir işlem yapılana kadar temassız çalışmayabilir. Ödeme sonrası kâğıt makbuz verilmez; localizador ve bağlantı içeren bir bilet verilir, bağlantıdan elektronik makbuz indirirsin. Fatura için clientes@emtsam.es adresine ad-soyadını ya da ticari unvanını, adresini, NIF/CIF numaranı, tarihi, saati, otobüsü ve ödemede kullandığın kartın son 4 hanesini yaz.</t>
        </is>
      </c>
      <c r="T237" s="29" t="n"/>
    </row>
    <row r="238" ht="54" customHeight="1">
      <c r="A238" s="29" t="inlineStr">
        <is>
          <t>malaga:consorcio-kartiyla-aktarma-suresi-ve-ucreti</t>
        </is>
      </c>
      <c r="B238" s="29" t="inlineStr">
        <is>
          <t>malaga</t>
        </is>
      </c>
      <c r="C238" s="29" t="inlineStr">
        <is>
          <t>consorcio-kartiyla-aktarma-suresi-ve-ucreti</t>
        </is>
      </c>
      <c r="D238" s="29" t="inlineStr">
        <is>
          <t>Málaga'da Consorcio kartıyla aktarma (transbordo) kaç dakika içinde yapılır ve ne kadar tutar?</t>
        </is>
      </c>
      <c r="E238" s="29" t="inlineStr">
        <is>
          <t>Süre salto sayısına göre 50 ile 150 dakika; aktarma ücreti Autobús/Metro için 0,39 euro</t>
        </is>
      </c>
      <c r="F238" s="29" t="inlineStr">
        <is>
          <t>Consorcio kartıyla yolculuğunu etaplara bölersen ikinci etap, koşulları sağlıyorsa aktarma sayılır. İzin verilen süre salto sayısına göre değişir: 0 salto için 50, 1 için 70, 2 için 90, 3 için 110, 4 için 130, 5 için 150 dakika; şehirlerarası otobüste makinenin verdiği bilet izin verilen aktarma süresini gösterir. Tüm yolculuğun bedeli, aktarma ücreti ile yolculuğun en pahalı etabının tarifesinin toplamıdır. Tarife tablosunda (15 Temmuz-31 Aralık 2026) aktarma ücreti Autobús/Metro için 0,39, EMT için 0,52, Cercanías için 0,65 euro. EMT'nin şehir içi hatları arasında ise ikinci etaptan itibaren, ilk şehir içi etaptan sonraki bir saat boyunca sınırsız ve ücretsiz aktarma yaparsın.</t>
        </is>
      </c>
      <c r="G238" s="29" t="inlineStr">
        <is>
          <t>Consorcio, aktarma, transbordo, salto, EMT, şehirlerarası otobüs, ulaşım kartı</t>
        </is>
      </c>
      <c r="H238" s="29" t="inlineStr">
        <is>
          <t>new;settled</t>
        </is>
      </c>
      <c r="I238" s="29" t="inlineStr">
        <is>
          <t>malaga:kaynak:231;malaga:kaynak:229</t>
        </is>
      </c>
      <c r="J238" s="49" t="n">
        <v>46322</v>
      </c>
      <c r="K238" s="51" t="n">
        <v>1001</v>
      </c>
      <c r="L238" s="29" t="inlineStr">
        <is>
          <t>Hayır</t>
        </is>
      </c>
      <c r="M238" s="29" t="inlineStr">
        <is>
          <t>Taslak</t>
        </is>
      </c>
      <c r="N238" s="29" t="inlineStr">
        <is>
          <t>malaga:ulasim</t>
        </is>
      </c>
      <c r="O238" s="29" t="inlineStr">
        <is>
          <t>İlk etapta kartını okut. Aktarma süresi salto sayısına göre değişir: 0 salto 50 dakika, 1 salto 70, 2 salto 90, 3 salto 110, 4 salto 130, 5 salto 150; şehirlerarası otobüste makinenin verdiği bilet izin verilen aktarma süresini gösterir.
Süre dolmadan, önceki etapta bindiğinden farklı bir hatta bin ve kartını yeniden okut; aynı hatta geri binmek aktarma sayılmaz.
Aktarma etabının salto sayısı kartında tanımlı salto sayısını aşmamalı; önceki etapta birlikte yolculuk edenlerden fazla kişiyle de binmemelisin.
EMT şehir içi hatları arasında değişiyorsan ikinci etaptan itibaren bir saat içinde kartını okutman yeterli, ek ücret ödemezsin.</t>
        </is>
      </c>
      <c r="P238" s="29" t="inlineStr">
        <is>
          <t>Consorcio ulaşım kartı</t>
        </is>
      </c>
      <c r="Q238" s="29" t="inlineStr">
        <is>
          <t>Aktarma süresi 50-150 dakika (salto sayısına göre)</t>
        </is>
      </c>
      <c r="R238" s="29" t="inlineStr">
        <is>
          <t>Aktarma ücreti tarife tablosunda (15 Temmuz-31 Aralık 2026) Autobús/Metro 0,39, EMT 0,52, Cercanías 0,65 euro; EMT hatları arasında ilk saat ücretsiz</t>
        </is>
      </c>
      <c r="S238" s="29" t="inlineStr">
        <is>
          <t>Tüm yolculuğun toplam bedeli, en pahalı etabın ücretine aktarma ücretinin eklenmesiyle bulunur; iki etabın ücretleri ayrı ayrı toplanmaz.</t>
        </is>
      </c>
      <c r="T238" s="29" t="n"/>
    </row>
    <row r="239" ht="54" customHeight="1">
      <c r="A239" s="29" t="inlineStr">
        <is>
          <t>malaga:sehirlerarasi-otobus-ucretleri-salto-tablosu-2026</t>
        </is>
      </c>
      <c r="B239" s="29" t="inlineStr">
        <is>
          <t>malaga</t>
        </is>
      </c>
      <c r="C239" s="29" t="inlineStr">
        <is>
          <t>sehirlerarasi-otobus-ucretleri-salto-tablosu-2026</t>
        </is>
      </c>
      <c r="D239" s="29" t="inlineStr">
        <is>
          <t>Málaga'dan çevre ilçelere şehirlerarası otobüs (Consorcio) ne kadar tutar, ücret salto sayısına göre nasıl değişir?</t>
        </is>
      </c>
      <c r="E239" s="29" t="inlineStr">
        <is>
          <t>2026'da nakit 1,60-6,25 euro, kartla 0,62-4,65 euro; ücret salto sayısına göre</t>
        </is>
      </c>
      <c r="F239" s="29" t="inlineStr">
        <is>
          <t>Şehirlerarası otobüs ücreti, varış noktana göre belirlenen salto sayısına (0'dan 5'e) bağlıdır; sürücüye varış noktanı söylersin, makine tutarı düşer. 2026'da nakit tekil bilet 0 salto için 1,60, 1 salto 1,75, 2 salto 2,50, 3 salto 3,75, 4 salto 6,25 euro; ulaşım kartıyla (monedero) aynı mesafeler 0,62, 0,71, 0,95, 1,55 ve 3,07 euro, 5 saltoda yalnız kartla 4,65 euro. Kart tarifesine 2026 için %40 indirim uygulanıyor, tekil bilet fiyatları değişmedi. Fiyatlara KDV ve zorunlu yolcu sigortası dahildir. Kartı Consorcio'ya bağlı herhangi bir satış noktasından alırsın; kart alımında 1,50 euro işlem bedeli alınır, kart en az 5 euro ile yüklenir ve bakiye 500 euroyu geçemez.</t>
        </is>
      </c>
      <c r="G239" s="29" t="inlineStr">
        <is>
          <t>Consorcio, şehirlerarası otobüs, salto, monedero, ulaşım kartı, Málaga çevre ilçeler, tarife 2026</t>
        </is>
      </c>
      <c r="H239" s="29" t="inlineStr">
        <is>
          <t>new;settled</t>
        </is>
      </c>
      <c r="I239" s="29" t="inlineStr">
        <is>
          <t>malaga:kaynak:253;malaga:kaynak:229</t>
        </is>
      </c>
      <c r="J239" s="49" t="n">
        <v>46322</v>
      </c>
      <c r="K239" s="51" t="n">
        <v>1002</v>
      </c>
      <c r="L239" s="29" t="inlineStr">
        <is>
          <t>Hayır</t>
        </is>
      </c>
      <c r="M239" s="29" t="inlineStr">
        <is>
          <t>Taslak</t>
        </is>
      </c>
      <c r="N239" s="29" t="inlineStr">
        <is>
          <t>malaga:ulasim</t>
        </is>
      </c>
      <c r="O239" s="29" t="inlineStr">
        <is>
          <t>Kartın yoksa Consorcio'ya bağlı bir satış noktasından al (kart alımında 1,50 euro işlem bedeli) ve en az 5 euro yükle; kart bakiyesi 500 euroyu geçemez.
Şehirlerarası otobüse binince sürücüye varış noktanı söyle.
Ulaşım kartını makinenin okuyucusuna yaklaştır; makine tutarı varış noktana göre düşer ve tutarı ile aktarma süresini gösteren bir bilet verir.
Birlikte yolculuk edenler için aynı kartı kullanacaksan okutmaları ilk okutmadan sonraki 3 dakika içinde yap; aynı kartla en çok 15 kişi ödeyebilir.
Kart ya da makine çalışmazsa sürücüye söyle: tekil bilet bedelini nakit ödersin ve "billete compensable" verilir.</t>
        </is>
      </c>
      <c r="P239" s="29" t="inlineStr">
        <is>
          <t>Ulaşım kartı (tarjeta de transporte) ya da nakit</t>
        </is>
      </c>
      <c r="Q239" s="29" t="inlineStr">
        <is>
          <t>Kart ya da makine arızasında fark, en geç üç ay içinde kartı yüklediğinde veya tanımını değiştirdiğinde iade edilir</t>
        </is>
      </c>
      <c r="R239" s="29" t="inlineStr">
        <is>
          <t>Nakit tekil bilet: 0 salto 1,60; 1 salto 1,75; 2 salto 2,50; 3 salto 3,75; 4 salto 6,25 euro. Kartla: 0,62; 0,71; 0,95; 1,55; 3,07; 5 salto 4,65 euro (2026). Kart alımında işlem bedeli 1,50 euro; ilk yükleme en az 5 euro; kart bakiyesi en çok 500 euro</t>
        </is>
      </c>
      <c r="S239" s="29" t="inlineStr">
        <is>
          <t>Antequera, Sevilla, Córdoba yönü gibi Sierra de las Nieves hatlarında (M-253 Málaga-Antequera ve M-257 Málaga-Sevilla gibi) ücret kartta tanımlı salto sayısına (0, 1, 2 ya da 3) göre düşer; tanımı kartı alırken ya da yüklerken satış noktasında yaptırırsın; salto sayısını değiştirme ve yükleme işlemleri tütün bayilerinde (estanco), kiosklarda ve kitapçılarda da yapılır. Tarjeta Joven kartında 1 Ocak 2012 ile 31 Aralık 2026 arasında doğanlar için yüklemeler ücretsizdir, 30 yaşından küçük diğer Joven kart sahiplerine yüklemede ek %25 bonus verilir.</t>
        </is>
      </c>
      <c r="T239" s="29" t="n"/>
    </row>
    <row r="240" ht="54" customHeight="1">
      <c r="A240" s="29" t="inlineStr">
        <is>
          <t>malaga:buho-m-168-ve-caminito-del-rey-m-347-ozel-tarifeleri</t>
        </is>
      </c>
      <c r="B240" s="29" t="inlineStr">
        <is>
          <t>malaga</t>
        </is>
      </c>
      <c r="C240" s="29" t="inlineStr">
        <is>
          <t>buho-m-168-ve-caminito-del-rey-m-347-ozel-tarifeleri</t>
        </is>
      </c>
      <c r="D240" s="29" t="inlineStr">
        <is>
          <t>Málaga-Rincón de la Victoria Búho hattı (M-168) ile Caminito del Rey otobüsü (M-347) kaç euro?</t>
        </is>
      </c>
      <c r="E240" s="29" t="inlineStr">
        <is>
          <t>Consorcio'nun özel tarifeli iki hattı: M-168 tekil 3,50 euro, M-347 günlük bilet 2,50 euro</t>
        </is>
      </c>
      <c r="F240" s="29" t="inlineStr">
        <is>
          <t>M-168 Málaga-Rincón de la Victoria-Cotomar (Búho) hattında tekil bilet 3,50 euro, ulaşım kartıyla 1,50 euro; M-347 Caminito del Rey/El Chorro-El Kiosco hattında günlük sınırsız yolculuk bileti 2,50 euro. Bu hatlar, Consorcio'nun normal salto tablosundan ayrı özel tarife uyguladığı hatlardandır. M-347'de nakit tek yolculuk 1,60 euro, ulaşım kartıyla tek yolculuk 0,52 euro. Tutarlar 15 Temmuz-31 Aralık 2026 tarifesinden.</t>
        </is>
      </c>
      <c r="G240" s="29" t="inlineStr">
        <is>
          <t>Búho M-168, Caminito del Rey otobüsü, M-347, Rincón de la Victoria, Consorcio özel tarife, El Chorro</t>
        </is>
      </c>
      <c r="H240" s="29" t="inlineStr">
        <is>
          <t>planning;new;settled</t>
        </is>
      </c>
      <c r="I240" s="29" t="inlineStr">
        <is>
          <t>malaga:kaynak:231</t>
        </is>
      </c>
      <c r="J240" s="49" t="n">
        <v>46322</v>
      </c>
      <c r="K240" s="51" t="n">
        <v>1003</v>
      </c>
      <c r="L240" s="29" t="inlineStr">
        <is>
          <t>Hayır</t>
        </is>
      </c>
      <c r="M240" s="29" t="inlineStr">
        <is>
          <t>Taslak</t>
        </is>
      </c>
      <c r="N240" s="29" t="inlineStr">
        <is>
          <t>malaga:ulasim</t>
        </is>
      </c>
      <c r="O240" s="29" t="inlineStr">
        <is>
          <t>M-168 ile Rincón de la Victoria ya da Cotomar'a gidiyorsan tekil bilet 3,50 euro, ulaşım kartıyla 1,50 euro.
Caminito del Rey tarafında M-347 ile El Chorro ile El Kiosco arasında bir günde birkaç kez bineceksen 2,50 euroluk günlük bileti al.
Tek yolculuk yapacaksan M-347'de nakit 1,60 euro, ulaşım kartıyla 0,52 euro öde.</t>
        </is>
      </c>
      <c r="P240" s="29" t="n"/>
      <c r="Q240" s="29" t="n"/>
      <c r="R240" s="29" t="inlineStr">
        <is>
          <t>M-168: tekil 3,50 euro, kartla 1,50 euro. M-347: günlük bilet 2,50 euro, nakit tek yolculuk 1,60 euro, kartla 0,52 euro (15 Temmuz-31 Aralık 2026)</t>
        </is>
      </c>
      <c r="S240" s="29" t="n"/>
      <c r="T240" s="29" t="n"/>
    </row>
    <row r="241" ht="54" customHeight="1">
      <c r="A241" s="29" t="inlineStr">
        <is>
          <t>malaga:emt-tarjeta-oro-yillik-abonman-ve-musteri-hizmetleri-ofisi</t>
        </is>
      </c>
      <c r="B241" s="29" t="inlineStr">
        <is>
          <t>malaga</t>
        </is>
      </c>
      <c r="C241" s="29" t="inlineStr">
        <is>
          <t>emt-tarjeta-oro-yillik-abonman-ve-musteri-hizmetleri-ofisi</t>
        </is>
      </c>
      <c r="D241" s="29" t="inlineStr">
        <is>
          <t>Málaga'da emekli kartı (Tarjeta Oro) ve 174 euroluk yıllık otobüs abonmanı için EMT'nin hangi ofisine gidersin?</t>
        </is>
      </c>
      <c r="E241" s="29" t="inlineStr">
        <is>
          <t>Alameda Principal 47; Oro ücretsiz yüklemesi ve yıllık abonman yalnız bu ofiste</t>
        </is>
      </c>
      <c r="F241" s="29" t="inlineStr">
        <is>
          <t>Tarjeta Oro'nun ücretsiz yüklemesini ve yıllık abonmanı (Tarjeta Anual) EMT'nin tarihî merkezdeki Centro de Atención al Cliente'sinden alırsın: Alameda Principal 47, 29001 Málaga. Ücretsiz Oro yüklemesi yalnız bu ofiste verilir ve son geçerlilik tarihine kadar sınırsız yolculuk sağlar; yıllık abonman 174 euro, satın alındığı günden itibaren 1 yıl sınırsız yolculuk verir ve kendiliğinden yenilenmez. Oro Jubilado 10 yüklemesi aylık sınırsız 5,95 euro, Oro Jubilado 27 yüklemesi aylık sınırsız 16,20 euro. Ücretsiz Oro yüklemesi ve yıllık abonman EMT'nin koşullarına bağlıdır. Tarjeta Oro, Málaga Capital'de empadronado (belediye ikamet kaydı olan) 65 yaş ve üstü emeklilere, Sosyal Güvenlik'ten mutlak sürekli maluliyet aylığı alanlara ve %65 ve üzeri engelli 18 yaş üstü kişilere verilir. Oro yüklemeleri Tarjeta Oro'ya yapılır ve yalnız kart sahibi için geçerlidir; yüklemeler havalimanı hattı L-A ile özel servislerde geçmez.</t>
        </is>
      </c>
      <c r="G241" s="29" t="inlineStr">
        <is>
          <t>Tarjeta Oro, EMT yıllık abonman, Tarjeta Anual, Alameda Principal 47, Centro de Atención al Cliente, emekli otobüs kartı</t>
        </is>
      </c>
      <c r="H241" s="29" t="inlineStr">
        <is>
          <t>new;settled</t>
        </is>
      </c>
      <c r="I241" s="29" t="inlineStr">
        <is>
          <t>malaga:kaynak:258;malaga:kaynak:227;malaga:kaynak:438</t>
        </is>
      </c>
      <c r="J241" s="49" t="n">
        <v>46322</v>
      </c>
      <c r="K241" s="51" t="n">
        <v>1004</v>
      </c>
      <c r="L241" s="29" t="inlineStr">
        <is>
          <t>Hayır</t>
        </is>
      </c>
      <c r="M241" s="29" t="inlineStr">
        <is>
          <t>Taslak</t>
        </is>
      </c>
      <c r="N241" s="29" t="inlineStr">
        <is>
          <t>malaga:ulasim</t>
        </is>
      </c>
      <c r="O241" s="29" t="inlineStr">
        <is>
          <t>Alameda Principal 47'deki Centro de Atención al Cliente'ye hafta içi, resmî tatil olmayan bir günde git; normal saatler 9:00-13:30 ve 17:00-19:00.
Temmuz-Ağustos'ta ofis 8:30-14:30 arasında açıktır; Semana Santa-Feria de Málaga haftasında, 24-31 Aralık ve 5 Ocak'ta 9:00-13:30. Feria haftası Temmuz-Ağustos'a rastlarsa gideceğin gün için önce 900 922 404'ü arayıp saati sor.
Tarjeta Oro ya da yıllık abonman yüklemesini orada yaptır; yıllık abonmanın koşulları ve gereken belgeler için 900 922 404 veya 952 367 200 numaralarını ara ya da clientes@emtsam.es adresine yaz.</t>
        </is>
      </c>
      <c r="P241" s="29" t="n"/>
      <c r="Q241" s="29" t="inlineStr">
        <is>
          <t>Yıllık abonman satın alındığı günden itibaren 1 yıl geçerli, kendiliğinden yenilenmez</t>
        </is>
      </c>
      <c r="R241" s="29" t="inlineStr">
        <is>
          <t>Oro gratuita: ücretsiz; Oro Jubilado 10: 5,95 euro (1 ay); Oro Jubilado 27: 16,20 euro (1 ay); yıllık abonman: 174 euro (2026)</t>
        </is>
      </c>
      <c r="S241" s="29" t="inlineStr">
        <is>
          <t>Ofiste sıra numarası dağıtımı, içerideki yoğunluğa göre kısıtlanabilir.</t>
        </is>
      </c>
      <c r="T241" s="29" t="n"/>
    </row>
    <row r="242" ht="54" customHeight="1">
      <c r="A242" s="29" t="inlineStr">
        <is>
          <t>malaga:emt-ucretsiz-yolculuk-yas-sinirlari-ve-kart-turleri</t>
        </is>
      </c>
      <c r="B242" s="29" t="inlineStr">
        <is>
          <t>malaga</t>
        </is>
      </c>
      <c r="C242" s="29" t="inlineStr">
        <is>
          <t>emt-ucretsiz-yolculuk-yas-sinirlari-ve-kart-turleri</t>
        </is>
      </c>
      <c r="D242" s="29" t="inlineStr">
        <is>
          <t>Málaga EMT otobüslerinde hangi yaştakiler ücretsiz biner; Estudiante, Joven ve Oro kartları kimler için?</t>
        </is>
      </c>
      <c r="E242" s="29" t="inlineStr">
        <is>
          <t>3 yaş altı ve 3-14 yaş ücretsiz; Estudiante 16 altı, Joven 16-25, Oro 65 ve üstü</t>
        </is>
      </c>
      <c r="F242" s="29" t="inlineStr">
        <is>
          <t>3 yaşından küçük çocuklar bilet almaz; 3 ile 14 yaş arasındaki çocuklar (ikisi dahil) 1 Temmuz 2025'ten beri EMT otobüslerinde ücretsiz biner. Düzenli binenler için EMT yaşa göre kart öneriyor: 16 yaşından küçükler için Tarjeta de Estudiante, 16-25 yaş arası için Tarjeta Joven, 65 yaş ve üstü ile Sosyal Güvenlik'ten mutlak sürekli maluliyet (Invalidez Permanente Absoluta) aylığı alanlar için Tarjeta Oro. Estudiante ve Joven kartlarına aylık sınırsız yükleme ya da yolculukları normal fiyatıyla yükleyebilirsin; Oro kartı yıllık sınırsız geçerlidir.</t>
        </is>
      </c>
      <c r="G242" s="29" t="inlineStr">
        <is>
          <t>EMT ücretsiz çocuk, Tarjeta Joven, Tarjeta Estudiante, Tarjeta Oro, 65 yaş, otobüs indirimi, Málaga</t>
        </is>
      </c>
      <c r="H242" s="29" t="inlineStr">
        <is>
          <t>planning;new;settled</t>
        </is>
      </c>
      <c r="I242" s="29" t="inlineStr">
        <is>
          <t>malaga:kaynak:228;malaga:kaynak:227;malaga:kaynak:437</t>
        </is>
      </c>
      <c r="J242" s="49" t="n">
        <v>46322</v>
      </c>
      <c r="K242" s="51" t="n">
        <v>1005</v>
      </c>
      <c r="L242" s="29" t="inlineStr">
        <is>
          <t>Evet</t>
        </is>
      </c>
      <c r="M242" s="29" t="inlineStr">
        <is>
          <t>Taslak</t>
        </is>
      </c>
      <c r="N242" s="29" t="inlineStr">
        <is>
          <t>malaga:ulasim</t>
        </is>
      </c>
      <c r="O242" s="29" t="inlineStr">
        <is>
          <t>3 yaşından küçük bir çocukla biniyorsan çocuk için bilet alma.
3-14 yaş arası çocuk için de ücret ödemezsin; 14 yaş dahildir.
Yaşına göre kartı seç: 16 yaşından küçükse Estudiante, 16-25 arasıysa Joven, 65 ve üstüyse (ya da mutlak sürekli maluliyet aylığı alıyorsan) Oro.
13,50 euroluk aylık indirimli yükleme Tarjeta Estudiante, Tarjeta Joven ya da UMA kartına yapılır, EMT'nin koşullarına bağlıdır ve yalnız kart sahibi için geçerlidir; kartın yoksa önce kartı çıkartman gerekir. Tarjeta Joven 16-30 yaş arası alınabilir, ama EMT otobüs indirimi 25 yaş dahil geçerlidir.</t>
        </is>
      </c>
      <c r="P242" s="29" t="n"/>
      <c r="Q242" s="29" t="n"/>
      <c r="R242" s="29" t="inlineStr">
        <is>
          <t>3 yaş altı ve 3-14 yaş çocuklar: ücretsiz</t>
        </is>
      </c>
      <c r="S242" s="29" t="inlineStr">
        <is>
          <t>Tarjeta Estudiante, Joven ve UMA kartlarına aylık indirimli (bonifiye) yükleme 13,50 euro; bu yükleme EMT'nin koşullarına bağlıdır ve yalnız kart sahibi için geçerlidir. Tarjeta Joven'de EMT otobüs indirimi 25 yaş dahil geçerlidir.</t>
        </is>
      </c>
      <c r="T242" s="29" t="n"/>
    </row>
    <row r="243" ht="54" customHeight="1">
      <c r="A243" s="29" t="inlineStr">
        <is>
          <t>malaga:emt-karti-yukleme-noktalari-ve-nfc-recarga</t>
        </is>
      </c>
      <c r="B243" s="29" t="inlineStr">
        <is>
          <t>malaga</t>
        </is>
      </c>
      <c r="C243" s="29" t="inlineStr">
        <is>
          <t>emt-karti-yukleme-noktalari-ve-nfc-recarga</t>
        </is>
      </c>
      <c r="D243" s="29" t="inlineStr">
        <is>
          <t>Málaga'da EMT otobüs kartını nerede yükletirsin, telefondan NFC ile yükleme mümkün mü?</t>
        </is>
      </c>
      <c r="E243" s="29" t="inlineStr">
        <is>
          <t>Bayiler, müşteri hizmetleri ve Android NFC uygulaması; 10 yolculuk 5 euro, aylık 23,95 euro</t>
        </is>
      </c>
      <c r="F243" s="29" t="inlineStr">
        <is>
          <t>EMT kartını şehre yayılmış satış ağında (çoğunlukla tütün bayileri ve gazete kioskları), müşteri hizmetleri merkezinde ya da NFC'li uyumlu bir Android telefonda EMT Málaga uygulamasının "Recarga NFC" özelliğiyle yükletirsin; aynı özellikle kart bakiyeni de görürsün. Çok yolculuklu yüklemede 10, 20 ya da 30 yolculuk seçersin, 10 yolculuk 5 euro; yüklenen yolculuklar yüklemeden itibaren 1 yıl geçerlidir ve süresi dolmuş yolculuklar yeni bir yüklemede yeniden etkinleşir. Aylık sınırsız yükleme 23,95 euro; yalnız No Personalizada, bonifiyesiz Joven, bonifiyesiz UMA, PMR ve Ayuda al Empleo kartlarına yapılır ve yüklendiği günden itibaren bir ay geçerlidir.</t>
        </is>
      </c>
      <c r="G243" s="29" t="inlineStr">
        <is>
          <t>EMT kart yükleme, Recarga NFC, EMT Málaga uygulaması, estanco, çok yolculuklu yükleme, aylık yükleme</t>
        </is>
      </c>
      <c r="H243" s="29" t="inlineStr">
        <is>
          <t>new;settled</t>
        </is>
      </c>
      <c r="I243" s="29" t="inlineStr">
        <is>
          <t>malaga:kaynak:257;malaga:kaynak:227</t>
        </is>
      </c>
      <c r="J243" s="49" t="n">
        <v>46322</v>
      </c>
      <c r="K243" s="51" t="n">
        <v>1006</v>
      </c>
      <c r="L243" s="29" t="inlineStr">
        <is>
          <t>Hayır</t>
        </is>
      </c>
      <c r="M243" s="29" t="inlineStr">
        <is>
          <t>Taslak</t>
        </is>
      </c>
      <c r="N243" s="29" t="inlineStr">
        <is>
          <t>malaga:ulasim</t>
        </is>
      </c>
      <c r="O243" s="29" t="inlineStr">
        <is>
          <t>Yakındaki bir tütün bayisine (estanco) ya da gazete kioskuna git ve kartına yükleme yaptır; satış noktalarının listesi EMT sitesinde var.
Android telefonun NFC destekliyorsa EMT Málaga uygulamasını aç ve "Recarga NFC" ile yükleme yap.
Çok yolculuklu yüklemede 10, 20 ya da 30 yolculuk seç; aylık sınırsız yüklemeyi yalnız kendi kart türüne yükletebilirsin (No Personalizada, Joven no bonificada, UMA no bonificada, PMR, Ayuda al Empleo).
Aylık yüklemede aynı araçta kartı yalnız bir kez okutabilirsin.</t>
        </is>
      </c>
      <c r="P243" s="29" t="inlineStr">
        <is>
          <t>EMT kartı</t>
        </is>
      </c>
      <c r="Q243" s="29" t="inlineStr">
        <is>
          <t>Yüklenen yolculuklar yüklemeden itibaren 1 yıl geçerli; aylık yükleme yüklendiği günden itibaren 1 ay</t>
        </is>
      </c>
      <c r="R243" s="29" t="inlineStr">
        <is>
          <t>10 yolculuk 5,00 euro; aylık sınırsız 23,95 euro (yalnız No Personalizada, bonifiyesiz Joven, bonifiyesiz UMA, PMR ve Ayuda al Empleo kartlarına; 2026)</t>
        </is>
      </c>
      <c r="S243" s="29" t="inlineStr">
        <is>
          <t>Yüklemeler L-A havalimanı hattında ve özel servislerde geçmez.</t>
        </is>
      </c>
      <c r="T243" s="29" t="n"/>
    </row>
    <row r="244" ht="54" customHeight="1">
      <c r="A244" s="29" t="inlineStr">
        <is>
          <t>malaga:emt-otobusunde-evcil-hayvan-bebek-arabasi-bagaj-ve-bisiklet-kurallari</t>
        </is>
      </c>
      <c r="B244" s="29" t="inlineStr">
        <is>
          <t>malaga</t>
        </is>
      </c>
      <c r="C244" s="29" t="inlineStr">
        <is>
          <t>emt-otobusunde-evcil-hayvan-bebek-arabasi-bagaj-ve-bisiklet-kurallari</t>
        </is>
      </c>
      <c r="D244" s="29" t="inlineStr">
        <is>
          <t>Málaga'da EMT otobüsüne evcil hayvanla, bebek arabasıyla, büyük eşyayla ya da bisikletle binebilir misin?</t>
        </is>
      </c>
      <c r="E244" s="29" t="inlineStr">
        <is>
          <t>Evcil hayvan 10 kg altı ve kapalı çantada; katlanır bisiklet çantada; elektrikli patinete yasak</t>
        </is>
      </c>
      <c r="F244" s="29" t="inlineStr">
        <is>
          <t>Rehber ve asistan köpekleri (akreditasyonla) her zaman alınır; diğer evcil hayvanlar 10 kg'ın altındaysa, 0,60 x 0,35 x 0,35 m ölçüsünde kapalı bir taşıma çantasındaysa ve hijyen-sağlık koşullarına uygunsa binebilir; hayvanı taşıyan kişi yol açabileceği rahatsızlıktan sorumludur. Bebek arabasını katlı ya da yürüyüş yönüne ters, tekerlekleri kilitli ve kemeri bağlı taşıman öneriliyor. 1,50 x 0,60 x 0,30 m'yi aşan eşya ya da paket taşıyamazsın; katlanır bisiklet, bu ölçüleri aşmayan bir bisiklet çantasındaysa girer. Elektrikli patinetle (patinete eléctrico) otobüse binemezsin; hareket kısıtlı kişilerin EMT'ce homologe edilmiş elektrikli scooter'ı ise binebilir. Yiyecek ya da içeceği tüketerek de otobüse binemezsin.</t>
        </is>
      </c>
      <c r="G244" s="29" t="inlineStr">
        <is>
          <t>EMT kuralları, otobüste evcil hayvan, bebek arabası, katlanır bisiklet, bagaj ölçüsü, engelli rampası</t>
        </is>
      </c>
      <c r="H244" s="29" t="inlineStr">
        <is>
          <t>new;settled</t>
        </is>
      </c>
      <c r="I244" s="29" t="inlineStr">
        <is>
          <t>malaga:kaynak:259;malaga:kaynak:260</t>
        </is>
      </c>
      <c r="J244" s="49" t="n">
        <v>46322</v>
      </c>
      <c r="K244" s="51" t="n">
        <v>1007</v>
      </c>
      <c r="L244" s="29" t="inlineStr">
        <is>
          <t>Hayır</t>
        </is>
      </c>
      <c r="M244" s="29" t="inlineStr">
        <is>
          <t>Taslak</t>
        </is>
      </c>
      <c r="N244" s="29" t="inlineStr">
        <is>
          <t>malaga:ulasim</t>
        </is>
      </c>
      <c r="O244" s="29" t="inlineStr">
        <is>
          <t>Evcil hayvanın 10 kg'ın altındaysa ve hijyen-sağlık koşullarına uygunsa kapalı bir taşıma çantasına (0,60 x 0,35 x 0,35 m) koy ve öyle bin; hayvanın yol açabileceği rahatsızlıktan sen sorumlusun.
Bebek arabasını katla ya da yürüyüş yönünün tersine yerleştirip tekerlekleri kilitle ve otobüsteki kemeri tak.
Bisikletin katlanırsa onu bisiklet çantasına koy ve çantanın 1,50 x 0,60 x 0,30 m'yi aşmadığından emin ol.
Bilet bedelini hazır tut; sürücü 5 euroyu aşan banknotları bozmak zorunda değil.</t>
        </is>
      </c>
      <c r="P244" s="29" t="inlineStr">
        <is>
          <t>Asistan köpek için resmî ayırt edici işaret ile Junta de Andalucía'nın verdiği kullanıcı kartı</t>
        </is>
      </c>
      <c r="Q244" s="29" t="n"/>
      <c r="R244" s="29" t="n"/>
      <c r="S244" s="29" t="inlineStr">
        <is>
          <t>Rampalar ve öncelikli koltuklar yalnız hareket kısıtlı kişiler içindir; tekerlekli sandalye otobüsün ortasındaki alanda, yürüyüş yönüne ters, tekerlekleri kilitli ve kemeri bağlı durmalıdır.</t>
        </is>
      </c>
      <c r="T244" s="29" t="n"/>
    </row>
    <row r="245" ht="54" customHeight="1">
      <c r="A245" s="29" t="inlineStr">
        <is>
          <t>malaga:emt-otobusune-engelli-scooteri-homologasyon-basvurusu</t>
        </is>
      </c>
      <c r="B245" s="29" t="inlineStr">
        <is>
          <t>malaga</t>
        </is>
      </c>
      <c r="C245" s="29" t="inlineStr">
        <is>
          <t>emt-otobusune-engelli-scooteri-homologasyon-basvurusu</t>
        </is>
      </c>
      <c r="D245" s="29" t="inlineStr">
        <is>
          <t>Engelli elektrikli scooter'ınla EMT otobüsüne binmek için homologasyon başvurusu nasıl yapılır?</t>
        </is>
      </c>
      <c r="E245" s="29" t="inlineStr">
        <is>
          <t>Scooter en çok 1,3 m, scooter ile kullanıcı toplamı en çok 250 kg; başvuru Alameda Principal 47'de ya da e-postayla</t>
        </is>
      </c>
      <c r="F245" s="29" t="inlineStr">
        <is>
          <t>Elektrikli engelli scooter'ınla EMT otobüslerine binebilmek için scooter'ın EMT tarafından homologe edilmesi gerekir, çünkü her scooter ölçü ve ağırlık bakımından otobüse girmez. Scooter'ın uzunluğu 1,3 m'yi aşmamalı, scooter ile senin ağırlığın toplamı 250 kg'ı aşmamalı. Belgeleri Alameda Principal 47'deki müşteri hizmetleri merkezine (Centro de Atención al Cliente) götürür ya da clientes@emtsam.es adresine gönderirsin; belgeler doğrulanınca scooter'ı yüz yüze homologe etmek için randevu verilir ve tüm araçlara binmeni sağlayan belgeler teslim edilir.</t>
        </is>
      </c>
      <c r="G245" s="29" t="inlineStr">
        <is>
          <t>EMT scooter homologasyonu, engelli scooter otobüs, movilidad reducida, Alameda Principal 47, clientes@emtsam.es</t>
        </is>
      </c>
      <c r="H245" s="29" t="inlineStr">
        <is>
          <t>new;settled</t>
        </is>
      </c>
      <c r="I245" s="29" t="inlineStr">
        <is>
          <t>malaga:kaynak:260;malaga:kaynak:258</t>
        </is>
      </c>
      <c r="J245" s="49" t="n">
        <v>46322</v>
      </c>
      <c r="K245" s="51" t="n">
        <v>1008</v>
      </c>
      <c r="L245" s="29" t="inlineStr">
        <is>
          <t>Hayır</t>
        </is>
      </c>
      <c r="M245" s="29" t="inlineStr">
        <is>
          <t>Taslak</t>
        </is>
      </c>
      <c r="N245" s="29" t="inlineStr">
        <is>
          <t>malaga:ulasim</t>
        </is>
      </c>
      <c r="O245" s="29" t="inlineStr">
        <is>
          <t>Scooter'ın uzunluğunun 1,3 m'yi, scooter artı senin ağırlığının 250 kg'ı aşmadığından emin ol.
Belgeleri hazırla: engellilik derecesi kartının kopyası (hareket kabiliyeti ölçütünde "SI" işaretli), DNI kopyası, 1 vesikalık fotoğraf, scooter'ın teknik belgesi ve fotoğrafı, doldurulmuş başvuru formu.
Belgeleri Alameda Principal 47'deki Centro de Atención al Cliente'ye götür ya da clientes@emtsam.es adresine e-postayla gönder.
Belgeler doğrulandığında verilen randevuya scooter'la git; yüz yüze homologasyondan sonra otobüslere binmen için gerekli belgeleri alırsın.</t>
        </is>
      </c>
      <c r="P245" s="29" t="inlineStr">
        <is>
          <t>Engellilik derecesi kartının kopyası (Baremo de Movilidad kısmı "SI" işaretli)
Kimlik (DNI) kopyası
1 adet vesikalık fotoğraf
Scooter'ın teknik belgesinin (ficha técnica) kopyası
Scooter'ın fotoğrafı
Doldurulmuş başvuru formu</t>
        </is>
      </c>
      <c r="Q245" s="29" t="n"/>
      <c r="R245" s="29" t="n"/>
      <c r="S245" s="29" t="inlineStr">
        <is>
          <t>Ofis hafta içi, resmî tatil olmayan günlerde 9:00-13:30 ve 17:00-19:00 arasında açıktır (Temmuz-Ağustos'ta 8:30-14:30); telefon 900 922 404 ve 952 367 200. Başvurunun ücretini, randevuya kadar geçecek süreyi ve DNI'si olmayanlar için hangi kimlik belgesinin kabul edildiğini bu numaralardan ya da clientes@emtsam.es adresinden sor.</t>
        </is>
      </c>
      <c r="T245" s="29" t="n"/>
    </row>
    <row r="246" ht="54" customHeight="1">
      <c r="A246" s="29" t="inlineStr">
        <is>
          <t>malaga:elektrikli-scooter-vmp-kullanim-sartlari-malaga</t>
        </is>
      </c>
      <c r="B246" s="29" t="inlineStr">
        <is>
          <t>malaga</t>
        </is>
      </c>
      <c r="C246" s="29" t="inlineStr">
        <is>
          <t>elektrikli-scooter-vmp-kullanim-sartlari-malaga</t>
        </is>
      </c>
      <c r="D246" s="29" t="inlineStr">
        <is>
          <t>Málaga'da elektrikli scooter (patinete) kullanmak için yaş, kask ve belge şartları neler?</t>
        </is>
      </c>
      <c r="E246" s="29" t="inlineStr">
        <is>
          <t>En az 16 yaş, onaylı kask, dolaşım sertifikası; bisiklet yollarında bisikletle aynı kurallar</t>
        </is>
      </c>
      <c r="F246" s="29" t="inlineStr">
        <is>
          <t>Málaga'da VMP (patinete eléctrico, segway gibi kişisel hareketlilik araçları) kullanmak için en az 16 yaşında olmalı, onaylı kask takmalı ve aracın dolaşım sertifikasını (certificado de circulación) yanında taşımalısın. Aracı yalnız bir kişi kullanabilir; araçta fren, zil, her saatte yanık ön ve arka far ile reflektör bulunmalıdır. VMP'ler bisikletlerin kullanabildiği şeritlerde ve alanlarda, bisikletlerle aynı kısıtlamalar ve koşullarla dolaşır. EMT otobüsüne elektrikli patinetle (patinete eléctrico) binemezsin.</t>
        </is>
      </c>
      <c r="G246" s="29" t="inlineStr">
        <is>
          <t>VMP, patinete eléctrico, elektrikli scooter, Ordenanza de Movilidad, kask, certificado de circulación, Málaga</t>
        </is>
      </c>
      <c r="H246" s="29" t="inlineStr">
        <is>
          <t>new;settled</t>
        </is>
      </c>
      <c r="I246" s="29" t="inlineStr">
        <is>
          <t>malaga:kaynak:261;malaga:kaynak:259</t>
        </is>
      </c>
      <c r="J246" s="49" t="n">
        <v>46322</v>
      </c>
      <c r="K246" s="51" t="n">
        <v>1009</v>
      </c>
      <c r="L246" s="29" t="inlineStr">
        <is>
          <t>Hayır</t>
        </is>
      </c>
      <c r="M246" s="29" t="inlineStr">
        <is>
          <t>Taslak</t>
        </is>
      </c>
      <c r="N246" s="29" t="inlineStr">
        <is>
          <t>malaga:ulasim</t>
        </is>
      </c>
      <c r="O246" s="29" t="inlineStr">
        <is>
          <t>En az 16 yaşında olduğundan emin ol; bu yaşın altında VMP kullanamazsın.
Onaylı (homologe) bir kask tak ve aracın dolaşım sertifikasını yanında taşı.
Aracında fren, zil, ön ve arka far ile reflektör olsun; farları gündüz de yak.
Bisikletin gidebildiği şerit ve alanlarda bisikletle aynı kurallara uyarak dolaş; araç tek kişiliktir, ikinci kişi alamazsın.</t>
        </is>
      </c>
      <c r="P246" s="29" t="inlineStr">
        <is>
          <t>VMP dolaşım sertifikası (certificado de circulación)
Onaylı kask</t>
        </is>
      </c>
      <c r="Q246" s="29" t="n"/>
      <c r="R246" s="29" t="n"/>
      <c r="S246" s="29" t="inlineStr">
        <is>
          <t>Kurallar Málaga Hareketlilik Yönetmeliği'nin 40. maddesinde düzenlenir. Sorular için Área de Movilidad: C/ Concejal Muñoz Cerván 3, Edificio Tabacalera, Módulo 5, 2. kat, 29003 Málaga; telefon 010; movilidad@malaga.eu.</t>
        </is>
      </c>
      <c r="T246" s="29" t="n"/>
    </row>
    <row r="247" ht="54" customHeight="1">
      <c r="A247" s="29" t="inlineStr">
        <is>
          <t>malaga:dusuk-emisyon-bolgesi-zbe-arabayla-girme-kurallari-malaga</t>
        </is>
      </c>
      <c r="B247" s="29" t="inlineStr">
        <is>
          <t>malaga</t>
        </is>
      </c>
      <c r="C247" s="29" t="inlineStr">
        <is>
          <t>dusuk-emisyon-bolgesi-zbe-arabayla-girme-kurallari-malaga</t>
        </is>
      </c>
      <c r="D247" s="29" t="inlineStr">
        <is>
          <t>Málaga'da arabanla merkezdeki Düşük Emisyon Bölgesi'ne (ZBE) girebilir misin, çevre etiketi şart mı?</t>
        </is>
      </c>
      <c r="E247" s="29" t="inlineStr">
        <is>
          <t>404,03 hektarlık bölge, plaka okuma kameraları; 0, ECO ve C etiketliler girer, B ve etiketsizler için Málaga'da adres şartı kademeli geliyor</t>
        </is>
      </c>
      <c r="F247" s="29" t="inlineStr">
        <is>
          <t>Belediyenin sayfasına göre vatandaşların (ciudadanía) DGT çevre etiketi taşıması zorunlu değil, çünkü bölge plaka tanıma kameralarıyla ve DGT ile belediye nüfus kaydı (padrón) verilerinden geliştirilen yazılımla kontrol ediliyor. Kural vatandaşlar için yazılmış; yabancı plakalı araç için belediyenin "Información para turistas extranjeros" (yabancı turistler için bilgi) bölümüne bak. ZBE 404,03 hektarlık merkezî bir alandır. Etiketi 0 (CERO), ECO ya da C olan otomobil ve motosikletler girebilir. Kural kademelidir: belediyeye göre ikinci yıl 30 Kasım 2025'te başladı; 30 Kasım 2026'ya kadar süren bu yılda etiketsiz otomobil ve motosikletler yalnız Málaga'da adresli (domiciliado) ise girebilir, B etiketliler ise kısıtlamasız girer. Üçüncü yıl 30 Kasım 2026'da başlayacak ve o tarihten itibaren B etiketliler de yalnız Málaga'da adresliyse girebilecek. Toplu taşıma, taksi ve VTC, tarihî araçlar ve kamyonlar serbest geçer.</t>
        </is>
      </c>
      <c r="G247" s="29" t="inlineStr">
        <is>
          <t>ZBE Málaga, düşük emisyon bölgesi, DGT etiketi, çevre etiketi, Zona de Bajas Emisiones, arabayla Málaga merkez</t>
        </is>
      </c>
      <c r="H247" s="29" t="inlineStr">
        <is>
          <t>planning;new;settled</t>
        </is>
      </c>
      <c r="I247" s="29" t="inlineStr">
        <is>
          <t>malaga:kaynak:304;malaga:kaynak:436</t>
        </is>
      </c>
      <c r="J247" s="49" t="n">
        <v>46322</v>
      </c>
      <c r="K247" s="51" t="n">
        <v>1010</v>
      </c>
      <c r="L247" s="29" t="inlineStr">
        <is>
          <t>Hayır</t>
        </is>
      </c>
      <c r="M247" s="29" t="inlineStr">
        <is>
          <t>Taslak</t>
        </is>
      </c>
      <c r="N247" s="29" t="inlineStr">
        <is>
          <t>malaga:ulasim</t>
        </is>
      </c>
      <c r="O247" s="29" t="inlineStr">
        <is>
          <t>Aracının çevre etiketini DGT'nin sayfasındaki sorgulamayla öğren.
Etiketin 0, ECO ya da C ise otomobil veya motosikletle bölgeye girebilirsin.
B etiketliysen 30 Kasım 2026'ya kadar kısıtlamasız girersin; o tarihten itibaren aracın Málaga'da adresli (domiciliado) olması gerekir.
Etiketsizsen 30 Kasım 2025'ten beri aracın Málaga'da adresli olması gerekir.
Sağlık hizmeti, polis, belediye hizmeti ve güvenlik, cenaze gibi özel hizmet araçları önceden bildirim ve otomatik kontrolle girer.</t>
        </is>
      </c>
      <c r="P247" s="29" t="inlineStr">
        <is>
          <t>Aracın plakası ve DGT çevre etiketi bilgisi</t>
        </is>
      </c>
      <c r="Q247" s="29" t="n"/>
      <c r="R247" s="29" t="n"/>
      <c r="S247" s="29" t="inlineStr">
        <is>
          <t>Etiketler: 0 (CERO) pille çalışan elektrikli, menzil artırıcılı elektrikli, 40 km menzilli şarj edilebilir hibrit ve yakıt hücreli araçlar; ECO, 40 km altı menzilli şarj edilebilir hibritler, şarj edilemeyen hibritler ve doğalgaz ya da LPG ile çalışan araçlar; ECO etiketli araçlar ayrıca C etiketi ölçütlerini de karşılamalıdır. C etiketi: Ocak 2006 sonrası benzinli, Eylül 2015 sonrası dizel otomobil ve hafif ticari araçlar. B etiketi: 1 Ocak 2001 sonrası benzinli, 2006 sonrası dizel otomobil ve hafif ticari araçlar. Bölge Paseo Marítimo Antonio Machado, Explanada de la Estación, Avenida de Andalucía ve Alameda de Capuchinos gibi caddelerle sınırlanır.</t>
        </is>
      </c>
      <c r="T247" s="29" t="n"/>
    </row>
    <row r="248" ht="54" customHeight="1">
      <c r="A248" s="29" t="inlineStr">
        <is>
          <t>malaga:cercanias-malaga-bilet-iptal-ve-temassiz-banka-karti-odemesi</t>
        </is>
      </c>
      <c r="B248" s="29" t="inlineStr">
        <is>
          <t>malaga</t>
        </is>
      </c>
      <c r="C248" s="29" t="inlineStr">
        <is>
          <t>cercanias-malaga-bilet-iptal-ve-temassiz-banka-karti-odemesi</t>
        </is>
      </c>
      <c r="D248" s="29" t="inlineStr">
        <is>
          <t>Málaga Cercanías treninde bileti nereden alırsın, iptal edebilir misin, banka kartıyla nasıl ödersin?</t>
        </is>
      </c>
      <c r="E248" s="29" t="inlineStr">
        <is>
          <t>Gişe ve otomat; iki saat içinde yola çık ya da iptal et; temassız karta ayda beşinci yolculuktan %40 indirim</t>
        </is>
      </c>
      <c r="F248" s="29" t="inlineStr">
        <is>
          <t>Cercanías Málaga'da tek yön ya da gidiş-dönüş bileti istasyon gişelerinden ve Cercanías otomatlarından alırsın; satın aldıktan sonra en geç iki saat içinde yolculuğa başlaman gerekir. Bu biletler değiştirilemez, kullanmadıysan yalnız istasyon gişelerinde satın almadan sonraki iki saat içinde iptal edilebilir; gidiş-dönüş biletinde dönüş aynı gün yapılmalıdır. Renfe, turnikede doğrudan banka kartı ya da telefonla da ödemene izin verdiğini yazıyor: girişte ve çıkışta okutmalısın, okutmazsan Málaga Cercanías ağındaki bütün bölgelerin en yüksek tutarı çekilir. Aynı kartla takvim ayında beşinci yolculuktan itibaren tekil bilet fiyatına %40 indirim uygulanır. Tutar geçtiğin bölge sayısına göre hesaplanır. +Renfe &amp; Tú kartı ise bilet ve abonman gibi başlıkları yüklemek içindir; gişe ya da otomattan bilet alırken ve turnikede banka kartıyla öderken gerekmez.</t>
        </is>
      </c>
      <c r="G248" s="29" t="inlineStr">
        <is>
          <t>Cercanías Málaga, Renfe bilet, +Renfe y Tú, temassız ödeme, tren bileti iptali, ayda beşinci yolculuk indirimi</t>
        </is>
      </c>
      <c r="H248" s="29" t="inlineStr">
        <is>
          <t>new;settled</t>
        </is>
      </c>
      <c r="I248" s="29" t="inlineStr">
        <is>
          <t>malaga:kaynak:262;malaga:kaynak:231</t>
        </is>
      </c>
      <c r="J248" s="49" t="n">
        <v>46322</v>
      </c>
      <c r="K248" s="51" t="n">
        <v>1011</v>
      </c>
      <c r="L248" s="29" t="inlineStr">
        <is>
          <t>Hayır</t>
        </is>
      </c>
      <c r="M248" s="29" t="inlineStr">
        <is>
          <t>Taslak</t>
        </is>
      </c>
      <c r="N248" s="29" t="inlineStr">
        <is>
          <t>malaga:ulasim</t>
        </is>
      </c>
      <c r="O248" s="29" t="inlineStr">
        <is>
          <t>Bileti istasyon gişesinden ya da Cercanías otomatından al ve iki saat içinde yola çık.
Bileti kullanmadıysan ve iptal etmek istiyorsan satın almadan sonraki iki saat içinde bir istasyon gişesine git.
Banka kartı ya da telefonla ödeyeceksen girişte ve çıkışta turnikede aynı kartı okut.
Bilet ve abonman gibi başlıkları kartına yüklemek istiyorsan +Renfe &amp; Tú kartı çıkar; düzenlenmesi 2 haftaya kadar sürer, daha uzun da olabilir. Gişe ya da otomattan bilet alırken ve turnikede banka kartıyla öderken bu karta gerek yok.</t>
        </is>
      </c>
      <c r="P248" s="29" t="inlineStr">
        <is>
          <t>Yüklemeli başlık (abonman gibi) alacaksan +Renfe &amp; Tú kartı (Renfe'ye göre ulaşım biletlerinin çoğu bu karta yüklenir)</t>
        </is>
      </c>
      <c r="Q248" s="29" t="inlineStr">
        <is>
          <t>Bilet alındıktan sonra en geç 2 saat içinde yola çıkılır; iptal de 2 saat içinde yapılır; kartın düzenlenmesi 2 haftaya kadar sürer</t>
        </is>
      </c>
      <c r="R248" s="29" t="inlineStr">
        <is>
          <t>Tutar geçtiğin bölge sayısına göre hesaplanır. Aynı hatlarda Consorcio ulaşım kartıyla Cercanías tarifesi (15 Temmuz-31 Aralık 2026): 0 salto 1,04; 1 salto 1,18; 2 salto 1,58; 3 salto 2,59; 4 salto 5,11; 5 salto 7,75 euro (5 salto yalnız Cercanías'ta)</t>
        </is>
      </c>
      <c r="S248" s="29" t="inlineStr">
        <is>
          <t>Banka kartı indirimi aylık sayılır: ay başında sayaç sıfırlanır; tüm yolculuklar aynı kartla yapılmalı ve indirim, mesafeden bağımsız olarak toplam yolculuk sayısına göre uygulanır.</t>
        </is>
      </c>
      <c r="T248" s="29" t="n"/>
    </row>
    <row r="249" ht="54" customHeight="1">
      <c r="A249" s="29" t="inlineStr">
        <is>
          <t>malaga:emt-tarjeta-estudiante-ve-tarjeta-joven-nasil-alinir</t>
        </is>
      </c>
      <c r="B249" s="29" t="inlineStr">
        <is>
          <t>malaga</t>
        </is>
      </c>
      <c r="C249" s="29" t="inlineStr">
        <is>
          <t>emt-tarjeta-estudiante-ve-tarjeta-joven-nasil-alinir</t>
        </is>
      </c>
      <c r="D249" s="29" t="inlineStr">
        <is>
          <t>Málaga'da EMT Tarjeta Estudiante ve Tarjeta Joven kimlere verilir, nasıl alınır, hangi belgeler gerekir?</t>
        </is>
      </c>
      <c r="E249" s="29" t="inlineStr">
        <is>
          <t>Estudiante 3-15 yaş, Joven 16-30 yaş (EMT indirimi 25 yaş dahil); Málaga Capital bağı şart; düzenleme bedeli 6,05 euro</t>
        </is>
      </c>
      <c r="F249" s="29" t="inlineStr">
        <is>
          <t>Tarjeta Estudiante, 3-15 yaş arası (ikisi dahil) ve Málaga Capital'deki bir okulda düzenli öğrenim gören çocuklar içindir. Tarjeta Joven 16-30 yaş arası içindir; EMT otobüslerindeki indirim 25 yaş dahil geçerlidir ve şu üç koşuldan en az birini sağlaman gerekir: Málaga Capital'de doğmuş olmak, orada empadronado (belediye ikamet kaydı olan) olmak ya da orada düzenli öğrenim görmek. İkisi de kişiye özel karttır, yalnız sahibi kullanabilir. Başvuruyu EMT'nin Centro de Atención al Cliente ofisinde ya da OMAC'larda (belediye vatandaş hizmet ofisleri) yaparsın; daha önce başka bir kişisel EMT kartın olmadıysa online form da kullanılır. Düzenleme bedeli 6,05 euro.</t>
        </is>
      </c>
      <c r="G249" s="29" t="inlineStr">
        <is>
          <t>Tarjeta Estudiante, Tarjeta Joven, EMT kartı başvuru, öğrenci kartı, gençlik kartı, empadronamiento, OMAC, Málaga otobüs indirimi</t>
        </is>
      </c>
      <c r="H249" s="29" t="inlineStr">
        <is>
          <t>new;settled</t>
        </is>
      </c>
      <c r="I249" s="29" t="inlineStr">
        <is>
          <t>malaga:kaynak:439;malaga:kaynak:437;malaga:kaynak:258</t>
        </is>
      </c>
      <c r="J249" s="49" t="n">
        <v>46322</v>
      </c>
      <c r="K249" s="51" t="n">
        <v>1012</v>
      </c>
      <c r="L249" s="29" t="inlineStr">
        <is>
          <t>Hayır</t>
        </is>
      </c>
      <c r="M249" s="29" t="inlineStr">
        <is>
          <t>Taslak</t>
        </is>
      </c>
      <c r="N249" s="29" t="inlineStr">
        <is>
          <t>malaga:ulasim</t>
        </is>
      </c>
      <c r="O249" s="29" t="inlineStr">
        <is>
          <t>Hangi karta uyduğunu belirle: 3-15 yaş arasındaysan ve Málaga Capital'deki bir okulda düzenli öğrenim görüyorsan Estudiante; 16-30 yaş arasındaysan Joven (EMT otobüs indirimi 25 yaş dahil geçerli).
Joven için şu üç koşuldan en az birini sağla: Málaga Capital'de doğmuş olmak, orada empadronado olmak ya da orada düzenli öğrenim görmek.
Belgeleri hazırla ve başvuruyu EMT'nin Centro de Atención al Cliente ofisinde ya da bir OMAC'ta yap; online form yalnız daha önce başka bir kişisel EMT kartın olmadıysa kullanılır.
Düzenleme bedeli olan 6,05 euroyu öde; OMAC'ta belgelerin fotokopisi yeterli, Centro de Atención al Cliente'de orijinallerini göster.
Kartı yenilemek ya da kayıp, çalıntı veya kırık kart için duplicado almak istiyorsan yalnız EMT'nin Centro de Atención al Cliente ofisine git (OMAC'larda yapılmaz); süresi dolduğu için yenilemede Tarjeta Joven'de ilk başvurudaki belgeler istenir; bedel 6,05 euro.</t>
        </is>
      </c>
      <c r="P249" s="29" t="inlineStr">
        <is>
          <t>Tarjeta Estudiante: başvuru formu (Solicitud Tarjeta Estudiante), DNI (EMT bu kart için belge olarak yalnız DNI'yi sayıyor), 1 vesikalık fotoğraf; öğrenim belgesi ya da geçerli öğrenci kartı 17 yaş altı için istenmiyor (kart 3-15 yaş içindir)
Tarjeta Joven: başvuru formu, 1 vesikalık fotoğraf, kimlik (DNI, pasaport ya da Tarjeta de Residencia) ve sağladığın koşulu gösteren belge: empadronamiento belgesi (volante de empadronamiento) ya da öğrenim kaydı (matrícula); empadronamiento ile başvuruyorsan Centro de Atención al Cliente, izin verirsen kaydını kendisi sorgulayabilir</t>
        </is>
      </c>
      <c r="Q249" s="29" t="inlineStr">
        <is>
          <t>Tarjeta Joven her 2 yılda bir yenilenir (28 yaşa kadar), sonra 31 yaşına kadar geçerlidir; yenileme yalnız Centro de Atención al Cliente'de yapılır</t>
        </is>
      </c>
      <c r="R249" s="29" t="inlineStr">
        <is>
          <t>Düzenleme bedeli 6,05 euro (Tarjeta Estudiante'de KDV dahil); her iki kartta yenileme ve duplicado için de 6,05 euro</t>
        </is>
      </c>
      <c r="S249" s="29" t="inlineStr">
        <is>
          <t>Tarjeta Joven'de EMT otobüs indirimi aylık yüklemeye uygulanır; Multiviajes yüklemesi de yapılabilir. Centro de Atención al Cliente: Alameda Principal 47, 29001 Málaga; hafta içi (resmî tatil günleri hariç) 9:00-13:30 ve 17:00-19:00, Temmuz-Ağustos 8:30-14:30; ofisteki sıra numarası dağıtımı (gestor de turnos) yoğunlukta kısıtlanabilir.</t>
        </is>
      </c>
      <c r="T249" s="29" t="n"/>
    </row>
    <row r="250" ht="54" customHeight="1">
      <c r="A250" s="29" t="inlineStr">
        <is>
          <t>malaga:emt-tarjeta-oro-kimlere-verilir-nasil-alinir</t>
        </is>
      </c>
      <c r="B250" s="29" t="inlineStr">
        <is>
          <t>malaga</t>
        </is>
      </c>
      <c r="C250" s="29" t="inlineStr">
        <is>
          <t>emt-tarjeta-oro-kimlere-verilir-nasil-alinir</t>
        </is>
      </c>
      <c r="D250" s="29" t="inlineStr">
        <is>
          <t>Málaga'da EMT Tarjeta Oro (emekli kartı) kimlere verilir, nasıl alınır, hangi belgeler gerekir?</t>
        </is>
      </c>
      <c r="E250" s="29" t="inlineStr">
        <is>
          <t>Málaga Capital'de empadronado 65 yaş ve üstü emekliler, mutlak sürekli maluliyet aylığı alanlar ve %65+ engelli yetişkinler; dört modalite; 18,15 / 6,05 euro</t>
        </is>
      </c>
      <c r="F250" s="29" t="inlineStr">
        <is>
          <t>Tarjeta Oro, Málaga Capital'de empadronado (belediye ikamet kaydı olan) ve şunlardan biri olan kişilere verilir: 65 yaş ve üstü emekli, Sosyal Güvenlik'ten mutlak sürekli maluliyet (Incapacidad Permanente Absoluta) aylığı alan ya da Ocak 2024'ten beri %65 ve üzeri engelli 18 yaş üstü kişi. Kart kişiye özeldir, yalnız sahibi kullanır; havalimanı hattı ve özel servisler dışındaki bütün EMT araçlarında ücretsiz ya da indirimli yolculuk sağlar. Dört modalite var: Oro gratuita bireysel (brüt aylık emekli maaşı 1.025 euro ve altı), Oro gratuita matrimonio (eşlerden en az biri emekli ve ikisi de 65 yaş ve üstü; emekli eşte mutlak sürekli maluliyet varsa yaş şartı o eş için aranmaz ama diğer eş 65 yaş ve üstü olmalı; çiftin brüt maaşları toplamı 2.050 euro ve altı), Oro 10 (maaş 1.025-1.445 euro; aylık sınırsız yolculuk 5,95 euro) ve Oro 27 (maaş 1.445 euro üzeri; aylık sınırsız yolculuk 16,20 euro). Başvuruyu EMT'nin Centro de Atención al Cliente ofisinde (Alameda Principal 47) ya da OMAC'larda yaparsın; kart 3 yıl geçerlidir.</t>
        </is>
      </c>
      <c r="G250" s="29" t="inlineStr">
        <is>
          <t>Tarjeta Oro, emekli kartı, tarjeta de jubilado, EMT Málaga, Oro 10, Oro 27, empadronamiento, OMAC, ücretsiz otobüs</t>
        </is>
      </c>
      <c r="H250" s="29" t="inlineStr">
        <is>
          <t>settled</t>
        </is>
      </c>
      <c r="I250" s="29" t="inlineStr">
        <is>
          <t>malaga:kaynak:438;malaga:kaynak:258</t>
        </is>
      </c>
      <c r="J250" s="49" t="n">
        <v>46322</v>
      </c>
      <c r="K250" s="51" t="n">
        <v>1013</v>
      </c>
      <c r="L250" s="29" t="inlineStr">
        <is>
          <t>Hayır</t>
        </is>
      </c>
      <c r="M250" s="29" t="inlineStr">
        <is>
          <t>Taslak</t>
        </is>
      </c>
      <c r="N250" s="29" t="inlineStr">
        <is>
          <t>malaga:ulasim</t>
        </is>
      </c>
      <c r="O250" s="29" t="inlineStr">
        <is>
          <t>Koşullarını kontrol et: Málaga Capital'de empadronado olmalı ve 65 yaş ve üstü emekli, mutlak sürekli maluliyet aylığı alan ya da %65 ve üzeri engelli 18 yaş üstü biri olmalısın; ayrıca EMT'nin saydığı gruplardan birine girmelisin (ör. Sosyal Güvenlik emeklileri, viudedad aylığı alanlar).
Brüt aylık emekli maaşına göre modaliteyi seç: 1.025 euro ve altıysa Oro gratuita, 1.025-1.445 euro arasıysa Oro 10, 1.445 euro üzeriyse Oro 27; çiftlerde eşlerden en az biri emekli ve ikisi de 65 yaş ve üstüyse (emekli eşte mutlak sürekli maluliyet varsa yaş şartı o eş için aranmaz, diğer eş 65 ve üstü olmalı) ve brüt maaşlar toplamı 2.050 euro ve altındaysa Oro gratuita matrimonio.
Belgeleri hazırla ve başvuruyu Alameda Principal 47'deki Centro de Atención al Cliente'de ya da bir OMAC'ta yap.
OMAC'ta başvuruyorsan düzenleme bedelini bankaya yatır ve dekontu götür.</t>
        </is>
      </c>
      <c r="P250" s="29" t="inlineStr">
        <is>
          <t>Başvuru formu (impreso de solicitud)
Başvuranın DNI'si (EMT bu kart için belge olarak yalnız DNI'yi sayıyor; çift modalitesinde eşin de); Centro de Atención al Cliente'de fotokopi istenmez
1 vesikalık fotoğraf
Málaga Capital empadronamiento belgesi (yalnız EMT'nin Gestrisam kaydından sorgulamasına izin vermezsen)
Cari yıla ait aylık emekli maaşı belgesi (yalnız EMT'nin INSS kaydından sorgulamasına izin vermezsen)
Literal evlilik belgesi ya da libro de familia (yalnız çift modalitesinde)
Düzenleme bedelinin banka dekontu (yalnız OMAC'ta başvuruyorsan)
Engellilik derecesi kartı ya da belgesi (yalnız engellilik gerekçesiyle başvuruyorsan)</t>
        </is>
      </c>
      <c r="Q250" s="29" t="inlineStr">
        <is>
          <t>Kart 3 yıl geçerlidir</t>
        </is>
      </c>
      <c r="R250" s="29" t="inlineStr">
        <is>
          <t>Düzenleme ve işlem bedeli: Oro gratuita (bireysel ve çift) 18,15 euro; Oro 10 ve Oro 27 6,05 euro. Aylık sınırsız yükleme: Oro 10 5,95 euro, Oro 27 16,20 euro</t>
        </is>
      </c>
      <c r="S250" s="29" t="inlineStr">
        <is>
          <t>Ofis adresi: Alameda Principal 47, 29001 Málaga; telefon 900 922 404 veya 952 367 200; e-posta clientes@emtsam.es. Çalışma saatleri: hafta içi (resmî tatil günleri hariç) 9:00-13:30 ve 17:00-19:00, Temmuz-Ağustos 8:30-14:30; ofisteki sıra numarası dağıtımı (gestor de turnos) yoğunlukta kısıtlanabilir. EMT'nin başvuru gruplarında Seguridad Social, Instituto Social de la Marina, RENFE, devlet ve yerel yönetim memur emeklileri, bu kurumların viudedad (dul aylığı) ve favor familiar aylığı alanları, jubilado eşleri (esposas de jubilados), Fondo de Asistencia Social'e bağlı kişiler ve yetimleri (orfandad) ile yurt dışında çalışmış İspanyollar (Españoles que hayan trabajado en el extranjero) sayılıyor. Bu gruplar İspanyol kurumlarına bağlı emeklilerden oluşuyor; yalnız Türkiye'den (SGK, Bağ-Kur) aylık alıyorsan listede karşılığın görünmüyor, başvurmadan önce 900 922 404'ü arayıp sor.</t>
        </is>
      </c>
      <c r="T250" s="29" t="n"/>
    </row>
    <row r="251" ht="54" customHeight="1">
      <c r="A251" s="29" t="inlineStr">
        <is>
          <t>malaga:consorcio-kartiyla-renfe-cercanias-c1-c2-nasil-odenir</t>
        </is>
      </c>
      <c r="B251" s="29" t="inlineStr">
        <is>
          <t>malaga</t>
        </is>
      </c>
      <c r="C251" s="29" t="inlineStr">
        <is>
          <t>consorcio-kartiyla-renfe-cercanias-c1-c2-nasil-odenir</t>
        </is>
      </c>
      <c r="D251" s="29" t="inlineStr">
        <is>
          <t>Málaga'da Consorcio ulaşım kartıyla Cercanías (C-1 ve C-2) trenine nasıl binersin, çıkışta neden tekrar okutursun?</t>
        </is>
      </c>
      <c r="E251" s="29" t="inlineStr">
        <is>
          <t>Girişte ve çıkışta okut; girişte 0 salto düşer, çıkışta ücret düzelir; girişten çıkışa en çok 180 dakika</t>
        </is>
      </c>
      <c r="F251" s="29" t="inlineStr">
        <is>
          <t>Consorcio ulaşım kartıyla (ve Endülüs'teki diğer Consorcio kartlarıyla) Renfe Cercanías Málaga'nın C-1 Málaga-Fuengirola ve C-2 Málaga-Álora hatlarında yolculuk edebilir, otobüs ve Metro'ya aktarma yapabilirsin; genç ve çok çocuklu aile indirimleri Consorcio'nun genç ulaşım kartı ve Familia Numerosa kartıyla geçerlidir. Turnikeye ya da validasyon makinesine girerken kartı okutursun ve her zaman 0 salto tarifesi düşer; varış istasyonunda çıkışta kartı yeniden okutmalısın, böylece ücret salto sayısına göre düzeltilir. Girişten çıkışa en çok 180 dakikan var; aşarsan biletsiz yolcu sayılırsın. Kartı Cercanías otomatlarında ve istasyon gişelerinde yüklersin, kartı satın almak istersen Consorcio'nun satış noktaları listesindeki Cercanías gişelerinde alırsın.</t>
        </is>
      </c>
      <c r="G251" s="29" t="inlineStr">
        <is>
          <t>Cercanías Málaga, Consorcio kartı, C-1, C-2, Fuengirola, Álora, Renfe, turnike, salto</t>
        </is>
      </c>
      <c r="H251" s="29" t="inlineStr">
        <is>
          <t>new;settled</t>
        </is>
      </c>
      <c r="I251" s="29" t="inlineStr">
        <is>
          <t>malaga:kaynak:230;malaga:kaynak:231;malaga:kaynak:229</t>
        </is>
      </c>
      <c r="J251" s="49" t="n">
        <v>46322</v>
      </c>
      <c r="K251" s="51" t="n">
        <v>1014</v>
      </c>
      <c r="L251" s="29" t="inlineStr">
        <is>
          <t>Hayır</t>
        </is>
      </c>
      <c r="M251" s="29" t="inlineStr">
        <is>
          <t>Taslak</t>
        </is>
      </c>
      <c r="N251" s="29" t="inlineStr">
        <is>
          <t>malaga:ulasim</t>
        </is>
      </c>
      <c r="O251" s="29" t="inlineStr">
        <is>
          <t>Giriş turnikesinde ya da validasyon makinesinde kartını okut; her zaman 0 salto tarifesi düşer.
Varış istasyonunda çıkıştaki turnikede ya da makinede kartını yeniden okut; turnike açık olsa bile okut, böylece ücret salto sayısına göre düzeltilir.
Girişten çıkışa en çok 180 dakika içinde yolculuğu bitir; aşarsan Renfe'nin biletsiz yolcu yaptırımı uygulanır ve çıkışta ayrıca Consorcio yaptırımı olarak en yüksek salto sayısının (beş salto, 7,75 euro) tutarı çekilir.
Yolculuktan vazgeçersen, girişte ödeme yaptığın andan itibaren 15 dakikayı geçirmeden ve aynı istasyondan çıkarak yolculuğu iptal edebilirsin.
Bakiyeni Cercanías otomatlarından ya da istasyon gişelerinden yükle; kartı satın almak istersen Consorcio'nun satış noktaları listesindeki Cercanías gişelerine git.</t>
        </is>
      </c>
      <c r="P251" s="29" t="inlineStr">
        <is>
          <t>Consorcio ulaşım kartı ya da Endülüs'teki başka bir Consorcio'nun kartı</t>
        </is>
      </c>
      <c r="Q251" s="29" t="inlineStr">
        <is>
          <t>Girişten çıkışa en çok 180 dakika; iptal için en çok 15 dakika</t>
        </is>
      </c>
      <c r="R251" s="29" t="inlineStr">
        <is>
          <t>Ücret geçtiğin salto sayısına göre belirlenir; Consorcio kartıyla Cercanías (15 Temmuz-31 Aralık 2026 tarifesi): 0 salto 1,04 euro, 1 salto 1,18 euro, 2 salto 1,58 euro, 3 salto 2,59 euro, 4 salto 5,11 euro, 5 salto 7,75 euro (5 salto yalnız Cercanías'ta). Kartı satın alırken 1,50 euro yönetim ücreti alınır; ilk yükleme en az 5 euro, kartta en çok 500 euro bakiye durur</t>
        </is>
      </c>
      <c r="S251" s="29" t="inlineStr">
        <is>
          <t>Kişiselleştirilmemiş (fotoğrafsız) kartla 15 kişiye kadar birlikte yolculuk edilir; kişiselleştirilmiş (fotoğraflı) kartla yalnız kart sahibi yolculuk edebilir.</t>
        </is>
      </c>
      <c r="T251" s="29" t="n"/>
    </row>
    <row r="252" ht="54" customHeight="1">
      <c r="A252" s="29" t="n"/>
      <c r="B252" s="29" t="n"/>
      <c r="C252" s="29" t="n"/>
      <c r="D252" s="29" t="n"/>
      <c r="E252" s="29" t="n"/>
      <c r="F252" s="29" t="n"/>
      <c r="G252" s="29" t="n"/>
      <c r="H252" s="29" t="n"/>
      <c r="I252" s="29" t="n"/>
      <c r="J252" s="49" t="n"/>
      <c r="K252" s="51" t="n"/>
      <c r="L252" s="29" t="n"/>
      <c r="M252" s="29" t="n"/>
      <c r="N252" s="29" t="n"/>
      <c r="O252" s="29" t="n"/>
      <c r="P252" s="29" t="n"/>
      <c r="Q252" s="29" t="n"/>
      <c r="R252" s="29" t="n"/>
      <c r="S252" s="29" t="n"/>
      <c r="T252" s="29" t="n"/>
    </row>
    <row r="253" ht="54" customHeight="1">
      <c r="A253" s="29" t="n"/>
      <c r="B253" s="29" t="n"/>
      <c r="C253" s="29" t="n"/>
      <c r="D253" s="29" t="n"/>
      <c r="E253" s="29" t="n"/>
      <c r="F253" s="29" t="n"/>
      <c r="G253" s="29" t="n"/>
      <c r="H253" s="29" t="n"/>
      <c r="I253" s="29" t="n"/>
      <c r="J253" s="49" t="n"/>
      <c r="K253" s="51" t="n"/>
      <c r="L253" s="29" t="n"/>
      <c r="M253" s="29" t="n"/>
      <c r="N253" s="29" t="n"/>
      <c r="O253" s="29" t="n"/>
      <c r="P253" s="29" t="n"/>
      <c r="Q253" s="29" t="n"/>
      <c r="R253" s="29" t="n"/>
      <c r="S253" s="29" t="n"/>
      <c r="T253" s="29" t="n"/>
    </row>
    <row r="254" ht="54" customHeight="1">
      <c r="A254" s="29" t="n"/>
      <c r="B254" s="29" t="n"/>
      <c r="C254" s="29" t="n"/>
      <c r="D254" s="29" t="n"/>
      <c r="E254" s="29" t="n"/>
      <c r="F254" s="29" t="n"/>
      <c r="G254" s="29" t="n"/>
      <c r="H254" s="29" t="n"/>
      <c r="I254" s="29" t="n"/>
      <c r="J254" s="49" t="n"/>
      <c r="K254" s="51" t="n"/>
      <c r="L254" s="29" t="n"/>
      <c r="M254" s="29" t="n"/>
      <c r="N254" s="29" t="n"/>
      <c r="O254" s="29" t="n"/>
      <c r="P254" s="29" t="n"/>
      <c r="Q254" s="29" t="n"/>
      <c r="R254" s="29" t="n"/>
      <c r="S254" s="29" t="n"/>
      <c r="T254" s="29" t="n"/>
    </row>
    <row r="255" ht="54" customHeight="1">
      <c r="A255" s="29" t="n"/>
      <c r="B255" s="29" t="n"/>
      <c r="C255" s="29" t="n"/>
      <c r="D255" s="29" t="n"/>
      <c r="E255" s="29" t="n"/>
      <c r="F255" s="29" t="n"/>
      <c r="G255" s="29" t="n"/>
      <c r="H255" s="29" t="n"/>
      <c r="I255" s="29" t="n"/>
      <c r="J255" s="49" t="n"/>
      <c r="K255" s="51" t="n"/>
      <c r="L255" s="29" t="n"/>
      <c r="M255" s="29" t="n"/>
      <c r="N255" s="29" t="n"/>
      <c r="O255" s="29" t="n"/>
      <c r="P255" s="29" t="n"/>
      <c r="Q255" s="29" t="n"/>
      <c r="R255" s="29" t="n"/>
      <c r="S255" s="29" t="n"/>
      <c r="T255" s="29" t="n"/>
    </row>
    <row r="256" ht="54" customHeight="1">
      <c r="A256" s="29" t="n"/>
      <c r="B256" s="29" t="n"/>
      <c r="C256" s="29" t="n"/>
      <c r="D256" s="29" t="n"/>
      <c r="E256" s="29" t="n"/>
      <c r="F256" s="29" t="n"/>
      <c r="G256" s="29" t="n"/>
      <c r="H256" s="29" t="n"/>
      <c r="I256" s="29" t="n"/>
      <c r="J256" s="49" t="n"/>
      <c r="K256" s="51" t="n"/>
      <c r="L256" s="29" t="n"/>
      <c r="M256" s="29" t="n"/>
      <c r="N256" s="29" t="n"/>
      <c r="O256" s="29" t="n"/>
      <c r="P256" s="29" t="n"/>
      <c r="Q256" s="29" t="n"/>
      <c r="R256" s="29" t="n"/>
      <c r="S256" s="29" t="n"/>
      <c r="T256" s="29" t="n"/>
    </row>
    <row r="257" ht="54" customHeight="1">
      <c r="A257" s="29" t="n"/>
      <c r="B257" s="29" t="n"/>
      <c r="C257" s="29" t="n"/>
      <c r="D257" s="29" t="n"/>
      <c r="E257" s="29" t="n"/>
      <c r="F257" s="29" t="n"/>
      <c r="G257" s="29" t="n"/>
      <c r="H257" s="29" t="n"/>
      <c r="I257" s="29" t="n"/>
      <c r="J257" s="49" t="n"/>
      <c r="K257" s="51" t="n"/>
      <c r="L257" s="29" t="n"/>
      <c r="M257" s="29" t="n"/>
      <c r="N257" s="29" t="n"/>
      <c r="O257" s="29" t="n"/>
      <c r="P257" s="29" t="n"/>
      <c r="Q257" s="29" t="n"/>
      <c r="R257" s="29" t="n"/>
      <c r="S257" s="29" t="n"/>
      <c r="T257" s="29" t="n"/>
    </row>
    <row r="258" ht="54" customHeight="1">
      <c r="A258" s="29" t="n"/>
      <c r="B258" s="29" t="n"/>
      <c r="C258" s="29" t="n"/>
      <c r="D258" s="29" t="n"/>
      <c r="E258" s="29" t="n"/>
      <c r="F258" s="29" t="n"/>
      <c r="G258" s="29" t="n"/>
      <c r="H258" s="29" t="n"/>
      <c r="I258" s="29" t="n"/>
      <c r="J258" s="49" t="n"/>
      <c r="K258" s="51" t="n"/>
      <c r="L258" s="29" t="n"/>
      <c r="M258" s="29" t="n"/>
      <c r="N258" s="29" t="n"/>
      <c r="O258" s="29" t="n"/>
      <c r="P258" s="29" t="n"/>
      <c r="Q258" s="29" t="n"/>
      <c r="R258" s="29" t="n"/>
      <c r="S258" s="29" t="n"/>
      <c r="T258" s="29" t="n"/>
    </row>
    <row r="259" ht="54" customHeight="1">
      <c r="A259" s="29" t="n"/>
      <c r="B259" s="29" t="n"/>
      <c r="C259" s="29" t="n"/>
      <c r="D259" s="29" t="n"/>
      <c r="E259" s="29" t="n"/>
      <c r="F259" s="29" t="n"/>
      <c r="G259" s="29" t="n"/>
      <c r="H259" s="29" t="n"/>
      <c r="I259" s="29" t="n"/>
      <c r="J259" s="49" t="n"/>
      <c r="K259" s="51" t="n"/>
      <c r="L259" s="29" t="n"/>
      <c r="M259" s="29" t="n"/>
      <c r="N259" s="29" t="n"/>
      <c r="O259" s="29" t="n"/>
      <c r="P259" s="29" t="n"/>
      <c r="Q259" s="29" t="n"/>
      <c r="R259" s="29" t="n"/>
      <c r="S259" s="29" t="n"/>
      <c r="T259" s="29" t="n"/>
    </row>
    <row r="260" ht="54" customHeight="1">
      <c r="A260" s="29" t="n"/>
      <c r="B260" s="29" t="n"/>
      <c r="C260" s="29" t="n"/>
      <c r="D260" s="29" t="n"/>
      <c r="E260" s="29" t="n"/>
      <c r="F260" s="29" t="n"/>
      <c r="G260" s="29" t="n"/>
      <c r="H260" s="29" t="n"/>
      <c r="I260" s="29" t="n"/>
      <c r="J260" s="49" t="n"/>
      <c r="K260" s="51" t="n"/>
      <c r="L260" s="29" t="n"/>
      <c r="M260" s="29" t="n"/>
      <c r="N260" s="29" t="n"/>
      <c r="O260" s="29" t="n"/>
      <c r="P260" s="29" t="n"/>
      <c r="Q260" s="29" t="n"/>
      <c r="R260" s="29" t="n"/>
      <c r="S260" s="29" t="n"/>
      <c r="T260" s="29" t="n"/>
    </row>
    <row r="261" ht="54" customHeight="1">
      <c r="A261" s="29" t="n"/>
      <c r="B261" s="29" t="n"/>
      <c r="C261" s="29" t="n"/>
      <c r="D261" s="29" t="n"/>
      <c r="E261" s="29" t="n"/>
      <c r="F261" s="29" t="n"/>
      <c r="G261" s="29" t="n"/>
      <c r="H261" s="29" t="n"/>
      <c r="I261" s="29" t="n"/>
      <c r="J261" s="49" t="n"/>
      <c r="K261" s="51" t="n"/>
      <c r="L261" s="29" t="n"/>
      <c r="M261" s="29" t="n"/>
      <c r="N261" s="29" t="n"/>
      <c r="O261" s="29" t="n"/>
      <c r="P261" s="29" t="n"/>
      <c r="Q261" s="29" t="n"/>
      <c r="R261" s="29" t="n"/>
      <c r="S261" s="29" t="n"/>
      <c r="T261" s="29" t="n"/>
    </row>
    <row r="262" ht="54" customHeight="1">
      <c r="A262" s="29" t="n"/>
      <c r="B262" s="29" t="n"/>
      <c r="C262" s="29" t="n"/>
      <c r="D262" s="29" t="n"/>
      <c r="E262" s="29" t="n"/>
      <c r="F262" s="29" t="n"/>
      <c r="G262" s="29" t="n"/>
      <c r="H262" s="29" t="n"/>
      <c r="I262" s="29" t="n"/>
      <c r="J262" s="49" t="n"/>
      <c r="K262" s="51" t="n"/>
      <c r="L262" s="29" t="n"/>
      <c r="M262" s="29" t="n"/>
      <c r="N262" s="29" t="n"/>
      <c r="O262" s="29" t="n"/>
      <c r="P262" s="29" t="n"/>
      <c r="Q262" s="29" t="n"/>
      <c r="R262" s="29" t="n"/>
      <c r="S262" s="29" t="n"/>
      <c r="T262" s="29" t="n"/>
    </row>
    <row r="263" ht="54" customHeight="1">
      <c r="A263" s="29" t="n"/>
      <c r="B263" s="29" t="n"/>
      <c r="C263" s="29" t="n"/>
      <c r="D263" s="29" t="n"/>
      <c r="E263" s="29" t="n"/>
      <c r="F263" s="29" t="n"/>
      <c r="G263" s="29" t="n"/>
      <c r="H263" s="29" t="n"/>
      <c r="I263" s="29" t="n"/>
      <c r="J263" s="49" t="n"/>
      <c r="K263" s="51" t="n"/>
      <c r="L263" s="29" t="n"/>
      <c r="M263" s="29" t="n"/>
      <c r="N263" s="29" t="n"/>
      <c r="O263" s="29" t="n"/>
      <c r="P263" s="29" t="n"/>
      <c r="Q263" s="29" t="n"/>
      <c r="R263" s="29" t="n"/>
      <c r="S263" s="29" t="n"/>
      <c r="T263" s="29" t="n"/>
    </row>
    <row r="264" ht="54" customHeight="1">
      <c r="A264" s="29" t="n"/>
      <c r="B264" s="29" t="n"/>
      <c r="C264" s="29" t="n"/>
      <c r="D264" s="29" t="n"/>
      <c r="E264" s="29" t="n"/>
      <c r="F264" s="29" t="n"/>
      <c r="G264" s="29" t="n"/>
      <c r="H264" s="29" t="n"/>
      <c r="I264" s="29" t="n"/>
      <c r="J264" s="49" t="n"/>
      <c r="K264" s="51" t="n"/>
      <c r="L264" s="29" t="n"/>
      <c r="M264" s="29" t="n"/>
      <c r="N264" s="29" t="n"/>
      <c r="O264" s="29" t="n"/>
      <c r="P264" s="29" t="n"/>
      <c r="Q264" s="29" t="n"/>
      <c r="R264" s="29" t="n"/>
      <c r="S264" s="29" t="n"/>
      <c r="T264" s="29" t="n"/>
    </row>
    <row r="265" ht="54" customHeight="1">
      <c r="A265" s="29" t="n"/>
      <c r="B265" s="29" t="n"/>
      <c r="C265" s="29" t="n"/>
      <c r="D265" s="29" t="n"/>
      <c r="E265" s="29" t="n"/>
      <c r="F265" s="29" t="n"/>
      <c r="G265" s="29" t="n"/>
      <c r="H265" s="29" t="n"/>
      <c r="I265" s="29" t="n"/>
      <c r="J265" s="49" t="n"/>
      <c r="K265" s="51" t="n"/>
      <c r="L265" s="29" t="n"/>
      <c r="M265" s="29" t="n"/>
      <c r="N265" s="29" t="n"/>
      <c r="O265" s="29" t="n"/>
      <c r="P265" s="29" t="n"/>
      <c r="Q265" s="29" t="n"/>
      <c r="R265" s="29" t="n"/>
      <c r="S265" s="29" t="n"/>
      <c r="T265" s="29" t="n"/>
    </row>
    <row r="266" ht="54" customHeight="1">
      <c r="A266" s="29" t="n"/>
      <c r="B266" s="29" t="n"/>
      <c r="C266" s="29" t="n"/>
      <c r="D266" s="29" t="n"/>
      <c r="E266" s="29" t="n"/>
      <c r="F266" s="29" t="n"/>
      <c r="G266" s="29" t="n"/>
      <c r="H266" s="29" t="n"/>
      <c r="I266" s="29" t="n"/>
      <c r="J266" s="49" t="n"/>
      <c r="K266" s="51" t="n"/>
      <c r="L266" s="29" t="n"/>
      <c r="M266" s="29" t="n"/>
      <c r="N266" s="29" t="n"/>
      <c r="O266" s="29" t="n"/>
      <c r="P266" s="29" t="n"/>
      <c r="Q266" s="29" t="n"/>
      <c r="R266" s="29" t="n"/>
      <c r="S266" s="29" t="n"/>
      <c r="T266" s="29" t="n"/>
    </row>
    <row r="267" ht="54" customHeight="1">
      <c r="A267" s="29" t="n"/>
      <c r="B267" s="29" t="n"/>
      <c r="C267" s="29" t="n"/>
      <c r="D267" s="29" t="n"/>
      <c r="E267" s="29" t="n"/>
      <c r="F267" s="29" t="n"/>
      <c r="G267" s="29" t="n"/>
      <c r="H267" s="29" t="n"/>
      <c r="I267" s="29" t="n"/>
      <c r="J267" s="49" t="n"/>
      <c r="K267" s="51" t="n"/>
      <c r="L267" s="29" t="n"/>
      <c r="M267" s="29" t="n"/>
      <c r="N267" s="29" t="n"/>
      <c r="O267" s="29" t="n"/>
      <c r="P267" s="29" t="n"/>
      <c r="Q267" s="29" t="n"/>
      <c r="R267" s="29" t="n"/>
      <c r="S267" s="29" t="n"/>
      <c r="T267" s="29" t="n"/>
    </row>
    <row r="268" ht="54" customHeight="1">
      <c r="A268" s="29" t="n"/>
      <c r="B268" s="29" t="n"/>
      <c r="C268" s="29" t="n"/>
      <c r="D268" s="29" t="n"/>
      <c r="E268" s="29" t="n"/>
      <c r="F268" s="29" t="n"/>
      <c r="G268" s="29" t="n"/>
      <c r="H268" s="29" t="n"/>
      <c r="I268" s="29" t="n"/>
      <c r="J268" s="49" t="n"/>
      <c r="K268" s="51" t="n"/>
      <c r="L268" s="29" t="n"/>
      <c r="M268" s="29" t="n"/>
      <c r="N268" s="29" t="n"/>
      <c r="O268" s="29" t="n"/>
      <c r="P268" s="29" t="n"/>
      <c r="Q268" s="29" t="n"/>
      <c r="R268" s="29" t="n"/>
      <c r="S268" s="29" t="n"/>
      <c r="T268" s="29" t="n"/>
    </row>
    <row r="269" ht="54" customHeight="1">
      <c r="A269" s="29" t="n"/>
      <c r="B269" s="29" t="n"/>
      <c r="C269" s="29" t="n"/>
      <c r="D269" s="29" t="n"/>
      <c r="E269" s="29" t="n"/>
      <c r="F269" s="29" t="n"/>
      <c r="G269" s="29" t="n"/>
      <c r="H269" s="29" t="n"/>
      <c r="I269" s="29" t="n"/>
      <c r="J269" s="49" t="n"/>
      <c r="K269" s="51" t="n"/>
      <c r="L269" s="29" t="n"/>
      <c r="M269" s="29" t="n"/>
      <c r="N269" s="29" t="n"/>
      <c r="O269" s="29" t="n"/>
      <c r="P269" s="29" t="n"/>
      <c r="Q269" s="29" t="n"/>
      <c r="R269" s="29" t="n"/>
      <c r="S269" s="29" t="n"/>
      <c r="T269" s="29" t="n"/>
    </row>
    <row r="270" ht="54" customHeight="1">
      <c r="A270" s="29" t="n"/>
      <c r="B270" s="29" t="n"/>
      <c r="C270" s="29" t="n"/>
      <c r="D270" s="29" t="n"/>
      <c r="E270" s="29" t="n"/>
      <c r="F270" s="29" t="n"/>
      <c r="G270" s="29" t="n"/>
      <c r="H270" s="29" t="n"/>
      <c r="I270" s="29" t="n"/>
      <c r="J270" s="49" t="n"/>
      <c r="K270" s="51" t="n"/>
      <c r="L270" s="29" t="n"/>
      <c r="M270" s="29" t="n"/>
      <c r="N270" s="29" t="n"/>
      <c r="O270" s="29" t="n"/>
      <c r="P270" s="29" t="n"/>
      <c r="Q270" s="29" t="n"/>
      <c r="R270" s="29" t="n"/>
      <c r="S270" s="29" t="n"/>
      <c r="T270" s="29" t="n"/>
    </row>
    <row r="271" ht="54" customHeight="1">
      <c r="A271" s="29" t="n"/>
      <c r="B271" s="29" t="n"/>
      <c r="C271" s="29" t="n"/>
      <c r="D271" s="29" t="n"/>
      <c r="E271" s="29" t="n"/>
      <c r="F271" s="29" t="n"/>
      <c r="G271" s="29" t="n"/>
      <c r="H271" s="29" t="n"/>
      <c r="I271" s="29" t="n"/>
      <c r="J271" s="49" t="n"/>
      <c r="K271" s="51" t="n"/>
      <c r="L271" s="29" t="n"/>
      <c r="M271" s="29" t="n"/>
      <c r="N271" s="29" t="n"/>
      <c r="O271" s="29" t="n"/>
      <c r="P271" s="29" t="n"/>
      <c r="Q271" s="29" t="n"/>
      <c r="R271" s="29" t="n"/>
      <c r="S271" s="29" t="n"/>
      <c r="T271" s="29" t="n"/>
    </row>
    <row r="272" ht="54" customHeight="1">
      <c r="A272" s="29" t="n"/>
      <c r="B272" s="29" t="n"/>
      <c r="C272" s="29" t="n"/>
      <c r="D272" s="29" t="n"/>
      <c r="E272" s="29" t="n"/>
      <c r="F272" s="29" t="n"/>
      <c r="G272" s="29" t="n"/>
      <c r="H272" s="29" t="n"/>
      <c r="I272" s="29" t="n"/>
      <c r="J272" s="49" t="n"/>
      <c r="K272" s="51" t="n"/>
      <c r="L272" s="29" t="n"/>
      <c r="M272" s="29" t="n"/>
      <c r="N272" s="29" t="n"/>
      <c r="O272" s="29" t="n"/>
      <c r="P272" s="29" t="n"/>
      <c r="Q272" s="29" t="n"/>
      <c r="R272" s="29" t="n"/>
      <c r="S272" s="29" t="n"/>
      <c r="T272" s="29" t="n"/>
    </row>
    <row r="273" ht="54" customHeight="1">
      <c r="A273" s="29" t="n"/>
      <c r="B273" s="29" t="n"/>
      <c r="C273" s="29" t="n"/>
      <c r="D273" s="29" t="n"/>
      <c r="E273" s="29" t="n"/>
      <c r="F273" s="29" t="n"/>
      <c r="G273" s="29" t="n"/>
      <c r="H273" s="29" t="n"/>
      <c r="I273" s="29" t="n"/>
      <c r="J273" s="49" t="n"/>
      <c r="K273" s="51" t="n"/>
      <c r="L273" s="29" t="n"/>
      <c r="M273" s="29" t="n"/>
      <c r="N273" s="29" t="n"/>
      <c r="O273" s="29" t="n"/>
      <c r="P273" s="29" t="n"/>
      <c r="Q273" s="29" t="n"/>
      <c r="R273" s="29" t="n"/>
      <c r="S273" s="29" t="n"/>
      <c r="T273" s="29" t="n"/>
    </row>
    <row r="274" ht="54" customHeight="1">
      <c r="A274" s="29" t="n"/>
      <c r="B274" s="29" t="n"/>
      <c r="C274" s="29" t="n"/>
      <c r="D274" s="29" t="n"/>
      <c r="E274" s="29" t="n"/>
      <c r="F274" s="29" t="n"/>
      <c r="G274" s="29" t="n"/>
      <c r="H274" s="29" t="n"/>
      <c r="I274" s="29" t="n"/>
      <c r="J274" s="49" t="n"/>
      <c r="K274" s="51" t="n"/>
      <c r="L274" s="29" t="n"/>
      <c r="M274" s="29" t="n"/>
      <c r="N274" s="29" t="n"/>
      <c r="O274" s="29" t="n"/>
      <c r="P274" s="29" t="n"/>
      <c r="Q274" s="29" t="n"/>
      <c r="R274" s="29" t="n"/>
      <c r="S274" s="29" t="n"/>
      <c r="T274" s="29" t="n"/>
    </row>
    <row r="275" ht="54" customHeight="1">
      <c r="A275" s="29" t="n"/>
      <c r="B275" s="29" t="n"/>
      <c r="C275" s="29" t="n"/>
      <c r="D275" s="29" t="n"/>
      <c r="E275" s="29" t="n"/>
      <c r="F275" s="29" t="n"/>
      <c r="G275" s="29" t="n"/>
      <c r="H275" s="29" t="n"/>
      <c r="I275" s="29" t="n"/>
      <c r="J275" s="49" t="n"/>
      <c r="K275" s="51" t="n"/>
      <c r="L275" s="29" t="n"/>
      <c r="M275" s="29" t="n"/>
      <c r="N275" s="29" t="n"/>
      <c r="O275" s="29" t="n"/>
      <c r="P275" s="29" t="n"/>
      <c r="Q275" s="29" t="n"/>
      <c r="R275" s="29" t="n"/>
      <c r="S275" s="29" t="n"/>
      <c r="T275" s="29" t="n"/>
    </row>
    <row r="276" ht="54" customHeight="1">
      <c r="A276" s="29" t="n"/>
      <c r="B276" s="29" t="n"/>
      <c r="C276" s="29" t="n"/>
      <c r="D276" s="29" t="n"/>
      <c r="E276" s="29" t="n"/>
      <c r="F276" s="29" t="n"/>
      <c r="G276" s="29" t="n"/>
      <c r="H276" s="29" t="n"/>
      <c r="I276" s="29" t="n"/>
      <c r="J276" s="49" t="n"/>
      <c r="K276" s="51" t="n"/>
      <c r="L276" s="29" t="n"/>
      <c r="M276" s="29" t="n"/>
      <c r="N276" s="29" t="n"/>
      <c r="O276" s="29" t="n"/>
      <c r="P276" s="29" t="n"/>
      <c r="Q276" s="29" t="n"/>
      <c r="R276" s="29" t="n"/>
      <c r="S276" s="29" t="n"/>
      <c r="T276" s="29" t="n"/>
    </row>
    <row r="277" ht="54" customHeight="1">
      <c r="A277" s="29" t="n"/>
      <c r="B277" s="29" t="n"/>
      <c r="C277" s="29" t="n"/>
      <c r="D277" s="29" t="n"/>
      <c r="E277" s="29" t="n"/>
      <c r="F277" s="29" t="n"/>
      <c r="G277" s="29" t="n"/>
      <c r="H277" s="29" t="n"/>
      <c r="I277" s="29" t="n"/>
      <c r="J277" s="49" t="n"/>
      <c r="K277" s="51" t="n"/>
      <c r="L277" s="29" t="n"/>
      <c r="M277" s="29" t="n"/>
      <c r="N277" s="29" t="n"/>
      <c r="O277" s="29" t="n"/>
      <c r="P277" s="29" t="n"/>
      <c r="Q277" s="29" t="n"/>
      <c r="R277" s="29" t="n"/>
      <c r="S277" s="29" t="n"/>
      <c r="T277" s="29" t="n"/>
    </row>
    <row r="278" ht="54" customHeight="1">
      <c r="A278" s="29" t="n"/>
      <c r="B278" s="29" t="n"/>
      <c r="C278" s="29" t="n"/>
      <c r="D278" s="29" t="n"/>
      <c r="E278" s="29" t="n"/>
      <c r="F278" s="29" t="n"/>
      <c r="G278" s="29" t="n"/>
      <c r="H278" s="29" t="n"/>
      <c r="I278" s="29" t="n"/>
      <c r="J278" s="49" t="n"/>
      <c r="K278" s="51" t="n"/>
      <c r="L278" s="29" t="n"/>
      <c r="M278" s="29" t="n"/>
      <c r="N278" s="29" t="n"/>
      <c r="O278" s="29" t="n"/>
      <c r="P278" s="29" t="n"/>
      <c r="Q278" s="29" t="n"/>
      <c r="R278" s="29" t="n"/>
      <c r="S278" s="29" t="n"/>
      <c r="T278" s="29" t="n"/>
    </row>
    <row r="279" ht="54" customHeight="1">
      <c r="A279" s="29" t="n"/>
      <c r="B279" s="29" t="n"/>
      <c r="C279" s="29" t="n"/>
      <c r="D279" s="29" t="n"/>
      <c r="E279" s="29" t="n"/>
      <c r="F279" s="29" t="n"/>
      <c r="G279" s="29" t="n"/>
      <c r="H279" s="29" t="n"/>
      <c r="I279" s="29" t="n"/>
      <c r="J279" s="49" t="n"/>
      <c r="K279" s="51" t="n"/>
      <c r="L279" s="29" t="n"/>
      <c r="M279" s="29" t="n"/>
      <c r="N279" s="29" t="n"/>
      <c r="O279" s="29" t="n"/>
      <c r="P279" s="29" t="n"/>
      <c r="Q279" s="29" t="n"/>
      <c r="R279" s="29" t="n"/>
      <c r="S279" s="29" t="n"/>
      <c r="T279" s="29" t="n"/>
    </row>
    <row r="280" ht="54" customHeight="1">
      <c r="A280" s="29" t="n"/>
      <c r="B280" s="29" t="n"/>
      <c r="C280" s="29" t="n"/>
      <c r="D280" s="29" t="n"/>
      <c r="E280" s="29" t="n"/>
      <c r="F280" s="29" t="n"/>
      <c r="G280" s="29" t="n"/>
      <c r="H280" s="29" t="n"/>
      <c r="I280" s="29" t="n"/>
      <c r="J280" s="49" t="n"/>
      <c r="K280" s="51" t="n"/>
      <c r="L280" s="29" t="n"/>
      <c r="M280" s="29" t="n"/>
      <c r="N280" s="29" t="n"/>
      <c r="O280" s="29" t="n"/>
      <c r="P280" s="29" t="n"/>
      <c r="Q280" s="29" t="n"/>
      <c r="R280" s="29" t="n"/>
      <c r="S280" s="29" t="n"/>
      <c r="T280" s="29" t="n"/>
    </row>
    <row r="281" ht="54" customHeight="1">
      <c r="A281" s="29" t="n"/>
      <c r="B281" s="29" t="n"/>
      <c r="C281" s="29" t="n"/>
      <c r="D281" s="29" t="n"/>
      <c r="E281" s="29" t="n"/>
      <c r="F281" s="29" t="n"/>
      <c r="G281" s="29" t="n"/>
      <c r="H281" s="29" t="n"/>
      <c r="I281" s="29" t="n"/>
      <c r="J281" s="49" t="n"/>
      <c r="K281" s="51" t="n"/>
      <c r="L281" s="29" t="n"/>
      <c r="M281" s="29" t="n"/>
      <c r="N281" s="29" t="n"/>
      <c r="O281" s="29" t="n"/>
      <c r="P281" s="29" t="n"/>
      <c r="Q281" s="29" t="n"/>
      <c r="R281" s="29" t="n"/>
      <c r="S281" s="29" t="n"/>
      <c r="T281" s="29" t="n"/>
    </row>
    <row r="282" ht="54" customHeight="1">
      <c r="A282" s="29" t="n"/>
      <c r="B282" s="29" t="n"/>
      <c r="C282" s="29" t="n"/>
      <c r="D282" s="29" t="n"/>
      <c r="E282" s="29" t="n"/>
      <c r="F282" s="29" t="n"/>
      <c r="G282" s="29" t="n"/>
      <c r="H282" s="29" t="n"/>
      <c r="I282" s="29" t="n"/>
      <c r="J282" s="49" t="n"/>
      <c r="K282" s="51" t="n"/>
      <c r="L282" s="29" t="n"/>
      <c r="M282" s="29" t="n"/>
      <c r="N282" s="29" t="n"/>
      <c r="O282" s="29" t="n"/>
      <c r="P282" s="29" t="n"/>
      <c r="Q282" s="29" t="n"/>
      <c r="R282" s="29" t="n"/>
      <c r="S282" s="29" t="n"/>
      <c r="T282" s="29" t="n"/>
    </row>
    <row r="283" ht="54" customHeight="1">
      <c r="A283" s="29" t="n"/>
      <c r="B283" s="29" t="n"/>
      <c r="C283" s="29" t="n"/>
      <c r="D283" s="29" t="n"/>
      <c r="E283" s="29" t="n"/>
      <c r="F283" s="29" t="n"/>
      <c r="G283" s="29" t="n"/>
      <c r="H283" s="29" t="n"/>
      <c r="I283" s="29" t="n"/>
      <c r="J283" s="49" t="n"/>
      <c r="K283" s="51" t="n"/>
      <c r="L283" s="29" t="n"/>
      <c r="M283" s="29" t="n"/>
      <c r="N283" s="29" t="n"/>
      <c r="O283" s="29" t="n"/>
      <c r="P283" s="29" t="n"/>
      <c r="Q283" s="29" t="n"/>
      <c r="R283" s="29" t="n"/>
      <c r="S283" s="29" t="n"/>
      <c r="T283" s="29" t="n"/>
    </row>
    <row r="284" ht="54" customHeight="1">
      <c r="A284" s="29" t="n"/>
      <c r="B284" s="29" t="n"/>
      <c r="C284" s="29" t="n"/>
      <c r="D284" s="29" t="n"/>
      <c r="E284" s="29" t="n"/>
      <c r="F284" s="29" t="n"/>
      <c r="G284" s="29" t="n"/>
      <c r="H284" s="29" t="n"/>
      <c r="I284" s="29" t="n"/>
      <c r="J284" s="49" t="n"/>
      <c r="K284" s="51" t="n"/>
      <c r="L284" s="29" t="n"/>
      <c r="M284" s="29" t="n"/>
      <c r="N284" s="29" t="n"/>
      <c r="O284" s="29" t="n"/>
      <c r="P284" s="29" t="n"/>
      <c r="Q284" s="29" t="n"/>
      <c r="R284" s="29" t="n"/>
      <c r="S284" s="29" t="n"/>
      <c r="T284" s="29" t="n"/>
    </row>
    <row r="285" ht="54" customHeight="1">
      <c r="A285" s="29" t="n"/>
      <c r="B285" s="29" t="n"/>
      <c r="C285" s="29" t="n"/>
      <c r="D285" s="29" t="n"/>
      <c r="E285" s="29" t="n"/>
      <c r="F285" s="29" t="n"/>
      <c r="G285" s="29" t="n"/>
      <c r="H285" s="29" t="n"/>
      <c r="I285" s="29" t="n"/>
      <c r="J285" s="49" t="n"/>
      <c r="K285" s="51" t="n"/>
      <c r="L285" s="29" t="n"/>
      <c r="M285" s="29" t="n"/>
      <c r="N285" s="29" t="n"/>
      <c r="O285" s="29" t="n"/>
      <c r="P285" s="29" t="n"/>
      <c r="Q285" s="29" t="n"/>
      <c r="R285" s="29" t="n"/>
      <c r="S285" s="29" t="n"/>
      <c r="T285" s="29" t="n"/>
    </row>
    <row r="286" ht="54" customHeight="1">
      <c r="A286" s="29" t="n"/>
      <c r="B286" s="29" t="n"/>
      <c r="C286" s="29" t="n"/>
      <c r="D286" s="29" t="n"/>
      <c r="E286" s="29" t="n"/>
      <c r="F286" s="29" t="n"/>
      <c r="G286" s="29" t="n"/>
      <c r="H286" s="29" t="n"/>
      <c r="I286" s="29" t="n"/>
      <c r="J286" s="49" t="n"/>
      <c r="K286" s="51" t="n"/>
      <c r="L286" s="29" t="n"/>
      <c r="M286" s="29" t="n"/>
      <c r="N286" s="29" t="n"/>
      <c r="O286" s="29" t="n"/>
      <c r="P286" s="29" t="n"/>
      <c r="Q286" s="29" t="n"/>
      <c r="R286" s="29" t="n"/>
      <c r="S286" s="29" t="n"/>
      <c r="T286" s="29" t="n"/>
    </row>
    <row r="287" ht="54" customHeight="1">
      <c r="A287" s="29" t="n"/>
      <c r="B287" s="29" t="n"/>
      <c r="C287" s="29" t="n"/>
      <c r="D287" s="29" t="n"/>
      <c r="E287" s="29" t="n"/>
      <c r="F287" s="29" t="n"/>
      <c r="G287" s="29" t="n"/>
      <c r="H287" s="29" t="n"/>
      <c r="I287" s="29" t="n"/>
      <c r="J287" s="49" t="n"/>
      <c r="K287" s="51" t="n"/>
      <c r="L287" s="29" t="n"/>
      <c r="M287" s="29" t="n"/>
      <c r="N287" s="29" t="n"/>
      <c r="O287" s="29" t="n"/>
      <c r="P287" s="29" t="n"/>
      <c r="Q287" s="29" t="n"/>
      <c r="R287" s="29" t="n"/>
      <c r="S287" s="29" t="n"/>
      <c r="T287" s="29" t="n"/>
    </row>
    <row r="288" ht="54" customHeight="1">
      <c r="A288" s="29" t="n"/>
      <c r="B288" s="29" t="n"/>
      <c r="C288" s="29" t="n"/>
      <c r="D288" s="29" t="n"/>
      <c r="E288" s="29" t="n"/>
      <c r="F288" s="29" t="n"/>
      <c r="G288" s="29" t="n"/>
      <c r="H288" s="29" t="n"/>
      <c r="I288" s="29" t="n"/>
      <c r="J288" s="49" t="n"/>
      <c r="K288" s="51" t="n"/>
      <c r="L288" s="29" t="n"/>
      <c r="M288" s="29" t="n"/>
      <c r="N288" s="29" t="n"/>
      <c r="O288" s="29" t="n"/>
      <c r="P288" s="29" t="n"/>
      <c r="Q288" s="29" t="n"/>
      <c r="R288" s="29" t="n"/>
      <c r="S288" s="29" t="n"/>
      <c r="T288" s="29" t="n"/>
    </row>
    <row r="289" ht="54" customHeight="1">
      <c r="A289" s="29" t="n"/>
      <c r="B289" s="29" t="n"/>
      <c r="C289" s="29" t="n"/>
      <c r="D289" s="29" t="n"/>
      <c r="E289" s="29" t="n"/>
      <c r="F289" s="29" t="n"/>
      <c r="G289" s="29" t="n"/>
      <c r="H289" s="29" t="n"/>
      <c r="I289" s="29" t="n"/>
      <c r="J289" s="49" t="n"/>
      <c r="K289" s="51" t="n"/>
      <c r="L289" s="29" t="n"/>
      <c r="M289" s="29" t="n"/>
      <c r="N289" s="29" t="n"/>
      <c r="O289" s="29" t="n"/>
      <c r="P289" s="29" t="n"/>
      <c r="Q289" s="29" t="n"/>
      <c r="R289" s="29" t="n"/>
      <c r="S289" s="29" t="n"/>
      <c r="T289" s="29" t="n"/>
    </row>
    <row r="290" ht="54" customHeight="1">
      <c r="A290" s="29" t="n"/>
      <c r="B290" s="29" t="n"/>
      <c r="C290" s="29" t="n"/>
      <c r="D290" s="29" t="n"/>
      <c r="E290" s="29" t="n"/>
      <c r="F290" s="29" t="n"/>
      <c r="G290" s="29" t="n"/>
      <c r="H290" s="29" t="n"/>
      <c r="I290" s="29" t="n"/>
      <c r="J290" s="49" t="n"/>
      <c r="K290" s="51" t="n"/>
      <c r="L290" s="29" t="n"/>
      <c r="M290" s="29" t="n"/>
      <c r="N290" s="29" t="n"/>
      <c r="O290" s="29" t="n"/>
      <c r="P290" s="29" t="n"/>
      <c r="Q290" s="29" t="n"/>
      <c r="R290" s="29" t="n"/>
      <c r="S290" s="29" t="n"/>
      <c r="T290" s="29" t="n"/>
    </row>
    <row r="291" ht="54" customHeight="1">
      <c r="A291" s="29" t="n"/>
      <c r="B291" s="29" t="n"/>
      <c r="C291" s="29" t="n"/>
      <c r="D291" s="29" t="n"/>
      <c r="E291" s="29" t="n"/>
      <c r="F291" s="29" t="n"/>
      <c r="G291" s="29" t="n"/>
      <c r="H291" s="29" t="n"/>
      <c r="I291" s="29" t="n"/>
      <c r="J291" s="49" t="n"/>
      <c r="K291" s="51" t="n"/>
      <c r="L291" s="29" t="n"/>
      <c r="M291" s="29" t="n"/>
      <c r="N291" s="29" t="n"/>
      <c r="O291" s="29" t="n"/>
      <c r="P291" s="29" t="n"/>
      <c r="Q291" s="29" t="n"/>
      <c r="R291" s="29" t="n"/>
      <c r="S291" s="29" t="n"/>
      <c r="T291" s="29" t="n"/>
    </row>
    <row r="292" ht="54" customHeight="1">
      <c r="A292" s="29" t="n"/>
      <c r="B292" s="29" t="n"/>
      <c r="C292" s="29" t="n"/>
      <c r="D292" s="29" t="n"/>
      <c r="E292" s="29" t="n"/>
      <c r="F292" s="29" t="n"/>
      <c r="G292" s="29" t="n"/>
      <c r="H292" s="29" t="n"/>
      <c r="I292" s="29" t="n"/>
      <c r="J292" s="49" t="n"/>
      <c r="K292" s="51" t="n"/>
      <c r="L292" s="29" t="n"/>
      <c r="M292" s="29" t="n"/>
      <c r="N292" s="29" t="n"/>
      <c r="O292" s="29" t="n"/>
      <c r="P292" s="29" t="n"/>
      <c r="Q292" s="29" t="n"/>
      <c r="R292" s="29" t="n"/>
      <c r="S292" s="29" t="n"/>
      <c r="T292" s="29" t="n"/>
    </row>
    <row r="293" ht="54" customHeight="1">
      <c r="A293" s="29" t="n"/>
      <c r="B293" s="29" t="n"/>
      <c r="C293" s="29" t="n"/>
      <c r="D293" s="29" t="n"/>
      <c r="E293" s="29" t="n"/>
      <c r="F293" s="29" t="n"/>
      <c r="G293" s="29" t="n"/>
      <c r="H293" s="29" t="n"/>
      <c r="I293" s="29" t="n"/>
      <c r="J293" s="49" t="n"/>
      <c r="K293" s="51" t="n"/>
      <c r="L293" s="29" t="n"/>
      <c r="M293" s="29" t="n"/>
      <c r="N293" s="29" t="n"/>
      <c r="O293" s="29" t="n"/>
      <c r="P293" s="29" t="n"/>
      <c r="Q293" s="29" t="n"/>
      <c r="R293" s="29" t="n"/>
      <c r="S293" s="29" t="n"/>
      <c r="T293" s="29" t="n"/>
    </row>
    <row r="294" ht="54" customHeight="1">
      <c r="A294" s="29" t="n"/>
      <c r="B294" s="29" t="n"/>
      <c r="C294" s="29" t="n"/>
      <c r="D294" s="29" t="n"/>
      <c r="E294" s="29" t="n"/>
      <c r="F294" s="29" t="n"/>
      <c r="G294" s="29" t="n"/>
      <c r="H294" s="29" t="n"/>
      <c r="I294" s="29" t="n"/>
      <c r="J294" s="49" t="n"/>
      <c r="K294" s="51" t="n"/>
      <c r="L294" s="29" t="n"/>
      <c r="M294" s="29" t="n"/>
      <c r="N294" s="29" t="n"/>
      <c r="O294" s="29" t="n"/>
      <c r="P294" s="29" t="n"/>
      <c r="Q294" s="29" t="n"/>
      <c r="R294" s="29" t="n"/>
      <c r="S294" s="29" t="n"/>
      <c r="T294" s="29" t="n"/>
    </row>
    <row r="295" ht="54" customHeight="1">
      <c r="A295" s="29" t="n"/>
      <c r="B295" s="29" t="n"/>
      <c r="C295" s="29" t="n"/>
      <c r="D295" s="29" t="n"/>
      <c r="E295" s="29" t="n"/>
      <c r="F295" s="29" t="n"/>
      <c r="G295" s="29" t="n"/>
      <c r="H295" s="29" t="n"/>
      <c r="I295" s="29" t="n"/>
      <c r="J295" s="49" t="n"/>
      <c r="K295" s="51" t="n"/>
      <c r="L295" s="29" t="n"/>
      <c r="M295" s="29" t="n"/>
      <c r="N295" s="29" t="n"/>
      <c r="O295" s="29" t="n"/>
      <c r="P295" s="29" t="n"/>
      <c r="Q295" s="29" t="n"/>
      <c r="R295" s="29" t="n"/>
      <c r="S295" s="29" t="n"/>
      <c r="T295" s="29" t="n"/>
    </row>
    <row r="296" ht="54" customHeight="1">
      <c r="A296" s="29" t="n"/>
      <c r="B296" s="29" t="n"/>
      <c r="C296" s="29" t="n"/>
      <c r="D296" s="29" t="n"/>
      <c r="E296" s="29" t="n"/>
      <c r="F296" s="29" t="n"/>
      <c r="G296" s="29" t="n"/>
      <c r="H296" s="29" t="n"/>
      <c r="I296" s="29" t="n"/>
      <c r="J296" s="49" t="n"/>
      <c r="K296" s="51" t="n"/>
      <c r="L296" s="29" t="n"/>
      <c r="M296" s="29" t="n"/>
      <c r="N296" s="29" t="n"/>
      <c r="O296" s="29" t="n"/>
      <c r="P296" s="29" t="n"/>
      <c r="Q296" s="29" t="n"/>
      <c r="R296" s="29" t="n"/>
      <c r="S296" s="29" t="n"/>
      <c r="T296" s="29" t="n"/>
    </row>
    <row r="297" ht="54" customHeight="1">
      <c r="A297" s="29" t="n"/>
      <c r="B297" s="29" t="n"/>
      <c r="C297" s="29" t="n"/>
      <c r="D297" s="29" t="n"/>
      <c r="E297" s="29" t="n"/>
      <c r="F297" s="29" t="n"/>
      <c r="G297" s="29" t="n"/>
      <c r="H297" s="29" t="n"/>
      <c r="I297" s="29" t="n"/>
      <c r="J297" s="49" t="n"/>
      <c r="K297" s="51" t="n"/>
      <c r="L297" s="29" t="n"/>
      <c r="M297" s="29" t="n"/>
      <c r="N297" s="29" t="n"/>
      <c r="O297" s="29" t="n"/>
      <c r="P297" s="29" t="n"/>
      <c r="Q297" s="29" t="n"/>
      <c r="R297" s="29" t="n"/>
      <c r="S297" s="29" t="n"/>
      <c r="T297" s="29" t="n"/>
    </row>
    <row r="298" ht="54" customHeight="1">
      <c r="A298" s="29" t="n"/>
      <c r="B298" s="29" t="n"/>
      <c r="C298" s="29" t="n"/>
      <c r="D298" s="29" t="n"/>
      <c r="E298" s="29" t="n"/>
      <c r="F298" s="29" t="n"/>
      <c r="G298" s="29" t="n"/>
      <c r="H298" s="29" t="n"/>
      <c r="I298" s="29" t="n"/>
      <c r="J298" s="49" t="n"/>
      <c r="K298" s="51" t="n"/>
      <c r="L298" s="29" t="n"/>
      <c r="M298" s="29" t="n"/>
      <c r="N298" s="29" t="n"/>
      <c r="O298" s="29" t="n"/>
      <c r="P298" s="29" t="n"/>
      <c r="Q298" s="29" t="n"/>
      <c r="R298" s="29" t="n"/>
      <c r="S298" s="29" t="n"/>
      <c r="T298" s="29" t="n"/>
    </row>
    <row r="299" ht="54" customHeight="1">
      <c r="A299" s="29" t="n"/>
      <c r="B299" s="29" t="n"/>
      <c r="C299" s="29" t="n"/>
      <c r="D299" s="29" t="n"/>
      <c r="E299" s="29" t="n"/>
      <c r="F299" s="29" t="n"/>
      <c r="G299" s="29" t="n"/>
      <c r="H299" s="29" t="n"/>
      <c r="I299" s="29" t="n"/>
      <c r="J299" s="49" t="n"/>
      <c r="K299" s="51" t="n"/>
      <c r="L299" s="29" t="n"/>
      <c r="M299" s="29" t="n"/>
      <c r="N299" s="29" t="n"/>
      <c r="O299" s="29" t="n"/>
      <c r="P299" s="29" t="n"/>
      <c r="Q299" s="29" t="n"/>
      <c r="R299" s="29" t="n"/>
      <c r="S299" s="29" t="n"/>
      <c r="T299" s="29" t="n"/>
    </row>
    <row r="300" ht="54" customHeight="1">
      <c r="A300" s="29" t="n"/>
      <c r="B300" s="29" t="n"/>
      <c r="C300" s="29" t="n"/>
      <c r="D300" s="29" t="n"/>
      <c r="E300" s="29" t="n"/>
      <c r="F300" s="29" t="n"/>
      <c r="G300" s="29" t="n"/>
      <c r="H300" s="29" t="n"/>
      <c r="I300" s="29" t="n"/>
      <c r="J300" s="49" t="n"/>
      <c r="K300" s="51" t="n"/>
      <c r="L300" s="29" t="n"/>
      <c r="M300" s="29" t="n"/>
      <c r="N300" s="29" t="n"/>
      <c r="O300" s="29" t="n"/>
      <c r="P300" s="29" t="n"/>
      <c r="Q300" s="29" t="n"/>
      <c r="R300" s="29" t="n"/>
      <c r="S300" s="29" t="n"/>
      <c r="T300" s="29" t="n"/>
    </row>
    <row r="301" ht="54" customHeight="1">
      <c r="A301" s="29" t="n"/>
      <c r="B301" s="29" t="n"/>
      <c r="C301" s="29" t="n"/>
      <c r="D301" s="29" t="n"/>
      <c r="E301" s="29" t="n"/>
      <c r="F301" s="29" t="n"/>
      <c r="G301" s="29" t="n"/>
      <c r="H301" s="29" t="n"/>
      <c r="I301" s="29" t="n"/>
      <c r="J301" s="49" t="n"/>
      <c r="K301" s="51" t="n"/>
      <c r="L301" s="29" t="n"/>
      <c r="M301" s="29" t="n"/>
      <c r="N301" s="29" t="n"/>
      <c r="O301" s="29" t="n"/>
      <c r="P301" s="29" t="n"/>
      <c r="Q301" s="29" t="n"/>
      <c r="R301" s="29" t="n"/>
      <c r="S301" s="29" t="n"/>
      <c r="T301" s="29" t="n"/>
    </row>
    <row r="302" ht="54" customHeight="1">
      <c r="A302" s="29" t="n"/>
      <c r="B302" s="29" t="n"/>
      <c r="C302" s="29" t="n"/>
      <c r="D302" s="29" t="n"/>
      <c r="E302" s="29" t="n"/>
      <c r="F302" s="29" t="n"/>
      <c r="G302" s="29" t="n"/>
      <c r="H302" s="29" t="n"/>
      <c r="I302" s="29" t="n"/>
      <c r="J302" s="49" t="n"/>
      <c r="K302" s="51" t="n"/>
      <c r="L302" s="29" t="n"/>
      <c r="M302" s="29" t="n"/>
      <c r="N302" s="29" t="n"/>
      <c r="O302" s="29" t="n"/>
      <c r="P302" s="29" t="n"/>
      <c r="Q302" s="29" t="n"/>
      <c r="R302" s="29" t="n"/>
      <c r="S302" s="29" t="n"/>
      <c r="T302" s="29" t="n"/>
    </row>
    <row r="303" ht="54" customHeight="1">
      <c r="A303" s="29" t="n"/>
      <c r="B303" s="29" t="n"/>
      <c r="C303" s="29" t="n"/>
      <c r="D303" s="29" t="n"/>
      <c r="E303" s="29" t="n"/>
      <c r="F303" s="29" t="n"/>
      <c r="G303" s="29" t="n"/>
      <c r="H303" s="29" t="n"/>
      <c r="I303" s="29" t="n"/>
      <c r="J303" s="49" t="n"/>
      <c r="K303" s="51" t="n"/>
      <c r="L303" s="29" t="n"/>
      <c r="M303" s="29" t="n"/>
      <c r="N303" s="29" t="n"/>
      <c r="O303" s="29" t="n"/>
      <c r="P303" s="29" t="n"/>
      <c r="Q303" s="29" t="n"/>
      <c r="R303" s="29" t="n"/>
      <c r="S303" s="29" t="n"/>
      <c r="T303" s="29" t="n"/>
    </row>
    <row r="304" ht="54" customHeight="1">
      <c r="A304" s="29" t="n"/>
      <c r="B304" s="29" t="n"/>
      <c r="C304" s="29" t="n"/>
      <c r="D304" s="29" t="n"/>
      <c r="E304" s="29" t="n"/>
      <c r="F304" s="29" t="n"/>
      <c r="G304" s="29" t="n"/>
      <c r="H304" s="29" t="n"/>
      <c r="I304" s="29" t="n"/>
      <c r="J304" s="49" t="n"/>
      <c r="K304" s="51" t="n"/>
      <c r="L304" s="29" t="n"/>
      <c r="M304" s="29" t="n"/>
      <c r="N304" s="29" t="n"/>
      <c r="O304" s="29" t="n"/>
      <c r="P304" s="29" t="n"/>
      <c r="Q304" s="29" t="n"/>
      <c r="R304" s="29" t="n"/>
      <c r="S304" s="29" t="n"/>
      <c r="T304" s="29" t="n"/>
    </row>
    <row r="305" ht="54" customHeight="1">
      <c r="A305" s="29" t="n"/>
      <c r="B305" s="29" t="n"/>
      <c r="C305" s="29" t="n"/>
      <c r="D305" s="29" t="n"/>
      <c r="E305" s="29" t="n"/>
      <c r="F305" s="29" t="n"/>
      <c r="G305" s="29" t="n"/>
      <c r="H305" s="29" t="n"/>
      <c r="I305" s="29" t="n"/>
      <c r="J305" s="49" t="n"/>
      <c r="K305" s="51" t="n"/>
      <c r="L305" s="29" t="n"/>
      <c r="M305" s="29" t="n"/>
      <c r="N305" s="29" t="n"/>
      <c r="O305" s="29" t="n"/>
      <c r="P305" s="29" t="n"/>
      <c r="Q305" s="29" t="n"/>
      <c r="R305" s="29" t="n"/>
      <c r="S305" s="29" t="n"/>
      <c r="T305" s="29" t="n"/>
    </row>
    <row r="306" ht="54" customHeight="1">
      <c r="A306" s="29" t="n"/>
      <c r="B306" s="29" t="n"/>
      <c r="C306" s="29" t="n"/>
      <c r="D306" s="29" t="n"/>
      <c r="E306" s="29" t="n"/>
      <c r="F306" s="29" t="n"/>
      <c r="G306" s="29" t="n"/>
      <c r="H306" s="29" t="n"/>
      <c r="I306" s="29" t="n"/>
      <c r="J306" s="49" t="n"/>
      <c r="K306" s="51" t="n"/>
      <c r="L306" s="29" t="n"/>
      <c r="M306" s="29" t="n"/>
      <c r="N306" s="29" t="n"/>
      <c r="O306" s="29" t="n"/>
      <c r="P306" s="29" t="n"/>
      <c r="Q306" s="29" t="n"/>
      <c r="R306" s="29" t="n"/>
      <c r="S306" s="29" t="n"/>
      <c r="T306" s="29" t="n"/>
    </row>
    <row r="307" ht="54" customHeight="1">
      <c r="A307" s="29" t="n"/>
      <c r="B307" s="29" t="n"/>
      <c r="C307" s="29" t="n"/>
      <c r="D307" s="29" t="n"/>
      <c r="E307" s="29" t="n"/>
      <c r="F307" s="29" t="n"/>
      <c r="G307" s="29" t="n"/>
      <c r="H307" s="29" t="n"/>
      <c r="I307" s="29" t="n"/>
      <c r="J307" s="49" t="n"/>
      <c r="K307" s="51" t="n"/>
      <c r="L307" s="29" t="n"/>
      <c r="M307" s="29" t="n"/>
      <c r="N307" s="29" t="n"/>
      <c r="O307" s="29" t="n"/>
      <c r="P307" s="29" t="n"/>
      <c r="Q307" s="29" t="n"/>
      <c r="R307" s="29" t="n"/>
      <c r="S307" s="29" t="n"/>
      <c r="T307" s="29" t="n"/>
    </row>
  </sheetData>
  <mergeCells count="1">
    <mergeCell ref="A3:H3"/>
  </mergeCells>
  <conditionalFormatting sqref="A8:A307">
    <cfRule type="expression" priority="1" dxfId="1">
      <formula>AND($A8&lt;&gt;"",ISBLANK(A8))</formula>
    </cfRule>
  </conditionalFormatting>
  <conditionalFormatting sqref="B8:B307">
    <cfRule type="expression" priority="2" dxfId="1">
      <formula>AND($A8&lt;&gt;"",ISBLANK(B8))</formula>
    </cfRule>
  </conditionalFormatting>
  <conditionalFormatting sqref="C8:C307">
    <cfRule type="expression" priority="3" dxfId="1">
      <formula>AND($A8&lt;&gt;"",ISBLANK(C8))</formula>
    </cfRule>
  </conditionalFormatting>
  <conditionalFormatting sqref="D8:D307">
    <cfRule type="expression" priority="4" dxfId="1">
      <formula>AND($A8&lt;&gt;"",ISBLANK(D8))</formula>
    </cfRule>
  </conditionalFormatting>
  <conditionalFormatting sqref="F8:F307">
    <cfRule type="expression" priority="5" dxfId="1">
      <formula>AND($A8&lt;&gt;"",ISBLANK(F8))</formula>
    </cfRule>
  </conditionalFormatting>
  <conditionalFormatting sqref="I8:I307">
    <cfRule type="expression" priority="6" dxfId="1">
      <formula>AND($A8&lt;&gt;"",ISBLANK(I8))</formula>
    </cfRule>
  </conditionalFormatting>
  <conditionalFormatting sqref="J8:J307">
    <cfRule type="expression" priority="7" dxfId="1">
      <formula>AND($A8&lt;&gt;"",ISBLANK(J8))</formula>
    </cfRule>
  </conditionalFormatting>
  <conditionalFormatting sqref="K8:K307">
    <cfRule type="expression" priority="8" dxfId="1">
      <formula>AND($A8&lt;&gt;"",ISBLANK(K8))</formula>
    </cfRule>
  </conditionalFormatting>
  <conditionalFormatting sqref="L8:L307">
    <cfRule type="expression" priority="9" dxfId="1">
      <formula>AND($A8&lt;&gt;"",ISBLANK(L8))</formula>
    </cfRule>
  </conditionalFormatting>
  <conditionalFormatting sqref="M8:M307">
    <cfRule type="expression" priority="10" dxfId="1">
      <formula>AND($A8&lt;&gt;"",ISBLANK(M8))</formula>
    </cfRule>
  </conditionalFormatting>
  <conditionalFormatting sqref="N8:N307">
    <cfRule type="expression" priority="11" dxfId="1">
      <formula>AND($A8&lt;&gt;"",ISBLANK(N8))</formula>
    </cfRule>
  </conditionalFormatting>
  <conditionalFormatting sqref="O8:O307">
    <cfRule type="expression" priority="12" dxfId="1">
      <formula>AND($A8&lt;&gt;"",ISBLANK(O8))</formula>
    </cfRule>
  </conditionalFormatting>
  <dataValidations count="2">
    <dataValidation sqref="L8:L307" showDropDown="0" showInputMessage="0" showErrorMessage="0" allowBlank="0" type="list">
      <formula1>"Evet,Hayır"</formula1>
    </dataValidation>
    <dataValidation sqref="M8:M3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W18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8" customWidth="1" min="21" max="21"/>
    <col width="28" customWidth="1" min="22" max="22"/>
    <col width="2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Keşif noktaları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t>
        </is>
      </c>
      <c r="P5" s="22" t="inlineStr">
        <is>
          <t>Zorunlu</t>
        </is>
      </c>
      <c r="Q5" s="22" t="inlineStr">
        <is>
          <t>Zorunlu</t>
        </is>
      </c>
      <c r="R5" s="22" t="inlineStr">
        <is>
          <t>İsteğe bağlı</t>
        </is>
      </c>
      <c r="S5" s="22" t="inlineStr">
        <is>
          <t>İsteğe bağlı</t>
        </is>
      </c>
      <c r="T5" s="22" t="inlineStr">
        <is>
          <t>İsteğe bağlı</t>
        </is>
      </c>
      <c r="U5" s="22" t="inlineStr">
        <is>
          <t>İsteğe bağlı</t>
        </is>
      </c>
      <c r="V5" s="22" t="inlineStr">
        <is>
          <t>Zorunlu</t>
        </is>
      </c>
      <c r="W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Keşif grubu</t>
        </is>
      </c>
      <c r="O6" s="25" t="inlineStr">
        <is>
          <t>Mahalle / ilçe</t>
        </is>
      </c>
      <c r="P6" s="25" t="inlineStr">
        <is>
          <t>Ortam</t>
        </is>
      </c>
      <c r="Q6" s="25" t="inlineStr">
        <is>
          <t>Adres / konum</t>
        </is>
      </c>
      <c r="R6" s="25" t="inlineStr">
        <is>
          <t>Enlem</t>
        </is>
      </c>
      <c r="S6" s="25" t="inlineStr">
        <is>
          <t>Boylam</t>
        </is>
      </c>
      <c r="T6" s="25" t="inlineStr">
        <is>
          <t>Ziyaret durumu</t>
        </is>
      </c>
      <c r="U6" s="25" t="inlineStr">
        <is>
          <t>Ziyaret notu</t>
        </is>
      </c>
      <c r="V6" s="25" t="inlineStr">
        <is>
          <t>Derleme / dizin</t>
        </is>
      </c>
      <c r="W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group</t>
        </is>
      </c>
      <c r="O7" s="28" t="inlineStr">
        <is>
          <t>district</t>
        </is>
      </c>
      <c r="P7" s="28" t="inlineStr">
        <is>
          <t>setting</t>
        </is>
      </c>
      <c r="Q7" s="28" t="inlineStr">
        <is>
          <t>location</t>
        </is>
      </c>
      <c r="R7" s="28" t="inlineStr">
        <is>
          <t>latitude</t>
        </is>
      </c>
      <c r="S7" s="28" t="inlineStr">
        <is>
          <t>longitude</t>
        </is>
      </c>
      <c r="T7" s="28" t="inlineStr">
        <is>
          <t>visit_status</t>
        </is>
      </c>
      <c r="U7" s="28" t="inlineStr">
        <is>
          <t>note</t>
        </is>
      </c>
      <c r="V7" s="28" t="inlineStr">
        <is>
          <t>collection</t>
        </is>
      </c>
      <c r="W7" s="28" t="inlineStr">
        <is>
          <t>media_key</t>
        </is>
      </c>
    </row>
    <row r="8" ht="54" customHeight="1">
      <c r="A8" s="29" t="inlineStr">
        <is>
          <t>malaga:alcazaba-de-malaga</t>
        </is>
      </c>
      <c r="B8" s="29" t="inlineStr">
        <is>
          <t>malaga</t>
        </is>
      </c>
      <c r="C8" s="29" t="inlineStr">
        <is>
          <t>alcazaba-de-malaga</t>
        </is>
      </c>
      <c r="D8" s="29" t="inlineStr">
        <is>
          <t>Alcazaba de Málaga</t>
        </is>
      </c>
      <c r="E8" s="29" t="inlineStr">
        <is>
          <t>Málaga Centro'da, C/ Alcazabilla 2'de; Gibralfaro Kalesi ile ortak bilet seçeneği var</t>
        </is>
      </c>
      <c r="F8" s="29" t="inlineStr">
        <is>
          <t>Alcazaba, Centro semtinde C/ Alcazabilla 2 (29012 Málaga) adresindedir. Ziyaret saatleri 1 Nisan - 31 Ekim arasında 09:00-20:00, 1 Kasım - 31 Mart arasında 09:00-18:00; son giriş kapanıştan bir saat önce. Resmî tarifede genel giriş 7,00 €, Alcazaba + Gibralfaro ortak bileti 10,00 €'dur; 3,00 €'luk indirimli bilet yalnız Avrupa Gençlik Kartı sahipleri, 65 yaş üstü, emekli ya da işsiz AB vatandaşları, AB'li öğrenciler, %33 ve üzeri engelliler ile çok çocuklu aile kartı sahipleri içindir. Gibralfaro Kalesi ayrı adrestedir.</t>
        </is>
      </c>
      <c r="G8" s="29" t="inlineStr">
        <is>
          <t>Alcazaba, Málaga kalesi, Gibralfaro, tarihî yapı, Centro, ortak bilet</t>
        </is>
      </c>
      <c r="H8" s="29" t="inlineStr">
        <is>
          <t>planning;new;settled</t>
        </is>
      </c>
      <c r="I8" s="29" t="inlineStr">
        <is>
          <t>malaga:kaynak:307;malaga:kaynak:276</t>
        </is>
      </c>
      <c r="J8" s="49" t="n">
        <v>46322</v>
      </c>
      <c r="K8" s="51" t="n">
        <v>101</v>
      </c>
      <c r="L8" s="29" t="inlineStr">
        <is>
          <t>Evet</t>
        </is>
      </c>
      <c r="M8" s="29" t="inlineStr">
        <is>
          <t>Taslak</t>
        </is>
      </c>
      <c r="N8" s="29" t="inlineStr">
        <is>
          <t>Tarih ve mimari</t>
        </is>
      </c>
      <c r="O8" s="29" t="inlineStr">
        <is>
          <t>Centro</t>
        </is>
      </c>
      <c r="P8" s="29" t="inlineStr">
        <is>
          <t>Karma</t>
        </is>
      </c>
      <c r="Q8" s="29" t="inlineStr">
        <is>
          <t>C/ Alcazabilla, 2, 29012 Málaga</t>
        </is>
      </c>
      <c r="R8" s="50" t="n">
        <v>36.721181</v>
      </c>
      <c r="S8" s="50" t="n">
        <v>-4.415746</v>
      </c>
      <c r="T8" s="29" t="n"/>
      <c r="U8" s="29" t="inlineStr">
        <is>
          <t>Pazar günleri 14:00'ten itibaren giriş tüm ziyaretçilere ücretsiz; 6 yaş altı çocuklar da ücretsiz giriyor.</t>
        </is>
      </c>
      <c r="V8" s="29" t="inlineStr">
        <is>
          <t>Hayır</t>
        </is>
      </c>
      <c r="W8" s="29" t="n"/>
    </row>
    <row r="9" ht="54" customHeight="1">
      <c r="A9" s="29" t="inlineStr">
        <is>
          <t>malaga:castillo-de-gibralfaro</t>
        </is>
      </c>
      <c r="B9" s="29" t="inlineStr">
        <is>
          <t>malaga</t>
        </is>
      </c>
      <c r="C9" s="29" t="inlineStr">
        <is>
          <t>castillo-de-gibralfaro</t>
        </is>
      </c>
      <c r="D9" s="29" t="inlineStr">
        <is>
          <t>Castillo de Gibralfaro</t>
        </is>
      </c>
      <c r="E9" s="29" t="inlineStr">
        <is>
          <t>Gibralfaro tepesinde, Camino de Gibralfaro 11'de; EMT 35 ile ya da yürüyerek çıkılır</t>
        </is>
      </c>
      <c r="F9" s="29" t="inlineStr">
        <is>
          <t>Castillo de Gibralfaro, Camino de Gibralfaro 11 (29016 Málaga) adresindedir. Yaz tarifesinde (1 Nisan - 31 Ekim) 09:00-20:00, kış tarifesinde (1 Kasım - 31 Mart) 09:00-18:00 açıktır. Alcazaba + Gibralfaro ortak bileti 10,00 €'dur; 5,00 €'luk indirimli ortak bilet yalnız Avrupa Gençlik Kartı sahipleri, 65 yaş üstü, emekli ya da işsiz AB vatandaşları, AB'li öğrenciler, %33 ve üzeri engelliler ile çok çocuklu aile kartı sahipleri içindir. EMT'nin 35 numaralı hattı Gibralfaro'yu tarihî merkezle yaklaşık 30 dakikalık aralıklarla bağlar.</t>
        </is>
      </c>
      <c r="G9" s="29" t="inlineStr">
        <is>
          <t>Gibralfaro, kale, Málaga, EMT 35, Alcazaba, manzara</t>
        </is>
      </c>
      <c r="H9" s="29" t="inlineStr">
        <is>
          <t>planning;new;settled</t>
        </is>
      </c>
      <c r="I9" s="29" t="inlineStr">
        <is>
          <t>malaga:kaynak:308;malaga:kaynak:276</t>
        </is>
      </c>
      <c r="J9" s="49" t="n">
        <v>46322</v>
      </c>
      <c r="K9" s="51" t="n">
        <v>102</v>
      </c>
      <c r="L9" s="29" t="inlineStr">
        <is>
          <t>Hayır</t>
        </is>
      </c>
      <c r="M9" s="29" t="inlineStr">
        <is>
          <t>Taslak</t>
        </is>
      </c>
      <c r="N9" s="29" t="inlineStr">
        <is>
          <t>Tarih ve mimari</t>
        </is>
      </c>
      <c r="O9" s="29" t="inlineStr">
        <is>
          <t>Centro</t>
        </is>
      </c>
      <c r="P9" s="29" t="inlineStr">
        <is>
          <t>Karma</t>
        </is>
      </c>
      <c r="Q9" s="29" t="inlineStr">
        <is>
          <t>Camino de Gibralfaro, 11, 29016 Málaga</t>
        </is>
      </c>
      <c r="R9" s="50" t="n">
        <v>36.723223</v>
      </c>
      <c r="S9" s="50" t="n">
        <v>-4.411637</v>
      </c>
      <c r="T9" s="29" t="n"/>
      <c r="U9" s="29" t="inlineStr">
        <is>
          <t>Paseo de Don Juan Temboury üzerinden tepeye yürüyerek çıkış yaklaşık 20 dakika sürüyor.</t>
        </is>
      </c>
      <c r="V9" s="29" t="inlineStr">
        <is>
          <t>Hayır</t>
        </is>
      </c>
      <c r="W9" s="29" t="n"/>
    </row>
    <row r="10" ht="54" customHeight="1">
      <c r="A10" s="29" t="inlineStr">
        <is>
          <t>malaga:catedral-de-malaga</t>
        </is>
      </c>
      <c r="B10" s="29" t="inlineStr">
        <is>
          <t>malaga</t>
        </is>
      </c>
      <c r="C10" s="29" t="inlineStr">
        <is>
          <t>catedral-de-malaga</t>
        </is>
      </c>
      <c r="D10" s="29" t="inlineStr">
        <is>
          <t>Catedral de la Encarnación de Málaga</t>
        </is>
      </c>
      <c r="E10" s="29" t="inlineStr">
        <is>
          <t>Centro'da, Calle Molina Lario 9'da; bilet kapıdan ya da internetten alınır</t>
        </is>
      </c>
      <c r="F10" s="29" t="inlineStr">
        <is>
          <t>Katedral, Centro semtinde Calle Molina Lario 9 (29015 Málaga) adresindedir. 26 Ekim - 29 Mart döneminde pazartesi-cuma 10:30-18:30, cumartesi 10:30-18:00, pazar 14:00-18:00 ziyarete açıktır; son giriş kapanıştan 45 dakika önce. Genel giriş sesli rehber dahil 10,00 €; 65 yaş üstü 9,00 €, 13-17 yaş 6,00 €, 18-25 yaş öğrenci 7,00 €. Biletini kapıdan ya da internetten aynı fiyata alabilirsin.</t>
        </is>
      </c>
      <c r="G10" s="29" t="inlineStr">
        <is>
          <t>Katedral, Catedral de Málaga, Encarnación, Centro, bilet, sesli rehber</t>
        </is>
      </c>
      <c r="H10" s="29" t="inlineStr">
        <is>
          <t>planning;new;settled</t>
        </is>
      </c>
      <c r="I10" s="29" t="inlineStr">
        <is>
          <t>malaga:kaynak:309;malaga:kaynak:287</t>
        </is>
      </c>
      <c r="J10" s="49" t="n">
        <v>46322</v>
      </c>
      <c r="K10" s="51" t="n">
        <v>103</v>
      </c>
      <c r="L10" s="29" t="inlineStr">
        <is>
          <t>Hayır</t>
        </is>
      </c>
      <c r="M10" s="29" t="inlineStr">
        <is>
          <t>Taslak</t>
        </is>
      </c>
      <c r="N10" s="29" t="inlineStr">
        <is>
          <t>Tarih ve mimari</t>
        </is>
      </c>
      <c r="O10" s="29" t="inlineStr">
        <is>
          <t>Centro</t>
        </is>
      </c>
      <c r="P10" s="29" t="inlineStr">
        <is>
          <t>Karma</t>
        </is>
      </c>
      <c r="Q10" s="29" t="inlineStr">
        <is>
          <t>Calle Molina Lario, 9, 29015 Málaga</t>
        </is>
      </c>
      <c r="R10" s="50" t="n">
        <v>36.720042</v>
      </c>
      <c r="S10" s="50" t="n">
        <v>-4.42012</v>
      </c>
      <c r="T10" s="29" t="n"/>
      <c r="U10" s="29" t="inlineStr">
        <is>
          <t>Málaga'da oturanlar, engelliler ve 13 yaş altı çocuklar ücretsiz girer; ücretsiz biletle sesli rehber verilmez. İçeride uygun giyinmek gerekir. Cumartesi ve pazar günleri ayin sırasında turistik ziyaret yapılmaz. Serbest giriş pazartesi-cumartesi 08:30-09:00 arasındadır; pazar için katedralin sitesinde 09:00 ve 09:30 olmak üzere iki bitiş saati geçer.</t>
        </is>
      </c>
      <c r="V10" s="29" t="inlineStr">
        <is>
          <t>Hayır</t>
        </is>
      </c>
      <c r="W10" s="29" t="n"/>
    </row>
    <row r="11" ht="54" customHeight="1">
      <c r="A11" s="29" t="inlineStr">
        <is>
          <t>malaga:teatro-romano-de-malaga</t>
        </is>
      </c>
      <c r="B11" s="29" t="inlineStr">
        <is>
          <t>malaga</t>
        </is>
      </c>
      <c r="C11" s="29" t="inlineStr">
        <is>
          <t>teatro-romano-de-malaga</t>
        </is>
      </c>
      <c r="D11" s="29" t="inlineStr">
        <is>
          <t>Teatro Romano de Málaga</t>
        </is>
      </c>
      <c r="E11" s="29" t="inlineStr">
        <is>
          <t>Alcazabilla'da ücretsiz Roma tiyatrosu ve ziyaretçi merkezi</t>
        </is>
      </c>
      <c r="F11" s="29" t="inlineStr">
        <is>
          <t>Teatro Romano, MS 1. yüzyılın ilk yıllarında yapılmış, Málaga'daki Roma varlığının en önemli kalıntısıdır; bugün bir ziyaretçi merkezi (centro de interpretación) ve tiyatro alanından oluşan arkeolojik alan olarak açıktır. Adresi Calle Alcazabilla s/n, 29015 Málaga. Salı-cumartesi 10:00-18:00, pazar ve resmî tatillerde 10:00-16:00 açıktır; giriş ücretsiz. Serbest ziyaret için rezervasyon gerekmez.</t>
        </is>
      </c>
      <c r="G11" s="29" t="inlineStr">
        <is>
          <t>Teatro Romano, Roma tiyatrosu, arkeoloji, Alcazabilla, ücretsiz, Centro</t>
        </is>
      </c>
      <c r="H11" s="29" t="inlineStr">
        <is>
          <t>planning;new;settled</t>
        </is>
      </c>
      <c r="I11" s="29" t="inlineStr">
        <is>
          <t>malaga:kaynak:281</t>
        </is>
      </c>
      <c r="J11" s="49" t="n">
        <v>46322</v>
      </c>
      <c r="K11" s="51" t="n">
        <v>104</v>
      </c>
      <c r="L11" s="29" t="inlineStr">
        <is>
          <t>Evet</t>
        </is>
      </c>
      <c r="M11" s="29" t="inlineStr">
        <is>
          <t>Taslak</t>
        </is>
      </c>
      <c r="N11" s="29" t="inlineStr">
        <is>
          <t>Tarih ve mimari</t>
        </is>
      </c>
      <c r="O11" s="29" t="inlineStr">
        <is>
          <t>Centro</t>
        </is>
      </c>
      <c r="P11" s="29" t="inlineStr">
        <is>
          <t>Açık hava</t>
        </is>
      </c>
      <c r="Q11" s="29" t="inlineStr">
        <is>
          <t>Calle Alcazabilla, s/n, 29015 Málaga</t>
        </is>
      </c>
      <c r="R11" s="50" t="n">
        <v>36.721636</v>
      </c>
      <c r="S11" s="50" t="n">
        <v>-4.416956</v>
      </c>
      <c r="T11" s="29" t="n"/>
      <c r="U11" s="29" t="inlineStr">
        <is>
          <t>Rehberli ziyaret için 951 501 115 numarasını ara ya da TRomanoMalaga.aaiicc@juntadeandalucia.es adresine yaz. 1 ve 6 Ocak, 1 Mayıs, 24, 25 ve 31 Aralık kapalıdır; bunların dışındaki ulusal, bölgesel ve yerel tatillerde açık olup olmadığı e-postayla sorulur; kapanıştan 30 dakika önce giriş yapılamaz; rehber köpekleri dışında hayvan alınmaz.</t>
        </is>
      </c>
      <c r="V11" s="29" t="inlineStr">
        <is>
          <t>Hayır</t>
        </is>
      </c>
      <c r="W11" s="29" t="n"/>
    </row>
    <row r="12" ht="54" customHeight="1">
      <c r="A12" s="29" t="inlineStr">
        <is>
          <t>malaga:ayuntamiento-de-malaga</t>
        </is>
      </c>
      <c r="B12" s="29" t="inlineStr">
        <is>
          <t>malaga</t>
        </is>
      </c>
      <c r="C12" s="29" t="inlineStr">
        <is>
          <t>ayuntamiento-de-malaga</t>
        </is>
      </c>
      <c r="D12" s="29" t="inlineStr">
        <is>
          <t>Ayuntamiento de Málaga</t>
        </is>
      </c>
      <c r="E12" s="29" t="inlineStr">
        <is>
          <t>Avda. de Cervantes 4'te, Málaga Belediyesi'nin adresi</t>
        </is>
      </c>
      <c r="F12" s="29" t="inlineStr">
        <is>
          <t>Málaga Belediyesi'nin (Ayuntamiento de Málaga) adresi Avda. de Cervantes nº 4, 29016 Málaga'dır. Belediyenin sitesi (malaga.eu) işlemler, hizmetler, mevzuat ve belediye bilgilerini bulmak için bir arama asistanı sunar.</t>
        </is>
      </c>
      <c r="G12" s="29" t="inlineStr">
        <is>
          <t>Ayuntamiento, belediye, Avda. de Cervantes, Málaga</t>
        </is>
      </c>
      <c r="H12" s="29" t="inlineStr">
        <is>
          <t>planning;new;settled</t>
        </is>
      </c>
      <c r="I12" s="29" t="inlineStr">
        <is>
          <t>malaga:kaynak:310</t>
        </is>
      </c>
      <c r="J12" s="49" t="n">
        <v>46322</v>
      </c>
      <c r="K12" s="51" t="n">
        <v>105</v>
      </c>
      <c r="L12" s="29" t="inlineStr">
        <is>
          <t>Hayır</t>
        </is>
      </c>
      <c r="M12" s="29" t="inlineStr">
        <is>
          <t>Taslak</t>
        </is>
      </c>
      <c r="N12" s="29" t="inlineStr">
        <is>
          <t>Tarih ve mimari</t>
        </is>
      </c>
      <c r="O12" s="29" t="inlineStr">
        <is>
          <t>Centro</t>
        </is>
      </c>
      <c r="P12" s="29" t="inlineStr">
        <is>
          <t>Karma</t>
        </is>
      </c>
      <c r="Q12" s="29" t="inlineStr">
        <is>
          <t>Avda. de Cervantes, nº 4, 29016 Málaga</t>
        </is>
      </c>
      <c r="R12" s="50" t="n">
        <v>36.720353</v>
      </c>
      <c r="S12" s="50" t="n">
        <v>-4.415017</v>
      </c>
      <c r="T12" s="29" t="n"/>
      <c r="U12" s="29" t="n"/>
      <c r="V12" s="29" t="inlineStr">
        <is>
          <t>Hayır</t>
        </is>
      </c>
      <c r="W12" s="29" t="n"/>
    </row>
    <row r="13" ht="54" customHeight="1">
      <c r="A13" s="29" t="inlineStr">
        <is>
          <t>malaga:palacio-episcopal-de-malaga</t>
        </is>
      </c>
      <c r="B13" s="29" t="inlineStr">
        <is>
          <t>malaga</t>
        </is>
      </c>
      <c r="C13" s="29" t="inlineStr">
        <is>
          <t>palacio-episcopal-de-malaga</t>
        </is>
      </c>
      <c r="D13" s="29" t="inlineStr">
        <is>
          <t>Palacio Episcopal de Málaga</t>
        </is>
      </c>
      <c r="E13" s="29" t="inlineStr">
        <is>
          <t>Plaza Obispo 6'da, Ars Málaga adıyla anılan Piskoposluk Sarayı</t>
        </is>
      </c>
      <c r="F13" s="29" t="inlineStr">
        <is>
          <t>Palacio Episcopal, Katedral'in resmî ziyaret sayfasında Palacio Episcopal (Ars Málaga) adıyla yer alır; adresi Plaza Obispo 6, 29015 Málaga'dır. Katedral girişi (Calle Molina Lario 9) ayrı bir adrestir.</t>
        </is>
      </c>
      <c r="G13" s="29" t="inlineStr">
        <is>
          <t>Palacio Episcopal, Ars Málaga, Plaza Obispo, piskoposluk sarayı, Centro</t>
        </is>
      </c>
      <c r="H13" s="29" t="inlineStr">
        <is>
          <t>planning;new;settled</t>
        </is>
      </c>
      <c r="I13" s="29" t="inlineStr">
        <is>
          <t>malaga:kaynak:309</t>
        </is>
      </c>
      <c r="J13" s="49" t="n">
        <v>46322</v>
      </c>
      <c r="K13" s="51" t="n">
        <v>106</v>
      </c>
      <c r="L13" s="29" t="inlineStr">
        <is>
          <t>Hayır</t>
        </is>
      </c>
      <c r="M13" s="29" t="inlineStr">
        <is>
          <t>Taslak</t>
        </is>
      </c>
      <c r="N13" s="29" t="inlineStr">
        <is>
          <t>Tarih ve mimari</t>
        </is>
      </c>
      <c r="O13" s="29" t="inlineStr">
        <is>
          <t>Centro</t>
        </is>
      </c>
      <c r="P13" s="29" t="inlineStr">
        <is>
          <t>Kapalı alan</t>
        </is>
      </c>
      <c r="Q13" s="29" t="inlineStr">
        <is>
          <t>Plaza Obispo, 6, 29015 Málaga</t>
        </is>
      </c>
      <c r="R13" s="50" t="n">
        <v>36.7204</v>
      </c>
      <c r="S13" s="50" t="n">
        <v>-4.420298</v>
      </c>
      <c r="T13" s="29" t="n"/>
      <c r="U13" s="29" t="n"/>
      <c r="V13" s="29" t="inlineStr">
        <is>
          <t>Hayır</t>
        </is>
      </c>
      <c r="W13" s="29" t="n"/>
    </row>
    <row r="14" ht="54" customHeight="1">
      <c r="A14" s="29" t="inlineStr">
        <is>
          <t>malaga:iglesia-santiago-apostol</t>
        </is>
      </c>
      <c r="B14" s="29" t="inlineStr">
        <is>
          <t>malaga</t>
        </is>
      </c>
      <c r="C14" s="29" t="inlineStr">
        <is>
          <t>iglesia-santiago-apostol</t>
        </is>
      </c>
      <c r="D14" s="29" t="inlineStr">
        <is>
          <t>Iglesia de Santiago Apóstol</t>
        </is>
      </c>
      <c r="E14" s="29" t="inlineStr">
        <is>
          <t>C/ Granada 78'de, XVI. yüzyıldan kalma Centro mahalle kilisesi</t>
        </is>
      </c>
      <c r="F14" s="29" t="inlineStr">
        <is>
          <t>Santiago Apóstol, Centro'da c/ Granada 78 (29015 Málaga) adresindedir; kilise XVI. yüzyılda, kulesi XV. yüzyılda yapılmıştır. Tapınak her gün 09:00-13:00 ve 17:00-20:00 arasında açıktır (cumartesi ve pazar sabahları 10:00'da açılır). Ayinler her gün 19:30'da, cuma 10:00'da ve pazar 12:00'dedir.</t>
        </is>
      </c>
      <c r="G14" s="29" t="inlineStr">
        <is>
          <t>Santiago Apóstol, kilise, Centro, XVI. yüzyıl, Málaga</t>
        </is>
      </c>
      <c r="H14" s="29" t="inlineStr">
        <is>
          <t>planning;new;settled</t>
        </is>
      </c>
      <c r="I14" s="29" t="inlineStr">
        <is>
          <t>malaga:kaynak:311</t>
        </is>
      </c>
      <c r="J14" s="49" t="n">
        <v>46322</v>
      </c>
      <c r="K14" s="51" t="n">
        <v>107</v>
      </c>
      <c r="L14" s="29" t="inlineStr">
        <is>
          <t>Hayır</t>
        </is>
      </c>
      <c r="M14" s="29" t="inlineStr">
        <is>
          <t>Taslak</t>
        </is>
      </c>
      <c r="N14" s="29" t="inlineStr">
        <is>
          <t>Tarih ve mimari</t>
        </is>
      </c>
      <c r="O14" s="29" t="inlineStr">
        <is>
          <t>Centro</t>
        </is>
      </c>
      <c r="P14" s="29" t="inlineStr">
        <is>
          <t>Kapalı alan</t>
        </is>
      </c>
      <c r="Q14" s="29" t="inlineStr">
        <is>
          <t>c/ Granada, 78, 29015 Málaga</t>
        </is>
      </c>
      <c r="R14" s="50" t="n">
        <v>36.722305</v>
      </c>
      <c r="S14" s="50" t="n">
        <v>-4.417538</v>
      </c>
      <c r="T14" s="29" t="n"/>
      <c r="U14" s="29" t="inlineStr">
        <is>
          <t>Parroquia bürosu pazartesi-cuma 10:00-13:00 arası açıktır; itiraf ayinden yarım saat önce yapılır.</t>
        </is>
      </c>
      <c r="V14" s="29" t="inlineStr">
        <is>
          <t>Hayır</t>
        </is>
      </c>
      <c r="W14" s="29" t="n"/>
    </row>
    <row r="15" ht="54" customHeight="1">
      <c r="A15" s="29" t="inlineStr">
        <is>
          <t>malaga:basilica-santa-maria-de-la-victoria</t>
        </is>
      </c>
      <c r="B15" s="29" t="inlineStr">
        <is>
          <t>malaga</t>
        </is>
      </c>
      <c r="C15" s="29" t="inlineStr">
        <is>
          <t>basilica-santa-maria-de-la-victoria</t>
        </is>
      </c>
      <c r="D15" s="29" t="inlineStr">
        <is>
          <t>Iglesia de Santa María de la Victoria y La Merced</t>
        </is>
      </c>
      <c r="E15" s="29" t="inlineStr">
        <is>
          <t>Plaza del Santuario 8'de, Málaga'nın koruyucu azizinin kilisesi</t>
        </is>
      </c>
      <c r="F15" s="29" t="inlineStr">
        <is>
          <t>Plaza del Santuario 8 (29013 Málaga) adresindeki kilise XVIII. yüzyılda yapılmıştır ve Málaga'nın koruyucu azizi Nuestra Señora de la Victoria'nın XV. yüzyıldan kalma imgesini barındırır. Kış programında (1 Ekim - 1 Haziran) ayinler pazartesi-cumartesi 09:00 ve 19:30'da, pazar ve tatillerde 10:00, 11:00, 12:00 ve 19:30'dadır. Yaz programında (1 Haziran - 1 Ekim) ayinler günlük 09:00 ve 20:00'de, pazar ve tatillerde 10:00, 11:00 ve 20:00'dedir.</t>
        </is>
      </c>
      <c r="G15" s="29" t="inlineStr">
        <is>
          <t>Santa María de la Victoria, koruyucu aziz, Santuario, Málaga</t>
        </is>
      </c>
      <c r="H15" s="29" t="inlineStr">
        <is>
          <t>planning;new;settled</t>
        </is>
      </c>
      <c r="I15" s="29" t="inlineStr">
        <is>
          <t>malaga:kaynak:312</t>
        </is>
      </c>
      <c r="J15" s="49" t="n">
        <v>46322</v>
      </c>
      <c r="K15" s="51" t="n">
        <v>108</v>
      </c>
      <c r="L15" s="29" t="inlineStr">
        <is>
          <t>Hayır</t>
        </is>
      </c>
      <c r="M15" s="29" t="inlineStr">
        <is>
          <t>Taslak</t>
        </is>
      </c>
      <c r="N15" s="29" t="inlineStr">
        <is>
          <t>Tarih ve mimari</t>
        </is>
      </c>
      <c r="O15" s="29" t="inlineStr">
        <is>
          <t>Centro</t>
        </is>
      </c>
      <c r="P15" s="29" t="inlineStr">
        <is>
          <t>Kapalı alan</t>
        </is>
      </c>
      <c r="Q15" s="29" t="inlineStr">
        <is>
          <t>Plaza del Santuario, 8, 29013 Málaga</t>
        </is>
      </c>
      <c r="R15" s="50" t="n">
        <v>36.729324</v>
      </c>
      <c r="S15" s="50" t="n">
        <v>-4.412907</v>
      </c>
      <c r="T15" s="29" t="n"/>
      <c r="U15" s="29" t="inlineStr">
        <is>
          <t>Nuestra Señora de la Victoria'nın bayramı 8 Eylül'de kutlanır; itiraf ayinden yarım saat önce ve sonra yapılır.</t>
        </is>
      </c>
      <c r="V15" s="29" t="inlineStr">
        <is>
          <t>Hayır</t>
        </is>
      </c>
      <c r="W15" s="29" t="n"/>
    </row>
    <row r="16" ht="54" customHeight="1">
      <c r="A16" s="29" t="inlineStr">
        <is>
          <t>malaga:iglesia-santos-martires</t>
        </is>
      </c>
      <c r="B16" s="29" t="inlineStr">
        <is>
          <t>malaga</t>
        </is>
      </c>
      <c r="C16" s="29" t="inlineStr">
        <is>
          <t>iglesia-santos-martires</t>
        </is>
      </c>
      <c r="D16" s="29" t="inlineStr">
        <is>
          <t>Iglesia de los Santos Mártires</t>
        </is>
      </c>
      <c r="E16" s="29" t="inlineStr">
        <is>
          <t>Plaza de los Mártires'te, Málaga'nın koruyucu azizlerinin kilisesi</t>
        </is>
      </c>
      <c r="F16" s="29" t="inlineStr">
        <is>
          <t>Plaza de los Mártires (29008 Málaga) adresindeki kilise XVII. yüzyılda yapılmıştır; Málaga'nın koruyucu azizleri San Ciriaco ve Santa Paula'nın XVII. yüzyıl imgelerini barındırır. Kış programında ayinler pazartesi-cumartesi 19:00'da, pazar ve tatillerde 12:30'dadır. Yaz programında hafta içi ayin 20:00'dedir.</t>
        </is>
      </c>
      <c r="G16" s="29" t="inlineStr">
        <is>
          <t>Santos Mártires, Ciriaco, Paula, koruyucu azizler, kilise, Málaga</t>
        </is>
      </c>
      <c r="H16" s="29" t="inlineStr">
        <is>
          <t>planning;new;settled</t>
        </is>
      </c>
      <c r="I16" s="29" t="inlineStr">
        <is>
          <t>malaga:kaynak:313</t>
        </is>
      </c>
      <c r="J16" s="49" t="n">
        <v>46322</v>
      </c>
      <c r="K16" s="51" t="n">
        <v>109</v>
      </c>
      <c r="L16" s="29" t="inlineStr">
        <is>
          <t>Hayır</t>
        </is>
      </c>
      <c r="M16" s="29" t="inlineStr">
        <is>
          <t>Taslak</t>
        </is>
      </c>
      <c r="N16" s="29" t="inlineStr">
        <is>
          <t>Tarih ve mimari</t>
        </is>
      </c>
      <c r="O16" s="29" t="inlineStr">
        <is>
          <t>Centro</t>
        </is>
      </c>
      <c r="P16" s="29" t="inlineStr">
        <is>
          <t>Kapalı alan</t>
        </is>
      </c>
      <c r="Q16" s="29" t="inlineStr">
        <is>
          <t>Plaza de los Mártires, 29008 Málaga</t>
        </is>
      </c>
      <c r="R16" s="50" t="n">
        <v>36.722254</v>
      </c>
      <c r="S16" s="50" t="n">
        <v>-4.422548</v>
      </c>
      <c r="T16" s="29" t="n"/>
      <c r="U16" s="29" t="inlineStr">
        <is>
          <t>San Ciriaco ve Santa Paula bayramı 18 Haziran'dadır; parroquia bürosu ve itiraf ayinden bir saat önce açılır.</t>
        </is>
      </c>
      <c r="V16" s="29" t="inlineStr">
        <is>
          <t>Hayır</t>
        </is>
      </c>
      <c r="W16" s="29" t="n"/>
    </row>
    <row r="17" ht="54" customHeight="1">
      <c r="A17" s="29" t="inlineStr">
        <is>
          <t>malaga:iglesia-san-juan-bautista</t>
        </is>
      </c>
      <c r="B17" s="29" t="inlineStr">
        <is>
          <t>malaga</t>
        </is>
      </c>
      <c r="C17" s="29" t="inlineStr">
        <is>
          <t>iglesia-san-juan-bautista</t>
        </is>
      </c>
      <c r="D17" s="29" t="inlineStr">
        <is>
          <t>Iglesia de San Juan Bautista</t>
        </is>
      </c>
      <c r="E17" s="29" t="inlineStr">
        <is>
          <t>c/ San Juan 3'te, XVI. yüzyıl Centro kilisesi</t>
        </is>
      </c>
      <c r="F17" s="29" t="inlineStr">
        <is>
          <t>San Juan Bautista, c/ San Juan 3 (29005 Málaga) adresinde, Centro'dadır; kilise XVI. yüzyılda yapılmıştır. Kış programında ayinler her gün 12:00 ve 18:00'de, pazar ve tatillerde yalnız 12:00'dedir. Yaz programında hafta içi 12:00 ve 19:00'da ayin yapılır.</t>
        </is>
      </c>
      <c r="G17" s="29" t="inlineStr">
        <is>
          <t>San Juan Bautista, kilise, Centro, XVI. yüzyıl, Málaga</t>
        </is>
      </c>
      <c r="H17" s="29" t="inlineStr">
        <is>
          <t>planning;new;settled</t>
        </is>
      </c>
      <c r="I17" s="29" t="inlineStr">
        <is>
          <t>malaga:kaynak:314</t>
        </is>
      </c>
      <c r="J17" s="49" t="n">
        <v>46322</v>
      </c>
      <c r="K17" s="51" t="n">
        <v>110</v>
      </c>
      <c r="L17" s="29" t="inlineStr">
        <is>
          <t>Hayır</t>
        </is>
      </c>
      <c r="M17" s="29" t="inlineStr">
        <is>
          <t>Taslak</t>
        </is>
      </c>
      <c r="N17" s="29" t="inlineStr">
        <is>
          <t>Tarih ve mimari</t>
        </is>
      </c>
      <c r="O17" s="29" t="inlineStr">
        <is>
          <t>Centro</t>
        </is>
      </c>
      <c r="P17" s="29" t="inlineStr">
        <is>
          <t>Kapalı alan</t>
        </is>
      </c>
      <c r="Q17" s="29" t="inlineStr">
        <is>
          <t>c/ San Juan, 3, 29005 Málaga</t>
        </is>
      </c>
      <c r="R17" s="50" t="n">
        <v>36.720463</v>
      </c>
      <c r="S17" s="50" t="n">
        <v>-4.42339</v>
      </c>
      <c r="T17" s="29" t="n"/>
      <c r="U17" s="29" t="inlineStr">
        <is>
          <t>Parroquia bürosu ve itiraf her ayinden yarım saat önce açılır.</t>
        </is>
      </c>
      <c r="V17" s="29" t="inlineStr">
        <is>
          <t>Hayır</t>
        </is>
      </c>
      <c r="W17" s="29" t="n"/>
    </row>
    <row r="18" ht="54" customHeight="1">
      <c r="A18" s="29" t="inlineStr">
        <is>
          <t>malaga:iglesia-santo-cristo-de-la-salud</t>
        </is>
      </c>
      <c r="B18" s="29" t="inlineStr">
        <is>
          <t>malaga</t>
        </is>
      </c>
      <c r="C18" s="29" t="inlineStr">
        <is>
          <t>iglesia-santo-cristo-de-la-salud</t>
        </is>
      </c>
      <c r="D18" s="29" t="inlineStr">
        <is>
          <t>Iglesia del Santo Cristo de la Salud</t>
        </is>
      </c>
      <c r="E18" s="29" t="inlineStr">
        <is>
          <t>Calle Compañía'da, Cizvitlerden kalma dairesel planlı kilise</t>
        </is>
      </c>
      <c r="F18" s="29" t="inlineStr">
        <is>
          <t>Cizvitlerin (Compañía de Jesús) yaptırdığı kilise, dairesel planlı ve kubbelidir; 1598'de başlayan ilk yapı yarıda kalınca merkezî planlı bugünkü kilisenin inşaatı 1604'te başlamış, 28 Eylül 1630'da açılmıştır. Cephesi Calle Compañía üzerinde yer alır. Ziyaret saatleri pazartesi-cuma 10:00-13:00 ve 17:00-19:30'dur; cumartesi, pazar ve tatillerde kapalıdır.</t>
        </is>
      </c>
      <c r="G18" s="29" t="inlineStr">
        <is>
          <t>Santo Cristo de la Salud, Cizvit kilisesi, Calle Compañía, kubbe, Málaga</t>
        </is>
      </c>
      <c r="H18" s="29" t="inlineStr">
        <is>
          <t>planning;new;settled</t>
        </is>
      </c>
      <c r="I18" s="29" t="inlineStr">
        <is>
          <t>malaga:kaynak:315</t>
        </is>
      </c>
      <c r="J18" s="49" t="n">
        <v>46322</v>
      </c>
      <c r="K18" s="51" t="n">
        <v>111</v>
      </c>
      <c r="L18" s="29" t="inlineStr">
        <is>
          <t>Hayır</t>
        </is>
      </c>
      <c r="M18" s="29" t="inlineStr">
        <is>
          <t>Taslak</t>
        </is>
      </c>
      <c r="N18" s="29" t="inlineStr">
        <is>
          <t>Tarih ve mimari</t>
        </is>
      </c>
      <c r="O18" s="29" t="inlineStr">
        <is>
          <t>Centro</t>
        </is>
      </c>
      <c r="P18" s="29" t="inlineStr">
        <is>
          <t>Kapalı alan</t>
        </is>
      </c>
      <c r="Q18" s="29" t="inlineStr">
        <is>
          <t>Calle Compañía, Málaga</t>
        </is>
      </c>
      <c r="R18" s="50" t="n">
        <v>36.721399</v>
      </c>
      <c r="S18" s="50" t="n">
        <v>-4.42257</v>
      </c>
      <c r="T18" s="29" t="n"/>
      <c r="U18" s="29" t="inlineStr">
        <is>
          <t>Cizvitlerin 1767'de sürülmesinden sonra yapı çeşitli kurumlara ev sahipliği yaptı; 1778'den itibaren Colegio Náutico de San Telmo burada işledi.</t>
        </is>
      </c>
      <c r="V18" s="29" t="inlineStr">
        <is>
          <t>Hayır</t>
        </is>
      </c>
      <c r="W18" s="29" t="n"/>
    </row>
    <row r="19" ht="54" customHeight="1">
      <c r="A19" s="29" t="inlineStr">
        <is>
          <t>malaga:iglesia-san-felipe-neri</t>
        </is>
      </c>
      <c r="B19" s="29" t="inlineStr">
        <is>
          <t>malaga</t>
        </is>
      </c>
      <c r="C19" s="29" t="inlineStr">
        <is>
          <t>iglesia-san-felipe-neri</t>
        </is>
      </c>
      <c r="D19" s="29" t="inlineStr">
        <is>
          <t>Iglesia de San Felipe Neri</t>
        </is>
      </c>
      <c r="E19" s="29" t="inlineStr">
        <is>
          <t>c/ Cabello 20'de, XVIII. yüzyıl Centro kilisesi</t>
        </is>
      </c>
      <c r="F19" s="29" t="inlineStr">
        <is>
          <t>San Felipe Neri (Santa Cruz y San Felipe Neri parochiası), c/ Cabello 20 (29012 Málaga) adresindedir; kilise XVIII. yüzyılda yapılmıştır. Tapınak salı-cumartesi 17:30-20:30, pazar ve tatillerde 09:00-11:00 arasında açıktır. Ayinler salı-cumartesi 19:30'da, pazar ve tatillerde 10:00'dadır.</t>
        </is>
      </c>
      <c r="G19" s="29" t="inlineStr">
        <is>
          <t>San Felipe Neri, Santa Cruz, kilise, Calle Cabello, Málaga</t>
        </is>
      </c>
      <c r="H19" s="29" t="inlineStr">
        <is>
          <t>planning;new;settled</t>
        </is>
      </c>
      <c r="I19" s="29" t="inlineStr">
        <is>
          <t>malaga:kaynak:316</t>
        </is>
      </c>
      <c r="J19" s="49" t="n">
        <v>46322</v>
      </c>
      <c r="K19" s="51" t="n">
        <v>112</v>
      </c>
      <c r="L19" s="29" t="inlineStr">
        <is>
          <t>Hayır</t>
        </is>
      </c>
      <c r="M19" s="29" t="inlineStr">
        <is>
          <t>Taslak</t>
        </is>
      </c>
      <c r="N19" s="29" t="inlineStr">
        <is>
          <t>Tarih ve mimari</t>
        </is>
      </c>
      <c r="O19" s="29" t="inlineStr">
        <is>
          <t>Centro</t>
        </is>
      </c>
      <c r="P19" s="29" t="inlineStr">
        <is>
          <t>Kapalı alan</t>
        </is>
      </c>
      <c r="Q19" s="29" t="inlineStr">
        <is>
          <t>c/ Cabello, 20, 29012 Málaga</t>
        </is>
      </c>
      <c r="R19" s="50" t="n">
        <v>36.72556</v>
      </c>
      <c r="S19" s="50" t="n">
        <v>-4.421272</v>
      </c>
      <c r="T19" s="29" t="n"/>
      <c r="U19" s="29" t="inlineStr">
        <is>
          <t>María Stma. del Patrocinio imgesinin bayramı 12 Kasım'dadır; parroquia bürosu salı-cuma 17:30-20:00 açıktır.</t>
        </is>
      </c>
      <c r="V19" s="29" t="inlineStr">
        <is>
          <t>Hayır</t>
        </is>
      </c>
      <c r="W19" s="29" t="n"/>
    </row>
    <row r="20" ht="54" customHeight="1">
      <c r="A20" s="29" t="inlineStr">
        <is>
          <t>malaga:iglesia-san-pablo</t>
        </is>
      </c>
      <c r="B20" s="29" t="inlineStr">
        <is>
          <t>malaga</t>
        </is>
      </c>
      <c r="C20" s="29" t="inlineStr">
        <is>
          <t>iglesia-san-pablo</t>
        </is>
      </c>
      <c r="D20" s="29" t="inlineStr">
        <is>
          <t>Iglesia de San Pablo</t>
        </is>
      </c>
      <c r="E20" s="29" t="inlineStr">
        <is>
          <t>c/ Trinidad 35'te, XIX. yüzyıl kilisesi; her gün açık</t>
        </is>
      </c>
      <c r="F20" s="29" t="inlineStr">
        <is>
          <t>San Pablo, c/ Trinidad 35 (29009 Málaga) adresindedir; kilise XIX. yüzyılda yapılmıştır. Tapınak her gün 09:00-13:00 ve 17:00-20:00 arasında açıktır. Kış programında ayinler pazartesi-cumartesi 10:00'da, salı, perşembe ve cumartesi ayrıca 19:00'da, pazar ve tatillerde 10:30 ve 19:00'dadır.</t>
        </is>
      </c>
      <c r="G20" s="29" t="inlineStr">
        <is>
          <t>San Pablo, kilise, Calle Trinidad, XIX. yüzyıl, Málaga</t>
        </is>
      </c>
      <c r="H20" s="29" t="inlineStr">
        <is>
          <t>planning;new;settled</t>
        </is>
      </c>
      <c r="I20" s="29" t="inlineStr">
        <is>
          <t>malaga:kaynak:317</t>
        </is>
      </c>
      <c r="J20" s="49" t="n">
        <v>46322</v>
      </c>
      <c r="K20" s="51" t="n">
        <v>113</v>
      </c>
      <c r="L20" s="29" t="inlineStr">
        <is>
          <t>Hayır</t>
        </is>
      </c>
      <c r="M20" s="29" t="inlineStr">
        <is>
          <t>Taslak</t>
        </is>
      </c>
      <c r="N20" s="29" t="inlineStr">
        <is>
          <t>Tarih ve mimari</t>
        </is>
      </c>
      <c r="O20" s="29" t="inlineStr">
        <is>
          <t>Centro</t>
        </is>
      </c>
      <c r="P20" s="29" t="inlineStr">
        <is>
          <t>Kapalı alan</t>
        </is>
      </c>
      <c r="Q20" s="29" t="inlineStr">
        <is>
          <t>c/ Trinidad, 35, 29009 Málaga</t>
        </is>
      </c>
      <c r="R20" s="50" t="n">
        <v>36.722922</v>
      </c>
      <c r="S20" s="50" t="n">
        <v>-4.427819</v>
      </c>
      <c r="T20" s="29" t="n"/>
      <c r="U20" s="29" t="inlineStr">
        <is>
          <t>Parroquia bürosu pazartesi-cuma 10:00-12:00 ve salı-perşembe 17:00-19:00 açıktır; ağustosta büro yoktur. Ağustos ayinleri farklıdır: her gün 10:00, cumartesi ve bayram arifesinde 19:00, pazar ve tatillerde 10:30.</t>
        </is>
      </c>
      <c r="V20" s="29" t="inlineStr">
        <is>
          <t>Hayır</t>
        </is>
      </c>
      <c r="W20" s="29" t="n"/>
    </row>
    <row r="21" ht="54" customHeight="1">
      <c r="A21" s="29" t="inlineStr">
        <is>
          <t>malaga:iglesia-san-pedro</t>
        </is>
      </c>
      <c r="B21" s="29" t="inlineStr">
        <is>
          <t>malaga</t>
        </is>
      </c>
      <c r="C21" s="29" t="inlineStr">
        <is>
          <t>iglesia-san-pedro</t>
        </is>
      </c>
      <c r="D21" s="29" t="inlineStr">
        <is>
          <t>Iglesia de San Pedro</t>
        </is>
      </c>
      <c r="E21" s="29" t="inlineStr">
        <is>
          <t>Avda. de la Aurora 8'de, XVII. yüzyıl kilisesi</t>
        </is>
      </c>
      <c r="F21" s="29" t="inlineStr">
        <is>
          <t>San Pedro, Avda. de la Aurora 8 (29002 Málaga) adresindedir; kilise XVII. yüzyılda yapılmıştır. Kış programında ayinler hafta içi 19:00'da, cumartesi 19:00 ve 20:00'de, pazar ve tatillerde 10:00, 11:00, 12:00 ve 19:00'dadır. Yaz programında hafta içi ayin 20:00'dedir.</t>
        </is>
      </c>
      <c r="G21" s="29" t="inlineStr">
        <is>
          <t>San Pedro, kilise, Avenida de la Aurora, XVII. yüzyıl, Málaga</t>
        </is>
      </c>
      <c r="H21" s="29" t="inlineStr">
        <is>
          <t>planning;new;settled</t>
        </is>
      </c>
      <c r="I21" s="29" t="inlineStr">
        <is>
          <t>malaga:kaynak:318</t>
        </is>
      </c>
      <c r="J21" s="49" t="n">
        <v>46322</v>
      </c>
      <c r="K21" s="51" t="n">
        <v>114</v>
      </c>
      <c r="L21" s="29" t="inlineStr">
        <is>
          <t>Hayır</t>
        </is>
      </c>
      <c r="M21" s="29" t="inlineStr">
        <is>
          <t>Taslak</t>
        </is>
      </c>
      <c r="N21" s="29" t="inlineStr">
        <is>
          <t>Tarih ve mimari</t>
        </is>
      </c>
      <c r="O21" s="29" t="inlineStr">
        <is>
          <t>Centro</t>
        </is>
      </c>
      <c r="P21" s="29" t="inlineStr">
        <is>
          <t>Kapalı alan</t>
        </is>
      </c>
      <c r="Q21" s="29" t="inlineStr">
        <is>
          <t>Avda. de la Aurora, 8, 29002 Málaga</t>
        </is>
      </c>
      <c r="R21" s="50" t="n">
        <v>36.716167</v>
      </c>
      <c r="S21" s="50" t="n">
        <v>-4.42809</v>
      </c>
      <c r="T21" s="29" t="n"/>
      <c r="U21" s="29" t="inlineStr">
        <is>
          <t>Kilisenin kendi sitesi sanpedromalaga.es adresindedir; parroquia bürosu kışın 17:30-19:00, yazın 18:00-19:30 arası açıktır.</t>
        </is>
      </c>
      <c r="V21" s="29" t="inlineStr">
        <is>
          <t>Hayır</t>
        </is>
      </c>
      <c r="W21" s="29" t="n"/>
    </row>
    <row r="22" ht="54" customHeight="1">
      <c r="A22" s="29" t="inlineStr">
        <is>
          <t>malaga:iglesia-santisima-trinidad</t>
        </is>
      </c>
      <c r="B22" s="29" t="inlineStr">
        <is>
          <t>malaga</t>
        </is>
      </c>
      <c r="C22" s="29" t="inlineStr">
        <is>
          <t>iglesia-santisima-trinidad</t>
        </is>
      </c>
      <c r="D22" s="29" t="inlineStr">
        <is>
          <t>Iglesia de la Santísima Trinidad</t>
        </is>
      </c>
      <c r="E22" s="29" t="inlineStr">
        <is>
          <t>Placeta del Compás de la Trinidad 2'de, XIX. yüzyıl mahalle kilisesi</t>
        </is>
      </c>
      <c r="F22" s="29" t="inlineStr">
        <is>
          <t>Santísima Trinidad, Placeta del Compás de la Trinidad 2 (29009 Málaga) adresindedir; kilise XIX. yüzyılda yapılmıştır. Ayinler pazartesi-cumartesi 19:30'da, pazar ve tatillerde 11:00'dedir.</t>
        </is>
      </c>
      <c r="G22" s="29" t="inlineStr">
        <is>
          <t>Santísima Trinidad, kilise, Compás de la Trinidad, Corpus Chiquito, Málaga</t>
        </is>
      </c>
      <c r="H22" s="29" t="inlineStr">
        <is>
          <t>planning;new;settled</t>
        </is>
      </c>
      <c r="I22" s="29" t="inlineStr">
        <is>
          <t>malaga:kaynak:319</t>
        </is>
      </c>
      <c r="J22" s="49" t="n">
        <v>46322</v>
      </c>
      <c r="K22" s="51" t="n">
        <v>115</v>
      </c>
      <c r="L22" s="29" t="inlineStr">
        <is>
          <t>Hayır</t>
        </is>
      </c>
      <c r="M22" s="29" t="inlineStr">
        <is>
          <t>Taslak</t>
        </is>
      </c>
      <c r="N22" s="29" t="inlineStr">
        <is>
          <t>Tarih ve mimari</t>
        </is>
      </c>
      <c r="O22" s="29" t="inlineStr">
        <is>
          <t>Centro</t>
        </is>
      </c>
      <c r="P22" s="29" t="inlineStr">
        <is>
          <t>Kapalı alan</t>
        </is>
      </c>
      <c r="Q22" s="29" t="inlineStr">
        <is>
          <t>Placeta del Compás de la Trinidad, 2, 29009 Málaga</t>
        </is>
      </c>
      <c r="R22" s="50" t="n">
        <v>36.725704</v>
      </c>
      <c r="S22" s="50" t="n">
        <v>-4.432033</v>
      </c>
      <c r="T22" s="29" t="n"/>
      <c r="U22" s="29" t="inlineStr">
        <is>
          <t>Parroquia bürosu yalnız çarşamba 18:00-19:00 arası açıktır; parroquia bayramı Fiesta del Corpus Chiquito'dur.</t>
        </is>
      </c>
      <c r="V22" s="29" t="inlineStr">
        <is>
          <t>Hayır</t>
        </is>
      </c>
      <c r="W22" s="29" t="n"/>
    </row>
    <row r="23" ht="54" customHeight="1">
      <c r="A23" s="29" t="inlineStr">
        <is>
          <t>malaga:iglesia-sagrado-corazon</t>
        </is>
      </c>
      <c r="B23" s="29" t="inlineStr">
        <is>
          <t>malaga</t>
        </is>
      </c>
      <c r="C23" s="29" t="inlineStr">
        <is>
          <t>iglesia-sagrado-corazon</t>
        </is>
      </c>
      <c r="D23" s="29" t="inlineStr">
        <is>
          <t>Iglesia del Sagrado Corazón</t>
        </is>
      </c>
      <c r="E23" s="29" t="inlineStr">
        <is>
          <t>Plaza de San Ignacio 2'de, Málaga'nın tek neogotik kilisesi</t>
        </is>
      </c>
      <c r="F23" s="29" t="inlineStr">
        <is>
          <t>Plaza de San Ignacio 2 (29008 Málaga) adresindeki kilise 12 Mayıs 1920'de açılmıştır; mimarları Fernando Guerrero Strachan ve Manuel Rivera Vera'dır. Neogotik tarzıyla Málaga'da bu özellikteki tek yapı olarak anılır ve P. Tiburcio Arnaiz'ın kalıntılarını barındırır. Ayinler pazartesi-cuma 07:20, 09:30, 11:30 ve 19:30'da, cumartesi ve dinî açıdan zorunlu olmayan tatillerde 09:30 ve 19:30'da, pazar 10:30, 11:30, 12:30, 13:30 ve 19:30'dadır.</t>
        </is>
      </c>
      <c r="G23" s="29" t="inlineStr">
        <is>
          <t>Sagrado Corazón, neogotik, Cizvit, Tiburcio Arnaiz, kilise, Málaga</t>
        </is>
      </c>
      <c r="H23" s="29" t="inlineStr">
        <is>
          <t>planning;new;settled</t>
        </is>
      </c>
      <c r="I23" s="29" t="inlineStr">
        <is>
          <t>malaga:kaynak:320</t>
        </is>
      </c>
      <c r="J23" s="49" t="n">
        <v>46322</v>
      </c>
      <c r="K23" s="51" t="n">
        <v>116</v>
      </c>
      <c r="L23" s="29" t="inlineStr">
        <is>
          <t>Hayır</t>
        </is>
      </c>
      <c r="M23" s="29" t="inlineStr">
        <is>
          <t>Taslak</t>
        </is>
      </c>
      <c r="N23" s="29" t="inlineStr">
        <is>
          <t>Tarih ve mimari</t>
        </is>
      </c>
      <c r="O23" s="29" t="inlineStr">
        <is>
          <t>Centro</t>
        </is>
      </c>
      <c r="P23" s="29" t="inlineStr">
        <is>
          <t>Kapalı alan</t>
        </is>
      </c>
      <c r="Q23" s="29" t="inlineStr">
        <is>
          <t>Plaza de San Ignacio, 2, 29008 Málaga</t>
        </is>
      </c>
      <c r="R23" s="50" t="n">
        <v>36.721846</v>
      </c>
      <c r="S23" s="50" t="n">
        <v>-4.42332</v>
      </c>
      <c r="T23" s="29" t="n"/>
      <c r="U23" s="29" t="inlineStr">
        <is>
          <t>Temmuz ve ağustosta hafta içi 07:20 ayini ve pazar 13:30 ayini yapılmaz.</t>
        </is>
      </c>
      <c r="V23" s="29" t="inlineStr">
        <is>
          <t>Hayır</t>
        </is>
      </c>
      <c r="W23" s="29" t="n"/>
    </row>
    <row r="24" ht="54" customHeight="1">
      <c r="A24" s="29" t="inlineStr">
        <is>
          <t>malaga:cementerio-historico-san-miguel</t>
        </is>
      </c>
      <c r="B24" s="29" t="inlineStr">
        <is>
          <t>malaga</t>
        </is>
      </c>
      <c r="C24" s="29" t="inlineStr">
        <is>
          <t>cementerio-historico-san-miguel</t>
        </is>
      </c>
      <c r="D24" s="29" t="inlineStr">
        <is>
          <t>Cementerio Histórico San Miguel</t>
        </is>
      </c>
      <c r="E24" s="29" t="inlineStr">
        <is>
          <t>Plaza del Patrocinio'da, açık hava müzesi olarak tanıtılan tarihî mezarlık</t>
        </is>
      </c>
      <c r="F24" s="29" t="inlineStr">
        <is>
          <t>Parcemasa'nın sitesi mezarlığı yazarların, ressamların, mimarların, politikacıların ve iş insanlarının hikâyelerini taşıyan bir açık hava müzesi olarak tanıtır; adresi Plaza del Patrocinio s/n, Málaga. Halka hizmet saatleri yılın 365 günü 09:00-18:00'dir. Şapel hafta içi sabah 09:00-14:00, çarşamba öğleden sonra 16:00-18:00, cumartesi, pazar ve tatillerde 11:00-13:00 arasında açılır. İspanyolca ve İngilizce bir mikrosite, anlatımlı ses kayıtlarıyla burada yatanların hikâyelerini sunar.</t>
        </is>
      </c>
      <c r="G24" s="29" t="inlineStr">
        <is>
          <t>Cementerio San Miguel, tarihî mezarlık, açık hava müzesi, Parcemasa, Málaga</t>
        </is>
      </c>
      <c r="H24" s="29" t="inlineStr">
        <is>
          <t>planning;new;settled</t>
        </is>
      </c>
      <c r="I24" s="29" t="inlineStr">
        <is>
          <t>malaga:kaynak:321</t>
        </is>
      </c>
      <c r="J24" s="49" t="n">
        <v>46322</v>
      </c>
      <c r="K24" s="51" t="n">
        <v>117</v>
      </c>
      <c r="L24" s="29" t="inlineStr">
        <is>
          <t>Hayır</t>
        </is>
      </c>
      <c r="M24" s="29" t="inlineStr">
        <is>
          <t>Taslak</t>
        </is>
      </c>
      <c r="N24" s="29" t="inlineStr">
        <is>
          <t>Tarih ve mimari</t>
        </is>
      </c>
      <c r="O24" s="29" t="inlineStr">
        <is>
          <t>Este</t>
        </is>
      </c>
      <c r="P24" s="29" t="inlineStr">
        <is>
          <t>Açık hava</t>
        </is>
      </c>
      <c r="Q24" s="29" t="inlineStr">
        <is>
          <t>Plaza del Patrocinio s/n, Málaga</t>
        </is>
      </c>
      <c r="R24" s="50" t="n">
        <v>36.73382</v>
      </c>
      <c r="S24" s="50" t="n">
        <v>-4.418177</v>
      </c>
      <c r="T24" s="29" t="n"/>
      <c r="U24" s="29" t="inlineStr">
        <is>
          <t>Mezarlıkta konser ve kitap sunumu gibi etkinlikler yapılır. Telefon 952 434 100.</t>
        </is>
      </c>
      <c r="V24" s="29" t="inlineStr">
        <is>
          <t>Hayır</t>
        </is>
      </c>
      <c r="W24" s="29" t="n"/>
    </row>
    <row r="25" ht="54" customHeight="1">
      <c r="A25" s="29" t="inlineStr">
        <is>
          <t>malaga:iglesia-divina-pastora-santa-teresa</t>
        </is>
      </c>
      <c r="B25" s="29" t="inlineStr">
        <is>
          <t>malaga</t>
        </is>
      </c>
      <c r="C25" s="29" t="inlineStr">
        <is>
          <t>iglesia-divina-pastora-santa-teresa</t>
        </is>
      </c>
      <c r="D25" s="29" t="inlineStr">
        <is>
          <t>Iglesia de la Divina Pastora y Santa Teresa</t>
        </is>
      </c>
      <c r="E25" s="29" t="inlineStr">
        <is>
          <t>Plaza de Capuchinos 5'te, 1632'de kutsanan XVII. yüzyıl kilisesi</t>
        </is>
      </c>
      <c r="F25" s="29" t="inlineStr">
        <is>
          <t>Plaza de Capuchinos 5 (29014 Málaga) adresindeki kilise XVII. yüzyılda yapılmış ve 1632'de kutsanmıştır. 19 Eylül 2026'dan itibaren ayinler pazartesi-cumartesi 20:00'de, pazar ve tatillerde 12:30'dadır.</t>
        </is>
      </c>
      <c r="G25" s="29" t="inlineStr">
        <is>
          <t>Divina Pastora, Santa Teresa, Capuchinos, kilise, Málaga</t>
        </is>
      </c>
      <c r="H25" s="29" t="inlineStr">
        <is>
          <t>planning;new;settled</t>
        </is>
      </c>
      <c r="I25" s="29" t="inlineStr">
        <is>
          <t>malaga:kaynak:322</t>
        </is>
      </c>
      <c r="J25" s="49" t="n">
        <v>46322</v>
      </c>
      <c r="K25" s="51" t="n">
        <v>118</v>
      </c>
      <c r="L25" s="29" t="inlineStr">
        <is>
          <t>Hayır</t>
        </is>
      </c>
      <c r="M25" s="29" t="inlineStr">
        <is>
          <t>Taslak</t>
        </is>
      </c>
      <c r="N25" s="29" t="inlineStr">
        <is>
          <t>Tarih ve mimari</t>
        </is>
      </c>
      <c r="O25" s="29" t="inlineStr">
        <is>
          <t>Centro</t>
        </is>
      </c>
      <c r="P25" s="29" t="inlineStr">
        <is>
          <t>Kapalı alan</t>
        </is>
      </c>
      <c r="Q25" s="29" t="inlineStr">
        <is>
          <t>Plaza de Capuchinos, 5, 29014 Málaga</t>
        </is>
      </c>
      <c r="R25" s="50" t="n">
        <v>36.72938</v>
      </c>
      <c r="S25" s="50" t="n">
        <v>-4.42192</v>
      </c>
      <c r="T25" s="29" t="n"/>
      <c r="U25" s="29" t="inlineStr">
        <is>
          <t>Parroquia bürosu salı ve perşembe 17:30'da, cuma 19:00-20:00 arası açıktır.</t>
        </is>
      </c>
      <c r="V25" s="29" t="inlineStr">
        <is>
          <t>Hayır</t>
        </is>
      </c>
      <c r="W25" s="29" t="n"/>
    </row>
    <row r="26" ht="54" customHeight="1">
      <c r="A26" s="29" t="inlineStr">
        <is>
          <t>malaga:iglesia-san-patricio</t>
        </is>
      </c>
      <c r="B26" s="29" t="inlineStr">
        <is>
          <t>malaga</t>
        </is>
      </c>
      <c r="C26" s="29" t="inlineStr">
        <is>
          <t>iglesia-san-patricio</t>
        </is>
      </c>
      <c r="D26" s="29" t="inlineStr">
        <is>
          <t>Iglesia de San Patricio</t>
        </is>
      </c>
      <c r="E26" s="29" t="inlineStr">
        <is>
          <t>Huelin işçi mahallesinde, 1891'de kurulan parroquia kilisesi</t>
        </is>
      </c>
      <c r="F26" s="29" t="inlineStr">
        <is>
          <t>San Patricio, c/ Abogado Federico Orellana 2 (29002 Málaga) adresinde, Barrio Obrero de Huelin'in kalbindedir. Parroquia 1891'de Málaga Piskoposu Marcelo Spínola tarafından kurulmuştur. Kış programında (Ekim-Mayıs) ayinler her gün 10:00 ve 19:00'da, pazar ve tatillerde 10:30, 11:30 ve 12:30'dadır. Yaz programında (Mayıs-Ekim) ayinler her gün 10:00 ve 19:30'da, pazar ve tatillerde yine 10:30, 11:30 ve 12:30'dadır.</t>
        </is>
      </c>
      <c r="G26" s="29" t="inlineStr">
        <is>
          <t>San Patricio, Huelin, Barrio Obrero, Carretera de Cádiz, kilise, Málaga</t>
        </is>
      </c>
      <c r="H26" s="29" t="inlineStr">
        <is>
          <t>planning;new;settled</t>
        </is>
      </c>
      <c r="I26" s="29" t="inlineStr">
        <is>
          <t>malaga:kaynak:323</t>
        </is>
      </c>
      <c r="J26" s="49" t="n">
        <v>46322</v>
      </c>
      <c r="K26" s="51" t="n">
        <v>119</v>
      </c>
      <c r="L26" s="29" t="inlineStr">
        <is>
          <t>Hayır</t>
        </is>
      </c>
      <c r="M26" s="29" t="inlineStr">
        <is>
          <t>Taslak</t>
        </is>
      </c>
      <c r="N26" s="29" t="inlineStr">
        <is>
          <t>Tarih ve mimari</t>
        </is>
      </c>
      <c r="O26" s="29" t="inlineStr">
        <is>
          <t>Carretera de Cádiz</t>
        </is>
      </c>
      <c r="P26" s="29" t="inlineStr">
        <is>
          <t>Kapalı alan</t>
        </is>
      </c>
      <c r="Q26" s="29" t="inlineStr">
        <is>
          <t>c/. Abogado Federico Orellana, 2, 29002 Málaga</t>
        </is>
      </c>
      <c r="R26" s="50" t="n">
        <v>36.702439</v>
      </c>
      <c r="S26" s="50" t="n">
        <v>-4.438903</v>
      </c>
      <c r="T26" s="29" t="n"/>
      <c r="U26" s="29" t="inlineStr">
        <is>
          <t>Parroquia bürosu yalnız çarşamba günleri 11:00-13:00 ve 18:00-20:00 arası açıktır.</t>
        </is>
      </c>
      <c r="V26" s="29" t="inlineStr">
        <is>
          <t>Hayır</t>
        </is>
      </c>
      <c r="W26" s="29" t="n"/>
    </row>
    <row r="27" ht="54" customHeight="1">
      <c r="A27" s="29" t="inlineStr">
        <is>
          <t>malaga:iglesia-cristo-rey</t>
        </is>
      </c>
      <c r="B27" s="29" t="inlineStr">
        <is>
          <t>malaga</t>
        </is>
      </c>
      <c r="C27" s="29" t="inlineStr">
        <is>
          <t>iglesia-cristo-rey</t>
        </is>
      </c>
      <c r="D27" s="29" t="inlineStr">
        <is>
          <t>Iglesia de Cristo Rey</t>
        </is>
      </c>
      <c r="E27" s="29" t="inlineStr">
        <is>
          <t>Avda. Santiago Ramón y Cajal 3'te, Ciudad Jardín'in latin haçlı kilisesi</t>
        </is>
      </c>
      <c r="F27" s="29" t="inlineStr">
        <is>
          <t>Cristo Rey, Ciudad Jardín mahallesinde Avda. Santiago Ramón y Cajal 3 (29014 Málaga) adresindedir. Kilise mimar Fernando Guerrero-Strachan Rosado tarafından 1937'de tasarlanmış, 1940'ların başında Enrique Atencia tarafından inşa edilmiştir; latin haçı planlıdır ve albero renkli gül pencereleriyle bilinir. Cristo Rey ayinleri salı-cumartesi 18:30'da, pazar ve tatillerde 10:30'dadır.</t>
        </is>
      </c>
      <c r="G27" s="29" t="inlineStr">
        <is>
          <t>Cristo Rey, Ciudad Jardín, Guerrero Strachan, kilise, Málaga</t>
        </is>
      </c>
      <c r="H27" s="29" t="inlineStr">
        <is>
          <t>planning;new;settled</t>
        </is>
      </c>
      <c r="I27" s="29" t="inlineStr">
        <is>
          <t>malaga:kaynak:324</t>
        </is>
      </c>
      <c r="J27" s="49" t="n">
        <v>46322</v>
      </c>
      <c r="K27" s="51" t="n">
        <v>120</v>
      </c>
      <c r="L27" s="29" t="inlineStr">
        <is>
          <t>Hayır</t>
        </is>
      </c>
      <c r="M27" s="29" t="inlineStr">
        <is>
          <t>Taslak</t>
        </is>
      </c>
      <c r="N27" s="29" t="inlineStr">
        <is>
          <t>Tarih ve mimari</t>
        </is>
      </c>
      <c r="O27" s="29" t="inlineStr">
        <is>
          <t>Ciudad Jardín</t>
        </is>
      </c>
      <c r="P27" s="29" t="inlineStr">
        <is>
          <t>Kapalı alan</t>
        </is>
      </c>
      <c r="Q27" s="29" t="inlineStr">
        <is>
          <t>Avda. Santiago Ramón y Cajal, 3, 29014 Málaga</t>
        </is>
      </c>
      <c r="R27" s="50" t="n">
        <v>36.73892</v>
      </c>
      <c r="S27" s="50" t="n">
        <v>-4.42439</v>
      </c>
      <c r="T27" s="29" t="n"/>
      <c r="U27" s="29" t="inlineStr">
        <is>
          <t>Parroquia 2020'den beri Misioneros de la Consolata tarafından yönetilir; büro salı-cuma 18:00-19:30 arası açıktır.</t>
        </is>
      </c>
      <c r="V27" s="29" t="inlineStr">
        <is>
          <t>Hayır</t>
        </is>
      </c>
      <c r="W27" s="29" t="n"/>
    </row>
    <row r="28" ht="54" customHeight="1">
      <c r="A28" s="29" t="inlineStr">
        <is>
          <t>malaga:la-farola-de-malaga</t>
        </is>
      </c>
      <c r="B28" s="29" t="inlineStr">
        <is>
          <t>malaga</t>
        </is>
      </c>
      <c r="C28" s="29" t="inlineStr">
        <is>
          <t>la-farola-de-malaga</t>
        </is>
      </c>
      <c r="D28" s="29" t="inlineStr">
        <is>
          <t>La Farola de Málaga</t>
        </is>
      </c>
      <c r="E28" s="29" t="inlineStr">
        <is>
          <t>Puerto de Málaga'da 1817'de hizmete açılan deniz feneri</t>
        </is>
      </c>
      <c r="F28" s="29" t="inlineStr">
        <is>
          <t>La Farola, Levante dalgakıranında (muelle de levante) duran deniz fenerinin adıdır; Armada mühendisi Joaquín María Pery'nin yönettiği yapı 30 Mayıs 1817'de hizmete açıldı. Işığı 20 saniyede 3+1 çakışla yanar, menzili 21 deniz mili (39 km), odak yüksekliği 38 metredir. Liman idaresinin sitesi fenerin tarihini, teknik verilerini ve planlarını yayımlar.</t>
        </is>
      </c>
      <c r="G28" s="29" t="inlineStr">
        <is>
          <t>La Farola, deniz feneri, Puerto de Málaga, Muelle de Levante, 1817</t>
        </is>
      </c>
      <c r="H28" s="29" t="inlineStr">
        <is>
          <t>planning;new;settled</t>
        </is>
      </c>
      <c r="I28" s="29" t="inlineStr">
        <is>
          <t>malaga:kaynak:394</t>
        </is>
      </c>
      <c r="J28" s="49" t="n">
        <v>46322</v>
      </c>
      <c r="K28" s="51" t="n">
        <v>121</v>
      </c>
      <c r="L28" s="29" t="inlineStr">
        <is>
          <t>Hayır</t>
        </is>
      </c>
      <c r="M28" s="29" t="inlineStr">
        <is>
          <t>Taslak</t>
        </is>
      </c>
      <c r="N28" s="29" t="inlineStr">
        <is>
          <t>Tarih ve mimari</t>
        </is>
      </c>
      <c r="O28" s="29" t="inlineStr">
        <is>
          <t>Centro</t>
        </is>
      </c>
      <c r="P28" s="29" t="inlineStr">
        <is>
          <t>Açık hava</t>
        </is>
      </c>
      <c r="Q28" s="29" t="inlineStr">
        <is>
          <t>Muelle de Levante, Puerto de Málaga</t>
        </is>
      </c>
      <c r="R28" s="50" t="n">
        <v>36.714147</v>
      </c>
      <c r="S28" s="50" t="n">
        <v>-4.414568</v>
      </c>
      <c r="T28" s="29" t="n"/>
      <c r="U28" s="29" t="inlineStr">
        <is>
          <t>İspanya'nın en eski fenerlerinden biri olarak anılır; Salvador Rueda, Vicente Aleixandre ve Pablo Picasso gibi şair ve sanatçılara ilham verdiği belirtilir.</t>
        </is>
      </c>
      <c r="V28" s="29" t="inlineStr">
        <is>
          <t>Hayır</t>
        </is>
      </c>
      <c r="W28" s="29" t="n"/>
    </row>
    <row r="29" ht="54" customHeight="1">
      <c r="A29" s="29" t="inlineStr">
        <is>
          <t>malaga:iglesia-stella-maris</t>
        </is>
      </c>
      <c r="B29" s="29" t="inlineStr">
        <is>
          <t>malaga</t>
        </is>
      </c>
      <c r="C29" s="29" t="inlineStr">
        <is>
          <t>iglesia-stella-maris</t>
        </is>
      </c>
      <c r="D29" s="29" t="inlineStr">
        <is>
          <t>Iglesia de Stella Maris</t>
        </is>
      </c>
      <c r="E29" s="29" t="inlineStr">
        <is>
          <t>Alameda Principal 29'da, Karmelit rahiplerin kilisesi</t>
        </is>
      </c>
      <c r="F29" s="29" t="inlineStr">
        <is>
          <t>Stella Maris, Alameda Principal 29 (29001 Málaga) adresindedir. Tapınak pazartesi 19:00'da, salı-cuma 07:30 ve 19:00'da, cumartesi, pazar ve tatillerde 08:30 ve 19:00'da açılır. Pazar ayinleri 09:00, 11:00, 12:00, 13:00, 14:00 (temmuz-eylülde yok), 19:30 ve 21:00'dedir. Parroquia kuruluşunda San Rafael adını taşıyordu; 1 Haziran 1974'te Stella Maris adını aldı.</t>
        </is>
      </c>
      <c r="G29" s="29" t="inlineStr">
        <is>
          <t>Stella Maris, Alameda Principal, kilise, Karmelit, Málaga</t>
        </is>
      </c>
      <c r="H29" s="29" t="inlineStr">
        <is>
          <t>planning;new;settled</t>
        </is>
      </c>
      <c r="I29" s="29" t="inlineStr">
        <is>
          <t>malaga:kaynak:395</t>
        </is>
      </c>
      <c r="J29" s="49" t="n">
        <v>46322</v>
      </c>
      <c r="K29" s="51" t="n">
        <v>122</v>
      </c>
      <c r="L29" s="29" t="inlineStr">
        <is>
          <t>Hayır</t>
        </is>
      </c>
      <c r="M29" s="29" t="inlineStr">
        <is>
          <t>Taslak</t>
        </is>
      </c>
      <c r="N29" s="29" t="inlineStr">
        <is>
          <t>Tarih ve mimari</t>
        </is>
      </c>
      <c r="O29" s="29" t="inlineStr">
        <is>
          <t>Centro</t>
        </is>
      </c>
      <c r="P29" s="29" t="inlineStr">
        <is>
          <t>Kapalı alan</t>
        </is>
      </c>
      <c r="Q29" s="29" t="inlineStr">
        <is>
          <t>Alameda Principal, 29, 29001 Málaga</t>
        </is>
      </c>
      <c r="R29" s="50" t="n">
        <v>36.716903</v>
      </c>
      <c r="S29" s="50" t="n">
        <v>-4.423572</v>
      </c>
      <c r="T29" s="29" t="n"/>
      <c r="U29" s="29" t="inlineStr">
        <is>
          <t>İtiraf, ayinler sırasında yapılır.</t>
        </is>
      </c>
      <c r="V29" s="29" t="inlineStr">
        <is>
          <t>Hayır</t>
        </is>
      </c>
      <c r="W29" s="29" t="n"/>
    </row>
    <row r="30" ht="54" customHeight="1">
      <c r="A30" s="29" t="inlineStr">
        <is>
          <t>malaga:iglesia-san-lazaro</t>
        </is>
      </c>
      <c r="B30" s="29" t="inlineStr">
        <is>
          <t>malaga</t>
        </is>
      </c>
      <c r="C30" s="29" t="inlineStr">
        <is>
          <t>iglesia-san-lazaro</t>
        </is>
      </c>
      <c r="D30" s="29" t="inlineStr">
        <is>
          <t>Iglesia de San Lázaro</t>
        </is>
      </c>
      <c r="E30" s="29" t="inlineStr">
        <is>
          <t>Plaza de la Victoria 19'da, mahalle kilisesi; pazar ve tatil ayinleri</t>
        </is>
      </c>
      <c r="F30" s="29" t="inlineStr">
        <is>
          <t>San Lázaro, Plaza de la Victoria 19 (29012 Málaga) adresindedir. Pazar ve tatil ayinleri: kış programında (1 Ekim - 1 Haziran) 18:30, yaz programında (1 Haziran - 1 Ekim) 19:00.</t>
        </is>
      </c>
      <c r="G30" s="29" t="inlineStr">
        <is>
          <t>San Lázaro, Plaza de la Victoria, kilise, pazar ayini, Málaga</t>
        </is>
      </c>
      <c r="H30" s="29" t="inlineStr">
        <is>
          <t>planning;new;settled</t>
        </is>
      </c>
      <c r="I30" s="29" t="inlineStr">
        <is>
          <t>malaga:kaynak:396</t>
        </is>
      </c>
      <c r="J30" s="49" t="n">
        <v>46322</v>
      </c>
      <c r="K30" s="51" t="n">
        <v>123</v>
      </c>
      <c r="L30" s="29" t="inlineStr">
        <is>
          <t>Hayır</t>
        </is>
      </c>
      <c r="M30" s="29" t="inlineStr">
        <is>
          <t>Taslak</t>
        </is>
      </c>
      <c r="N30" s="29" t="inlineStr">
        <is>
          <t>Tarih ve mimari</t>
        </is>
      </c>
      <c r="O30" s="29" t="inlineStr">
        <is>
          <t>Centro</t>
        </is>
      </c>
      <c r="P30" s="29" t="inlineStr">
        <is>
          <t>Kapalı alan</t>
        </is>
      </c>
      <c r="Q30" s="29" t="inlineStr">
        <is>
          <t>Plaza de la Victoria, 19, 29012 Málaga</t>
        </is>
      </c>
      <c r="R30" s="50" t="n">
        <v>36.726906</v>
      </c>
      <c r="S30" s="50" t="n">
        <v>-4.413481</v>
      </c>
      <c r="T30" s="29" t="n"/>
      <c r="U30" s="29" t="inlineStr">
        <is>
          <t>Parroquia bürosu yoktur; işler Santa María de la Victoria y La Merced parroquiasında yürütülür. Virgen del Rocío bayramı 16 Temmuz, San José bayramı 19 Mart'tır.</t>
        </is>
      </c>
      <c r="V30" s="29" t="inlineStr">
        <is>
          <t>Hayır</t>
        </is>
      </c>
      <c r="W30" s="29" t="n"/>
    </row>
    <row r="31" ht="54" customHeight="1">
      <c r="A31" s="29" t="inlineStr">
        <is>
          <t>malaga:iglesia-santo-domingo-de-guzman</t>
        </is>
      </c>
      <c r="B31" s="29" t="inlineStr">
        <is>
          <t>malaga</t>
        </is>
      </c>
      <c r="C31" s="29" t="inlineStr">
        <is>
          <t>iglesia-santo-domingo-de-guzman</t>
        </is>
      </c>
      <c r="D31" s="29" t="inlineStr">
        <is>
          <t>Iglesia de Santo Domingo de Guzmán</t>
        </is>
      </c>
      <c r="E31" s="29" t="inlineStr">
        <is>
          <t>c/ Cerrojo 1'de, XVII. yüzyıl kilisesi; Basílica de la Esperanza ile birlikte</t>
        </is>
      </c>
      <c r="F31" s="29" t="inlineStr">
        <is>
          <t>Santo Domingo de Guzmán, c/ Cerrojo 1 (29007 Málaga) adresindedir; kilise XVII. yüzyılda yapılmıştır. Kış programında ayinler her gün 19:00'da, pazar ve tatillerde 11:30'dadır. Aynı parroquianın Basílica de la Esperanza'sı pazartesi 10:00-13:00 ve 18:00-20:00, salı-cuma 10:00-13:00 ve 18:00'den ayinin sonuna kadar, cumartesi 10:00-13:00 ve 19:00'dan ayinin sonuna kadar, pazar 11:30'dan ayinin sonuna kadar açıktır.</t>
        </is>
      </c>
      <c r="G31" s="29" t="inlineStr">
        <is>
          <t>Santo Domingo de Guzmán, Basílica de la Esperanza, Calle Cerrojo, kilise, Málaga</t>
        </is>
      </c>
      <c r="H31" s="29" t="inlineStr">
        <is>
          <t>planning;new;settled</t>
        </is>
      </c>
      <c r="I31" s="29" t="inlineStr">
        <is>
          <t>malaga:kaynak:397</t>
        </is>
      </c>
      <c r="J31" s="49" t="n">
        <v>46322</v>
      </c>
      <c r="K31" s="51" t="n">
        <v>124</v>
      </c>
      <c r="L31" s="29" t="inlineStr">
        <is>
          <t>Hayır</t>
        </is>
      </c>
      <c r="M31" s="29" t="inlineStr">
        <is>
          <t>Taslak</t>
        </is>
      </c>
      <c r="N31" s="29" t="inlineStr">
        <is>
          <t>Tarih ve mimari</t>
        </is>
      </c>
      <c r="O31" s="29" t="inlineStr">
        <is>
          <t>Centro</t>
        </is>
      </c>
      <c r="P31" s="29" t="inlineStr">
        <is>
          <t>Kapalı alan</t>
        </is>
      </c>
      <c r="Q31" s="29" t="inlineStr">
        <is>
          <t>c/ Cerrojo, 1, 29007 Málaga</t>
        </is>
      </c>
      <c r="R31" s="50" t="n">
        <v>36.719542</v>
      </c>
      <c r="S31" s="50" t="n">
        <v>-4.426124</v>
      </c>
      <c r="T31" s="29" t="n"/>
      <c r="U31" s="29" t="inlineStr">
        <is>
          <t>Basílica de la Esperanza'da ayinler salı-cumartesi 20:00'de, pazar ve tatillerde 12:30'dadır; parroquia bürosu salı ve cuma 17:30-19:00 açıktır.</t>
        </is>
      </c>
      <c r="V31" s="29" t="inlineStr">
        <is>
          <t>Hayır</t>
        </is>
      </c>
      <c r="W31" s="29" t="n"/>
    </row>
    <row r="32" ht="54" customHeight="1">
      <c r="A32" s="29" t="inlineStr">
        <is>
          <t>malaga:cementerio-ingles-malaga</t>
        </is>
      </c>
      <c r="B32" s="29" t="inlineStr">
        <is>
          <t>malaga</t>
        </is>
      </c>
      <c r="C32" s="29" t="inlineStr">
        <is>
          <t>cementerio-ingles-malaga</t>
        </is>
      </c>
      <c r="D32" s="29" t="inlineStr">
        <is>
          <t>Cementerio Inglés de Málaga</t>
        </is>
      </c>
      <c r="E32" s="29" t="inlineStr">
        <is>
          <t>Avenida de Pries 1'de, Paseo de Reding'in sonunda tarihî İngiliz mezarlığı</t>
        </is>
      </c>
      <c r="F32" s="29" t="inlineStr">
        <is>
          <t>Cementerio Inglés, Avenida de Pries 1 adresindedir; Paseo de Reding'in sonunda, Miramar otelinin karşısındadır. Salı-pazar 09:00-14:00 arası açıktır, pazartesi kapalıdır (resmî tatiller hariç). Genel giriş 5 €, emekli ve öğrenciler için 4 €; 12 yaş altı çocuklar ücretsizdir. Pompidou müzesinden beş dakikalık yürüyüş mesafesindedir.</t>
        </is>
      </c>
      <c r="G32" s="29" t="inlineStr">
        <is>
          <t>Cementerio Inglés, İngiliz mezarlığı, Avenida de Pries, Paseo de Reding, Málaga</t>
        </is>
      </c>
      <c r="H32" s="29" t="inlineStr">
        <is>
          <t>planning;new;settled</t>
        </is>
      </c>
      <c r="I32" s="29" t="inlineStr">
        <is>
          <t>malaga:kaynak:403</t>
        </is>
      </c>
      <c r="J32" s="49" t="n">
        <v>46322</v>
      </c>
      <c r="K32" s="51" t="n">
        <v>125</v>
      </c>
      <c r="L32" s="29" t="inlineStr">
        <is>
          <t>Hayır</t>
        </is>
      </c>
      <c r="M32" s="29" t="inlineStr">
        <is>
          <t>Taslak</t>
        </is>
      </c>
      <c r="N32" s="29" t="inlineStr">
        <is>
          <t>Tarih ve mimari</t>
        </is>
      </c>
      <c r="O32" s="29" t="inlineStr">
        <is>
          <t>Centro</t>
        </is>
      </c>
      <c r="P32" s="29" t="inlineStr">
        <is>
          <t>Açık hava</t>
        </is>
      </c>
      <c r="Q32" s="29" t="inlineStr">
        <is>
          <t>Avenida de Pries, 1, Málaga</t>
        </is>
      </c>
      <c r="R32" s="50" t="n">
        <v>36.721685</v>
      </c>
      <c r="S32" s="50" t="n">
        <v>-4.406812</v>
      </c>
      <c r="T32" s="29" t="n"/>
      <c r="U32" s="29" t="inlineStr">
        <is>
          <t>Aile mezarlarını ziyaret edenler ve St. George's kilisesindeki ayin ya da etkinliklere gelenler ücretsiz girer; biletler kapanıştan 30 dakika önce satılmaz.</t>
        </is>
      </c>
      <c r="V32" s="29" t="inlineStr">
        <is>
          <t>Hayır</t>
        </is>
      </c>
      <c r="W32" s="29" t="n"/>
    </row>
    <row r="33" ht="54" customHeight="1">
      <c r="A33" s="29" t="inlineStr">
        <is>
          <t>malaga:iglesia-nuestra-senora-del-carmen-perchel</t>
        </is>
      </c>
      <c r="B33" s="29" t="inlineStr">
        <is>
          <t>malaga</t>
        </is>
      </c>
      <c r="C33" s="29" t="inlineStr">
        <is>
          <t>iglesia-nuestra-senora-del-carmen-perchel</t>
        </is>
      </c>
      <c r="D33" s="29" t="inlineStr">
        <is>
          <t>Iglesia de Nuestra Señora del Carmen</t>
        </is>
      </c>
      <c r="E33" s="29" t="inlineStr">
        <is>
          <t>Plaza de Toros Vieja 23'te, XVII. yüzyıl kilisesi</t>
        </is>
      </c>
      <c r="F33" s="29" t="inlineStr">
        <is>
          <t>Nuestra Señora del Carmen, Plaza de Toros Vieja 23 (29002 Málaga) adresindedir; kilise XVII. yüzyılda yapılmıştır. Kış programında ayinler her gün 09:00 ve 19:00'da, pazar ve tatillerde 09:00, 11:30, 19:00 ve 20:00'dedir. Yaz programında hafta içi 09:00 ve 20:00'de ayin yapılır.</t>
        </is>
      </c>
      <c r="G33" s="29" t="inlineStr">
        <is>
          <t>Nuestra Señora del Carmen, Plaza de Toros Vieja, kilise, Málaga</t>
        </is>
      </c>
      <c r="H33" s="29" t="inlineStr">
        <is>
          <t>planning;new;settled</t>
        </is>
      </c>
      <c r="I33" s="29" t="inlineStr">
        <is>
          <t>malaga:kaynak:405</t>
        </is>
      </c>
      <c r="J33" s="49" t="n">
        <v>46322</v>
      </c>
      <c r="K33" s="51" t="n">
        <v>126</v>
      </c>
      <c r="L33" s="29" t="inlineStr">
        <is>
          <t>Hayır</t>
        </is>
      </c>
      <c r="M33" s="29" t="inlineStr">
        <is>
          <t>Taslak</t>
        </is>
      </c>
      <c r="N33" s="29" t="inlineStr">
        <is>
          <t>Tarih ve mimari</t>
        </is>
      </c>
      <c r="O33" s="29" t="inlineStr">
        <is>
          <t>Cruz de Humilladero</t>
        </is>
      </c>
      <c r="P33" s="29" t="inlineStr">
        <is>
          <t>Kapalı alan</t>
        </is>
      </c>
      <c r="Q33" s="29" t="inlineStr">
        <is>
          <t>Plaza de Toros Vieja, 23, 29002 Málaga</t>
        </is>
      </c>
      <c r="R33" s="50" t="n">
        <v>36.71361</v>
      </c>
      <c r="S33" s="50" t="n">
        <v>-4.42944</v>
      </c>
      <c r="T33" s="29" t="n"/>
      <c r="U33" s="29" t="inlineStr">
        <is>
          <t>Kış programı 1 Ekim - 30 Mayıs, yaz programı 31 Mayıs - 30 Eylül arasındadır; itiraf ayinlerden yarım saat önce yapılır.</t>
        </is>
      </c>
      <c r="V33" s="29" t="inlineStr">
        <is>
          <t>Hayır</t>
        </is>
      </c>
      <c r="W33" s="29" t="n"/>
    </row>
    <row r="34" ht="54" customHeight="1">
      <c r="A34" s="29" t="inlineStr">
        <is>
          <t>malaga:iglesia-nuestra-senora-de-fatima</t>
        </is>
      </c>
      <c r="B34" s="29" t="inlineStr">
        <is>
          <t>malaga</t>
        </is>
      </c>
      <c r="C34" s="29" t="inlineStr">
        <is>
          <t>iglesia-nuestra-senora-de-fatima</t>
        </is>
      </c>
      <c r="D34" s="29" t="inlineStr">
        <is>
          <t>Iglesia de Nuestra Señora de Fátima</t>
        </is>
      </c>
      <c r="E34" s="29" t="inlineStr">
        <is>
          <t>c/ Francisco Monje 1'de, XX. yüzyıl mahalle kilisesi</t>
        </is>
      </c>
      <c r="F34" s="29" t="inlineStr">
        <is>
          <t>Nuestra Señora de Fátima, c/ Francisco Monje 1 (29009 Málaga) adresindedir; kilise XX. yüzyılda yapılmıştır. Kış programında ayinler salı-cumartesi 19:00'da, cumartesi ayrıca 20:30'da, pazar ve tatillerde 12:00'dedir. Yaz programında salı-cumartesi 20:30, cumartesi 21:15, pazar ve tatillerde 20:30'dadır.</t>
        </is>
      </c>
      <c r="G34" s="29" t="inlineStr">
        <is>
          <t>Nuestra Señora de Fátima, kilise, Francisco Monje, Málaga</t>
        </is>
      </c>
      <c r="H34" s="29" t="inlineStr">
        <is>
          <t>planning;new;settled</t>
        </is>
      </c>
      <c r="I34" s="29" t="inlineStr">
        <is>
          <t>malaga:kaynak:406</t>
        </is>
      </c>
      <c r="J34" s="49" t="n">
        <v>46322</v>
      </c>
      <c r="K34" s="51" t="n">
        <v>127</v>
      </c>
      <c r="L34" s="29" t="inlineStr">
        <is>
          <t>Hayır</t>
        </is>
      </c>
      <c r="M34" s="29" t="inlineStr">
        <is>
          <t>Taslak</t>
        </is>
      </c>
      <c r="N34" s="29" t="inlineStr">
        <is>
          <t>Tarih ve mimari</t>
        </is>
      </c>
      <c r="O34" s="29" t="inlineStr">
        <is>
          <t>Centro</t>
        </is>
      </c>
      <c r="P34" s="29" t="inlineStr">
        <is>
          <t>Kapalı alan</t>
        </is>
      </c>
      <c r="Q34" s="29" t="inlineStr">
        <is>
          <t>c/ Francisco Monje, 1, 29009 Málaga</t>
        </is>
      </c>
      <c r="R34" s="50" t="n">
        <v>36.724086</v>
      </c>
      <c r="S34" s="50" t="n">
        <v>-4.426764</v>
      </c>
      <c r="T34" s="29" t="n"/>
      <c r="U34" s="29" t="inlineStr">
        <is>
          <t>Kış döneminde ayın ilk cumalarında itiraf bütün gün yapılır; parroquia bürosu kışın salı-cuma 17:00-18:00 açıktır.</t>
        </is>
      </c>
      <c r="V34" s="29" t="inlineStr">
        <is>
          <t>Hayır</t>
        </is>
      </c>
      <c r="W34" s="29" t="n"/>
    </row>
    <row r="35" ht="54" customHeight="1">
      <c r="A35" s="29" t="inlineStr">
        <is>
          <t>malaga:parque-forestal-la-concepcion</t>
        </is>
      </c>
      <c r="B35" s="29" t="inlineStr">
        <is>
          <t>malaga</t>
        </is>
      </c>
      <c r="C35" s="29" t="inlineStr">
        <is>
          <t>parque-forestal-la-concepcion</t>
        </is>
      </c>
      <c r="D35" s="29" t="inlineStr">
        <is>
          <t>Parque Forestal La Concepción</t>
        </is>
      </c>
      <c r="E35" s="29" t="inlineStr">
        <is>
          <t>Botanik bahçesinin yanında, Guadalmedina vadisinde orman parkı, Ciudad Jardín</t>
        </is>
      </c>
      <c r="F35" s="29" t="inlineStr">
        <is>
          <t>Málaga'nın kuzeyinde, Jardín Botánico-Histórico La Concepción'un yanında yer alan 190.000 m²'lik orman parkı; içinden Guadalmedina nehri geçiyor. Piknik için iki mangal bölgesi var: biri şapelin (ermita) yanında, öteki renkli köprünün yanında. En yüksek noktadaki seyir terasından Agujero göleti ve çevresi görülüyor; parkta ayrıca bir kuş gözlem noktası ve üç oyuncaklı çocuk parkı bulunuyor.</t>
        </is>
      </c>
      <c r="G35" s="29" t="inlineStr">
        <is>
          <t>orman parkı, piknik, mangal, kuş gözlemi, Guadalmedina, Ciudad Jardín, parque forestal</t>
        </is>
      </c>
      <c r="H35" s="29" t="inlineStr">
        <is>
          <t>planning;new;settled</t>
        </is>
      </c>
      <c r="I35" s="29" t="inlineStr">
        <is>
          <t>malaga:kaynak:325</t>
        </is>
      </c>
      <c r="J35" s="49" t="n">
        <v>46322</v>
      </c>
      <c r="K35" s="51" t="n">
        <v>201</v>
      </c>
      <c r="L35" s="29" t="inlineStr">
        <is>
          <t>Hayır</t>
        </is>
      </c>
      <c r="M35" s="29" t="inlineStr">
        <is>
          <t>Taslak</t>
        </is>
      </c>
      <c r="N35" s="29" t="inlineStr">
        <is>
          <t>Doğa ve açık hava</t>
        </is>
      </c>
      <c r="O35" s="29" t="inlineStr">
        <is>
          <t>Ciudad Jardín</t>
        </is>
      </c>
      <c r="P35" s="29" t="inlineStr">
        <is>
          <t>Açık hava</t>
        </is>
      </c>
      <c r="Q35" s="29" t="inlineStr">
        <is>
          <t>Se encuentra junto al Jardín Botánico-Histórico La Concepción</t>
        </is>
      </c>
      <c r="R35" s="50" t="n">
        <v>36.7674</v>
      </c>
      <c r="S35" s="50" t="n">
        <v>-4.427</v>
      </c>
      <c r="T35" s="29" t="n"/>
      <c r="U35" s="29" t="inlineStr">
        <is>
          <t>Ciudad Jardín semtinin "Romería de la Alegría" şenliği her eylül bu ormanlık alanda kutlanıyor.</t>
        </is>
      </c>
      <c r="V35" s="29" t="inlineStr">
        <is>
          <t>Hayır</t>
        </is>
      </c>
      <c r="W35" s="29" t="n"/>
    </row>
    <row r="36" ht="54" customHeight="1">
      <c r="A36" s="29" t="inlineStr">
        <is>
          <t>malaga:parque-forestal-monte-victoria</t>
        </is>
      </c>
      <c r="B36" s="29" t="inlineStr">
        <is>
          <t>malaga</t>
        </is>
      </c>
      <c r="C36" s="29" t="inlineStr">
        <is>
          <t>parque-forestal-monte-victoria</t>
        </is>
      </c>
      <c r="D36" s="29" t="inlineStr">
        <is>
          <t>Parque Forestal Monte Victoria</t>
        </is>
      </c>
      <c r="E36" s="29" t="inlineStr">
        <is>
          <t>Şehir dokusunun içinde çam kaplı tepe, Centro</t>
        </is>
      </c>
      <c r="F36" s="29" t="inlineStr">
        <is>
          <t>Gibralfaro, San Antón ve Calvario tepeleri arasında kalan, 312.000 m²'lik orman parkı; deniz seviyesinden yalnızca 193,5 m yükseliyor ve bugün tamamen yerleşimle çevrili. 1940-50'li yıllarda şehre çamur akışını önlemek için çam dikilmiş; bugün Halep çamı ormanı, çalılık kesimi ve üstü kapatılmış Arroyo Toquero bölgesi ayırt ediliyor. Yıl boyu görülen kuşların yanında yazın ve sonbahar-kışın gelen türleri de gözlemleyebilirsin.</t>
        </is>
      </c>
      <c r="G36" s="29" t="inlineStr">
        <is>
          <t>Monte Victoria, orman parkı, çam, tepe, kuş gözlemi, Centro, Cerro de San Cristóbal</t>
        </is>
      </c>
      <c r="H36" s="29" t="inlineStr">
        <is>
          <t>planning;new;settled</t>
        </is>
      </c>
      <c r="I36" s="29" t="inlineStr">
        <is>
          <t>malaga:kaynak:326</t>
        </is>
      </c>
      <c r="J36" s="49" t="n">
        <v>46322</v>
      </c>
      <c r="K36" s="51" t="n">
        <v>202</v>
      </c>
      <c r="L36" s="29" t="inlineStr">
        <is>
          <t>Hayır</t>
        </is>
      </c>
      <c r="M36" s="29" t="inlineStr">
        <is>
          <t>Taslak</t>
        </is>
      </c>
      <c r="N36" s="29" t="inlineStr">
        <is>
          <t>Doğa ve açık hava</t>
        </is>
      </c>
      <c r="O36" s="29" t="inlineStr">
        <is>
          <t>Centro</t>
        </is>
      </c>
      <c r="P36" s="29" t="inlineStr">
        <is>
          <t>Açık hava</t>
        </is>
      </c>
      <c r="Q36" s="29" t="inlineStr">
        <is>
          <t>Limita al norte con los Montes de Málaga, al sur con el Monte Gibralfaro, al este con el Monte San Antón y al oeste con el Cerro Calvario.</t>
        </is>
      </c>
      <c r="R36" s="50" t="n">
        <v>36.73192</v>
      </c>
      <c r="S36" s="50" t="n">
        <v>-4.41011</v>
      </c>
      <c r="T36" s="29" t="n"/>
      <c r="U36" s="29" t="inlineStr">
        <is>
          <t>Tepe, Santuario de la Victoria'ya yakınlığından adını almış; "Cerro de San Cristóbal" ve "Cerro de las Tres Letras" adlarıyla da anılıyor. Calvario Tepesi'ndeki "Vía Sacra" yolu Calle Amargura yanındaki bir patikadan başlayıp şapelde bitiyor.</t>
        </is>
      </c>
      <c r="V36" s="29" t="inlineStr">
        <is>
          <t>Hayır</t>
        </is>
      </c>
      <c r="W36" s="29" t="n"/>
    </row>
    <row r="37" ht="54" customHeight="1">
      <c r="A37" s="29" t="inlineStr">
        <is>
          <t>malaga:monte-gibralfaro-parque-forestal</t>
        </is>
      </c>
      <c r="B37" s="29" t="inlineStr">
        <is>
          <t>malaga</t>
        </is>
      </c>
      <c r="C37" s="29" t="inlineStr">
        <is>
          <t>monte-gibralfaro-parque-forestal</t>
        </is>
      </c>
      <c r="D37" s="29" t="inlineStr">
        <is>
          <t>Parque Forestal de Gibralfaro</t>
        </is>
      </c>
      <c r="E37" s="29" t="inlineStr">
        <is>
          <t>Alcazaba ile Gibralfaro Kalesi arasında Akdeniz ormanı, Centro</t>
        </is>
      </c>
      <c r="F37" s="29" t="inlineStr">
        <is>
          <t>Gibralfaro Kalesi'nin eteklerindeki 278.000 m²'lik orman, çoğunlukla çam ve okaliptüsten oluşuyor ve Alcazaba ile Gibralfaro Kalesi'ni birbirine bağlıyor. Belediye sayfasında şehrin en tanınmış "yeşil ciğeri" olarak anılıyor. 2 km'den uzun, zorluk derecesi değişen bir patika ağı var; merkezden, La Victoria ve La Malagueta mahallelerinden kolayca çıkılıyor.</t>
        </is>
      </c>
      <c r="G37" s="29" t="inlineStr">
        <is>
          <t>Gibralfaro, orman parkı, patika, yürüyüş, Alcazaba, çam, Centro</t>
        </is>
      </c>
      <c r="H37" s="29" t="inlineStr">
        <is>
          <t>planning;new;settled</t>
        </is>
      </c>
      <c r="I37" s="29" t="inlineStr">
        <is>
          <t>malaga:kaynak:327</t>
        </is>
      </c>
      <c r="J37" s="49" t="n">
        <v>46322</v>
      </c>
      <c r="K37" s="51" t="n">
        <v>203</v>
      </c>
      <c r="L37" s="29" t="inlineStr">
        <is>
          <t>Hayır</t>
        </is>
      </c>
      <c r="M37" s="29" t="inlineStr">
        <is>
          <t>Taslak</t>
        </is>
      </c>
      <c r="N37" s="29" t="inlineStr">
        <is>
          <t>Doğa ve açık hava</t>
        </is>
      </c>
      <c r="O37" s="29" t="inlineStr">
        <is>
          <t>Centro</t>
        </is>
      </c>
      <c r="P37" s="29" t="inlineStr">
        <is>
          <t>Açık hava</t>
        </is>
      </c>
      <c r="Q37" s="29" t="inlineStr">
        <is>
          <t>Enlaza la Alcazaba y el Castillo de Gibralfaro</t>
        </is>
      </c>
      <c r="R37" s="50" t="n">
        <v>36.723333</v>
      </c>
      <c r="S37" s="50" t="n">
        <v>-4.410833</v>
      </c>
      <c r="T37" s="29" t="n"/>
      <c r="U37" s="29" t="inlineStr">
        <is>
          <t>Orman, belediye sayfasında Müslüman Málaga ile Hıristiyan Málaga'yı birbirine bağlayan hat olarak tanıtılıyor.</t>
        </is>
      </c>
      <c r="V37" s="29" t="inlineStr">
        <is>
          <t>Hayır</t>
        </is>
      </c>
      <c r="W37" s="29" t="n"/>
    </row>
    <row r="38" ht="54" customHeight="1">
      <c r="A38" s="29" t="inlineStr">
        <is>
          <t>malaga:parque-de-malaga</t>
        </is>
      </c>
      <c r="B38" s="29" t="inlineStr">
        <is>
          <t>malaga</t>
        </is>
      </c>
      <c r="C38" s="29" t="inlineStr">
        <is>
          <t>parque-de-malaga</t>
        </is>
      </c>
      <c r="D38" s="29" t="inlineStr">
        <is>
          <t>Parque de Málaga</t>
        </is>
      </c>
      <c r="E38" s="29" t="inlineStr">
        <is>
          <t>Limanın yanında tropikal ve subtropikal bitkilerle tarihî şehir parkı, Centro</t>
        </is>
      </c>
      <c r="F38" s="29" t="inlineStr">
        <is>
          <t>Paseo del Parque üzerindeki bu park, şehir merkezinde 3,3 hektarlık bir alanı kaplıyor; kökeni 1896 tarihli bir yasaya dayanıyor ve 19. yüzyıl sonunda denizden alınan arazide kurulmuş. Palmiyeler, ejder ağaçları, doğu çınarları ve incirlerin yanında tropikal ve subtropikal türlerle, çok sayıda çeşme ve anıtla dolu. Belediye sayfası onu Avrupa'nın en iyi açık subtropikal bahçelerinden biri olarak sınıflandırılmış diye anlatıyor.</t>
        </is>
      </c>
      <c r="G38" s="29" t="inlineStr">
        <is>
          <t>Parque de Málaga, şehir parkı, botanik, palmiye, çeşme, Paseo del Parque, Centro</t>
        </is>
      </c>
      <c r="H38" s="29" t="inlineStr">
        <is>
          <t>planning;new;settled</t>
        </is>
      </c>
      <c r="I38" s="29" t="inlineStr">
        <is>
          <t>malaga:kaynak:328</t>
        </is>
      </c>
      <c r="J38" s="49" t="n">
        <v>46322</v>
      </c>
      <c r="K38" s="51" t="n">
        <v>204</v>
      </c>
      <c r="L38" s="29" t="inlineStr">
        <is>
          <t>Evet</t>
        </is>
      </c>
      <c r="M38" s="29" t="inlineStr">
        <is>
          <t>Taslak</t>
        </is>
      </c>
      <c r="N38" s="29" t="inlineStr">
        <is>
          <t>Doğa ve açık hava</t>
        </is>
      </c>
      <c r="O38" s="29" t="inlineStr">
        <is>
          <t>Centro</t>
        </is>
      </c>
      <c r="P38" s="29" t="inlineStr">
        <is>
          <t>Açık hava</t>
        </is>
      </c>
      <c r="Q38" s="29" t="inlineStr">
        <is>
          <t>Paseo del Parque</t>
        </is>
      </c>
      <c r="R38" s="50" t="n">
        <v>36.718985</v>
      </c>
      <c r="S38" s="50" t="n">
        <v>-4.416314</v>
      </c>
      <c r="T38" s="29" t="n"/>
      <c r="U38" s="29" t="inlineStr">
        <is>
          <t>Belediye sayfasından parkın tarihçesini anlatan bir yazı ile seçili bitki türlerinin planı PDF olarak indirilebiliyor.</t>
        </is>
      </c>
      <c r="V38" s="29" t="inlineStr">
        <is>
          <t>Hayır</t>
        </is>
      </c>
      <c r="W38" s="29" t="n"/>
    </row>
    <row r="39" ht="54" customHeight="1">
      <c r="A39" s="29" t="inlineStr">
        <is>
          <t>malaga:desembocadura-del-guadalhorce</t>
        </is>
      </c>
      <c r="B39" s="29" t="inlineStr">
        <is>
          <t>malaga</t>
        </is>
      </c>
      <c r="C39" s="29" t="inlineStr">
        <is>
          <t>desembocadura-del-guadalhorce</t>
        </is>
      </c>
      <c r="D39" s="29" t="inlineStr">
        <is>
          <t>Parque Natural de la Desembocadura del Guadalhorce</t>
        </is>
      </c>
      <c r="E39" s="29" t="inlineStr">
        <is>
          <t>Guadalhorce nehrinin denize döküldüğü yerde kuş cenneti, Churriana</t>
        </is>
      </c>
      <c r="F39" s="29" t="inlineStr">
        <is>
          <t>Şehrin batı ucunda, Antonio Banderas deniz yürüyüş yolunun bittiği yerde, Guadalmar mahallesinin yanında yer alıyor. Nehrin son kesimde ayrılan iki kolu arasındaki 122 hektarlık adanın 64 hektarı doğal alan (Paraje Natural); içinde birkaç lagün, nehir kıyısı ve denize bakan kumluk var. Avrupa ile Afrika arasındaki ana göç yollarından birinde olduğu için dünyanın dört yanından kuş gözlemcileri geliyor.</t>
        </is>
      </c>
      <c r="G39" s="29" t="inlineStr">
        <is>
          <t>Guadalhorce, doğal alan, kuş gözlemi, lagün, göçmen kuşlar, Churriana, paraje natural</t>
        </is>
      </c>
      <c r="H39" s="29" t="inlineStr">
        <is>
          <t>planning;new;settled</t>
        </is>
      </c>
      <c r="I39" s="29" t="inlineStr">
        <is>
          <t>malaga:kaynak:329</t>
        </is>
      </c>
      <c r="J39" s="49" t="n">
        <v>46322</v>
      </c>
      <c r="K39" s="51" t="n">
        <v>205</v>
      </c>
      <c r="L39" s="29" t="inlineStr">
        <is>
          <t>Hayır</t>
        </is>
      </c>
      <c r="M39" s="29" t="inlineStr">
        <is>
          <t>Taslak</t>
        </is>
      </c>
      <c r="N39" s="29" t="inlineStr">
        <is>
          <t>Doğa ve açık hava</t>
        </is>
      </c>
      <c r="O39" s="29" t="inlineStr">
        <is>
          <t>Churriana</t>
        </is>
      </c>
      <c r="P39" s="29" t="inlineStr">
        <is>
          <t>Açık hava</t>
        </is>
      </c>
      <c r="Q39" s="29" t="inlineStr">
        <is>
          <t>Final del paseo marítimo Antonio Banderas, y por otro con la barriada de Guadalmar.</t>
        </is>
      </c>
      <c r="R39" s="50" t="n">
        <v>36.673853</v>
      </c>
      <c r="S39" s="50" t="n">
        <v>-4.456689</v>
      </c>
      <c r="T39" s="29" t="n"/>
      <c r="U39" s="29" t="inlineStr">
        <is>
          <t>Kumluk kesimde, yakındaki başka plajlarda bulunmayan, tuzlu ve kumlu zemine uyum sağlamış bitkiler yetişiyor; lagünlerde su altı bitkisi Ruppia marítima görülüyor.</t>
        </is>
      </c>
      <c r="V39" s="29" t="inlineStr">
        <is>
          <t>Hayır</t>
        </is>
      </c>
      <c r="W39" s="29" t="n"/>
    </row>
    <row r="40" ht="54" customHeight="1">
      <c r="A40" s="29" t="inlineStr">
        <is>
          <t>malaga:laguna-de-la-barrera</t>
        </is>
      </c>
      <c r="B40" s="29" t="inlineStr">
        <is>
          <t>malaga</t>
        </is>
      </c>
      <c r="C40" s="29" t="inlineStr">
        <is>
          <t>laguna-de-la-barrera</t>
        </is>
      </c>
      <c r="D40" s="29" t="inlineStr">
        <is>
          <t>Parque Forestal Laguna de la Barrera "María Eugenia Candau Rámila"</t>
        </is>
      </c>
      <c r="E40" s="29" t="inlineStr">
        <is>
          <t>Teatinos-Universidad ilçesinde yapay göl ve yeşil alan</t>
        </is>
      </c>
      <c r="F40" s="29" t="inlineStr">
        <is>
          <t>Teatinos-Universidad ilçesindeki laguna de la Barrera, 14.850 m²'lik yapay bir göl; çevresinde yeşil alanlar ve patikalar var. Göl, tuğla yapımı için kil çıkarılmasıyla oluşan çukurda doğmuş; bölgede tuğla fabrikalarında çalışan işçiler Colonia Santa Inés'e yerleşmişti. Belediye göle düzenli olarak yerli kuş takviyesi yapıyor.</t>
        </is>
      </c>
      <c r="G40" s="29" t="inlineStr">
        <is>
          <t>Laguna de la Barrera, göl, yeşil alan, Teatinos, kuşlar, yürüyüş, parque forestal</t>
        </is>
      </c>
      <c r="H40" s="29" t="inlineStr">
        <is>
          <t>planning;new;settled</t>
        </is>
      </c>
      <c r="I40" s="29" t="inlineStr">
        <is>
          <t>malaga:kaynak:330</t>
        </is>
      </c>
      <c r="J40" s="49" t="n">
        <v>46322</v>
      </c>
      <c r="K40" s="51" t="n">
        <v>206</v>
      </c>
      <c r="L40" s="29" t="inlineStr">
        <is>
          <t>Hayır</t>
        </is>
      </c>
      <c r="M40" s="29" t="inlineStr">
        <is>
          <t>Taslak</t>
        </is>
      </c>
      <c r="N40" s="29" t="inlineStr">
        <is>
          <t>Doğa ve açık hava</t>
        </is>
      </c>
      <c r="O40" s="29" t="inlineStr">
        <is>
          <t>Teatinos-Universidad</t>
        </is>
      </c>
      <c r="P40" s="29" t="inlineStr">
        <is>
          <t>Açık hava</t>
        </is>
      </c>
      <c r="Q40" s="29" t="inlineStr">
        <is>
          <t>Distrito Nº 11 Teatinos-Universidad de la ciudad de Málaga</t>
        </is>
      </c>
      <c r="R40" s="50" t="n">
        <v>36.727695</v>
      </c>
      <c r="S40" s="50" t="n">
        <v>-4.469665</v>
      </c>
      <c r="T40" s="29" t="n"/>
      <c r="U40" s="29" t="inlineStr">
        <is>
          <t>Belediye sayfasına göre üç metreye kadar olan derinlikte, çamurun mikro ekosistemlere imkân verdiği yerlerde su yüzeyi plankton bakımından zengin.</t>
        </is>
      </c>
      <c r="V40" s="29" t="inlineStr">
        <is>
          <t>Hayır</t>
        </is>
      </c>
      <c r="W40" s="29" t="n"/>
    </row>
    <row r="41" ht="54" customHeight="1">
      <c r="A41" s="29" t="inlineStr">
        <is>
          <t>malaga:parque-forestal-lagarillo-blanco</t>
        </is>
      </c>
      <c r="B41" s="29" t="inlineStr">
        <is>
          <t>malaga</t>
        </is>
      </c>
      <c r="C41" s="29" t="inlineStr">
        <is>
          <t>parque-forestal-lagarillo-blanco</t>
        </is>
      </c>
      <c r="D41" s="29" t="inlineStr">
        <is>
          <t>Parque Forestal Lagarillo Blanco</t>
        </is>
      </c>
      <c r="E41" s="29" t="inlineStr">
        <is>
          <t>El Palo yakınında, Monte San Antón eteğinde piknik ormanı</t>
        </is>
      </c>
      <c r="F41" s="29" t="inlineStr">
        <is>
          <t>Monte San Antón'un eteğinde, El Palo bölgesinde, 183.500 m²'lik çam ve okaliptüs ormanı. Piknik masaları ve mangallarla donatılmış dört dinlenme alanı ile bir petanque pisti var. A-7 karayolundan ve Pinares de San Antón sitesinden girilebiliyor.</t>
        </is>
      </c>
      <c r="G41" s="29" t="inlineStr">
        <is>
          <t>Lagarillo Blanco, piknik, mangal, petanque, El Palo, San Antón, orman parkı</t>
        </is>
      </c>
      <c r="H41" s="29" t="inlineStr">
        <is>
          <t>planning;new;settled</t>
        </is>
      </c>
      <c r="I41" s="29" t="inlineStr">
        <is>
          <t>malaga:kaynak:331</t>
        </is>
      </c>
      <c r="J41" s="49" t="n">
        <v>46322</v>
      </c>
      <c r="K41" s="51" t="n">
        <v>207</v>
      </c>
      <c r="L41" s="29" t="inlineStr">
        <is>
          <t>Hayır</t>
        </is>
      </c>
      <c r="M41" s="29" t="inlineStr">
        <is>
          <t>Taslak</t>
        </is>
      </c>
      <c r="N41" s="29" t="inlineStr">
        <is>
          <t>Doğa ve açık hava</t>
        </is>
      </c>
      <c r="O41" s="29" t="inlineStr">
        <is>
          <t>Este</t>
        </is>
      </c>
      <c r="P41" s="29" t="inlineStr">
        <is>
          <t>Açık hava</t>
        </is>
      </c>
      <c r="Q41" s="29" t="inlineStr">
        <is>
          <t>Falda del Monte San Antón, en la zona de El Palo</t>
        </is>
      </c>
      <c r="R41" s="50" t="n">
        <v>36.73461</v>
      </c>
      <c r="S41" s="50" t="n">
        <v>-4.36867</v>
      </c>
      <c r="T41" s="29" t="n"/>
      <c r="U41" s="29" t="inlineStr">
        <is>
          <t>Her yıl ocak ayının sonunda parkta San Antón romería'sı (dinî şenlik ve piknik) yapılıyor.</t>
        </is>
      </c>
      <c r="V41" s="29" t="inlineStr">
        <is>
          <t>Hayır</t>
        </is>
      </c>
      <c r="W41" s="29" t="n"/>
    </row>
    <row r="42" ht="54" customHeight="1">
      <c r="A42" s="29" t="inlineStr">
        <is>
          <t>malaga:parque-forestal-ciudad-de-malaga</t>
        </is>
      </c>
      <c r="B42" s="29" t="inlineStr">
        <is>
          <t>malaga</t>
        </is>
      </c>
      <c r="C42" s="29" t="inlineStr">
        <is>
          <t>parque-forestal-ciudad-de-malaga</t>
        </is>
      </c>
      <c r="D42" s="29" t="inlineStr">
        <is>
          <t>Parque Forestal Ciudad de Málaga</t>
        </is>
      </c>
      <c r="E42" s="29" t="inlineStr">
        <is>
          <t>Kuzeyde yürüyüş rotaları ve eski maden kalıntılarıyla geniş orman parkı</t>
        </is>
      </c>
      <c r="F42" s="29" t="inlineStr">
        <is>
          <t>Şehrin kuzeyinde 3.500.000 m²'lik geniş bir orman parkı. Bol bitki örtüsü ve derelerin arasından geçen yürüyüş rotaları, La Pola çiftliğinin kalıntıları, madenler, su çeşmeleri ve geniş manzaralar sunuyor. Halep çamı, harnup, zeytin, yabani zeytin ve sakız ağacı gibi Akdeniz türleri ile Arizona servisi öne çıkıyor.</t>
        </is>
      </c>
      <c r="G42" s="29" t="inlineStr">
        <is>
          <t>Ciudad de Málaga, orman parkı, yürüyüş rotası, La Pola, manzara, kuzey, senderismo</t>
        </is>
      </c>
      <c r="H42" s="29" t="inlineStr">
        <is>
          <t>planning;new;settled</t>
        </is>
      </c>
      <c r="I42" s="29" t="inlineStr">
        <is>
          <t>malaga:kaynak:332</t>
        </is>
      </c>
      <c r="J42" s="49" t="n">
        <v>46322</v>
      </c>
      <c r="K42" s="51" t="n">
        <v>208</v>
      </c>
      <c r="L42" s="29" t="inlineStr">
        <is>
          <t>Hayır</t>
        </is>
      </c>
      <c r="M42" s="29" t="inlineStr">
        <is>
          <t>Taslak</t>
        </is>
      </c>
      <c r="N42" s="29" t="inlineStr">
        <is>
          <t>Doğa ve açık hava</t>
        </is>
      </c>
      <c r="O42" s="29" t="inlineStr">
        <is>
          <t>Ciudad Jardín</t>
        </is>
      </c>
      <c r="P42" s="29" t="inlineStr">
        <is>
          <t>Açık hava</t>
        </is>
      </c>
      <c r="Q42" s="29" t="inlineStr">
        <is>
          <t>Se puede acceder al parque forestal desde Carlinda y el Camino de Las Erizas.</t>
        </is>
      </c>
      <c r="R42" s="50" t="n">
        <v>36.7558</v>
      </c>
      <c r="S42" s="50" t="n">
        <v>-4.4432</v>
      </c>
      <c r="T42" s="29" t="n"/>
      <c r="U42" s="29" t="inlineStr">
        <is>
          <t>Yürüyüş rotaları sık bitki örtüsünün ve derelerin arasından geçiyor.</t>
        </is>
      </c>
      <c r="V42" s="29" t="inlineStr">
        <is>
          <t>Hayır</t>
        </is>
      </c>
      <c r="W42" s="29" t="n"/>
    </row>
    <row r="43" ht="54" customHeight="1">
      <c r="A43" s="29" t="inlineStr">
        <is>
          <t>malaga:parque-forestal-el-morlaco</t>
        </is>
      </c>
      <c r="B43" s="29" t="inlineStr">
        <is>
          <t>malaga</t>
        </is>
      </c>
      <c r="C43" s="29" t="inlineStr">
        <is>
          <t>parque-forestal-el-morlaco</t>
        </is>
      </c>
      <c r="D43" s="29" t="inlineStr">
        <is>
          <t>Parque Forestal de El Morlaco</t>
        </is>
      </c>
      <c r="E43" s="29" t="inlineStr">
        <is>
          <t>Doğu ilçesinde denize yakın çam ormanı ve köpek alanları</t>
        </is>
      </c>
      <c r="F43" s="29" t="inlineStr">
        <is>
          <t>Cerrado de Calderón, Parque Clavero ve Morlaco mahallelerinin arasında, Este ilçesinde 161.720 m²'lik, tamamen çevrili bir orman parkı; alt kısmı denize ve Paseo Marítimo Pablo Ruiz Picasso'ya çok yakın. Her gün 08.00'den başlıyor: kışın 20.00'ye, yazın 22.00'ye kadar açık. Üç girişi ve iki seyir terası (Mirador Este ve Mirador Sur) var; güneydeki terastan deniz yürüyüş yolu, Levante limanı ve Málaga'nın batı kıyısı görülüyor.</t>
        </is>
      </c>
      <c r="G43" s="29" t="inlineStr">
        <is>
          <t>El Morlaco, orman parkı, köpek alanı, seyir terası, çam, Este, parque forestal</t>
        </is>
      </c>
      <c r="H43" s="29" t="inlineStr">
        <is>
          <t>planning;new;settled</t>
        </is>
      </c>
      <c r="I43" s="29" t="inlineStr">
        <is>
          <t>malaga:kaynak:333</t>
        </is>
      </c>
      <c r="J43" s="49" t="n">
        <v>46322</v>
      </c>
      <c r="K43" s="51" t="n">
        <v>209</v>
      </c>
      <c r="L43" s="29" t="inlineStr">
        <is>
          <t>Hayır</t>
        </is>
      </c>
      <c r="M43" s="29" t="inlineStr">
        <is>
          <t>Taslak</t>
        </is>
      </c>
      <c r="N43" s="29" t="inlineStr">
        <is>
          <t>Doğa ve açık hava</t>
        </is>
      </c>
      <c r="O43" s="29" t="inlineStr">
        <is>
          <t>Este</t>
        </is>
      </c>
      <c r="P43" s="29" t="inlineStr">
        <is>
          <t>Açık hava</t>
        </is>
      </c>
      <c r="Q43" s="29" t="inlineStr">
        <is>
          <t>Cerrado de Calderón, Parque Clavero y Morlaco</t>
        </is>
      </c>
      <c r="R43" s="50" t="n">
        <v>36.7243</v>
      </c>
      <c r="S43" s="50" t="n">
        <v>-4.3856</v>
      </c>
      <c r="T43" s="29" t="n"/>
      <c r="U43" s="29" t="inlineStr">
        <is>
          <t>İçinde biri küçük köpekler (en çok 10 kg), biri büyük köpekler için iki ayrı köpek alanı ile insanlar ve hayvanlar için ortak bir içme suyu çeşmesi var. Park, 18. yüzyıldan 20. yüzyıla işletilen bir alçı madeninin yerinde kurulmuş; galeriler İç Savaş'ta sığınak olarak kullanılmış.</t>
        </is>
      </c>
      <c r="V43" s="29" t="inlineStr">
        <is>
          <t>Hayır</t>
        </is>
      </c>
      <c r="W43" s="29" t="n"/>
    </row>
    <row r="44" ht="54" customHeight="1">
      <c r="A44" s="29" t="inlineStr">
        <is>
          <t>malaga:parque-de-san-miguel</t>
        </is>
      </c>
      <c r="B44" s="29" t="inlineStr">
        <is>
          <t>malaga</t>
        </is>
      </c>
      <c r="C44" s="29" t="inlineStr">
        <is>
          <t>parque-de-san-miguel</t>
        </is>
      </c>
      <c r="D44" s="29" t="inlineStr">
        <is>
          <t>Parque de San Miguel</t>
        </is>
      </c>
      <c r="E44" s="29" t="inlineStr">
        <is>
          <t>San Miguel mezarlığının yanında mahalle parkı, Centro</t>
        </is>
      </c>
      <c r="F44" s="29" t="inlineStr">
        <is>
          <t>Centro ilçesinde, San Miguel mezarlığının yanında, 3,3 hektarlık bir mahalle parkı; büyük bölümü çim, ağaç ve çalılıklardan oluşuyor. Ortada geniş bir meydan, iki spor sahası, bank, çöp kutusu ve içme suyu çeşmeleri var. Üç oyuncaklı bir çocuk alanı da bulunuyor.</t>
        </is>
      </c>
      <c r="G44" s="29" t="inlineStr">
        <is>
          <t>Parque de San Miguel, mahalle parkı, çocuk parkı, spor sahası, Centro, çim alan</t>
        </is>
      </c>
      <c r="H44" s="29" t="inlineStr">
        <is>
          <t>planning;new;settled</t>
        </is>
      </c>
      <c r="I44" s="29" t="inlineStr">
        <is>
          <t>malaga:kaynak:334</t>
        </is>
      </c>
      <c r="J44" s="49" t="n">
        <v>46322</v>
      </c>
      <c r="K44" s="51" t="n">
        <v>210</v>
      </c>
      <c r="L44" s="29" t="inlineStr">
        <is>
          <t>Hayır</t>
        </is>
      </c>
      <c r="M44" s="29" t="inlineStr">
        <is>
          <t>Taslak</t>
        </is>
      </c>
      <c r="N44" s="29" t="inlineStr">
        <is>
          <t>Doğa ve açık hava</t>
        </is>
      </c>
      <c r="O44" s="29" t="inlineStr">
        <is>
          <t>Centro</t>
        </is>
      </c>
      <c r="P44" s="29" t="inlineStr">
        <is>
          <t>Açık hava</t>
        </is>
      </c>
      <c r="Q44" s="29" t="inlineStr">
        <is>
          <t>Junto al cementerio homónimo</t>
        </is>
      </c>
      <c r="R44" s="50" t="n">
        <v>36.734039</v>
      </c>
      <c r="S44" s="50" t="n">
        <v>-4.419564</v>
      </c>
      <c r="T44" s="29" t="n"/>
      <c r="U44" s="29" t="inlineStr">
        <is>
          <t>Çocuk alanı 0-10 yaş grubuna öneriliyor.</t>
        </is>
      </c>
      <c r="V44" s="29" t="inlineStr">
        <is>
          <t>Hayır</t>
        </is>
      </c>
      <c r="W44" s="29" t="n"/>
    </row>
    <row r="45" ht="54" customHeight="1">
      <c r="A45" s="29" t="inlineStr">
        <is>
          <t>malaga:parque-forestal-monte-san-anton</t>
        </is>
      </c>
      <c r="B45" s="29" t="inlineStr">
        <is>
          <t>malaga</t>
        </is>
      </c>
      <c r="C45" s="29" t="inlineStr">
        <is>
          <t>parque-forestal-monte-san-anton</t>
        </is>
      </c>
      <c r="D45" s="29" t="inlineStr">
        <is>
          <t>Parque Forestal Monte San Antón</t>
        </is>
      </c>
      <c r="E45" s="29" t="inlineStr">
        <is>
          <t>Doğuda kıyıdan 3 km içeride, 500 m yüksekliğinde orman tepesi</t>
        </is>
      </c>
      <c r="F45" s="29" t="inlineStr">
        <is>
          <t>Este ilçesinde, kıyıdan yaklaşık 3 km içeride yükselen Cerro San Antón 370 hektarlık bir orman parkı; iki neredeyse eşit zirvesi var ve 500 m yüksekliğe ulaşıyor. Güney eteğinde ağaçlandırma çamları, kireçli zeminde harnup, cüce palmiye ve sakız ağacı gibi türler yetişiyor. Kuşlar, sürüngenler ve küçük memeliler yaşıyor; belediye sayfası bunların çoğunun insan etkisiyle azaldığını belirtiyor.</t>
        </is>
      </c>
      <c r="G45" s="29" t="inlineStr">
        <is>
          <t>Monte San Antón, orman parkı, tepe, yürüyüş, orkide, El Palo, Este</t>
        </is>
      </c>
      <c r="H45" s="29" t="inlineStr">
        <is>
          <t>planning;new;settled</t>
        </is>
      </c>
      <c r="I45" s="29" t="inlineStr">
        <is>
          <t>malaga:kaynak:335</t>
        </is>
      </c>
      <c r="J45" s="49" t="n">
        <v>46322</v>
      </c>
      <c r="K45" s="51" t="n">
        <v>211</v>
      </c>
      <c r="L45" s="29" t="inlineStr">
        <is>
          <t>Hayır</t>
        </is>
      </c>
      <c r="M45" s="29" t="inlineStr">
        <is>
          <t>Taslak</t>
        </is>
      </c>
      <c r="N45" s="29" t="inlineStr">
        <is>
          <t>Doğa ve açık hava</t>
        </is>
      </c>
      <c r="O45" s="29" t="inlineStr">
        <is>
          <t>Este</t>
        </is>
      </c>
      <c r="P45" s="29" t="inlineStr">
        <is>
          <t>Açık hava</t>
        </is>
      </c>
      <c r="Q45" s="29" t="inlineStr">
        <is>
          <t>Limitado al norte y al oeste con el Arroyo Jaboneros, al sur con la barriada El Palo y al este con el Arroyo El Palo</t>
        </is>
      </c>
      <c r="R45" s="50" t="n">
        <v>36.743196</v>
      </c>
      <c r="S45" s="50" t="n">
        <v>-4.359459</v>
      </c>
      <c r="T45" s="29" t="n"/>
      <c r="U45" s="29" t="inlineStr">
        <is>
          <t>Bitki örtüsü arasında Ophrys fusca, Ophrys speculum, Ophrys bombiliflora ve Orchis collina gibi orkide türleri sayılıyor.</t>
        </is>
      </c>
      <c r="V45" s="29" t="inlineStr">
        <is>
          <t>Hayır</t>
        </is>
      </c>
      <c r="W45" s="29" t="n"/>
    </row>
    <row r="46" ht="54" customHeight="1">
      <c r="A46" s="29" t="inlineStr">
        <is>
          <t>malaga:jardines-de-pedro-luis-alonso</t>
        </is>
      </c>
      <c r="B46" s="29" t="inlineStr">
        <is>
          <t>malaga</t>
        </is>
      </c>
      <c r="C46" s="29" t="inlineStr">
        <is>
          <t>jardines-de-pedro-luis-alonso</t>
        </is>
      </c>
      <c r="D46" s="29" t="inlineStr">
        <is>
          <t>Jardines Pedro Luis Alonso</t>
        </is>
      </c>
      <c r="E46" s="29" t="inlineStr">
        <is>
          <t>Belediye binasının doğu yanında 1947 tarihli tarihî bahçe, Centro</t>
        </is>
      </c>
      <c r="F46" s="29" t="inlineStr">
        <is>
          <t>Avenida Cervantes, Calle Roma ve Calle Guillén Sotelo arasında, belediye binasının doğu yanında yer alan 6.500 m²'lik bahçe, şehrin tarihî park ve bahçeleri arasında sayılıyor. Mimar Fernando Guerrero-Strachan tarafından 1947'de, Endülüs-İslam ve Fransız bahçelerinden esinlenilerek çizilmiş. Alcazaba ve Gibralfaro Kalesi'nden yukarıdan görülebiliyor.</t>
        </is>
      </c>
      <c r="G46" s="29" t="inlineStr">
        <is>
          <t>Jardines Pedro Luis Alonso, tarihî bahçe, Guerrero-Strachan, Alcazaba, Centro, bahçe</t>
        </is>
      </c>
      <c r="H46" s="29" t="inlineStr">
        <is>
          <t>planning;new;settled</t>
        </is>
      </c>
      <c r="I46" s="29" t="inlineStr">
        <is>
          <t>malaga:kaynak:336</t>
        </is>
      </c>
      <c r="J46" s="49" t="n">
        <v>46322</v>
      </c>
      <c r="K46" s="51" t="n">
        <v>212</v>
      </c>
      <c r="L46" s="29" t="inlineStr">
        <is>
          <t>Hayır</t>
        </is>
      </c>
      <c r="M46" s="29" t="inlineStr">
        <is>
          <t>Taslak</t>
        </is>
      </c>
      <c r="N46" s="29" t="inlineStr">
        <is>
          <t>Doğa ve açık hava</t>
        </is>
      </c>
      <c r="O46" s="29" t="inlineStr">
        <is>
          <t>Centro</t>
        </is>
      </c>
      <c r="P46" s="29" t="inlineStr">
        <is>
          <t>Açık hava</t>
        </is>
      </c>
      <c r="Q46" s="29" t="inlineStr">
        <is>
          <t>Avda. Cervantes - Calle Roma - Calle Guillén Sotelo</t>
        </is>
      </c>
      <c r="R46" s="50" t="n">
        <v>36.720684</v>
      </c>
      <c r="S46" s="50" t="n">
        <v>-4.413913</v>
      </c>
      <c r="T46" s="29" t="n"/>
      <c r="U46" s="29" t="inlineStr">
        <is>
          <t>Bahçenin adı, İç Savaş sonrasında Málaga'nın ilk belediye başkanına gönderme yapıyor.</t>
        </is>
      </c>
      <c r="V46" s="29" t="inlineStr">
        <is>
          <t>Hayır</t>
        </is>
      </c>
      <c r="W46" s="29" t="n"/>
    </row>
    <row r="47" ht="54" customHeight="1">
      <c r="A47" s="29" t="inlineStr">
        <is>
          <t>malaga:jardines-de-puerta-oscura</t>
        </is>
      </c>
      <c r="B47" s="29" t="inlineStr">
        <is>
          <t>malaga</t>
        </is>
      </c>
      <c r="C47" s="29" t="inlineStr">
        <is>
          <t>jardines-de-puerta-oscura</t>
        </is>
      </c>
      <c r="D47" s="29" t="inlineStr">
        <is>
          <t>Jardines de Puerta Oscura</t>
        </is>
      </c>
      <c r="E47" s="29" t="inlineStr">
        <is>
          <t>Roma Tiyatrosu ile Picasso Müzesi arasında Alcazaba yamacında teraslı bahçe</t>
        </is>
      </c>
      <c r="F47" s="29" t="inlineStr">
        <is>
          <t>Gibralfaro tepesinin güney yamacında, belediye binasının arkasında, yaklaşık 14.000 m²'lik teraslı bir bahçe; teraslar, yürüyüş yolları ve küçük meydanlardan oluşuyor. Mimar Fernando Guerrero-Strachan 1937'de tasarlamış; geleneksel İslam bahçelerini hatırlatan geometrisiyle Alcazaba yapısını tamamlıyor. Jakaranda ve servi gibi ağaçlar yetişiyor.</t>
        </is>
      </c>
      <c r="G47" s="29" t="inlineStr">
        <is>
          <t>Jardines de Puerta Oscura, Coracha, Alcazaba, teraslı bahçe, Guerrero-Strachan, Centro</t>
        </is>
      </c>
      <c r="H47" s="29" t="inlineStr">
        <is>
          <t>planning;new;settled</t>
        </is>
      </c>
      <c r="I47" s="29" t="inlineStr">
        <is>
          <t>malaga:kaynak:337</t>
        </is>
      </c>
      <c r="J47" s="49" t="n">
        <v>46322</v>
      </c>
      <c r="K47" s="51" t="n">
        <v>213</v>
      </c>
      <c r="L47" s="29" t="inlineStr">
        <is>
          <t>Hayır</t>
        </is>
      </c>
      <c r="M47" s="29" t="inlineStr">
        <is>
          <t>Taslak</t>
        </is>
      </c>
      <c r="N47" s="29" t="inlineStr">
        <is>
          <t>Doğa ve açık hava</t>
        </is>
      </c>
      <c r="O47" s="29" t="inlineStr">
        <is>
          <t>Centro</t>
        </is>
      </c>
      <c r="P47" s="29" t="inlineStr">
        <is>
          <t>Açık hava</t>
        </is>
      </c>
      <c r="Q47" s="29" t="inlineStr">
        <is>
          <t>Entre el Teatro Romano y el Museo Picasso</t>
        </is>
      </c>
      <c r="R47" s="50" t="n">
        <v>36.721149</v>
      </c>
      <c r="S47" s="50" t="n">
        <v>-4.414529</v>
      </c>
      <c r="T47" s="29" t="n"/>
      <c r="U47" s="29" t="inlineStr">
        <is>
          <t>Alcazaba'nın doğu ucunda, eski tünelin ağzı ile Museo de la Ciudad arasındaki bancal arazi "Subida a la Coracha" adıyla biliniyor ve aynı sayfada anlatılıyor.</t>
        </is>
      </c>
      <c r="V47" s="29" t="inlineStr">
        <is>
          <t>Hayır</t>
        </is>
      </c>
      <c r="W47" s="29" t="n"/>
    </row>
    <row r="48" ht="54" customHeight="1">
      <c r="A48" s="29" t="inlineStr">
        <is>
          <t>malaga:parque-forestal-cerrado-de-calderon</t>
        </is>
      </c>
      <c r="B48" s="29" t="inlineStr">
        <is>
          <t>malaga</t>
        </is>
      </c>
      <c r="C48" s="29" t="inlineStr">
        <is>
          <t>parque-forestal-cerrado-de-calderon</t>
        </is>
      </c>
      <c r="D48" s="29" t="inlineStr">
        <is>
          <t>Parque Forestal Cerrado de Calderón</t>
        </is>
      </c>
      <c r="E48" s="29" t="inlineStr">
        <is>
          <t>Denizle dağ arasında bisiklet ve yürüyüş yolları olan orman parkı</t>
        </is>
      </c>
      <c r="F48" s="29" t="inlineStr">
        <is>
          <t>Cerrado de Calderón, Parque Clavero ve El Morlaco mahalleleri arasında, 160.000 m²'lik bir orman parkı; deniz ve Paseo Marítimo Pablo Ruiz Picasso'ya, Baños del Carmen'e çok yakın. Orman yolları bisiklet ve yürüyüşten BMX gibi riskli sporlara kadar uygun. Şehre bakan seyir terasları var.</t>
        </is>
      </c>
      <c r="G48" s="29" t="inlineStr">
        <is>
          <t>Cerrado de Calderón, orman parkı, bisiklet, BMX, yürüyüş, seyir terası, Este</t>
        </is>
      </c>
      <c r="H48" s="29" t="inlineStr">
        <is>
          <t>planning;new;settled</t>
        </is>
      </c>
      <c r="I48" s="29" t="inlineStr">
        <is>
          <t>malaga:kaynak:346</t>
        </is>
      </c>
      <c r="J48" s="49" t="n">
        <v>46322</v>
      </c>
      <c r="K48" s="51" t="n">
        <v>214</v>
      </c>
      <c r="L48" s="29" t="inlineStr">
        <is>
          <t>Hayır</t>
        </is>
      </c>
      <c r="M48" s="29" t="inlineStr">
        <is>
          <t>Taslak</t>
        </is>
      </c>
      <c r="N48" s="29" t="inlineStr">
        <is>
          <t>Doğa ve açık hava</t>
        </is>
      </c>
      <c r="O48" s="29" t="inlineStr">
        <is>
          <t>Este</t>
        </is>
      </c>
      <c r="P48" s="29" t="inlineStr">
        <is>
          <t>Açık hava</t>
        </is>
      </c>
      <c r="Q48" s="29" t="inlineStr">
        <is>
          <t>Barrio residencial Cerrado de Calderón</t>
        </is>
      </c>
      <c r="R48" s="50" t="n">
        <v>36.73151</v>
      </c>
      <c r="S48" s="50" t="n">
        <v>-4.38442</v>
      </c>
      <c r="T48" s="29" t="n"/>
      <c r="U48" s="29" t="inlineStr">
        <is>
          <t>Ağaç örtüsünde çam, okaliptüs ve servi öne çıkıyor; fauna olarak kuşlar, bukalemunlar ve kirpiler anılıyor.</t>
        </is>
      </c>
      <c r="V48" s="29" t="inlineStr">
        <is>
          <t>Hayır</t>
        </is>
      </c>
      <c r="W48" s="29" t="n"/>
    </row>
    <row r="49" ht="54" customHeight="1">
      <c r="A49" s="29" t="inlineStr">
        <is>
          <t>malaga:parque-forestal-la-virreina</t>
        </is>
      </c>
      <c r="B49" s="29" t="inlineStr">
        <is>
          <t>malaga</t>
        </is>
      </c>
      <c r="C49" s="29" t="inlineStr">
        <is>
          <t>parque-forestal-la-virreina</t>
        </is>
      </c>
      <c r="D49" s="29" t="inlineStr">
        <is>
          <t>Parque Forestal La Virreina</t>
        </is>
      </c>
      <c r="E49" s="29" t="inlineStr">
        <is>
          <t>Palma-Palmilla'da seyir terasları ve işaretli rotalarla orman parkı</t>
        </is>
      </c>
      <c r="F49" s="29" t="inlineStr">
        <is>
          <t>Palma-Palmilla ilçesinde, 408.900 m²'lik doğal bir alan; Avenida de Jane Bowles'ten giriliyor. 8 seyir terası, piknik alanları ve işaretli yürüyüş rotaları var. Çam, yabani zeytin, harnup ve retama gibi çok çeşitli bitki yetişiyor; farklı yamaçları birbirine bağlayan yeni bir yaya geçidi kurulmuş.</t>
        </is>
      </c>
      <c r="G49" s="29" t="inlineStr">
        <is>
          <t>La Virreina, orman parkı, seyir terası, piknik, yürüyüş, Palma-Palmilla, yaya geçidi</t>
        </is>
      </c>
      <c r="H49" s="29" t="inlineStr">
        <is>
          <t>planning;new;settled</t>
        </is>
      </c>
      <c r="I49" s="29" t="inlineStr">
        <is>
          <t>malaga:kaynak:347</t>
        </is>
      </c>
      <c r="J49" s="49" t="n">
        <v>46322</v>
      </c>
      <c r="K49" s="51" t="n">
        <v>215</v>
      </c>
      <c r="L49" s="29" t="inlineStr">
        <is>
          <t>Hayır</t>
        </is>
      </c>
      <c r="M49" s="29" t="inlineStr">
        <is>
          <t>Taslak</t>
        </is>
      </c>
      <c r="N49" s="29" t="inlineStr">
        <is>
          <t>Doğa ve açık hava</t>
        </is>
      </c>
      <c r="O49" s="29" t="inlineStr">
        <is>
          <t>Palma-Palmilla</t>
        </is>
      </c>
      <c r="P49" s="29" t="inlineStr">
        <is>
          <t>Açık hava</t>
        </is>
      </c>
      <c r="Q49" s="29" t="inlineStr">
        <is>
          <t>Distrito Nº 5 Palma-Palmilla. Se puede acceder desde la Av. de Jane Bowles.</t>
        </is>
      </c>
      <c r="R49" s="50" t="n">
        <v>36.746</v>
      </c>
      <c r="S49" s="50" t="n">
        <v>-4.4317</v>
      </c>
      <c r="T49" s="29" t="n"/>
      <c r="U49" s="29" t="inlineStr">
        <is>
          <t>Alanın farklı yamaçlarını birleştiren bir yaya geçidi kurulmuş; yürüyüşlerde yamaç değiştirmek kolaylaşıyor.</t>
        </is>
      </c>
      <c r="V49" s="29" t="inlineStr">
        <is>
          <t>Hayır</t>
        </is>
      </c>
      <c r="W49" s="29" t="n"/>
    </row>
    <row r="50" ht="54" customHeight="1">
      <c r="A50" s="29" t="inlineStr">
        <is>
          <t>malaga:parque-forestal-comandante-benitez</t>
        </is>
      </c>
      <c r="B50" s="29" t="inlineStr">
        <is>
          <t>malaga</t>
        </is>
      </c>
      <c r="C50" s="29" t="inlineStr">
        <is>
          <t>parque-forestal-comandante-benitez</t>
        </is>
      </c>
      <c r="D50" s="29" t="inlineStr">
        <is>
          <t>Parque Forestal Comandante Benítez</t>
        </is>
      </c>
      <c r="E50" s="29" t="inlineStr">
        <is>
          <t>Churriana'da bisiklet ve yürüyüş rotalı metropoliten orman parkı</t>
        </is>
      </c>
      <c r="F50" s="29" t="inlineStr">
        <is>
          <t>Churriana ilçesinde, Plaza Mayor Eğlence Merkezi'nin yakınında, 300.000 m²'lik metropoliten bir orman parkı; çam, okaliptüs, servi ve palmiyeler yetişiyor. Ahşap masa ve banklar, çöp kutuları, yürüyüş ve dağ bisikleti yolları var. MA-20 veya MA-21 karayolundan girilebiliyor.</t>
        </is>
      </c>
      <c r="G50" s="29" t="inlineStr">
        <is>
          <t>Comandante Benítez, orman parkı, dağ bisikleti, yürüyüş, Churriana, piknik, metropoliten park</t>
        </is>
      </c>
      <c r="H50" s="29" t="inlineStr">
        <is>
          <t>planning;new;settled</t>
        </is>
      </c>
      <c r="I50" s="29" t="inlineStr">
        <is>
          <t>malaga:kaynak:348;malaga:kaynak:449</t>
        </is>
      </c>
      <c r="J50" s="49" t="n">
        <v>46322</v>
      </c>
      <c r="K50" s="51" t="n">
        <v>216</v>
      </c>
      <c r="L50" s="29" t="inlineStr">
        <is>
          <t>Hayır</t>
        </is>
      </c>
      <c r="M50" s="29" t="inlineStr">
        <is>
          <t>Taslak</t>
        </is>
      </c>
      <c r="N50" s="29" t="inlineStr">
        <is>
          <t>Doğa ve açık hava</t>
        </is>
      </c>
      <c r="O50" s="29" t="inlineStr">
        <is>
          <t>Churriana</t>
        </is>
      </c>
      <c r="P50" s="29" t="inlineStr">
        <is>
          <t>Açık hava</t>
        </is>
      </c>
      <c r="Q50" s="29" t="inlineStr">
        <is>
          <t>Cerca del Centro de Ocio Plaza Mayor. Se puede acceder a él por la carretera MA-20 o MA-21</t>
        </is>
      </c>
      <c r="R50" s="50" t="n">
        <v>36.6518</v>
      </c>
      <c r="S50" s="50" t="n">
        <v>-4.4847</v>
      </c>
      <c r="T50" s="29" t="n"/>
      <c r="U50" s="29" t="inlineStr">
        <is>
          <t>27 Ekim 2026 itibarıyla eski askerî alanda yapılan park yeniden yapım işleri sürdüğü için halka kapalı (El Español). Parkta kamp yapmak, avlanmak, hayvanları serbest dolaştırmak, ateş yakmak, kibrit kullanmak, mangal yapmak ve motosikletle gezmek yasak.</t>
        </is>
      </c>
      <c r="V50" s="29" t="inlineStr">
        <is>
          <t>Hayır</t>
        </is>
      </c>
      <c r="W50" s="29" t="n"/>
    </row>
    <row r="51" ht="54" customHeight="1">
      <c r="A51" s="29" t="inlineStr">
        <is>
          <t>malaga:playa-de-la-malagueta</t>
        </is>
      </c>
      <c r="B51" s="29" t="inlineStr">
        <is>
          <t>malaga</t>
        </is>
      </c>
      <c r="C51" s="29" t="inlineStr">
        <is>
          <t>playa-de-la-malagueta</t>
        </is>
      </c>
      <c r="D51" s="29" t="inlineStr">
        <is>
          <t>Playa de La Malagueta</t>
        </is>
      </c>
      <c r="E51" s="29" t="inlineStr">
        <is>
          <t>Tarihî merkeze yakın Mavi Bayraklı kentsel plaj, Centro</t>
        </is>
      </c>
      <c r="F51" s="29" t="inlineStr">
        <is>
          <t>Tarihî merkeze yakın, Málaga'nın en simgesel kentsel plajlarından biri; yaklaşık 1,2 km uzunluğunda ve ortalama 45 m genişliğinde. Suları sakin, Mavi Bayrak (bandera azul) taşıyor. Deniz yürüyüş yolu boyunca çeşitli yeme-içme seçenekleri ile su ve spor etkinlikleri sunuluyor.</t>
        </is>
      </c>
      <c r="G51" s="29" t="inlineStr">
        <is>
          <t>La Malagueta, plaj, Mavi Bayrak, kentsel plaj, deniz yürüyüş yolu, Málaga merkez, playa</t>
        </is>
      </c>
      <c r="H51" s="29" t="inlineStr">
        <is>
          <t>planning;new;settled</t>
        </is>
      </c>
      <c r="I51" s="29" t="inlineStr">
        <is>
          <t>malaga:kaynak:338</t>
        </is>
      </c>
      <c r="J51" s="49" t="n">
        <v>46322</v>
      </c>
      <c r="K51" s="51" t="n">
        <v>217</v>
      </c>
      <c r="L51" s="29" t="inlineStr">
        <is>
          <t>Hayır</t>
        </is>
      </c>
      <c r="M51" s="29" t="inlineStr">
        <is>
          <t>Taslak</t>
        </is>
      </c>
      <c r="N51" s="29" t="inlineStr">
        <is>
          <t>Doğa ve açık hava</t>
        </is>
      </c>
      <c r="O51" s="29" t="inlineStr">
        <is>
          <t>Centro</t>
        </is>
      </c>
      <c r="P51" s="29" t="inlineStr">
        <is>
          <t>Açık hava</t>
        </is>
      </c>
      <c r="Q51" s="29" t="inlineStr">
        <is>
          <t>Próxima al centro histórico de Málaga</t>
        </is>
      </c>
      <c r="R51" s="50" t="n">
        <v>36.717197</v>
      </c>
      <c r="S51" s="50" t="n">
        <v>-4.409811</v>
      </c>
      <c r="T51" s="29" t="n"/>
      <c r="U51" s="29" t="inlineStr">
        <is>
          <t>Sayfada en yakın hastane Clínica Parque San Antonio (Av. Pintor Sorolla, 2, 952 224 367) olarak, yaklaşık 2 km mesafeyle veriliyor; çocuklar için oyun alanı bulunuyor.</t>
        </is>
      </c>
      <c r="V51" s="29" t="inlineStr">
        <is>
          <t>Hayır</t>
        </is>
      </c>
      <c r="W51" s="29" t="n"/>
    </row>
    <row r="52" ht="54" customHeight="1">
      <c r="A52" s="29" t="inlineStr">
        <is>
          <t>malaga:playa-de-la-caleta</t>
        </is>
      </c>
      <c r="B52" s="29" t="inlineStr">
        <is>
          <t>malaga</t>
        </is>
      </c>
      <c r="C52" s="29" t="inlineStr">
        <is>
          <t>playa-de-la-caleta</t>
        </is>
      </c>
      <c r="D52" s="29" t="inlineStr">
        <is>
          <t>Playa de La Caleta</t>
        </is>
      </c>
      <c r="E52" s="29" t="inlineStr">
        <is>
          <t>La Malagueta ile Baños del Carmen arasında merkeze yakın plaj, Este</t>
        </is>
      </c>
      <c r="F52" s="29" t="inlineStr">
        <is>
          <t>La Malagueta ile Baños del Carmen arasında yer alan plaj, 1.000 m uzunluğunda ve ortalama 25 m genişliğinde; ulaşılabilirliği ve tarihî merkeze yakınlığı nedeniyle yoğun kullanılıyor. Deniz yürüyüş yolu var ve sulari sakin. Çocuklar için oyun alanı bulunuyor.</t>
        </is>
      </c>
      <c r="G52" s="29" t="inlineStr">
        <is>
          <t>La Caleta, plaj, kentsel plaj, deniz yürüyüş yolu, çocuk oyun alanı, Este, playa</t>
        </is>
      </c>
      <c r="H52" s="29" t="inlineStr">
        <is>
          <t>planning;new;settled</t>
        </is>
      </c>
      <c r="I52" s="29" t="inlineStr">
        <is>
          <t>malaga:kaynak:339</t>
        </is>
      </c>
      <c r="J52" s="49" t="n">
        <v>46322</v>
      </c>
      <c r="K52" s="51" t="n">
        <v>218</v>
      </c>
      <c r="L52" s="29" t="inlineStr">
        <is>
          <t>Hayır</t>
        </is>
      </c>
      <c r="M52" s="29" t="inlineStr">
        <is>
          <t>Taslak</t>
        </is>
      </c>
      <c r="N52" s="29" t="inlineStr">
        <is>
          <t>Doğa ve açık hava</t>
        </is>
      </c>
      <c r="O52" s="29" t="inlineStr">
        <is>
          <t>Este</t>
        </is>
      </c>
      <c r="P52" s="29" t="inlineStr">
        <is>
          <t>Açık hava</t>
        </is>
      </c>
      <c r="Q52" s="29" t="inlineStr">
        <is>
          <t>Entre la Malagueta y los Baños del Carmen</t>
        </is>
      </c>
      <c r="R52" s="50" t="n">
        <v>36.72121</v>
      </c>
      <c r="S52" s="50" t="n">
        <v>-4.40037</v>
      </c>
      <c r="T52" s="29" t="n"/>
      <c r="U52" s="29" t="inlineStr">
        <is>
          <t>Plaj, 19. yüzyıl sonunda üst burjuvazinin villa ve köşklerini yaptırdığı La Caleta mahallesinin adını taşıyor; Clínica Parque San Antonio hemen yanında.</t>
        </is>
      </c>
      <c r="V52" s="29" t="inlineStr">
        <is>
          <t>Hayır</t>
        </is>
      </c>
      <c r="W52" s="29" t="n"/>
    </row>
    <row r="53" ht="54" customHeight="1">
      <c r="A53" s="29" t="inlineStr">
        <is>
          <t>malaga:playa-de-pedregalejo</t>
        </is>
      </c>
      <c r="B53" s="29" t="inlineStr">
        <is>
          <t>malaga</t>
        </is>
      </c>
      <c r="C53" s="29" t="inlineStr">
        <is>
          <t>playa-de-pedregalejo</t>
        </is>
      </c>
      <c r="D53" s="29" t="inlineStr">
        <is>
          <t>Playa de Pedregalejo</t>
        </is>
      </c>
      <c r="E53" s="29" t="inlineStr">
        <is>
          <t>Balıkçı mahallesi plajı ve balık restoranlarıyla ünlü yürüyüş yolu, Este</t>
        </is>
      </c>
      <c r="F53" s="29" t="inlineStr">
        <is>
          <t>Pedregalejo, Málaga'nın en eski ve en geleneksel balıkçı mahallelerinden biri. Plajın yanındaki deniz yürüyüş yolu şehrin en eskisi ve balık-deniz ürünü restoranlarıyla ünlü. Plaj eskiden çakıllıymış; bugün dalgakıranlarla tamamen yenilenmiş durumda, sulari sakin.</t>
        </is>
      </c>
      <c r="G53" s="29" t="inlineStr">
        <is>
          <t>Pedregalejo, plaj, balıkçı mahallesi, balık restoranı, deniz yürüyüş yolu, Este, playa</t>
        </is>
      </c>
      <c r="H53" s="29" t="inlineStr">
        <is>
          <t>planning;new;settled</t>
        </is>
      </c>
      <c r="I53" s="29" t="inlineStr">
        <is>
          <t>malaga:kaynak:340;malaga:kaynak:451;malaga:kaynak:452</t>
        </is>
      </c>
      <c r="J53" s="49" t="n">
        <v>46322</v>
      </c>
      <c r="K53" s="51" t="n">
        <v>219</v>
      </c>
      <c r="L53" s="29" t="inlineStr">
        <is>
          <t>Hayır</t>
        </is>
      </c>
      <c r="M53" s="29" t="inlineStr">
        <is>
          <t>Taslak</t>
        </is>
      </c>
      <c r="N53" s="29" t="inlineStr">
        <is>
          <t>Doğa ve açık hava</t>
        </is>
      </c>
      <c r="O53" s="29" t="inlineStr">
        <is>
          <t>Este</t>
        </is>
      </c>
      <c r="P53" s="29" t="inlineStr">
        <is>
          <t>Açık hava</t>
        </is>
      </c>
      <c r="Q53" s="29" t="inlineStr">
        <is>
          <t>Pedregalejo - Las Acacias, Málaga</t>
        </is>
      </c>
      <c r="R53" s="50" t="n">
        <v>36.72037</v>
      </c>
      <c r="S53" s="50" t="n">
        <v>-4.37203</v>
      </c>
      <c r="T53" s="29" t="n"/>
      <c r="U53" s="29" t="inlineStr">
        <is>
          <t>27 Ekim 2026 itibarıyla plaj 2026 Mavi Bayrak'lı plajlar arasında yer alıyor; sahil yürüyüş yolunun (paseo marítimo) yenileme işleri 2026 sonuna kadar sürüyor (El Español). Mahalle adının kökeni net değil; bir görüşe göre 19. yüzyıl sonunda işletilen San Telmo taş ocağının yarattığı taşlıktan geliyor, ancak 18. yüzyıl sonu haritalarında "playa de Pedregalejo" adı zaten geçiyor.</t>
        </is>
      </c>
      <c r="V53" s="29" t="inlineStr">
        <is>
          <t>Hayır</t>
        </is>
      </c>
      <c r="W53" s="29" t="n"/>
    </row>
    <row r="54" ht="54" customHeight="1">
      <c r="A54" s="29" t="inlineStr">
        <is>
          <t>malaga:playa-de-el-palo</t>
        </is>
      </c>
      <c r="B54" s="29" t="inlineStr">
        <is>
          <t>malaga</t>
        </is>
      </c>
      <c r="C54" s="29" t="inlineStr">
        <is>
          <t>playa-de-el-palo</t>
        </is>
      </c>
      <c r="D54" s="29" t="inlineStr">
        <is>
          <t>Playa de El Palo</t>
        </is>
      </c>
      <c r="E54" s="29" t="inlineStr">
        <is>
          <t>Balıkçı tekneleriyle çalışan geleneksel mahallenin plajı, Este</t>
        </is>
      </c>
      <c r="F54" s="29" t="inlineStr">
        <is>
          <t>Arroyo Gálica'dan Pedregalejo'ya uzanan El Palo plajları 1.200 m uzunluğunda ve 25 m genişliğinde. Plajlarda balıkçıların hâlâ kullandığı tekneler duruyor ve deniz yürüyüş yolu var. Plaj "Evrensel Erişilebilirlik" turizm kalite belgesine sahip.</t>
        </is>
      </c>
      <c r="G54" s="29" t="inlineStr">
        <is>
          <t>El Palo, plaj, balıkçı tekneleri, erişilebilir plaj, deniz yürüyüş yolu, Este, playa</t>
        </is>
      </c>
      <c r="H54" s="29" t="inlineStr">
        <is>
          <t>planning;new;settled</t>
        </is>
      </c>
      <c r="I54" s="29" t="inlineStr">
        <is>
          <t>malaga:kaynak:341</t>
        </is>
      </c>
      <c r="J54" s="49" t="n">
        <v>46322</v>
      </c>
      <c r="K54" s="51" t="n">
        <v>220</v>
      </c>
      <c r="L54" s="29" t="inlineStr">
        <is>
          <t>Hayır</t>
        </is>
      </c>
      <c r="M54" s="29" t="inlineStr">
        <is>
          <t>Taslak</t>
        </is>
      </c>
      <c r="N54" s="29" t="inlineStr">
        <is>
          <t>Doğa ve açık hava</t>
        </is>
      </c>
      <c r="O54" s="29" t="inlineStr">
        <is>
          <t>Este</t>
        </is>
      </c>
      <c r="P54" s="29" t="inlineStr">
        <is>
          <t>Açık hava</t>
        </is>
      </c>
      <c r="Q54" s="29" t="inlineStr">
        <is>
          <t>Desde el Arroyo Gálica hasta Pedregalejo</t>
        </is>
      </c>
      <c r="R54" s="50" t="n">
        <v>36.71807</v>
      </c>
      <c r="S54" s="50" t="n">
        <v>-4.35938</v>
      </c>
      <c r="T54" s="29" t="n"/>
      <c r="U54" s="29" t="inlineStr">
        <is>
          <t>Sayfada yakın spor limanı olarak Club Náutico El Candado 1 km mesafede, en yakın hastane Clínica Parque San Antonio 4 km mesafede veriliyor.</t>
        </is>
      </c>
      <c r="V54" s="29" t="inlineStr">
        <is>
          <t>Hayır</t>
        </is>
      </c>
      <c r="W54" s="29" t="n"/>
    </row>
    <row r="55" ht="54" customHeight="1">
      <c r="A55" s="29" t="inlineStr">
        <is>
          <t>malaga:playa-de-los-banos-del-carmen</t>
        </is>
      </c>
      <c r="B55" s="29" t="inlineStr">
        <is>
          <t>malaga</t>
        </is>
      </c>
      <c r="C55" s="29" t="inlineStr">
        <is>
          <t>playa-de-los-banos-del-carmen</t>
        </is>
      </c>
      <c r="D55" s="29" t="inlineStr">
        <is>
          <t>Playa de los Baños del Carmen</t>
        </is>
      </c>
      <c r="E55" s="29" t="inlineStr">
        <is>
          <t>1918 balneario geçmişi olan, körfez manzaralı plaj, Este</t>
        </is>
      </c>
      <c r="F55" s="29" t="inlineStr">
        <is>
          <t>Baños del Carmen plajı 550 m uzunluğunda ve 15 m genişliğinde; Málaga körfezinin güzel manzarası buradan izleniyor. Yer, 1918'de açılan Balneario del Carmen'in kıyısı; iskelesi, tenis kortları, futbol sahası, restoranı, 2000 m²'lik dans pisti ve akvaryumu vardı. Otopark var.</t>
        </is>
      </c>
      <c r="G55" s="29" t="inlineStr">
        <is>
          <t>Baños del Carmen, plaj, balneario, körfez manzarası, otopark, Este, playa</t>
        </is>
      </c>
      <c r="H55" s="29" t="inlineStr">
        <is>
          <t>planning;new;settled</t>
        </is>
      </c>
      <c r="I55" s="29" t="inlineStr">
        <is>
          <t>malaga:kaynak:342;malaga:kaynak:450</t>
        </is>
      </c>
      <c r="J55" s="49" t="n">
        <v>46322</v>
      </c>
      <c r="K55" s="51" t="n">
        <v>221</v>
      </c>
      <c r="L55" s="29" t="inlineStr">
        <is>
          <t>Hayır</t>
        </is>
      </c>
      <c r="M55" s="29" t="inlineStr">
        <is>
          <t>Taslak</t>
        </is>
      </c>
      <c r="N55" s="29" t="inlineStr">
        <is>
          <t>Doğa ve açık hava</t>
        </is>
      </c>
      <c r="O55" s="29" t="inlineStr">
        <is>
          <t>Este</t>
        </is>
      </c>
      <c r="P55" s="29" t="inlineStr">
        <is>
          <t>Açık hava</t>
        </is>
      </c>
      <c r="Q55" s="29" t="inlineStr">
        <is>
          <t>Baños del Carmen, Málaga</t>
        </is>
      </c>
      <c r="R55" s="50" t="n">
        <v>36.721192</v>
      </c>
      <c r="S55" s="50" t="n">
        <v>-4.382392</v>
      </c>
      <c r="T55" s="29" t="n"/>
      <c r="U55" s="29" t="inlineStr">
        <is>
          <t>27 Ekim 2026 itibarıyla plajın genişletme işleri sürüyor; işler 9 ay sürecek ve plajın 2027 yazı başında hazır olması bekleniyor (El Español).</t>
        </is>
      </c>
      <c r="V55" s="29" t="inlineStr">
        <is>
          <t>Hayır</t>
        </is>
      </c>
      <c r="W55" s="29" t="n"/>
    </row>
    <row r="56" ht="54" customHeight="1">
      <c r="A56" s="29" t="inlineStr">
        <is>
          <t>malaga:playa-de-la-misericordia</t>
        </is>
      </c>
      <c r="B56" s="29" t="inlineStr">
        <is>
          <t>malaga</t>
        </is>
      </c>
      <c r="C56" s="29" t="inlineStr">
        <is>
          <t>playa-de-la-misericordia</t>
        </is>
      </c>
      <c r="D56" s="29" t="inlineStr">
        <is>
          <t>Playa de la Misericordia</t>
        </is>
      </c>
      <c r="E56" s="29" t="inlineStr">
        <is>
          <t>Fabrika bacalarının kaldığı uzun ve popüler batı plajı, Carretera de Cádiz</t>
        </is>
      </c>
      <c r="F56" s="29" t="inlineStr">
        <is>
          <t>La Misericordia, yaklaşık 2.000 m uzunluğunda ve 30 m genişliğinde; Málaga'nın en popüler plajlarından biri. Deniz yürüyüş yolunda 19. yüzyıl sanayi Málaga'sından kalma bazı bacalar duruyor. Çocuk oyun alanı var ve plaj "Evrensel Erişilebilirlik" turizm kalite belgesine sahip.</t>
        </is>
      </c>
      <c r="G56" s="29" t="inlineStr">
        <is>
          <t>La Misericordia, plaj, erişilebilir plaj, fabrika bacaları, deniz yürüyüş yolu, Carretera de Cádiz, playa</t>
        </is>
      </c>
      <c r="H56" s="29" t="inlineStr">
        <is>
          <t>planning;new;settled</t>
        </is>
      </c>
      <c r="I56" s="29" t="inlineStr">
        <is>
          <t>malaga:kaynak:343</t>
        </is>
      </c>
      <c r="J56" s="49" t="n">
        <v>46322</v>
      </c>
      <c r="K56" s="51" t="n">
        <v>222</v>
      </c>
      <c r="L56" s="29" t="inlineStr">
        <is>
          <t>Hayır</t>
        </is>
      </c>
      <c r="M56" s="29" t="inlineStr">
        <is>
          <t>Taslak</t>
        </is>
      </c>
      <c r="N56" s="29" t="inlineStr">
        <is>
          <t>Doğa ve açık hava</t>
        </is>
      </c>
      <c r="O56" s="29" t="inlineStr">
        <is>
          <t>Carretera de Cádiz</t>
        </is>
      </c>
      <c r="P56" s="29" t="inlineStr">
        <is>
          <t>Açık hava</t>
        </is>
      </c>
      <c r="Q56" s="29" t="inlineStr">
        <is>
          <t>La Misericordia, Málaga</t>
        </is>
      </c>
      <c r="R56" s="50" t="n">
        <v>36.692411</v>
      </c>
      <c r="S56" s="50" t="n">
        <v>-4.439862</v>
      </c>
      <c r="T56" s="29" t="n"/>
      <c r="U56" s="29" t="inlineStr">
        <is>
          <t>Adını, 1978'e kadar işleyen ve bugün Centro Cívico olan eski Casa de la Misericordia hospisinden alıyor; en yakın hastane Carlos Haya Genel Hastanesi, yaklaşık 6 km.</t>
        </is>
      </c>
      <c r="V56" s="29" t="inlineStr">
        <is>
          <t>Hayır</t>
        </is>
      </c>
      <c r="W56" s="29" t="n"/>
    </row>
    <row r="57" ht="54" customHeight="1">
      <c r="A57" s="29" t="inlineStr">
        <is>
          <t>malaga:playa-de-guadalmar</t>
        </is>
      </c>
      <c r="B57" s="29" t="inlineStr">
        <is>
          <t>malaga</t>
        </is>
      </c>
      <c r="C57" s="29" t="inlineStr">
        <is>
          <t>playa-de-guadalmar</t>
        </is>
      </c>
      <c r="D57" s="29" t="inlineStr">
        <is>
          <t>Playa de Guadalmar</t>
        </is>
      </c>
      <c r="E57" s="29" t="inlineStr">
        <is>
          <t>Havalimanına en yakın korunan plaj, nudist bölümü olan tek kentsel plaj, Churriana</t>
        </is>
      </c>
      <c r="F57" s="29" t="inlineStr">
        <is>
          <t>Golf Sahası'ndan Guadalhorce'nin ağzına kadar uzanan plaj, nehrin sürüklediği tortuyla zamanla oluşmuş ve Málaga havalimanına en yakın plaj. Korunan bir plaj; kullanım yoğunluğu orta düzeyde. Suları sakin.</t>
        </is>
      </c>
      <c r="G57" s="29" t="inlineStr">
        <is>
          <t>Guadalmar, plaj, nudist plaj, havalimanına yakın, Guadalhorce, Churriana, playa</t>
        </is>
      </c>
      <c r="H57" s="29" t="inlineStr">
        <is>
          <t>planning;new;settled</t>
        </is>
      </c>
      <c r="I57" s="29" t="inlineStr">
        <is>
          <t>malaga:kaynak:344</t>
        </is>
      </c>
      <c r="J57" s="49" t="n">
        <v>46322</v>
      </c>
      <c r="K57" s="51" t="n">
        <v>223</v>
      </c>
      <c r="L57" s="29" t="inlineStr">
        <is>
          <t>Hayır</t>
        </is>
      </c>
      <c r="M57" s="29" t="inlineStr">
        <is>
          <t>Taslak</t>
        </is>
      </c>
      <c r="N57" s="29" t="inlineStr">
        <is>
          <t>Doğa ve açık hava</t>
        </is>
      </c>
      <c r="O57" s="29" t="inlineStr">
        <is>
          <t>Churriana</t>
        </is>
      </c>
      <c r="P57" s="29" t="inlineStr">
        <is>
          <t>Açık hava</t>
        </is>
      </c>
      <c r="Q57" s="29" t="inlineStr">
        <is>
          <t>Desde el Campo de Golf hasta la desembocadura del Guadalhorce</t>
        </is>
      </c>
      <c r="R57" s="50" t="n">
        <v>36.662552</v>
      </c>
      <c r="S57" s="50" t="n">
        <v>-4.458535</v>
      </c>
      <c r="T57" s="29" t="n"/>
      <c r="U57" s="29" t="inlineStr">
        <is>
          <t>Málaga'nın kentsel plajları arasında nudist bölümü olan tek plaj; sayfada en yakın hastane Carlos Haya Genel Hastanesi, yaklaşık 9 km olarak veriliyor.</t>
        </is>
      </c>
      <c r="V57" s="29" t="inlineStr">
        <is>
          <t>Hayır</t>
        </is>
      </c>
      <c r="W57" s="29" t="n"/>
    </row>
    <row r="58" ht="54" customHeight="1">
      <c r="A58" s="29" t="inlineStr">
        <is>
          <t>malaga:playa-del-penon-del-cuervo</t>
        </is>
      </c>
      <c r="B58" s="29" t="inlineStr">
        <is>
          <t>malaga</t>
        </is>
      </c>
      <c r="C58" s="29" t="inlineStr">
        <is>
          <t>playa-del-penon-del-cuervo</t>
        </is>
      </c>
      <c r="D58" s="29" t="inlineStr">
        <is>
          <t>Playa del Peñón del Cuervo</t>
        </is>
      </c>
      <c r="E58" s="29" t="inlineStr">
        <is>
          <t>Kayalık bir burunla ikiye bölünen, mangal alanı olan plaj, Este</t>
        </is>
      </c>
      <c r="F58" s="29" t="inlineStr">
        <is>
          <t>El Candado spor limanı ile çimento fabrikası arasındaki plaj, adını, plajı iki bölgeye ayıran kayalık oluşumdan alıyor. Burada sık sık konserler ve "moraga" adı verilen kıyı etkinlikleri düzenleniyor; mangal yapmak için ayrılmış bir alan da var. Deniz yürüyüş yolu bulunuyor.</t>
        </is>
      </c>
      <c r="G58" s="29" t="inlineStr">
        <is>
          <t>Peñón del Cuervo, plaj, mangal alanı, konser, korunan bitki, El Candado, Este, playa</t>
        </is>
      </c>
      <c r="H58" s="29" t="inlineStr">
        <is>
          <t>planning;new;settled</t>
        </is>
      </c>
      <c r="I58" s="29" t="inlineStr">
        <is>
          <t>malaga:kaynak:345</t>
        </is>
      </c>
      <c r="J58" s="49" t="n">
        <v>46322</v>
      </c>
      <c r="K58" s="51" t="n">
        <v>224</v>
      </c>
      <c r="L58" s="29" t="inlineStr">
        <is>
          <t>Hayır</t>
        </is>
      </c>
      <c r="M58" s="29" t="inlineStr">
        <is>
          <t>Taslak</t>
        </is>
      </c>
      <c r="N58" s="29" t="inlineStr">
        <is>
          <t>Doğa ve açık hava</t>
        </is>
      </c>
      <c r="O58" s="29" t="inlineStr">
        <is>
          <t>Este</t>
        </is>
      </c>
      <c r="P58" s="29" t="inlineStr">
        <is>
          <t>Açık hava</t>
        </is>
      </c>
      <c r="Q58" s="29" t="inlineStr">
        <is>
          <t>Entre el puerto deportivo de El Candado y la Fábrica de Cemento</t>
        </is>
      </c>
      <c r="R58" s="50" t="n">
        <v>36.713056</v>
      </c>
      <c r="S58" s="50" t="n">
        <v>-4.335</v>
      </c>
      <c r="T58" s="29" t="n"/>
      <c r="U58" s="29" t="inlineStr">
        <is>
          <t>Plaj önemli bir korunan biyolojik alan; nesli tehlikede olan siempreviva malagueña (Limonium malacitanum) burada yetişiyor.</t>
        </is>
      </c>
      <c r="V58" s="29" t="inlineStr">
        <is>
          <t>Hayır</t>
        </is>
      </c>
      <c r="W58" s="29" t="n"/>
    </row>
    <row r="59" ht="54" customHeight="1">
      <c r="A59" s="29" t="inlineStr">
        <is>
          <t>malaga:playa-de-la-arana</t>
        </is>
      </c>
      <c r="B59" s="29" t="inlineStr">
        <is>
          <t>malaga</t>
        </is>
      </c>
      <c r="C59" s="29" t="inlineStr">
        <is>
          <t>playa-de-la-arana</t>
        </is>
      </c>
      <c r="D59" s="29" t="inlineStr">
        <is>
          <t>Playa de La Araña</t>
        </is>
      </c>
      <c r="E59" s="29" t="inlineStr">
        <is>
          <t>Belediyenin en doğusundaki balıkçı mahallesi plajı ve köpekli plaj, Este</t>
        </is>
      </c>
      <c r="F59" s="29" t="inlineStr">
        <is>
          <t>La Araña, Málaga belediye sınırlarının en doğudaki yerleşimi; tipik bir balıkçı mahallesi ve plajda balıkçı tekneleri ve balık avı malzemeleri görmek olağan. Plaj 500 m uzunluğunda ve ortalama 25 m genişliğinde, kullanım yoğunluğu yüksek. Deniz yürüyüş yolu var.</t>
        </is>
      </c>
      <c r="G59" s="29" t="inlineStr">
        <is>
          <t>La Araña, plaj, köpekli plaj, balıkçı mahallesi, Playa Canina, Este, playa</t>
        </is>
      </c>
      <c r="H59" s="29" t="inlineStr">
        <is>
          <t>planning;new;settled</t>
        </is>
      </c>
      <c r="I59" s="29" t="inlineStr">
        <is>
          <t>malaga:kaynak:349</t>
        </is>
      </c>
      <c r="J59" s="49" t="n">
        <v>46322</v>
      </c>
      <c r="K59" s="51" t="n">
        <v>225</v>
      </c>
      <c r="L59" s="29" t="inlineStr">
        <is>
          <t>Hayır</t>
        </is>
      </c>
      <c r="M59" s="29" t="inlineStr">
        <is>
          <t>Taslak</t>
        </is>
      </c>
      <c r="N59" s="29" t="inlineStr">
        <is>
          <t>Doğa ve açık hava</t>
        </is>
      </c>
      <c r="O59" s="29" t="inlineStr">
        <is>
          <t>Este</t>
        </is>
      </c>
      <c r="P59" s="29" t="inlineStr">
        <is>
          <t>Açık hava</t>
        </is>
      </c>
      <c r="Q59" s="29" t="inlineStr">
        <is>
          <t>Barriada de La Araña, Málaga</t>
        </is>
      </c>
      <c r="R59" s="50" t="n">
        <v>36.712651</v>
      </c>
      <c r="S59" s="50" t="n">
        <v>-4.32419</v>
      </c>
      <c r="T59" s="29" t="n"/>
      <c r="U59" s="29" t="inlineStr">
        <is>
          <t>Arroyo Totalán ile Rincón de la Victoria deniz yürüyüş yolunun başlangıcı arasındaki yaklaşık 600 m'lik şerit yakın zamanda "Playa Canina" (köpekli plaj) olarak düzenlenmiş; kullanıcılar evcil hayvanlarıyla gelebiliyor.</t>
        </is>
      </c>
      <c r="V59" s="29" t="inlineStr">
        <is>
          <t>Hayır</t>
        </is>
      </c>
      <c r="W59" s="29" t="n"/>
    </row>
    <row r="60" ht="54" customHeight="1">
      <c r="A60" s="29" t="inlineStr">
        <is>
          <t>malaga:el-pimpi</t>
        </is>
      </c>
      <c r="B60" s="29" t="inlineStr">
        <is>
          <t>malaga</t>
        </is>
      </c>
      <c r="C60" s="29" t="inlineStr">
        <is>
          <t>el-pimpi</t>
        </is>
      </c>
      <c r="D60" s="29" t="inlineStr">
        <is>
          <t>Bodegas El Pimpi</t>
        </is>
      </c>
      <c r="E60" s="29" t="inlineStr">
        <is>
          <t>Calle Alcazabilla'da bodega adını taşıyan restoran, Centro</t>
        </is>
      </c>
      <c r="F60" s="29" t="inlineStr">
        <is>
          <t>Calle Granada 62 ile Calle Alcazabilla köşesinde, Centro ilçesinde yer alan bodega adlı mekân; mutfağı da var. Pazar-perşembe 12.00-00.00, cuma-cumartesi 12.00-00.30 arası açık; mutfak aralıksız çalışıyor (pazar-perşembe 23.30'a, cuma-cumartesi 00.00'a kadar). Sitesinden rezervasyon yapılabiliyor.</t>
        </is>
      </c>
      <c r="G60" s="29" t="inlineStr">
        <is>
          <t>El Pimpi, restoran, bodega, Alcazabilla, rezervasyon, Centro</t>
        </is>
      </c>
      <c r="H60" s="29" t="inlineStr">
        <is>
          <t>planning;new;settled</t>
        </is>
      </c>
      <c r="I60" s="29" t="inlineStr">
        <is>
          <t>malaga:kaynak:389</t>
        </is>
      </c>
      <c r="J60" s="49" t="n">
        <v>46322</v>
      </c>
      <c r="K60" s="51" t="n">
        <v>226</v>
      </c>
      <c r="L60" s="29" t="inlineStr">
        <is>
          <t>Hayır</t>
        </is>
      </c>
      <c r="M60" s="29" t="inlineStr">
        <is>
          <t>Taslak</t>
        </is>
      </c>
      <c r="N60" s="29" t="inlineStr">
        <is>
          <t>Yeme ve içme</t>
        </is>
      </c>
      <c r="O60" s="29" t="inlineStr">
        <is>
          <t>Centro</t>
        </is>
      </c>
      <c r="P60" s="29" t="inlineStr">
        <is>
          <t>Kapalı alan</t>
        </is>
      </c>
      <c r="Q60" s="29" t="inlineStr">
        <is>
          <t>Calle Granada, 62, Calle Alcazabilla - 29015 Málaga</t>
        </is>
      </c>
      <c r="R60" s="50" t="n">
        <v>36.721949</v>
      </c>
      <c r="S60" s="50" t="n">
        <v>-4.418135</v>
      </c>
      <c r="T60" s="29" t="n"/>
      <c r="U60" s="29" t="inlineStr">
        <is>
          <t>Seçtiğin tarihte yer görünmüyorsa rezervasyonsuz da gidebilirsin; gelenler geliş sırasına göre alınıyor ve bekleme süresi yaklaşık 20 dakika olarak belirtiliyor. Rezervasyon için telefon 952 225 403.</t>
        </is>
      </c>
      <c r="V60" s="29" t="inlineStr">
        <is>
          <t>Hayır</t>
        </is>
      </c>
      <c r="W60" s="29" t="n"/>
    </row>
    <row r="61" ht="54" customHeight="1">
      <c r="A61" s="29" t="inlineStr">
        <is>
          <t>malaga:mercado-central-de-atarazanas</t>
        </is>
      </c>
      <c r="B61" s="29" t="inlineStr">
        <is>
          <t>malaga</t>
        </is>
      </c>
      <c r="C61" s="29" t="inlineStr">
        <is>
          <t>mercado-central-de-atarazanas</t>
        </is>
      </c>
      <c r="D61" s="29" t="inlineStr">
        <is>
          <t>Mercado Central de Atarazanas</t>
        </is>
      </c>
      <c r="E61" s="29" t="inlineStr">
        <is>
          <t>Ortaçağ kökenli, kültürel miras listesindeki tarihî kapalı pazar, Centro</t>
        </is>
      </c>
      <c r="F61" s="29" t="inlineStr">
        <is>
          <t>Calle Atarazanas 10'da, Plaza de la Marina'ya yürüyerek yaklaşık beş dakika uzaklıktaki bu pazar pazartesi-cumartesi 08.00-15.00 arası açık. İki bölümden oluşuyor: biri meyve, sebze, balık ve et tezgahlarına, öteki bar ve tapas tezgahlarına ayrılmış; açık hava terasları da var. 19. yüzyılda Joaquín de Rucoba tarafından inşa edilen yapı 2008-2010 arasında özgün görünümüne kavuşacak biçimde restore edildi.</t>
        </is>
      </c>
      <c r="G61" s="29" t="inlineStr">
        <is>
          <t>Atarazanas, pazar, mercado, tapas, taze ürün, tarihî yapı, Centro</t>
        </is>
      </c>
      <c r="H61" s="29" t="inlineStr">
        <is>
          <t>planning;new;settled</t>
        </is>
      </c>
      <c r="I61" s="29" t="inlineStr">
        <is>
          <t>malaga:kaynak:440;malaga:kaynak:390</t>
        </is>
      </c>
      <c r="J61" s="49" t="n">
        <v>46322</v>
      </c>
      <c r="K61" s="51" t="n">
        <v>227</v>
      </c>
      <c r="L61" s="29" t="inlineStr">
        <is>
          <t>Evet</t>
        </is>
      </c>
      <c r="M61" s="29" t="inlineStr">
        <is>
          <t>Taslak</t>
        </is>
      </c>
      <c r="N61" s="29" t="inlineStr">
        <is>
          <t>Yeme ve içme</t>
        </is>
      </c>
      <c r="O61" s="29" t="inlineStr">
        <is>
          <t>Centro</t>
        </is>
      </c>
      <c r="P61" s="29" t="inlineStr">
        <is>
          <t>Kapalı alan</t>
        </is>
      </c>
      <c r="Q61" s="29" t="inlineStr">
        <is>
          <t>C. Atarazanas, 10, 29005 Málaga</t>
        </is>
      </c>
      <c r="R61" s="50" t="n">
        <v>36.71844</v>
      </c>
      <c r="S61" s="50" t="n">
        <v>-4.424067</v>
      </c>
      <c r="T61" s="29" t="n"/>
      <c r="U61" s="29" t="inlineStr">
        <is>
          <t>Sayfada otobüs olarak 2 ve 10 numaralı hatların Atarazanas durağı, 36 numaralı hattın Plaza de Arriola durağı belirtiliyor; Cercanías ile Málaga Centro istasyonundan gelinebiliyor.</t>
        </is>
      </c>
      <c r="V61" s="29" t="inlineStr">
        <is>
          <t>Hayır</t>
        </is>
      </c>
      <c r="W61" s="29" t="n"/>
    </row>
    <row r="62" ht="54" customHeight="1">
      <c r="A62" s="29" t="inlineStr">
        <is>
          <t>malaga:mercado-de-la-merced</t>
        </is>
      </c>
      <c r="B62" s="29" t="inlineStr">
        <is>
          <t>malaga</t>
        </is>
      </c>
      <c r="C62" s="29" t="inlineStr">
        <is>
          <t>mercado-de-la-merced</t>
        </is>
      </c>
      <c r="D62" s="29" t="inlineStr">
        <is>
          <t>Mercado de la Merced</t>
        </is>
      </c>
      <c r="E62" s="29" t="inlineStr">
        <is>
          <t>Picasso Evi Müzesi ile Cervantes Tiyatrosu arasında gurme pazar, Centro</t>
        </is>
      </c>
      <c r="F62" s="29" t="inlineStr">
        <is>
          <t>C/ la Merced 4'te, Picasso Evi Müzesi ile Teatro Cervantes arasındaki bu pazar pazartesi-cumartesi 08.00-20.00 arası açık. Modern gastronomi pazarı anlayışıyla yenilenmiş; 22 gurme tezgahında suşiden yenilikçi biralara kadar çeşitli ürün sunuluyor. Aula Cultural bölümünde çeşitli etkinlikler düzenleniyor.</t>
        </is>
      </c>
      <c r="G62" s="29" t="inlineStr">
        <is>
          <t>Mercado de la Merced, gurme pazar, gastronomi, Picasso, Teatro Cervantes, Centro, mercado</t>
        </is>
      </c>
      <c r="H62" s="29" t="inlineStr">
        <is>
          <t>planning;new;settled</t>
        </is>
      </c>
      <c r="I62" s="29" t="inlineStr">
        <is>
          <t>malaga:kaynak:414</t>
        </is>
      </c>
      <c r="J62" s="49" t="n">
        <v>46322</v>
      </c>
      <c r="K62" s="51" t="n">
        <v>228</v>
      </c>
      <c r="L62" s="29" t="inlineStr">
        <is>
          <t>Hayır</t>
        </is>
      </c>
      <c r="M62" s="29" t="inlineStr">
        <is>
          <t>Taslak</t>
        </is>
      </c>
      <c r="N62" s="29" t="inlineStr">
        <is>
          <t>Yeme ve içme</t>
        </is>
      </c>
      <c r="O62" s="29" t="inlineStr">
        <is>
          <t>Centro</t>
        </is>
      </c>
      <c r="P62" s="29" t="inlineStr">
        <is>
          <t>Kapalı alan</t>
        </is>
      </c>
      <c r="Q62" s="29" t="inlineStr">
        <is>
          <t>C/ la Merced, 4, 29012 Málaga</t>
        </is>
      </c>
      <c r="R62" s="50" t="n">
        <v>36.7243</v>
      </c>
      <c r="S62" s="50" t="n">
        <v>-4.41743</v>
      </c>
      <c r="T62" s="29" t="n"/>
      <c r="U62" s="29" t="inlineStr">
        <is>
          <t>Sayfada otobüs hatları 1, 14, 8 ve C2, metro olarak L1, tren olarak C-1 ve C-2 belirtiliyor. Pazarın yenilenmesine Blanco-Astigarraga ailesi yaklaşık iki milyon euro yatırmış.</t>
        </is>
      </c>
      <c r="V62" s="29" t="inlineStr">
        <is>
          <t>Hayır</t>
        </is>
      </c>
      <c r="W62" s="29" t="n"/>
    </row>
    <row r="63" ht="54" customHeight="1">
      <c r="A63" s="29" t="inlineStr">
        <is>
          <t>malaga:mercado-de-salamanca</t>
        </is>
      </c>
      <c r="B63" s="29" t="inlineStr">
        <is>
          <t>malaga</t>
        </is>
      </c>
      <c r="C63" s="29" t="inlineStr">
        <is>
          <t>mercado-de-salamanca</t>
        </is>
      </c>
      <c r="D63" s="29" t="inlineStr">
        <is>
          <t>Mercado de Salamanca</t>
        </is>
      </c>
      <c r="E63" s="29" t="inlineStr">
        <is>
          <t>Neo-Arap mimarili, kültürel miras ilan edilmiş pazar, Centro</t>
        </is>
      </c>
      <c r="F63" s="29" t="inlineStr">
        <is>
          <t>Calle San Bartolomé 1'de, Molinillo mahallesinde yer alan pazar pazartesi-cumartesi 08.00-15.00 arası açık. Daniel Rubio Sánchez'in 1922-1925 arasında tasarladığı neo-Arap yapı, süslü kapıları, nal kemerleri ve içindeki bol çinisiyle öne çıkıyor. 33 tezgahta meyveden ete ve yeme-içmeye kadar çeşitli ürün satılıyor.</t>
        </is>
      </c>
      <c r="G63" s="29" t="inlineStr">
        <is>
          <t>Mercado de Salamanca, Molinillo, neo-Arap mimari, pazar, kültürel miras, Centro, mercado</t>
        </is>
      </c>
      <c r="H63" s="29" t="inlineStr">
        <is>
          <t>planning;new;settled</t>
        </is>
      </c>
      <c r="I63" s="29" t="inlineStr">
        <is>
          <t>malaga:kaynak:415</t>
        </is>
      </c>
      <c r="J63" s="49" t="n">
        <v>46322</v>
      </c>
      <c r="K63" s="51" t="n">
        <v>229</v>
      </c>
      <c r="L63" s="29" t="inlineStr">
        <is>
          <t>Hayır</t>
        </is>
      </c>
      <c r="M63" s="29" t="inlineStr">
        <is>
          <t>Taslak</t>
        </is>
      </c>
      <c r="N63" s="29" t="inlineStr">
        <is>
          <t>Yeme ve içme</t>
        </is>
      </c>
      <c r="O63" s="29" t="inlineStr">
        <is>
          <t>Centro</t>
        </is>
      </c>
      <c r="P63" s="29" t="inlineStr">
        <is>
          <t>Kapalı alan</t>
        </is>
      </c>
      <c r="Q63" s="29" t="inlineStr">
        <is>
          <t>Calle San Bartolomé, 1, 29013 Málaga</t>
        </is>
      </c>
      <c r="R63" s="50" t="n">
        <v>36.727387</v>
      </c>
      <c r="S63" s="50" t="n">
        <v>-4.424397</v>
      </c>
      <c r="T63" s="29" t="n"/>
      <c r="U63" s="29" t="inlineStr">
        <is>
          <t>Pazar bir kültürel miras (bien de interés cultural) olarak ilan edilmiş; sayfa, şehrin ikinci en çok ziyaret edilen pazarı olduğunu söylüyor. Otobüs 2, 20, 36; metro L1, L2; tren C-1, C-2.</t>
        </is>
      </c>
      <c r="V63" s="29" t="inlineStr">
        <is>
          <t>Hayır</t>
        </is>
      </c>
      <c r="W63" s="29" t="n"/>
    </row>
    <row r="64" ht="54" customHeight="1">
      <c r="A64" s="29" t="inlineStr">
        <is>
          <t>malaga:mercado-de-el-carmen</t>
        </is>
      </c>
      <c r="B64" s="29" t="inlineStr">
        <is>
          <t>malaga</t>
        </is>
      </c>
      <c r="C64" s="29" t="inlineStr">
        <is>
          <t>mercado-de-el-carmen</t>
        </is>
      </c>
      <c r="D64" s="29" t="inlineStr">
        <is>
          <t>Mercado de El Carmen</t>
        </is>
      </c>
      <c r="E64" s="29" t="inlineStr">
        <is>
          <t>El Perchel'de 2010'da yenilenen, 140 yılı aşkın tarihli semt pazarı, Centro</t>
        </is>
      </c>
      <c r="F64" s="29" t="inlineStr">
        <is>
          <t>C/ la Serna 3'te, El Perchel mahallesinde yer alan pazar pazartesi-cumartesi 08.00-16.00 arası açık. 2010'da yenilenen yapıda 1.300 m²'den fazla alana yayılmış 85 tezgah taze meyve, sebze, balık ve deniz ürünü satıyor. Geniş arka terasıyla tanınan bir bar taze balık ve deniz ürünleri sunuyor.</t>
        </is>
      </c>
      <c r="G64" s="29" t="inlineStr">
        <is>
          <t>Mercado de El Carmen, El Perchel, semt pazarı, balık, deniz ürünleri, terası olan bar, mercado</t>
        </is>
      </c>
      <c r="H64" s="29" t="inlineStr">
        <is>
          <t>planning;new;settled</t>
        </is>
      </c>
      <c r="I64" s="29" t="inlineStr">
        <is>
          <t>malaga:kaynak:416</t>
        </is>
      </c>
      <c r="J64" s="49" t="n">
        <v>46322</v>
      </c>
      <c r="K64" s="51" t="n">
        <v>230</v>
      </c>
      <c r="L64" s="29" t="inlineStr">
        <is>
          <t>Hayır</t>
        </is>
      </c>
      <c r="M64" s="29" t="inlineStr">
        <is>
          <t>Taslak</t>
        </is>
      </c>
      <c r="N64" s="29" t="inlineStr">
        <is>
          <t>Yeme ve içme</t>
        </is>
      </c>
      <c r="O64" s="29" t="inlineStr">
        <is>
          <t>Centro</t>
        </is>
      </c>
      <c r="P64" s="29" t="inlineStr">
        <is>
          <t>Kapalı alan</t>
        </is>
      </c>
      <c r="Q64" s="29" t="inlineStr">
        <is>
          <t>C/ la Serna, 3, 29002 Málaga</t>
        </is>
      </c>
      <c r="R64" s="50" t="n">
        <v>36.71397</v>
      </c>
      <c r="S64" s="50" t="n">
        <v>-4.42949</v>
      </c>
      <c r="T64" s="29" t="n"/>
      <c r="U64" s="29" t="inlineStr">
        <is>
          <t>Pazar, 140 yıldan uzun süredir yerel ürün alışverişinin merkezi. Otobüs 23, 25, 3, A, M-110; metro L1; tren C1.</t>
        </is>
      </c>
      <c r="V64" s="29" t="inlineStr">
        <is>
          <t>Hayır</t>
        </is>
      </c>
      <c r="W64" s="29" t="n"/>
    </row>
    <row r="65" ht="54" customHeight="1">
      <c r="A65" s="29" t="inlineStr">
        <is>
          <t>malaga:mercado-de-huelin</t>
        </is>
      </c>
      <c r="B65" s="29" t="inlineStr">
        <is>
          <t>malaga</t>
        </is>
      </c>
      <c r="C65" s="29" t="inlineStr">
        <is>
          <t>mercado-de-huelin</t>
        </is>
      </c>
      <c r="D65" s="29" t="inlineStr">
        <is>
          <t>Mercado de Huelin</t>
        </is>
      </c>
      <c r="E65" s="29" t="inlineStr">
        <is>
          <t>Huelin mahallesinde 162 tezgahlı geniş semt pazarı, Carretera de Cádiz</t>
        </is>
      </c>
      <c r="F65" s="29" t="inlineStr">
        <is>
          <t>C. la Hoz 37'de, Huelin mahallesinde yer alan pazar pazartesi-cumartesi 08.00-15.00 arası açık. 162 tezgahta taze ve yerel ürünler satılıyor; geniş koridorlarıyla semtin gündelik yaşamının merkezi. Popüler kafeteryası, sayfaya göre İspanya'nın en ucuz günün menüsünü sunuyor.</t>
        </is>
      </c>
      <c r="G65" s="29" t="inlineStr">
        <is>
          <t>Mercado de Huelin, Huelin, semt pazarı, günün menüsü, taze ürün, Carretera de Cádiz, mercado</t>
        </is>
      </c>
      <c r="H65" s="29" t="inlineStr">
        <is>
          <t>planning;new;settled</t>
        </is>
      </c>
      <c r="I65" s="29" t="inlineStr">
        <is>
          <t>malaga:kaynak:417</t>
        </is>
      </c>
      <c r="J65" s="49" t="n">
        <v>46322</v>
      </c>
      <c r="K65" s="51" t="n">
        <v>231</v>
      </c>
      <c r="L65" s="29" t="inlineStr">
        <is>
          <t>Hayır</t>
        </is>
      </c>
      <c r="M65" s="29" t="inlineStr">
        <is>
          <t>Taslak</t>
        </is>
      </c>
      <c r="N65" s="29" t="inlineStr">
        <is>
          <t>Yeme ve içme</t>
        </is>
      </c>
      <c r="O65" s="29" t="inlineStr">
        <is>
          <t>Carretera de Cádiz</t>
        </is>
      </c>
      <c r="P65" s="29" t="inlineStr">
        <is>
          <t>Kapalı alan</t>
        </is>
      </c>
      <c r="Q65" s="29" t="inlineStr">
        <is>
          <t>C. la Hoz, 37, 29002 Málaga</t>
        </is>
      </c>
      <c r="R65" s="50" t="n">
        <v>36.70256</v>
      </c>
      <c r="S65" s="50" t="n">
        <v>-4.43828</v>
      </c>
      <c r="T65" s="29" t="n"/>
      <c r="U65" s="29" t="inlineStr">
        <is>
          <t>Pazarın kafeteryası "menú del día" (günün menüsü) fiyatıyla tanınıyor. Otobüs 15, 22, 3, M-110; metro L2; tren C-1.</t>
        </is>
      </c>
      <c r="V65" s="29" t="inlineStr">
        <is>
          <t>Hayır</t>
        </is>
      </c>
      <c r="W65" s="29" t="n"/>
    </row>
    <row r="66" ht="54" customHeight="1">
      <c r="A66" s="29" t="inlineStr">
        <is>
          <t>malaga:mercado-de-bailen</t>
        </is>
      </c>
      <c r="B66" s="29" t="inlineStr">
        <is>
          <t>malaga</t>
        </is>
      </c>
      <c r="C66" s="29" t="inlineStr">
        <is>
          <t>mercado-de-bailen</t>
        </is>
      </c>
      <c r="D66" s="29" t="inlineStr">
        <is>
          <t>Mercado de Bailén</t>
        </is>
      </c>
      <c r="E66" s="29" t="inlineStr">
        <is>
          <t>La Trinidad mahallesinde 1964'te açılan büyük belediye pazarı, Bailén-Miraflores</t>
        </is>
      </c>
      <c r="F66" s="29" t="inlineStr">
        <is>
          <t>Pl. de Bailén 8'de, La Trinidad mahallesinde yer alan pazar pazartesi-cumartesi 08.00-15.00 arası açık. 1964'te açılan yapı, 3.000 m²'nin üzerinde alanıyla şehrin en büyük belediye pazarlarından biri. Taze ve işlenmiş ürünler satılıyor; esnaf Málaga içinde eve teslimat da yapıyor.</t>
        </is>
      </c>
      <c r="G66" s="29" t="inlineStr">
        <is>
          <t>Mercado de Bailén, La Trinidad, belediye pazarı, taze ürün, eve teslimat, mercado</t>
        </is>
      </c>
      <c r="H66" s="29" t="inlineStr">
        <is>
          <t>planning;new;settled</t>
        </is>
      </c>
      <c r="I66" s="29" t="inlineStr">
        <is>
          <t>malaga:kaynak:418</t>
        </is>
      </c>
      <c r="J66" s="49" t="n">
        <v>46322</v>
      </c>
      <c r="K66" s="51" t="n">
        <v>232</v>
      </c>
      <c r="L66" s="29" t="inlineStr">
        <is>
          <t>Hayır</t>
        </is>
      </c>
      <c r="M66" s="29" t="inlineStr">
        <is>
          <t>Taslak</t>
        </is>
      </c>
      <c r="N66" s="29" t="inlineStr">
        <is>
          <t>Yeme ve içme</t>
        </is>
      </c>
      <c r="O66" s="29" t="inlineStr">
        <is>
          <t>Bailén-Miraflores</t>
        </is>
      </c>
      <c r="P66" s="29" t="inlineStr">
        <is>
          <t>Kapalı alan</t>
        </is>
      </c>
      <c r="Q66" s="29" t="inlineStr">
        <is>
          <t>Pl. de Bailén, 8, 29009 Málaga</t>
        </is>
      </c>
      <c r="R66" s="50" t="n">
        <v>36.72438</v>
      </c>
      <c r="S66" s="50" t="n">
        <v>-4.43181</v>
      </c>
      <c r="T66" s="29" t="n"/>
      <c r="U66" s="29" t="inlineStr">
        <is>
          <t>Sayfada otobüs hatları 2 ve 17, tren olarak C-1 belirtiliyor; pazar Noel dekorasyonuna şehirde ilk başlayan pazar olmasıyla anılıyor.</t>
        </is>
      </c>
      <c r="V66" s="29" t="inlineStr">
        <is>
          <t>Hayır</t>
        </is>
      </c>
      <c r="W66" s="29" t="n"/>
    </row>
    <row r="67" ht="54" customHeight="1">
      <c r="A67" s="29" t="inlineStr">
        <is>
          <t>malaga:mercado-de-ciudad-jardin</t>
        </is>
      </c>
      <c r="B67" s="29" t="inlineStr">
        <is>
          <t>malaga</t>
        </is>
      </c>
      <c r="C67" s="29" t="inlineStr">
        <is>
          <t>mercado-de-ciudad-jardin</t>
        </is>
      </c>
      <c r="D67" s="29" t="inlineStr">
        <is>
          <t>Mercado Ciudad Jardín</t>
        </is>
      </c>
      <c r="E67" s="29" t="inlineStr">
        <is>
          <t>1950-53 yapımı, belediye korumasındaki mahalle pazarı, Ciudad Jardín</t>
        </is>
      </c>
      <c r="F67" s="29" t="inlineStr">
        <is>
          <t>Calle Emilio Prados 15'te yer alan pazar pazartesi-cumartesi 08.00-14.00 arası açık. Et, balık, meyve, sebze, şarküteri ve fırın ürünleri satan 59 tezgahı var. Luis Gutiérrez Mérida'nın tasarladığı yapı 1950-1953 arasında inşa edilmiş; belediye düzeyinde korunuyor.</t>
        </is>
      </c>
      <c r="G67" s="29" t="inlineStr">
        <is>
          <t>Mercado Ciudad Jardín, mahalle pazarı, taze ürün, korunan yapı, Luis Gutiérrez Mérida, mercado</t>
        </is>
      </c>
      <c r="H67" s="29" t="inlineStr">
        <is>
          <t>planning;new;settled</t>
        </is>
      </c>
      <c r="I67" s="29" t="inlineStr">
        <is>
          <t>malaga:kaynak:420</t>
        </is>
      </c>
      <c r="J67" s="49" t="n">
        <v>46322</v>
      </c>
      <c r="K67" s="51" t="n">
        <v>233</v>
      </c>
      <c r="L67" s="29" t="inlineStr">
        <is>
          <t>Hayır</t>
        </is>
      </c>
      <c r="M67" s="29" t="inlineStr">
        <is>
          <t>Taslak</t>
        </is>
      </c>
      <c r="N67" s="29" t="inlineStr">
        <is>
          <t>Yeme ve içme</t>
        </is>
      </c>
      <c r="O67" s="29" t="inlineStr">
        <is>
          <t>Ciudad Jardín</t>
        </is>
      </c>
      <c r="P67" s="29" t="inlineStr">
        <is>
          <t>Kapalı alan</t>
        </is>
      </c>
      <c r="Q67" s="29" t="inlineStr">
        <is>
          <t>Calle Emilio Prados, 15, 29014, Málaga</t>
        </is>
      </c>
      <c r="R67" s="50" t="n">
        <v>36.74638</v>
      </c>
      <c r="S67" s="50" t="n">
        <v>-4.422089</v>
      </c>
      <c r="T67" s="29" t="n"/>
      <c r="U67" s="29" t="inlineStr">
        <is>
          <t>Pazarın telefonu 951 926 035. Yapı 1982, 2003 (kısmi) ve 2008'de yenilenmiş; merkez cephesinde üç yarım daire kemer var.</t>
        </is>
      </c>
      <c r="V67" s="29" t="inlineStr">
        <is>
          <t>Hayır</t>
        </is>
      </c>
      <c r="W67" s="29" t="n"/>
    </row>
    <row r="68" ht="54" customHeight="1">
      <c r="A68" s="29" t="inlineStr">
        <is>
          <t>malaga:mercado-de-carranque</t>
        </is>
      </c>
      <c r="B68" s="29" t="inlineStr">
        <is>
          <t>malaga</t>
        </is>
      </c>
      <c r="C68" s="29" t="inlineStr">
        <is>
          <t>mercado-de-carranque</t>
        </is>
      </c>
      <c r="D68" s="29" t="inlineStr">
        <is>
          <t>Mercado de Carranque</t>
        </is>
      </c>
      <c r="E68" s="29" t="inlineStr">
        <is>
          <t>1950'lerde doğan Carranque mahalle pazarı, Cruz de Humilladero</t>
        </is>
      </c>
      <c r="F68" s="29" t="inlineStr">
        <is>
          <t>C. Virgen de la Esperanza 18'de, Cruz de Humilladero ilçesinde yer alan pazar pazartesi-cumartesi 08.00-14.00 arası açık. Et, balık, meyve, sebze, fırın ve şarküteri gibi taze ürün satılıyor. 2009 yenilemesinden sonra tezgah sayısı 33'e düşmüş, her tezgaha daha geniş alan düşüyor.</t>
        </is>
      </c>
      <c r="G68" s="29" t="inlineStr">
        <is>
          <t>Mercado de Carranque, mahalle pazarı, Cruz de Humilladero, taze ürün, mercado</t>
        </is>
      </c>
      <c r="H68" s="29" t="inlineStr">
        <is>
          <t>planning;new;settled</t>
        </is>
      </c>
      <c r="I68" s="29" t="inlineStr">
        <is>
          <t>malaga:kaynak:421</t>
        </is>
      </c>
      <c r="J68" s="49" t="n">
        <v>46322</v>
      </c>
      <c r="K68" s="51" t="n">
        <v>234</v>
      </c>
      <c r="L68" s="29" t="inlineStr">
        <is>
          <t>Hayır</t>
        </is>
      </c>
      <c r="M68" s="29" t="inlineStr">
        <is>
          <t>Taslak</t>
        </is>
      </c>
      <c r="N68" s="29" t="inlineStr">
        <is>
          <t>Yeme ve içme</t>
        </is>
      </c>
      <c r="O68" s="29" t="inlineStr">
        <is>
          <t>Cruz de Humilladero</t>
        </is>
      </c>
      <c r="P68" s="29" t="inlineStr">
        <is>
          <t>Kapalı alan</t>
        </is>
      </c>
      <c r="Q68" s="29" t="inlineStr">
        <is>
          <t>C. Virgen de la Esperanza, 18, Cruz de Humilladero, 29007 Málaga</t>
        </is>
      </c>
      <c r="R68" s="50" t="n">
        <v>36.71697</v>
      </c>
      <c r="S68" s="50" t="n">
        <v>-4.44613</v>
      </c>
      <c r="T68" s="29" t="n"/>
      <c r="U68" s="29" t="inlineStr">
        <is>
          <t>Pazarın telefonu 951 926 034. Son yıllarda yerel sergilere ev sahipliği yapmış; 1958'de belediye tarafından kullanıma hazır ilan edilmiş.</t>
        </is>
      </c>
      <c r="V68" s="29" t="inlineStr">
        <is>
          <t>Hayır</t>
        </is>
      </c>
      <c r="W68" s="29" t="n"/>
    </row>
    <row r="69" ht="54" customHeight="1">
      <c r="A69" s="29" t="inlineStr">
        <is>
          <t>malaga:museo-vidrio-cristal-malaga</t>
        </is>
      </c>
      <c r="B69" s="29" t="inlineStr">
        <is>
          <t>malaga</t>
        </is>
      </c>
      <c r="C69" s="29" t="inlineStr">
        <is>
          <t>museo-vidrio-cristal-malaga</t>
        </is>
      </c>
      <c r="D69" s="29" t="inlineStr">
        <is>
          <t>Museo del Vidrio y Cristal de Málaga</t>
        </is>
      </c>
      <c r="E69" s="29" t="inlineStr">
        <is>
          <t>Cam ve kristal müzesi; Centro semtinde, San Felipe Neri Kilisesi'nin karşısında</t>
        </is>
      </c>
      <c r="F69" s="29" t="inlineStr">
        <is>
          <t>Müze Plazuela Santísimo Cristo de la Sangre 2'de, San Felipe Neri Kilisesi'nin karşısında. Salı-pazar 11:00-19:00 arasında açık; son giriş 18:00 ve ziyaret hep rehberli, yaklaşık bir saat sürüyor. Tam bilet 8 €, indirimli bilet 6 €, 6 yaşına kadar çocuklar ücretsiz.</t>
        </is>
      </c>
      <c r="G69" s="29" t="inlineStr">
        <is>
          <t>cam müzesi, kristal, Museo del Vidrio y Cristal, rehberli tur, Centro, Málaga müzeleri</t>
        </is>
      </c>
      <c r="H69" s="29" t="inlineStr">
        <is>
          <t>planning;new;settled</t>
        </is>
      </c>
      <c r="I69" s="29" t="inlineStr">
        <is>
          <t>malaga:kaynak:350</t>
        </is>
      </c>
      <c r="J69" s="49" t="n">
        <v>46322</v>
      </c>
      <c r="K69" s="51" t="n">
        <v>301</v>
      </c>
      <c r="L69" s="29" t="inlineStr">
        <is>
          <t>Hayır</t>
        </is>
      </c>
      <c r="M69" s="29" t="inlineStr">
        <is>
          <t>Taslak</t>
        </is>
      </c>
      <c r="N69" s="29" t="inlineStr">
        <is>
          <t>Müzeler</t>
        </is>
      </c>
      <c r="O69" s="29" t="inlineStr">
        <is>
          <t>Centro</t>
        </is>
      </c>
      <c r="P69" s="29" t="inlineStr">
        <is>
          <t>Kapalı alan</t>
        </is>
      </c>
      <c r="Q69" s="29" t="inlineStr">
        <is>
          <t>Plazuela Santísimo Cristo de la Sangre, 2 (Frente a la puerta principal de la Iglesia de San Felipe Neri). 29012 Málaga</t>
        </is>
      </c>
      <c r="R69" s="50" t="n">
        <v>36.72542</v>
      </c>
      <c r="S69" s="50" t="n">
        <v>-4.421097</v>
      </c>
      <c r="T69" s="29" t="n"/>
      <c r="U69" s="29" t="inlineStr">
        <is>
          <t>Rehberli turlar İspanyolca, İngilizce, Fransızca ve İtalyanca yapılıyor ve bilete dahil. 10 kişiden büyük gruplar telefonla ya da e-postayla önceden rezervasyon yaptırıyor; fotoğraf çekmek serbest, flaş yasak. Pazartesi, 25 Aralık, 1 ve 6 Ocak ve ağustos ayı kapalı; 24 ve 31 Aralık yalnızca 11:00-15:00 açık.</t>
        </is>
      </c>
      <c r="V69" s="29" t="inlineStr">
        <is>
          <t>Hayır</t>
        </is>
      </c>
      <c r="W69" s="29" t="n"/>
    </row>
    <row r="70" ht="54" customHeight="1">
      <c r="A70" s="29" t="inlineStr">
        <is>
          <t>malaga:museo-aeronautico-malaga</t>
        </is>
      </c>
      <c r="B70" s="29" t="inlineStr">
        <is>
          <t>malaga</t>
        </is>
      </c>
      <c r="C70" s="29" t="inlineStr">
        <is>
          <t>museo-aeronautico-malaga</t>
        </is>
      </c>
      <c r="D70" s="29" t="inlineStr">
        <is>
          <t>Museo Aeronáutico de Málaga</t>
        </is>
      </c>
      <c r="E70" s="29" t="inlineStr">
        <is>
          <t>Havacılık müzesi ve uçak bahçesi; havalimanı yanında, Churriana semtinde</t>
        </is>
      </c>
      <c r="F70" s="29" t="inlineStr">
        <is>
          <t>Müze, Plaza Pierre Georges Latécoère'de, Aviación General binasının yanında. Dört binada 3.000 metrekarelik kapalı sergi ve dışarıda uçakların durduğu bahçeler var. Giriş ve ziyaretçilere ayrılmış iç otopark ücretsiz. Salı 10:00-20:00, çarşamba-pazar 10:00-14:00 açık; resmî tatillerde de açık, yalnızca 1 ve 6 Ocak, 24, 25 ve 31 Aralık kapalı.</t>
        </is>
      </c>
      <c r="G70" s="29" t="inlineStr">
        <is>
          <t>havacılık müzesi, uçak, havalimanı, ücretsiz müze, Churriana, Aena</t>
        </is>
      </c>
      <c r="H70" s="29" t="inlineStr">
        <is>
          <t>planning;new;settled</t>
        </is>
      </c>
      <c r="I70" s="29" t="inlineStr">
        <is>
          <t>malaga:kaynak:351</t>
        </is>
      </c>
      <c r="J70" s="49" t="n">
        <v>46322</v>
      </c>
      <c r="K70" s="51" t="n">
        <v>302</v>
      </c>
      <c r="L70" s="29" t="inlineStr">
        <is>
          <t>Hayır</t>
        </is>
      </c>
      <c r="M70" s="29" t="inlineStr">
        <is>
          <t>Taslak</t>
        </is>
      </c>
      <c r="N70" s="29" t="inlineStr">
        <is>
          <t>Müzeler</t>
        </is>
      </c>
      <c r="O70" s="29" t="inlineStr">
        <is>
          <t>Churriana</t>
        </is>
      </c>
      <c r="P70" s="29" t="inlineStr">
        <is>
          <t>Kapalı alan</t>
        </is>
      </c>
      <c r="Q70" s="29" t="inlineStr">
        <is>
          <t>Plaza Pierre Georges Latécoère. Málaga. Junto al edificio de Aviación General.</t>
        </is>
      </c>
      <c r="R70" s="50" t="n">
        <v>36.669971</v>
      </c>
      <c r="S70" s="50" t="n">
        <v>-4.481161</v>
      </c>
      <c r="T70" s="29" t="n"/>
      <c r="U70" s="29" t="inlineStr">
        <is>
          <t>Gezi rehbersiz; resepsiyonda harita veriyorlar ve tam gezi ortalama 90 dakika sürüyor. Uçakların içine yalnızca önceden duyurulan günlerde girilebiliyor, öteki günler dışarıdan görülüyor. Kafeterya yok, otomatlar var; yiyecek yalnızca ayrılmış dinlenme alanında tüketiliyor. EMT'nin A hattıyla son durağa gidip yaklaşık 20 dakika yürünüyor.</t>
        </is>
      </c>
      <c r="V70" s="29" t="inlineStr">
        <is>
          <t>Hayır</t>
        </is>
      </c>
      <c r="W70" s="29" t="n"/>
    </row>
    <row r="71" ht="54" customHeight="1">
      <c r="A71" s="29" t="inlineStr">
        <is>
          <t>malaga:museo-revello-de-toro</t>
        </is>
      </c>
      <c r="B71" s="29" t="inlineStr">
        <is>
          <t>malaga</t>
        </is>
      </c>
      <c r="C71" s="29" t="inlineStr">
        <is>
          <t>museo-revello-de-toro</t>
        </is>
      </c>
      <c r="D71" s="29" t="inlineStr">
        <is>
          <t>Museo Revello de Toro</t>
        </is>
      </c>
      <c r="E71" s="29" t="inlineStr">
        <is>
          <t>Ressam Félix Revello de Toro'ya ayrılmış müze; Calle Afligidos, Centro</t>
        </is>
      </c>
      <c r="F71" s="29" t="inlineStr">
        <is>
          <t>Müze, ressam Félix Revello de Toro'nun eserlerine ayrılmış; sitesinde eserler, geçici sergi salonu ve Pedro de Mena bölümü yer alıyor. Adres Calle Afligidos 5, 29015 Málaga; telefon 952 062 069. Salı-cumartesi 10:00-20:00, pazar ve tatillerde 10:00-14:00 açık; pazartesi kapalı. Genel giriş 4 €, yalnızca geçici sergi 2 €; 18 yaş altı ve 65 yaş üstü ile pazar günleri giriş ücretsiz; sesli rehber 2 €.</t>
        </is>
      </c>
      <c r="G71" s="29" t="inlineStr">
        <is>
          <t>Revello de Toro, ressam müzesi, Pedro de Mena, Centro, sanat</t>
        </is>
      </c>
      <c r="H71" s="29" t="inlineStr">
        <is>
          <t>planning;new;settled</t>
        </is>
      </c>
      <c r="I71" s="29" t="inlineStr">
        <is>
          <t>malaga:kaynak:352;malaga:kaynak:455</t>
        </is>
      </c>
      <c r="J71" s="49" t="n">
        <v>46322</v>
      </c>
      <c r="K71" s="51" t="n">
        <v>303</v>
      </c>
      <c r="L71" s="29" t="inlineStr">
        <is>
          <t>Hayır</t>
        </is>
      </c>
      <c r="M71" s="29" t="inlineStr">
        <is>
          <t>Taslak</t>
        </is>
      </c>
      <c r="N71" s="29" t="inlineStr">
        <is>
          <t>Müzeler</t>
        </is>
      </c>
      <c r="O71" s="29" t="inlineStr">
        <is>
          <t>Centro</t>
        </is>
      </c>
      <c r="P71" s="29" t="inlineStr">
        <is>
          <t>Kapalı alan</t>
        </is>
      </c>
      <c r="Q71" s="29" t="inlineStr">
        <is>
          <t>Calle Afligidos, 5. 29015 Málaga</t>
        </is>
      </c>
      <c r="R71" s="50" t="n">
        <v>36.720454</v>
      </c>
      <c r="S71" s="50" t="n">
        <v>-4.418385</v>
      </c>
      <c r="T71" s="29" t="n"/>
      <c r="U71" s="29" t="inlineStr">
        <is>
          <t>Pedro de Mena'nın casa-taller'i (atölye-ev), kütüphane, sergi salonları ve Pedro de Mena yorum merkezi var; yorum merkezinde etkileşimli bir masa ve on dakikalık bir belgesel gösteriliyor. 10 kişiden büyük gruplara müdür eşliğinde ücretsiz rehberli ziyaret yapılıyor. Yakınındaki otoparklar: Alcazaba, Plaza de la Marina, Malagueta, Camas, Tejón y Rodríguez.</t>
        </is>
      </c>
      <c r="V71" s="29" t="inlineStr">
        <is>
          <t>Hayır</t>
        </is>
      </c>
      <c r="W71" s="29" t="n"/>
    </row>
    <row r="72" ht="54" customHeight="1">
      <c r="A72" s="29" t="inlineStr">
        <is>
          <t>malaga:oxo-museo-videojuego</t>
        </is>
      </c>
      <c r="B72" s="29" t="inlineStr">
        <is>
          <t>malaga</t>
        </is>
      </c>
      <c r="C72" s="29" t="inlineStr">
        <is>
          <t>oxo-museo-videojuego</t>
        </is>
      </c>
      <c r="D72" s="29" t="inlineStr">
        <is>
          <t>OXO Museo del Videojuego</t>
        </is>
      </c>
      <c r="E72" s="29" t="inlineStr">
        <is>
          <t>Video oyunu müzesi; Plaza del Siglo, Centro</t>
        </is>
      </c>
      <c r="F72" s="29" t="inlineStr">
        <is>
          <t>Video oyunlarına ayrılmış müze, Plaza del Siglo 2'de (29015 Málaga). Her gün, pazartesiden pazara 11:00-22:00 arasında açık. Müze EMT otobüsü, metro, banliyö treni, il otobüsü ya da taksiyle ulaşılabilen merkezi bir noktada.</t>
        </is>
      </c>
      <c r="G72" s="29" t="inlineStr">
        <is>
          <t>video oyunu müzesi, OXO, retro oyun, Plaza del Siglo, Centro, aile</t>
        </is>
      </c>
      <c r="H72" s="29" t="inlineStr">
        <is>
          <t>planning;new;settled</t>
        </is>
      </c>
      <c r="I72" s="29" t="inlineStr">
        <is>
          <t>malaga:kaynak:353</t>
        </is>
      </c>
      <c r="J72" s="49" t="n">
        <v>46322</v>
      </c>
      <c r="K72" s="51" t="n">
        <v>304</v>
      </c>
      <c r="L72" s="29" t="inlineStr">
        <is>
          <t>Hayır</t>
        </is>
      </c>
      <c r="M72" s="29" t="inlineStr">
        <is>
          <t>Taslak</t>
        </is>
      </c>
      <c r="N72" s="29" t="inlineStr">
        <is>
          <t>Müzeler</t>
        </is>
      </c>
      <c r="O72" s="29" t="inlineStr">
        <is>
          <t>Centro</t>
        </is>
      </c>
      <c r="P72" s="29" t="inlineStr">
        <is>
          <t>Kapalı alan</t>
        </is>
      </c>
      <c r="Q72" s="29" t="inlineStr">
        <is>
          <t>Plaza del siglo, 2 29015 Málaga España</t>
        </is>
      </c>
      <c r="R72" s="50" t="n">
        <v>36.72142</v>
      </c>
      <c r="S72" s="50" t="n">
        <v>-4.42008</v>
      </c>
      <c r="T72" s="29" t="n"/>
      <c r="U72" s="29" t="inlineStr">
        <is>
          <t>Rehberli ziyaret isteyenler müzeyle iletişime geçiyor: malaga@oxomuseo.com ya da +34 951 28 18 97. Yakın otoparklar: Parking de la Marina, Parking Camas, Parking Tejón y Rodríguez.</t>
        </is>
      </c>
      <c r="V72" s="29" t="inlineStr">
        <is>
          <t>Hayır</t>
        </is>
      </c>
      <c r="W72" s="29" t="n"/>
    </row>
    <row r="73" ht="54" customHeight="1">
      <c r="A73" s="29" t="inlineStr">
        <is>
          <t>malaga:museo-artes-costumbres-populares</t>
        </is>
      </c>
      <c r="B73" s="29" t="inlineStr">
        <is>
          <t>malaga</t>
        </is>
      </c>
      <c r="C73" s="29" t="inlineStr">
        <is>
          <t>museo-artes-costumbres-populares</t>
        </is>
      </c>
      <c r="D73" s="29" t="inlineStr">
        <is>
          <t>Museo Fundación Unicaja de Artes y Costumbres Populares</t>
        </is>
      </c>
      <c r="E73" s="29" t="inlineStr">
        <is>
          <t>Malaga ve çevresinin halk kültürü müzesi; 17. yüzyıl Mesón de la Victoria binasında</t>
        </is>
      </c>
      <c r="F73" s="29" t="inlineStr">
        <is>
          <t>Müze, Málaga ve ilinin etnografyasını 18 sergi salonunda anlatıyor; öne çıkan koleksiyonlar Málaga çömlekleri, seramik, dokuma, demircilik ve halk dindarlığı eserleri. Adres Plaza Enrique García-Herrera 1, 29005 Málaga; hafta boyunca 10:00-14:00 ve 16:00-19:00, resmî tatillerde 10:00-14:00 açık. Yetişkin bileti 4 €, indirimli bilet 2 €, 14 yaşından küçükler ücretsiz.</t>
        </is>
      </c>
      <c r="G73" s="29" t="inlineStr">
        <is>
          <t>etnografya müzesi, halk sanatı, Málaga çömlekleri, Mesón de la Victoria, Fundación Unicaja, ücretsiz pazartesi</t>
        </is>
      </c>
      <c r="H73" s="29" t="inlineStr">
        <is>
          <t>planning;new;settled</t>
        </is>
      </c>
      <c r="I73" s="29" t="inlineStr">
        <is>
          <t>malaga:kaynak:354</t>
        </is>
      </c>
      <c r="J73" s="49" t="n">
        <v>46322</v>
      </c>
      <c r="K73" s="51" t="n">
        <v>305</v>
      </c>
      <c r="L73" s="29" t="inlineStr">
        <is>
          <t>Hayır</t>
        </is>
      </c>
      <c r="M73" s="29" t="inlineStr">
        <is>
          <t>Taslak</t>
        </is>
      </c>
      <c r="N73" s="29" t="inlineStr">
        <is>
          <t>Müzeler</t>
        </is>
      </c>
      <c r="O73" s="29" t="inlineStr">
        <is>
          <t>Centro</t>
        </is>
      </c>
      <c r="P73" s="29" t="inlineStr">
        <is>
          <t>Kapalı alan</t>
        </is>
      </c>
      <c r="Q73" s="29" t="inlineStr">
        <is>
          <t>Plaza Enrique García-Herrera, 1. 29005 Málaga</t>
        </is>
      </c>
      <c r="R73" s="50" t="n">
        <v>36.720222</v>
      </c>
      <c r="S73" s="50" t="n">
        <v>-4.422972</v>
      </c>
      <c r="T73" s="29" t="n"/>
      <c r="U73" s="29" t="inlineStr">
        <is>
          <t>Pazartesi 10:00-14:00 arası ziyaret ücretsiz. Rehberli ziyaretler randevuyla, 10-25 kişilik gruplarla yapılıyor ve giriş ücretine kişi başı 1 € ekleniyor; bilgi için 952217137.</t>
        </is>
      </c>
      <c r="V73" s="29" t="inlineStr">
        <is>
          <t>Hayır</t>
        </is>
      </c>
      <c r="W73" s="29" t="n"/>
    </row>
    <row r="74" ht="54" customHeight="1">
      <c r="A74" s="29" t="inlineStr">
        <is>
          <t>malaga:museo-automovilistico-moda-malaga</t>
        </is>
      </c>
      <c r="B74" s="29" t="inlineStr">
        <is>
          <t>malaga</t>
        </is>
      </c>
      <c r="C74" s="29" t="inlineStr">
        <is>
          <t>museo-automovilistico-moda-malaga</t>
        </is>
      </c>
      <c r="D74" s="29" t="inlineStr">
        <is>
          <t>Museo del Automóvil y la Moda de Málaga</t>
        </is>
      </c>
      <c r="E74" s="29" t="inlineStr">
        <is>
          <t>Otomobil ve moda müzesi; Tabacalera binasında, Avenida Sor Teresa Prat</t>
        </is>
      </c>
      <c r="F74" s="29" t="inlineStr">
        <is>
          <t>Müze, Tabacalera binasında, Avenida Sor Teresa Prat 15'te. Her gün 10:00-14:30 ve 16:00-19:00 arasında açık. Genel giriş 12 €, 65 yaş üstü 10 €, indirimli bilet 8 €; 0-5 yaş arası çocuklar ücretsiz.</t>
        </is>
      </c>
      <c r="G74" s="29" t="inlineStr">
        <is>
          <t>otomobil müzesi, moda müzesi, klasik arabalar, Tabacalera, aile, Málaga müzeleri</t>
        </is>
      </c>
      <c r="H74" s="29" t="inlineStr">
        <is>
          <t>planning;new;settled</t>
        </is>
      </c>
      <c r="I74" s="29" t="inlineStr">
        <is>
          <t>malaga:kaynak:355;malaga:kaynak:364</t>
        </is>
      </c>
      <c r="J74" s="49" t="n">
        <v>46322</v>
      </c>
      <c r="K74" s="51" t="n">
        <v>306</v>
      </c>
      <c r="L74" s="29" t="inlineStr">
        <is>
          <t>Hayır</t>
        </is>
      </c>
      <c r="M74" s="29" t="inlineStr">
        <is>
          <t>Taslak</t>
        </is>
      </c>
      <c r="N74" s="29" t="inlineStr">
        <is>
          <t>Müzeler</t>
        </is>
      </c>
      <c r="O74" s="29" t="inlineStr">
        <is>
          <t>Carretera de Cádiz</t>
        </is>
      </c>
      <c r="P74" s="29" t="inlineStr">
        <is>
          <t>Kapalı alan</t>
        </is>
      </c>
      <c r="Q74" s="29" t="inlineStr">
        <is>
          <t>Avenida Sor Teresa Prat, 15 (Edificio Tabacalera)</t>
        </is>
      </c>
      <c r="R74" s="50" t="n">
        <v>36.699787</v>
      </c>
      <c r="S74" s="50" t="n">
        <v>-4.438469</v>
      </c>
      <c r="T74" s="29" t="n"/>
      <c r="U74" s="29" t="inlineStr">
        <is>
          <t>Colección del Museo Ruso ile aynı Tabacalera binasında. İndirimli bilet engelli ziyaretçilere ve yardımcılarına, ICOM kartı sahiplerine, işsizlere, öğretmenlere, öğrencilere, Avrupa Gençlik Kartı sahiplerine, 15 kişiyi aşan gruplara ve kalabalık ailelere uygulanıyor. Sitede çevrimiçi bilet satışı var. 24 ve 31 Aralık ile 5 Ocak yalnızca 10:00-14:30 açık.</t>
        </is>
      </c>
      <c r="V74" s="29" t="inlineStr">
        <is>
          <t>Hayır</t>
        </is>
      </c>
      <c r="W74" s="29" t="n"/>
    </row>
    <row r="75" ht="54" customHeight="1">
      <c r="A75" s="29" t="inlineStr">
        <is>
          <t>malaga:museo-arte-flamenco-juan-breva</t>
        </is>
      </c>
      <c r="B75" s="29" t="inlineStr">
        <is>
          <t>malaga</t>
        </is>
      </c>
      <c r="C75" s="29" t="inlineStr">
        <is>
          <t>museo-arte-flamenco-juan-breva</t>
        </is>
      </c>
      <c r="D75" s="29" t="inlineStr">
        <is>
          <t>Museo de Arte Flamenco Juan Breva</t>
        </is>
      </c>
      <c r="E75" s="29" t="inlineStr">
        <is>
          <t>Peña Juan Breva'nın flamenko sanatı müzesi; Calle Ramón Franquelo, Centro</t>
        </is>
      </c>
      <c r="F75" s="29" t="inlineStr">
        <is>
          <t>Peña Juan Breva'nın C/ Ramón Franquelo 4'teki müzesi 1973'te açıldı; iki katta 5.000'den fazla parça sergileniyor: Manila şalları, bata de cola'lar, resim ve heykel gibi flamenkoyla ilgili sanat eserleri, luthier'i ya da sahibi nedeniyle değerli yirmiden fazla gitar (Juan Breva'nın gitarlarından biri dahil) ve 2.500'den fazla parçalık plak, silindir, kaset ve CD koleksiyonu. Pazartesi-cumartesi 10:00-14:00 açık. Giriş bağışla: yetişkin 3 €, 10 kişiden büyük gruplar kişi başı 2 €, reşit olmayanlar 1 €; 9 yaş altı ve üyeler ücretsiz. Telefon 952 22 13 80.</t>
        </is>
      </c>
      <c r="G75" s="29" t="inlineStr">
        <is>
          <t>flamenko, Juan Breva, peña, cante, Centro</t>
        </is>
      </c>
      <c r="H75" s="29" t="inlineStr">
        <is>
          <t>planning;new;settled</t>
        </is>
      </c>
      <c r="I75" s="29" t="inlineStr">
        <is>
          <t>malaga:kaynak:454;malaga:kaynak:357</t>
        </is>
      </c>
      <c r="J75" s="49" t="n">
        <v>46322</v>
      </c>
      <c r="K75" s="51" t="n">
        <v>307</v>
      </c>
      <c r="L75" s="29" t="inlineStr">
        <is>
          <t>Hayır</t>
        </is>
      </c>
      <c r="M75" s="29" t="inlineStr">
        <is>
          <t>Taslak</t>
        </is>
      </c>
      <c r="N75" s="29" t="inlineStr">
        <is>
          <t>Müzeler</t>
        </is>
      </c>
      <c r="O75" s="29" t="inlineStr">
        <is>
          <t>Centro</t>
        </is>
      </c>
      <c r="P75" s="29" t="inlineStr">
        <is>
          <t>Kapalı alan</t>
        </is>
      </c>
      <c r="Q75" s="29" t="inlineStr">
        <is>
          <t>C/Ramón Franquelo, 4. Málaga</t>
        </is>
      </c>
      <c r="R75" s="50" t="n">
        <v>36.72306</v>
      </c>
      <c r="S75" s="50" t="n">
        <v>-4.41918</v>
      </c>
      <c r="T75" s="29" t="n"/>
      <c r="U75" s="29" t="inlineStr">
        <is>
          <t>Bağış; müzenin bakım, elektrik, temizlik ve kaza halinde sorumluluk sigortası giderlerine ve flamenko sanatının tanıtımına ayrılıyor.</t>
        </is>
      </c>
      <c r="V75" s="29" t="inlineStr">
        <is>
          <t>Hayır</t>
        </is>
      </c>
      <c r="W75" s="29" t="n"/>
    </row>
    <row r="76" ht="54" customHeight="1">
      <c r="A76" s="29" t="inlineStr">
        <is>
          <t>malaga:museo-de-malaga-palacio-aduana</t>
        </is>
      </c>
      <c r="B76" s="29" t="inlineStr">
        <is>
          <t>malaga</t>
        </is>
      </c>
      <c r="C76" s="29" t="inlineStr">
        <is>
          <t>museo-de-malaga-palacio-aduana</t>
        </is>
      </c>
      <c r="D76" s="29" t="inlineStr">
        <is>
          <t>Museo de Málaga (Palacio de la Aduana)</t>
        </is>
      </c>
      <c r="E76" s="29" t="inlineStr">
        <is>
          <t>Palacio de la Aduana binasındaki Málaga müzesi; Centro</t>
        </is>
      </c>
      <c r="F76" s="29" t="inlineStr">
        <is>
          <t>Müze, Plaza Aduana s/n, 29015 Málaga adresindeki Palacio de la Aduana'da. Salı-cumartesi 09:00-21:00, pazar ve resmî tatiller 09:00-15:00 açık; pazartesi kapalı; tatil arifesine denk gelen pazartesiler tatil saatleriyle (09:00-15:00) açık. Kimliğiyle kanıtlanmış AB vatandaşları için giriş ücretsiz, öteki uyruklar 1,50 € ödüyor.</t>
        </is>
      </c>
      <c r="G76" s="29" t="inlineStr">
        <is>
          <t>Museo de Málaga, Palacio de la Aduana, müze, AB vatandaşı ücretsiz, Centro</t>
        </is>
      </c>
      <c r="H76" s="29" t="inlineStr">
        <is>
          <t>planning;new;settled</t>
        </is>
      </c>
      <c r="I76" s="29" t="inlineStr">
        <is>
          <t>malaga:kaynak:280</t>
        </is>
      </c>
      <c r="J76" s="49" t="n">
        <v>46322</v>
      </c>
      <c r="K76" s="51" t="n">
        <v>308</v>
      </c>
      <c r="L76" s="29" t="inlineStr">
        <is>
          <t>Hayır</t>
        </is>
      </c>
      <c r="M76" s="29" t="inlineStr">
        <is>
          <t>Taslak</t>
        </is>
      </c>
      <c r="N76" s="29" t="inlineStr">
        <is>
          <t>Müzeler</t>
        </is>
      </c>
      <c r="O76" s="29" t="inlineStr">
        <is>
          <t>Centro</t>
        </is>
      </c>
      <c r="P76" s="29" t="inlineStr">
        <is>
          <t>Kapalı alan</t>
        </is>
      </c>
      <c r="Q76" s="29" t="inlineStr">
        <is>
          <t>Plaza Aduana s/n, 29015 Málaga</t>
        </is>
      </c>
      <c r="R76" s="50" t="n">
        <v>36.719899</v>
      </c>
      <c r="S76" s="50" t="n">
        <v>-4.417131</v>
      </c>
      <c r="T76" s="29" t="n"/>
      <c r="U76" s="29" t="inlineStr">
        <is>
          <t>Grup ziyareti 10 kişiden başlıyor, grup en fazla 30 kişi olabiliyor ve ziyaretler rehberli değil. Bagaj emanet, kafeterya, emzirme odası ve tekerlekli sandalye hizmeti var; sandalye için gişeye ya da görevlilere başvuruluyor. 1 ve 6 Ocak, 1 Mayıs, 24, 25 ve 31 Aralık kapalı.</t>
        </is>
      </c>
      <c r="V76" s="29" t="inlineStr">
        <is>
          <t>Hayır</t>
        </is>
      </c>
      <c r="W76" s="29" t="n"/>
    </row>
    <row r="77" ht="54" customHeight="1">
      <c r="A77" s="29" t="inlineStr">
        <is>
          <t>malaga:mimma-museo-interactivo-musica</t>
        </is>
      </c>
      <c r="B77" s="29" t="inlineStr">
        <is>
          <t>malaga</t>
        </is>
      </c>
      <c r="C77" s="29" t="inlineStr">
        <is>
          <t>mimma-museo-interactivo-musica</t>
        </is>
      </c>
      <c r="D77" s="29" t="inlineStr">
        <is>
          <t>MIMMA Museo Interactivo de la Música</t>
        </is>
      </c>
      <c r="E77" s="29" t="inlineStr">
        <is>
          <t>Etkileşimli müzik müzesi; Palacio Conde de las Navas, Calle Beatas, Centro</t>
        </is>
      </c>
      <c r="F77" s="29" t="inlineStr">
        <is>
          <t>Müze Palacio Conde de las Navas'ta, Calle Beatas 15'te (29008 Málaga). Kalıcı koleksiyon farklı dönem ve kültürlerin müziğini, enstrümanları ve nesneleriyle tanıtıyor. Kış saatleri (7 Eylül-24 Haziran): pazartesi 10:00-16:00, salı-pazar 10:00-19:00.</t>
        </is>
      </c>
      <c r="G77" s="29" t="inlineStr">
        <is>
          <t>müzik müzesi, MIMMA, enstrüman, etkileşimli müze, aile, Calle Beatas</t>
        </is>
      </c>
      <c r="H77" s="29" t="inlineStr">
        <is>
          <t>planning;new;settled</t>
        </is>
      </c>
      <c r="I77" s="29" t="inlineStr">
        <is>
          <t>malaga:kaynak:358</t>
        </is>
      </c>
      <c r="J77" s="49" t="n">
        <v>46322</v>
      </c>
      <c r="K77" s="51" t="n">
        <v>309</v>
      </c>
      <c r="L77" s="29" t="inlineStr">
        <is>
          <t>Hayır</t>
        </is>
      </c>
      <c r="M77" s="29" t="inlineStr">
        <is>
          <t>Taslak</t>
        </is>
      </c>
      <c r="N77" s="29" t="inlineStr">
        <is>
          <t>Müzeler</t>
        </is>
      </c>
      <c r="O77" s="29" t="inlineStr">
        <is>
          <t>Centro</t>
        </is>
      </c>
      <c r="P77" s="29" t="inlineStr">
        <is>
          <t>Kapalı alan</t>
        </is>
      </c>
      <c r="Q77" s="29" t="inlineStr">
        <is>
          <t>Palacio Conde de las Navas, Calle Beatas, 15, 29008 Málaga, España</t>
        </is>
      </c>
      <c r="R77" s="50" t="n">
        <v>36.723361</v>
      </c>
      <c r="S77" s="50" t="n">
        <v>-4.419667</v>
      </c>
      <c r="T77" s="29" t="n"/>
      <c r="U77" s="29" t="inlineStr">
        <is>
          <t>Yaz saatleri (25 Haziran-6 Eylül): pazartesi 10:30-16:00, salı-pazar 10:30-19:30. Gişe kapanıştan 30 dakika önce kapanıyor; salonların boşaltılması kapanıştan 10 dakika önce başlıyor. Telefon +34 952 210 440.</t>
        </is>
      </c>
      <c r="V77" s="29" t="inlineStr">
        <is>
          <t>Hayır</t>
        </is>
      </c>
      <c r="W77" s="29" t="n"/>
    </row>
    <row r="78" ht="54" customHeight="1">
      <c r="A78" s="29" t="inlineStr">
        <is>
          <t>malaga:casa-gerald-brenan</t>
        </is>
      </c>
      <c r="B78" s="29" t="inlineStr">
        <is>
          <t>malaga</t>
        </is>
      </c>
      <c r="C78" s="29" t="inlineStr">
        <is>
          <t>casa-gerald-brenan</t>
        </is>
      </c>
      <c r="D78" s="29" t="inlineStr">
        <is>
          <t>Casa Gerald Brenan</t>
        </is>
      </c>
      <c r="E78" s="29" t="inlineStr">
        <is>
          <t>Hispanist Gerald Brenan'ın adını taşıyan kültür buluşma merkezi; Churriana</t>
        </is>
      </c>
      <c r="F78" s="29" t="inlineStr">
        <is>
          <t>Casa Gerald Brenan, Churriana'daki Calle Torremolinos 56'da, Málaga belediyesinin tesis sayfasında kültürel buluşma merkezi olarak tanıtılıyor. Merkezde edebiyat, müzik ve plastik sanatlar etkinlikleri planlanıyor. Çarşamba ve perşembe 16:00-21:00, cuma 11:00-14:00 ve 16:00-21:00 açık.</t>
        </is>
      </c>
      <c r="G78" s="29" t="inlineStr">
        <is>
          <t>Gerald Brenan, kültür merkezi, Churriana, edebiyat, kütüphane, Bloomsbury</t>
        </is>
      </c>
      <c r="H78" s="29" t="inlineStr">
        <is>
          <t>planning;new;settled</t>
        </is>
      </c>
      <c r="I78" s="29" t="inlineStr">
        <is>
          <t>malaga:kaynak:359</t>
        </is>
      </c>
      <c r="J78" s="49" t="n">
        <v>46322</v>
      </c>
      <c r="K78" s="51" t="n">
        <v>310</v>
      </c>
      <c r="L78" s="29" t="inlineStr">
        <is>
          <t>Hayır</t>
        </is>
      </c>
      <c r="M78" s="29" t="inlineStr">
        <is>
          <t>Taslak</t>
        </is>
      </c>
      <c r="N78" s="29" t="inlineStr">
        <is>
          <t>Müzeler</t>
        </is>
      </c>
      <c r="O78" s="29" t="inlineStr">
        <is>
          <t>Churriana</t>
        </is>
      </c>
      <c r="P78" s="29" t="inlineStr">
        <is>
          <t>Karma</t>
        </is>
      </c>
      <c r="Q78" s="29" t="inlineStr">
        <is>
          <t>Calle Torremolinos, 56</t>
        </is>
      </c>
      <c r="R78" s="50" t="n">
        <v>36.66483</v>
      </c>
      <c r="S78" s="50" t="n">
        <v>-4.50465</v>
      </c>
      <c r="T78" s="29" t="n"/>
      <c r="U78" s="29" t="inlineStr">
        <is>
          <t>Klasik bir müze evi değil; ama Brenan'ın ortamını yeniden kuran, kendi kitaplığından kitapların ve eski fotoğrafların bulunduğu bir oda var. Binada hareket engelli ziyaretçiler için erişim yok. Telefon 951926196.</t>
        </is>
      </c>
      <c r="V78" s="29" t="inlineStr">
        <is>
          <t>Hayır</t>
        </is>
      </c>
      <c r="W78" s="29" t="n"/>
    </row>
    <row r="79" ht="54" customHeight="1">
      <c r="A79" s="29" t="inlineStr">
        <is>
          <t>malaga:museum-jorge-rando</t>
        </is>
      </c>
      <c r="B79" s="29" t="inlineStr">
        <is>
          <t>malaga</t>
        </is>
      </c>
      <c r="C79" s="29" t="inlineStr">
        <is>
          <t>museum-jorge-rando</t>
        </is>
      </c>
      <c r="D79" s="29" t="inlineStr">
        <is>
          <t>Museum Jorge Rando</t>
        </is>
      </c>
      <c r="E79" s="29" t="inlineStr">
        <is>
          <t>Ressam Jorge Rando'nun müzesi; Cruz del Molinillo, Centro</t>
        </is>
      </c>
      <c r="F79" s="29" t="inlineStr">
        <is>
          <t>Müze C/ Cruz del Molinillo 12'de (29013 Málaga) ve giriş ücretsiz. Pazartesi-cuma 10:00-14:00 ve 16:00-20:00, cumartesi 10:00-14:00 açık; pazar kapalı. Haziranın ilk günü ile 30 Eylül arasındaki yaz saatlerinde öğleden sonra 17:00-21:00.</t>
        </is>
      </c>
      <c r="G79" s="29" t="inlineStr">
        <is>
          <t>Jorge Rando, ekspresyonizm, sanat müzesi, ücretsiz müze, Cruz del Molinillo</t>
        </is>
      </c>
      <c r="H79" s="29" t="inlineStr">
        <is>
          <t>planning;new;settled</t>
        </is>
      </c>
      <c r="I79" s="29" t="inlineStr">
        <is>
          <t>malaga:kaynak:360</t>
        </is>
      </c>
      <c r="J79" s="49" t="n">
        <v>46322</v>
      </c>
      <c r="K79" s="51" t="n">
        <v>311</v>
      </c>
      <c r="L79" s="29" t="inlineStr">
        <is>
          <t>Hayır</t>
        </is>
      </c>
      <c r="M79" s="29" t="inlineStr">
        <is>
          <t>Taslak</t>
        </is>
      </c>
      <c r="N79" s="29" t="inlineStr">
        <is>
          <t>Müzeler</t>
        </is>
      </c>
      <c r="O79" s="29" t="inlineStr">
        <is>
          <t>Centro</t>
        </is>
      </c>
      <c r="P79" s="29" t="inlineStr">
        <is>
          <t>Kapalı alan</t>
        </is>
      </c>
      <c r="Q79" s="29" t="inlineStr">
        <is>
          <t>C/ Cruz del Molinillo, 12 (29013) Málaga</t>
        </is>
      </c>
      <c r="R79" s="50" t="n">
        <v>36.726786</v>
      </c>
      <c r="S79" s="50" t="n">
        <v>-4.423791</v>
      </c>
      <c r="T79" s="29" t="n"/>
      <c r="U79" s="29" t="inlineStr">
        <is>
          <t>Calle Larios'tan yaklaşık 10 dakikada ulaşılıyor, bisiklet yoluyla da gelinebiliyor. Otobüs hatları: C1, C2, 1, 2, 26, 30, 36 ve 6. 25 Aralık, 1 Ocak ve 6 Ocak kapalı; 24 Aralık, 31 Aralık ve 5 Ocak yalnızca 10:00-14:00 açık.</t>
        </is>
      </c>
      <c r="V79" s="29" t="inlineStr">
        <is>
          <t>Hayır</t>
        </is>
      </c>
      <c r="W79" s="29" t="n"/>
    </row>
    <row r="80" ht="54" customHeight="1">
      <c r="A80" s="29" t="inlineStr">
        <is>
          <t>malaga:museo-picasso-malaga</t>
        </is>
      </c>
      <c r="B80" s="29" t="inlineStr">
        <is>
          <t>malaga</t>
        </is>
      </c>
      <c r="C80" s="29" t="inlineStr">
        <is>
          <t>museo-picasso-malaga</t>
        </is>
      </c>
      <c r="D80" s="29" t="inlineStr">
        <is>
          <t>Museo Picasso Málaga</t>
        </is>
      </c>
      <c r="E80" s="29" t="inlineStr">
        <is>
          <t>Pablo Picasso müzesi; Palacio de Buenavista, Centro</t>
        </is>
      </c>
      <c r="F80" s="29" t="inlineStr">
        <is>
          <t>Müze Palacio de Buenavista'da, Calle San Agustín 8'de (29015 Málaga); Katedral, Alcazaba ve Roma Tiyatrosu'na çok yakın. Her gün açık; mart-haziran ve eylül-ekim 10:00-19:00, temmuz-ağustos 10:00-20:00, kasım-şubat 10:00-18:00. Bilet 13 €, indirimli 11 € ve biletle birlikte telefondan kullanılan sesli rehber geliyor.</t>
        </is>
      </c>
      <c r="G80" s="29" t="inlineStr">
        <is>
          <t>Picasso, Museo Picasso Málaga, Palacio de Buenavista, sanat müzesi, ücretsiz pazar, Centro</t>
        </is>
      </c>
      <c r="H80" s="29" t="inlineStr">
        <is>
          <t>planning;new;settled</t>
        </is>
      </c>
      <c r="I80" s="29" t="inlineStr">
        <is>
          <t>malaga:kaynak:361</t>
        </is>
      </c>
      <c r="J80" s="49" t="n">
        <v>46322</v>
      </c>
      <c r="K80" s="51" t="n">
        <v>312</v>
      </c>
      <c r="L80" s="29" t="inlineStr">
        <is>
          <t>Evet</t>
        </is>
      </c>
      <c r="M80" s="29" t="inlineStr">
        <is>
          <t>Taslak</t>
        </is>
      </c>
      <c r="N80" s="29" t="inlineStr">
        <is>
          <t>Sanat ve sergiler</t>
        </is>
      </c>
      <c r="O80" s="29" t="inlineStr">
        <is>
          <t>Centro</t>
        </is>
      </c>
      <c r="P80" s="29" t="inlineStr">
        <is>
          <t>Kapalı alan</t>
        </is>
      </c>
      <c r="Q80" s="29" t="inlineStr">
        <is>
          <t>Palacio de Buenavista, Calle San Agustín, 8, 29015 Málaga. España</t>
        </is>
      </c>
      <c r="R80" s="50" t="n">
        <v>36.721771</v>
      </c>
      <c r="S80" s="50" t="n">
        <v>-4.41847</v>
      </c>
      <c r="T80" s="29" t="n"/>
      <c r="U80" s="29" t="inlineStr">
        <is>
          <t>Pazar günleri kapanıştan önceki son iki saat, 28 Şubat, 18 Mayıs, 27 Eylül ve 27 Ekim herkese ücretsiz (gişe yarım saat önce kapanıyor). 25 Aralık, 1 ve 6 Ocak kapalı; 24 ve 31 Aralık ile 5 Ocak 10:00-15:00. Müze bahçesi, kafeterya ve mağaza var.</t>
        </is>
      </c>
      <c r="V80" s="29" t="inlineStr">
        <is>
          <t>Hayır</t>
        </is>
      </c>
      <c r="W80" s="29" t="n"/>
    </row>
    <row r="81" ht="54" customHeight="1">
      <c r="A81" s="29" t="inlineStr">
        <is>
          <t>malaga:museo-carmen-thyssen-malaga</t>
        </is>
      </c>
      <c r="B81" s="29" t="inlineStr">
        <is>
          <t>malaga</t>
        </is>
      </c>
      <c r="C81" s="29" t="inlineStr">
        <is>
          <t>museo-carmen-thyssen-malaga</t>
        </is>
      </c>
      <c r="D81" s="29" t="inlineStr">
        <is>
          <t>Museo Carmen Thyssen Málaga</t>
        </is>
      </c>
      <c r="E81" s="29" t="inlineStr">
        <is>
          <t>Sanat müzesi; Plaza Carmen Thyssen, Calle Compañía, Centro</t>
        </is>
      </c>
      <c r="F81" s="29" t="inlineStr">
        <is>
          <t>Müze Plaza Carmen Thyssen'de, C/Compañía 10'da (29008 Málaga). Salı-pazar 10:00-20:00 açık, pazartesi kapalı. Tek giriş genel 12 €, indirimli 8 €; yacimiento (arkeolojik alan) ziyaretiyle birlikte 15 € ve 10 €.</t>
        </is>
      </c>
      <c r="G81" s="29" t="inlineStr">
        <is>
          <t>Carmen Thyssen, sanat müzesi, rehberli tur, Calle Compañía, Centro</t>
        </is>
      </c>
      <c r="H81" s="29" t="inlineStr">
        <is>
          <t>planning;new;settled</t>
        </is>
      </c>
      <c r="I81" s="29" t="inlineStr">
        <is>
          <t>malaga:kaynak:362</t>
        </is>
      </c>
      <c r="J81" s="49" t="n">
        <v>46322</v>
      </c>
      <c r="K81" s="51" t="n">
        <v>313</v>
      </c>
      <c r="L81" s="29" t="inlineStr">
        <is>
          <t>Hayır</t>
        </is>
      </c>
      <c r="M81" s="29" t="inlineStr">
        <is>
          <t>Taslak</t>
        </is>
      </c>
      <c r="N81" s="29" t="inlineStr">
        <is>
          <t>Sanat ve sergiler</t>
        </is>
      </c>
      <c r="O81" s="29" t="inlineStr">
        <is>
          <t>Centro</t>
        </is>
      </c>
      <c r="P81" s="29" t="inlineStr">
        <is>
          <t>Kapalı alan</t>
        </is>
      </c>
      <c r="Q81" s="29" t="inlineStr">
        <is>
          <t>Plaza Carmen Thyssen, C/Compañía, 10, 29008 Málaga</t>
        </is>
      </c>
      <c r="R81" s="50" t="n">
        <v>36.721389</v>
      </c>
      <c r="S81" s="50" t="n">
        <v>-4.422778</v>
      </c>
      <c r="T81" s="29" t="n"/>
      <c r="U81" s="29" t="inlineStr">
        <is>
          <t>Müzede uzman rehberlerle farklı dillerde rehberli turlar yapılıyor; turlar kalıcı koleksiyonu, geçici sergileri ve konulu rotaları tanıtıyor. Grup bileti kişi başı 10 €, yacimiento ile birlikte kişi başı 12 €.</t>
        </is>
      </c>
      <c r="V81" s="29" t="inlineStr">
        <is>
          <t>Hayır</t>
        </is>
      </c>
      <c r="W81" s="29" t="n"/>
    </row>
    <row r="82" ht="54" customHeight="1">
      <c r="A82" s="29" t="inlineStr">
        <is>
          <t>malaga:centre-pompidou-malaga</t>
        </is>
      </c>
      <c r="B82" s="29" t="inlineStr">
        <is>
          <t>malaga</t>
        </is>
      </c>
      <c r="C82" s="29" t="inlineStr">
        <is>
          <t>centre-pompidou-malaga</t>
        </is>
      </c>
      <c r="D82" s="29" t="inlineStr">
        <is>
          <t>Centre Pompidou Málaga</t>
        </is>
      </c>
      <c r="E82" s="29" t="inlineStr">
        <is>
          <t>Çağdaş sanat merkezi; Muelle Uno limanında "El Cubo" binasında</t>
        </is>
      </c>
      <c r="F82" s="29" t="inlineStr">
        <is>
          <t>Merkez, Muelle Uno liman bölgesinde El Cubo binasında, Pasaje Doctor Carrillo Casaux s/n (29016 Málaga). Salı hariç her gün 09:30-20:00 açık; salı günleri, 25 Aralık ve 1 Ocak kapalı; ama tatile denk gelen salılar ve tatil arifeleri açık. 24 ve 31 Aralık 15:00'e kadar açık (son giriş 14:30). Genel giriş 9 €, indirimli 5,50 €; yalnızca yarı kalıcı sergi 7 €, yalnızca geçici sergi 4 €.</t>
        </is>
      </c>
      <c r="G82" s="29" t="inlineStr">
        <is>
          <t>Pompidou, çağdaş sanat, Muelle Uno, liman, sanat müzesi, ücretsiz pazar</t>
        </is>
      </c>
      <c r="H82" s="29" t="inlineStr">
        <is>
          <t>planning;new;settled</t>
        </is>
      </c>
      <c r="I82" s="29" t="inlineStr">
        <is>
          <t>malaga:kaynak:363</t>
        </is>
      </c>
      <c r="J82" s="49" t="n">
        <v>46322</v>
      </c>
      <c r="K82" s="51" t="n">
        <v>314</v>
      </c>
      <c r="L82" s="29" t="inlineStr">
        <is>
          <t>Evet</t>
        </is>
      </c>
      <c r="M82" s="29" t="inlineStr">
        <is>
          <t>Taslak</t>
        </is>
      </c>
      <c r="N82" s="29" t="inlineStr">
        <is>
          <t>Sanat ve sergiler</t>
        </is>
      </c>
      <c r="O82" s="29" t="inlineStr">
        <is>
          <t>Centro</t>
        </is>
      </c>
      <c r="P82" s="29" t="inlineStr">
        <is>
          <t>Kapalı alan</t>
        </is>
      </c>
      <c r="Q82" s="29" t="inlineStr">
        <is>
          <t>Pasaje Doctor Carrillo Casaux, s/n 29016, Muelle Uno, Puerto de Málaga</t>
        </is>
      </c>
      <c r="R82" s="50" t="n">
        <v>36.71898</v>
      </c>
      <c r="S82" s="50" t="n">
        <v>-4.412545</v>
      </c>
      <c r="T82" s="29" t="n"/>
      <c r="U82" s="29" t="inlineStr">
        <is>
          <t>Pazar günleri 16:00'dan kapanışa kadar herkese ücretsiz; 18 Mayıs, 27 Eylül ve mayısta bir cumartesi yapılan Noche en Blanco gecesi de ücretsiz. Çevrimiçi satışta 0,30 € işlem bedeli alınıyor. Sesli rehber ücretsiz; yardım köpekleri dışında hayvan, yiyecek ve içecek, mayo ve şemsiye dahil sivri nesnelerle girilmiyor.</t>
        </is>
      </c>
      <c r="V82" s="29" t="inlineStr">
        <is>
          <t>Hayır</t>
        </is>
      </c>
      <c r="W82" s="29" t="n"/>
    </row>
    <row r="83" ht="54" customHeight="1">
      <c r="A83" s="29" t="inlineStr">
        <is>
          <t>malaga:coleccion-museo-ruso-malaga</t>
        </is>
      </c>
      <c r="B83" s="29" t="inlineStr">
        <is>
          <t>malaga</t>
        </is>
      </c>
      <c r="C83" s="29" t="inlineStr">
        <is>
          <t>coleccion-museo-ruso-malaga</t>
        </is>
      </c>
      <c r="D83" s="29" t="inlineStr">
        <is>
          <t>Colección del Museo Ruso San Petersburgo Málaga</t>
        </is>
      </c>
      <c r="E83" s="29" t="inlineStr">
        <is>
          <t>Rus sanatı koleksiyonu müzesi; Tabacalera binasında, Carretera de Cádiz</t>
        </is>
      </c>
      <c r="F83" s="29" t="inlineStr">
        <is>
          <t>Koleksiyon, eski Real Fábrica de Tabacos binasında (yerel adıyla La Tabacalera), Avenida Sor Teresa Prat 15'te. Salı-pazar 09:30-20:00 açık (tatillerde de); pazartesi (tatile denk gelen pazartesiler ve olağanüstü açılışlar hariç), 25 Aralık ve 1 Ocak kapalı; 24 ve 31 Aralık 15:00'e kadar açık (son giriş 14:30). Koleksiyon bileti 4 €, indirimli 2,50 €; MEET sergi alanı biletiyle birleşik bilet 8 € ve 4 €.</t>
        </is>
      </c>
      <c r="G83" s="29" t="inlineStr">
        <is>
          <t>Rus Müzesi, Tabacalera, MEET, sanat müzesi, Carretera de Cádiz, ücretsiz pazar</t>
        </is>
      </c>
      <c r="H83" s="29" t="inlineStr">
        <is>
          <t>planning;new;settled</t>
        </is>
      </c>
      <c r="I83" s="29" t="inlineStr">
        <is>
          <t>malaga:kaynak:364</t>
        </is>
      </c>
      <c r="J83" s="49" t="n">
        <v>46322</v>
      </c>
      <c r="K83" s="51" t="n">
        <v>315</v>
      </c>
      <c r="L83" s="29" t="inlineStr">
        <is>
          <t>Hayır</t>
        </is>
      </c>
      <c r="M83" s="29" t="inlineStr">
        <is>
          <t>Taslak</t>
        </is>
      </c>
      <c r="N83" s="29" t="inlineStr">
        <is>
          <t>Sanat ve sergiler</t>
        </is>
      </c>
      <c r="O83" s="29" t="inlineStr">
        <is>
          <t>Carretera de Cádiz</t>
        </is>
      </c>
      <c r="P83" s="29" t="inlineStr">
        <is>
          <t>Kapalı alan</t>
        </is>
      </c>
      <c r="Q83" s="29" t="inlineStr">
        <is>
          <t>Avenida Sor Teresa Prat, nº 15 Edificio de Tabacalera. 29003 Málaga</t>
        </is>
      </c>
      <c r="R83" s="50" t="n">
        <v>36.699128</v>
      </c>
      <c r="S83" s="50" t="n">
        <v>-4.438498</v>
      </c>
      <c r="T83" s="29" t="n"/>
      <c r="U83" s="29" t="inlineStr">
        <is>
          <t>Pazar günleri 16:00'dan kapanışa kadar herkese ücretsiz; Noche en Blanco (mayısta değişken bir cumartesi), 18 Mayıs ve 27 Eylül de ücretsiz. 18 yaş altı, işsizler, Avrupa Gençlik Kartı sahipleri, engelliler, Sanat Tarihi ve Güzel Sanatlar öğretim üyeleri ve öğrencileri, müze çalışanları, ICOM üyeleri, rehberler ve basın kartı sahipleri her zaman ücretsiz. Üç müzeyi bir hafta kapsayan Bono Arte Xperience 16,50 € (indirimli 9,50 €). Girişte sesli rehber ücretsiz, kafeterya 10:30-16:00 açık (19 Temmuz-19 Ağustos arası kapalı) ve bahçede terası var.</t>
        </is>
      </c>
      <c r="V83" s="29" t="inlineStr">
        <is>
          <t>Hayır</t>
        </is>
      </c>
      <c r="W83" s="29" t="n"/>
    </row>
    <row r="84" ht="54" customHeight="1">
      <c r="A84" s="29" t="inlineStr">
        <is>
          <t>malaga:la-termica</t>
        </is>
      </c>
      <c r="B84" s="29" t="inlineStr">
        <is>
          <t>malaga</t>
        </is>
      </c>
      <c r="C84" s="29" t="inlineStr">
        <is>
          <t>la-termica</t>
        </is>
      </c>
      <c r="D84" s="29" t="inlineStr">
        <is>
          <t>La Térmica</t>
        </is>
      </c>
      <c r="E84" s="29" t="inlineStr">
        <is>
          <t>Diputación de Málaga'nın kültür alanı; sergi salonları ve bahçeler, Carretera de Cádiz</t>
        </is>
      </c>
      <c r="F84" s="29" t="inlineStr">
        <is>
          <t>Kültür merkezi Avenida de los Guindos 48'de (29004 Málaga). Sergi salonları pazartesi-cuma 10:00-14:00 ve 16:00-20:00, cumartesi, pazar ve resmî tatillerde 10:00-15:00 açık. Telefon +34 952 069 100.</t>
        </is>
      </c>
      <c r="G84" s="29" t="inlineStr">
        <is>
          <t>La Térmica, kültür merkezi, sergi, bahçe, evcil hayvan dostu, Diputación de Málaga</t>
        </is>
      </c>
      <c r="H84" s="29" t="inlineStr">
        <is>
          <t>planning;new;settled</t>
        </is>
      </c>
      <c r="I84" s="29" t="inlineStr">
        <is>
          <t>malaga:kaynak:365</t>
        </is>
      </c>
      <c r="J84" s="49" t="n">
        <v>46322</v>
      </c>
      <c r="K84" s="51" t="n">
        <v>316</v>
      </c>
      <c r="L84" s="29" t="inlineStr">
        <is>
          <t>Hayır</t>
        </is>
      </c>
      <c r="M84" s="29" t="inlineStr">
        <is>
          <t>Taslak</t>
        </is>
      </c>
      <c r="N84" s="29" t="inlineStr">
        <is>
          <t>Sanat ve sergiler</t>
        </is>
      </c>
      <c r="O84" s="29" t="inlineStr">
        <is>
          <t>Carretera de Cádiz</t>
        </is>
      </c>
      <c r="P84" s="29" t="inlineStr">
        <is>
          <t>Karma</t>
        </is>
      </c>
      <c r="Q84" s="29" t="inlineStr">
        <is>
          <t>Avenida de los Guindos, 48. 29004. Málaga.</t>
        </is>
      </c>
      <c r="R84" s="50" t="n">
        <v>36.689472</v>
      </c>
      <c r="S84" s="50" t="n">
        <v>-4.445344</v>
      </c>
      <c r="T84" s="29" t="n"/>
      <c r="U84" s="29" t="inlineStr">
        <is>
          <t>Bahçeler ve dış alanlar evcil hayvanlı ziyarete açık: köpekler tasmalı olmalı; 20 kilodan ağırlar için ağızlık ve sağlam tasma gerekiyor. Binanın içine yalnızca rehber köpekler girebiliyor. Görme engelliler için Beepcons teknolojisiyle erişilebilir.</t>
        </is>
      </c>
      <c r="V84" s="29" t="inlineStr">
        <is>
          <t>Hayır</t>
        </is>
      </c>
      <c r="W84" s="29" t="n"/>
    </row>
    <row r="85" ht="54" customHeight="1">
      <c r="A85" s="29" t="inlineStr">
        <is>
          <t>malaga:centro-cultural-la-malagueta</t>
        </is>
      </c>
      <c r="B85" s="29" t="inlineStr">
        <is>
          <t>malaga</t>
        </is>
      </c>
      <c r="C85" s="29" t="inlineStr">
        <is>
          <t>centro-cultural-la-malagueta</t>
        </is>
      </c>
      <c r="D85" s="29" t="inlineStr">
        <is>
          <t>Centro Cultural La Malagueta</t>
        </is>
      </c>
      <c r="E85" s="29" t="inlineStr">
        <is>
          <t>Sergi ve etkinlik salonlarıyla kültür merkezi; Paseo de Reding, La Malagueta</t>
        </is>
      </c>
      <c r="F85" s="29" t="inlineStr">
        <is>
          <t>Merkez Paseo Reding 8'de (29016 Málaga); sitede konum satırı olarak Puerta 9 (Paseo de Reding 8) veriliyor. Etkinlik salonlarının saatleri programa göre değişiyor; konferanslar 19:00'da. Sitede Calle Cervantes 6 başlığı altında salı-cuma 09:00-18:00 aralıksız, cumartesi, pazar ve tatillerde 09:00-15:00 saatleri yazıyor.</t>
        </is>
      </c>
      <c r="G85" s="29" t="inlineStr">
        <is>
          <t>kültür merkezi, sergi, konferans, La Malagueta, Paseo de Reding</t>
        </is>
      </c>
      <c r="H85" s="29" t="inlineStr">
        <is>
          <t>planning;new;settled</t>
        </is>
      </c>
      <c r="I85" s="29" t="inlineStr">
        <is>
          <t>malaga:kaynak:366</t>
        </is>
      </c>
      <c r="J85" s="49" t="n">
        <v>46322</v>
      </c>
      <c r="K85" s="51" t="n">
        <v>317</v>
      </c>
      <c r="L85" s="29" t="inlineStr">
        <is>
          <t>Hayır</t>
        </is>
      </c>
      <c r="M85" s="29" t="inlineStr">
        <is>
          <t>Taslak</t>
        </is>
      </c>
      <c r="N85" s="29" t="inlineStr">
        <is>
          <t>Sanat ve sergiler</t>
        </is>
      </c>
      <c r="O85" s="29" t="inlineStr">
        <is>
          <t>Centro</t>
        </is>
      </c>
      <c r="P85" s="29" t="inlineStr">
        <is>
          <t>Kapalı alan</t>
        </is>
      </c>
      <c r="Q85" s="29" t="inlineStr">
        <is>
          <t>Paseo Reding 8, 29016 Málaga</t>
        </is>
      </c>
      <c r="R85" s="50" t="n">
        <v>36.7206</v>
      </c>
      <c r="S85" s="50" t="n">
        <v>-4.41047</v>
      </c>
      <c r="T85" s="29" t="n"/>
      <c r="U85" s="29" t="inlineStr">
        <is>
          <t>Sergilerin rehberli ziyareti ve genel bilgi için infolamalagueta@malaga.es adresine yazılıyor.</t>
        </is>
      </c>
      <c r="V85" s="29" t="inlineStr">
        <is>
          <t>Hayır</t>
        </is>
      </c>
      <c r="W85" s="29" t="n"/>
    </row>
    <row r="86" ht="54" customHeight="1">
      <c r="A86" s="29" t="inlineStr">
        <is>
          <t>malaga:centro-fundacion-unicaja-malaga</t>
        </is>
      </c>
      <c r="B86" s="29" t="inlineStr">
        <is>
          <t>malaga</t>
        </is>
      </c>
      <c r="C86" s="29" t="inlineStr">
        <is>
          <t>centro-fundacion-unicaja-malaga</t>
        </is>
      </c>
      <c r="D86" s="29" t="inlineStr">
        <is>
          <t>Centro Fundación Unicaja Málaga</t>
        </is>
      </c>
      <c r="E86" s="29" t="inlineStr">
        <is>
          <t>Fundación Unicaja'nın sergi merkezi; Plaza del Obispo, Centro</t>
        </is>
      </c>
      <c r="F86" s="29" t="inlineStr">
        <is>
          <t>Merkez Plaza del Obispo 6'da. "Y sonó la música. Iconografía musical en el arte" sergisi 2 Kasım 2026'ya kadar görülebiliyor: pazartesi-cumartesi 10:00-14:00 ve 16:00-19:00, pazar ve tatillerde 10:00-14:00. Giriş 3 € tutarında dayanışma bağışı; gelir Cotolengo evine ve Chavorrillos derneğine gidiyor.</t>
        </is>
      </c>
      <c r="G86" s="29" t="inlineStr">
        <is>
          <t>Fundación Unicaja, sergi, müzik ikonografisi, Plaza del Obispo, Centro, rehberli ziyaret</t>
        </is>
      </c>
      <c r="H86" s="29" t="inlineStr">
        <is>
          <t>planning;new;settled</t>
        </is>
      </c>
      <c r="I86" s="29" t="inlineStr">
        <is>
          <t>malaga:kaynak:367</t>
        </is>
      </c>
      <c r="J86" s="49" t="n">
        <v>46322</v>
      </c>
      <c r="K86" s="51" t="n">
        <v>318</v>
      </c>
      <c r="L86" s="29" t="inlineStr">
        <is>
          <t>Hayır</t>
        </is>
      </c>
      <c r="M86" s="29" t="inlineStr">
        <is>
          <t>Taslak</t>
        </is>
      </c>
      <c r="N86" s="29" t="inlineStr">
        <is>
          <t>Sanat ve sergiler</t>
        </is>
      </c>
      <c r="O86" s="29" t="inlineStr">
        <is>
          <t>Centro</t>
        </is>
      </c>
      <c r="P86" s="29" t="inlineStr">
        <is>
          <t>Kapalı alan</t>
        </is>
      </c>
      <c r="Q86" s="29" t="inlineStr">
        <is>
          <t>Plaza del Obispo, 6</t>
        </is>
      </c>
      <c r="R86" s="50" t="n"/>
      <c r="S86" s="50" t="n"/>
      <c r="T86" s="29" t="n"/>
      <c r="U86" s="29" t="inlineStr">
        <is>
          <t>Serginin ücretsiz rehberli ziyaretleri en çok 20 kişilik gruplara, hafta içi 11:00, 12:00, 13:00, 17:30 ve 18:30'da yapılıyor; cumartesi 11:00, 12:00, 17:30, 18:30, pazar 11:00 ve 12:00. İngilizce turlar cuma 18:00 ve cumartesi 12:30. Rezervasyon: mediacionculturalmalaga@fundacionunicaja.com ya da 952 62 48 62.</t>
        </is>
      </c>
      <c r="V86" s="29" t="inlineStr">
        <is>
          <t>Hayır</t>
        </is>
      </c>
      <c r="W86" s="29" t="n"/>
    </row>
    <row r="87" ht="54" customHeight="1">
      <c r="A87" s="29" t="inlineStr">
        <is>
          <t>malaga:museo-del-vino-malaga</t>
        </is>
      </c>
      <c r="B87" s="29" t="inlineStr">
        <is>
          <t>malaga</t>
        </is>
      </c>
      <c r="C87" s="29" t="inlineStr">
        <is>
          <t>museo-del-vino-malaga</t>
        </is>
      </c>
      <c r="D87" s="29" t="inlineStr">
        <is>
          <t>Museo del Vino Málaga</t>
        </is>
      </c>
      <c r="E87" s="29" t="inlineStr">
        <is>
          <t>Şarap müzesi; Plaza de los Viñeros, Centro</t>
        </is>
      </c>
      <c r="F87" s="29" t="inlineStr">
        <is>
          <t>Museo del Vino Málaga, Plaza de los Viñeros 1'de (29008 Málaga) bulunuyor. Pazartesi-cuma 10:00-17:00, cumartesi 10:00-14:00 açık; tatil günleri, 1 ve 6 Ocak, 24, 25 ve 31 Aralık, Kutsal Perşembe ve Kutsal Cuma kapalı. Giriş 7 € (D.O. Málaga ve/veya D.O. Sierras de Málaga şaraplarından iki tadım dahil); öğrenciler, emekliler ve en az 10 kişilik anlaşmalı gruplar 5 €; ek tadım 2,50 €. Telefon +34 952 22 79 90, e-posta info@museovinomalaga.com.</t>
        </is>
      </c>
      <c r="G87" s="29" t="inlineStr">
        <is>
          <t>şarap müzesi, Málaga şarabı, Plaza de los Viñeros, Centro</t>
        </is>
      </c>
      <c r="H87" s="29" t="inlineStr">
        <is>
          <t>planning;new;settled</t>
        </is>
      </c>
      <c r="I87" s="29" t="inlineStr">
        <is>
          <t>malaga:kaynak:391;malaga:kaynak:456</t>
        </is>
      </c>
      <c r="J87" s="49" t="n">
        <v>46322</v>
      </c>
      <c r="K87" s="51" t="n">
        <v>319</v>
      </c>
      <c r="L87" s="29" t="inlineStr">
        <is>
          <t>Hayır</t>
        </is>
      </c>
      <c r="M87" s="29" t="inlineStr">
        <is>
          <t>Taslak</t>
        </is>
      </c>
      <c r="N87" s="29" t="inlineStr">
        <is>
          <t>Müzeler</t>
        </is>
      </c>
      <c r="O87" s="29" t="inlineStr">
        <is>
          <t>Centro</t>
        </is>
      </c>
      <c r="P87" s="29" t="inlineStr">
        <is>
          <t>Kapalı alan</t>
        </is>
      </c>
      <c r="Q87" s="29" t="inlineStr">
        <is>
          <t>Plaza de los Viñeros, 1 Málaga 29008</t>
        </is>
      </c>
      <c r="R87" s="50" t="n">
        <v>36.723333</v>
      </c>
      <c r="S87" s="50" t="n">
        <v>-4.424361</v>
      </c>
      <c r="T87" s="29" t="n"/>
      <c r="U87" s="29" t="inlineStr">
        <is>
          <t>Rehberli ziyaret yalnızca gruplar için; önceden istek gönderilip müzenin onayı alındıktan sonra yapılıyor ve grup tarifesine 60 € ekleniyor. Müzenin yakınında 15, 17, 2 ve 20 numaralı otobüsler, Metro 1 ve C-2 treni duruyor.</t>
        </is>
      </c>
      <c r="V87" s="29" t="inlineStr">
        <is>
          <t>Hayır</t>
        </is>
      </c>
      <c r="W87" s="29" t="n"/>
    </row>
    <row r="88" ht="54" customHeight="1">
      <c r="A88" s="29" t="inlineStr">
        <is>
          <t>malaga:museo-historia-militar-malaga</t>
        </is>
      </c>
      <c r="B88" s="29" t="inlineStr">
        <is>
          <t>malaga</t>
        </is>
      </c>
      <c r="C88" s="29" t="inlineStr">
        <is>
          <t>museo-historia-militar-malaga</t>
        </is>
      </c>
      <c r="D88" s="29" t="inlineStr">
        <is>
          <t>Museo de Historia Militar de Málaga</t>
        </is>
      </c>
      <c r="E88" s="29" t="inlineStr">
        <is>
          <t>Askerî tarih müzesi; Plaza de San Francisco, Centro</t>
        </is>
      </c>
      <c r="F88" s="29" t="inlineStr">
        <is>
          <t>Museo de Historia Militar de Málaga, Plaza de San Francisco 1'de (29008 Málaga). Telefon ve WhatsApp numarası +34 951 077 504.</t>
        </is>
      </c>
      <c r="G88" s="29" t="inlineStr">
        <is>
          <t>askerî tarih müzesi, Plaza de San Francisco, Centro, La Goleta</t>
        </is>
      </c>
      <c r="H88" s="29" t="inlineStr">
        <is>
          <t>planning;new;settled</t>
        </is>
      </c>
      <c r="I88" s="29" t="inlineStr">
        <is>
          <t>malaga:kaynak:392</t>
        </is>
      </c>
      <c r="J88" s="49" t="n">
        <v>46322</v>
      </c>
      <c r="K88" s="51" t="n">
        <v>320</v>
      </c>
      <c r="L88" s="29" t="inlineStr">
        <is>
          <t>Hayır</t>
        </is>
      </c>
      <c r="M88" s="29" t="inlineStr">
        <is>
          <t>Taslak</t>
        </is>
      </c>
      <c r="N88" s="29" t="inlineStr">
        <is>
          <t>Müzeler</t>
        </is>
      </c>
      <c r="O88" s="29" t="inlineStr">
        <is>
          <t>Centro</t>
        </is>
      </c>
      <c r="P88" s="29" t="inlineStr">
        <is>
          <t>Kapalı alan</t>
        </is>
      </c>
      <c r="Q88" s="29" t="inlineStr">
        <is>
          <t>Plaza de San Francisco 1, 29008, Málaga</t>
        </is>
      </c>
      <c r="R88" s="50" t="n">
        <v>36.72392</v>
      </c>
      <c r="S88" s="50" t="n">
        <v>-4.42288</v>
      </c>
      <c r="T88" s="29" t="n"/>
      <c r="U88" s="29" t="inlineStr">
        <is>
          <t>Meydan, Calle Marqués de Valdecañas ile Calle Eduardo Ocón'un kesiştiği La Goleta mahallesinde; ortasında 1864 tarihli Pomona çeşmesi duruyor.</t>
        </is>
      </c>
      <c r="V88" s="29" t="inlineStr">
        <is>
          <t>Hayır</t>
        </is>
      </c>
      <c r="W88" s="29" t="n"/>
    </row>
    <row r="89" ht="54" customHeight="1">
      <c r="A89" s="29" t="inlineStr">
        <is>
          <t>malaga:museo-semana-santa-malaga</t>
        </is>
      </c>
      <c r="B89" s="29" t="inlineStr">
        <is>
          <t>malaga</t>
        </is>
      </c>
      <c r="C89" s="29" t="inlineStr">
        <is>
          <t>museo-semana-santa-malaga</t>
        </is>
      </c>
      <c r="D89" s="29" t="inlineStr">
        <is>
          <t>Museo de la Semana Santa de Málaga</t>
        </is>
      </c>
      <c r="E89" s="29" t="inlineStr">
        <is>
          <t>Málaga Kutsal Hafta kardeşlikleri müzesi; Agrupación de Cofradías adresi, Centro</t>
        </is>
      </c>
      <c r="F89" s="29" t="inlineStr">
        <is>
          <t>Agrupación de Cofradías de Semana Santa de Málaga'nın iletişim sayfasındaki adres C/ Muro de San Julián 2, 29008 Málaga. Telefon 952 210 400.</t>
        </is>
      </c>
      <c r="G89" s="29" t="inlineStr">
        <is>
          <t>Semana Santa, kardeşlikler, Agrupación de Cofradías, Muro de San Julián, Centro</t>
        </is>
      </c>
      <c r="H89" s="29" t="inlineStr">
        <is>
          <t>planning;new;settled</t>
        </is>
      </c>
      <c r="I89" s="29" t="inlineStr">
        <is>
          <t>malaga:kaynak:393</t>
        </is>
      </c>
      <c r="J89" s="49" t="n">
        <v>46322</v>
      </c>
      <c r="K89" s="51" t="n">
        <v>321</v>
      </c>
      <c r="L89" s="29" t="inlineStr">
        <is>
          <t>Hayır</t>
        </is>
      </c>
      <c r="M89" s="29" t="inlineStr">
        <is>
          <t>Taslak</t>
        </is>
      </c>
      <c r="N89" s="29" t="inlineStr">
        <is>
          <t>Müzeler</t>
        </is>
      </c>
      <c r="O89" s="29" t="inlineStr">
        <is>
          <t>Centro</t>
        </is>
      </c>
      <c r="P89" s="29" t="inlineStr">
        <is>
          <t>Kapalı alan</t>
        </is>
      </c>
      <c r="Q89" s="29" t="inlineStr">
        <is>
          <t>C/ Muro de San Julián, 2 – 29008 Málaga (España)</t>
        </is>
      </c>
      <c r="R89" s="50" t="n">
        <v>36.723556</v>
      </c>
      <c r="S89" s="50" t="n">
        <v>-4.422389</v>
      </c>
      <c r="T89" s="29" t="n"/>
      <c r="U89" s="29" t="inlineStr">
        <is>
          <t>Agrupación, genel sorular için malaga@agrupaciondecofradias.com adresini, kültür işleri için cultura@agrupaciondecofradias.com adresini veriyor.</t>
        </is>
      </c>
      <c r="V89" s="29" t="inlineStr">
        <is>
          <t>Hayır</t>
        </is>
      </c>
      <c r="W89" s="29" t="n"/>
    </row>
    <row r="90" ht="54" customHeight="1">
      <c r="A90" s="29" t="inlineStr">
        <is>
          <t>malaga:museo-casa-natal-picasso</t>
        </is>
      </c>
      <c r="B90" s="29" t="inlineStr">
        <is>
          <t>malaga</t>
        </is>
      </c>
      <c r="C90" s="29" t="inlineStr">
        <is>
          <t>museo-casa-natal-picasso</t>
        </is>
      </c>
      <c r="D90" s="29" t="inlineStr">
        <is>
          <t>Museo Casa Natal Picasso</t>
        </is>
      </c>
      <c r="E90" s="29" t="inlineStr">
        <is>
          <t>Pablo Picasso'nun doğduğu ev müzesi; Plaza de la Merced, Centro</t>
        </is>
      </c>
      <c r="F90" s="29" t="inlineStr">
        <is>
          <t>Müze Plaza de la Merced 15'te (29012 Málaga). Her gün 9:30-20:00 açık, tatillerde de; 24 ve 31 Aralık 9:30-15:00, 1 Ocak ve 25 Aralık kapalı. Müze bileti 3 €, indirimli 2 € (kalabalık aile üyeleri, 65 yaş üstü ve 26 yaşına kadar öğrenciler); pazarları 16:00-20:00 arası giriş ücretsiz. Telefon 951 92 60 60; WhatsApp bilgi hattı +34 687 07 71 33 her gün 9:30-20:00 arasında yanıt veriyor.</t>
        </is>
      </c>
      <c r="G90" s="29" t="inlineStr">
        <is>
          <t>Picasso, doğum evi, Plaza de la Merced, müze, Centro</t>
        </is>
      </c>
      <c r="H90" s="29" t="inlineStr">
        <is>
          <t>planning;new;settled</t>
        </is>
      </c>
      <c r="I90" s="29" t="inlineStr">
        <is>
          <t>malaga:kaynak:400;malaga:kaynak:282</t>
        </is>
      </c>
      <c r="J90" s="49" t="n">
        <v>46322</v>
      </c>
      <c r="K90" s="51" t="n">
        <v>322</v>
      </c>
      <c r="L90" s="29" t="inlineStr">
        <is>
          <t>Hayır</t>
        </is>
      </c>
      <c r="M90" s="29" t="inlineStr">
        <is>
          <t>Taslak</t>
        </is>
      </c>
      <c r="N90" s="29" t="inlineStr">
        <is>
          <t>Müzeler</t>
        </is>
      </c>
      <c r="O90" s="29" t="inlineStr">
        <is>
          <t>Centro</t>
        </is>
      </c>
      <c r="P90" s="29" t="inlineStr">
        <is>
          <t>Kapalı alan</t>
        </is>
      </c>
      <c r="Q90" s="29" t="inlineStr">
        <is>
          <t>Plaza de la Merced, 15 29012 Málaga</t>
        </is>
      </c>
      <c r="R90" s="50" t="n">
        <v>36.7241</v>
      </c>
      <c r="S90" s="50" t="n">
        <v>-4.417561</v>
      </c>
      <c r="T90" s="29" t="n"/>
      <c r="U90" s="29" t="inlineStr">
        <is>
          <t>Kapanıştan 15 dakika öncesine kadar giriş yapılıyor; müzede aynı anda en çok 25 kişi bulunabiliyor. Plaza de la Merced durağından 1, 36 ve 37 numaralı hatlar, Circular 1 ve turistik otobüs geçiyor; Victoria-Plaza de la Merced durağından 1, 36, 37, Circular 2 ve Nocturno 2.</t>
        </is>
      </c>
      <c r="V90" s="29" t="inlineStr">
        <is>
          <t>Hayır</t>
        </is>
      </c>
      <c r="W90" s="29" t="n"/>
    </row>
    <row r="91" ht="54" customHeight="1">
      <c r="A91" s="29" t="inlineStr">
        <is>
          <t>malaga:museo-del-cautivo-y-la-trinidad</t>
        </is>
      </c>
      <c r="B91" s="29" t="inlineStr">
        <is>
          <t>malaga</t>
        </is>
      </c>
      <c r="C91" s="29" t="inlineStr">
        <is>
          <t>museo-del-cautivo-y-la-trinidad</t>
        </is>
      </c>
      <c r="D91" s="29" t="inlineStr">
        <is>
          <t>Museo del Cautivo y la Trinidad</t>
        </is>
      </c>
      <c r="E91" s="29" t="inlineStr">
        <is>
          <t>Cautivo ve Trinidad Kardeşliği'nin müzesi; Plaza de Bailén, La Trinidad</t>
        </is>
      </c>
      <c r="F91" s="29" t="inlineStr">
        <is>
          <t>Müze La Trinidad mahallesinde, Plaza Bailén s/n'de (29009 Málaga). Altı salon 327 metrekare üzerinde kardeşliğin tarihî ve sanatsal eserlerini, eski Trinidad Meryem heykelini de içeren koleksiyonu gösteriyor. Müze 30 Eylül 2011'de açıldı.</t>
        </is>
      </c>
      <c r="G91" s="29" t="inlineStr">
        <is>
          <t>Cautivo, Trinidad, Semana Santa, kardeşlik müzesi, Plaza de Bailén</t>
        </is>
      </c>
      <c r="H91" s="29" t="inlineStr">
        <is>
          <t>planning;new;settled</t>
        </is>
      </c>
      <c r="I91" s="29" t="inlineStr">
        <is>
          <t>malaga:kaynak:401</t>
        </is>
      </c>
      <c r="J91" s="49" t="n">
        <v>46322</v>
      </c>
      <c r="K91" s="51" t="n">
        <v>323</v>
      </c>
      <c r="L91" s="29" t="inlineStr">
        <is>
          <t>Hayır</t>
        </is>
      </c>
      <c r="M91" s="29" t="inlineStr">
        <is>
          <t>Taslak</t>
        </is>
      </c>
      <c r="N91" s="29" t="inlineStr">
        <is>
          <t>Müzeler</t>
        </is>
      </c>
      <c r="O91" s="29" t="inlineStr">
        <is>
          <t>Centro</t>
        </is>
      </c>
      <c r="P91" s="29" t="inlineStr">
        <is>
          <t>Kapalı alan</t>
        </is>
      </c>
      <c r="Q91" s="29" t="inlineStr">
        <is>
          <t>Plaza Bailén s/n, 29009 Málaga</t>
        </is>
      </c>
      <c r="R91" s="50" t="n">
        <v>36.724163</v>
      </c>
      <c r="S91" s="50" t="n">
        <v>-4.43177</v>
      </c>
      <c r="T91" s="29" t="n"/>
      <c r="U91" s="29" t="inlineStr">
        <is>
          <t>Ziyaret, sitedeki formla (bireysel ya da grup) tarih belirtilerek talep ediliyor. Sitede grup girişi 1 € olarak geçiyor. Telefon 952 395 105, e-posta info@cautivotrinidad.com.</t>
        </is>
      </c>
      <c r="V91" s="29" t="inlineStr">
        <is>
          <t>Hayır</t>
        </is>
      </c>
      <c r="W91" s="29" t="n"/>
    </row>
    <row r="92" ht="54" customHeight="1">
      <c r="A92" s="29" t="inlineStr">
        <is>
          <t>malaga:museo-del-santo-sepulcro</t>
        </is>
      </c>
      <c r="B92" s="29" t="inlineStr">
        <is>
          <t>malaga</t>
        </is>
      </c>
      <c r="C92" s="29" t="inlineStr">
        <is>
          <t>museo-del-santo-sepulcro</t>
        </is>
      </c>
      <c r="D92" s="29" t="inlineStr">
        <is>
          <t>Museo del Santo Sepulcro</t>
        </is>
      </c>
      <c r="E92" s="29" t="inlineStr">
        <is>
          <t>Santo Sepulcro kardeşliğinin dinî sanat ve Kutsal Hafta müzesi; Calle Alcazabilla, Centro</t>
        </is>
      </c>
      <c r="F92" s="29" t="inlineStr">
        <is>
          <t>Belediyenin tesis sayfasına göre müze, Alcazaba, Katedral ve Picasso Müzesi arasındaki üçgende, Calle Alcazabilla 5'te; pazartesi-cuma 10:00-13:00 ve 17:00-20:00, cumartesi 10:00-13:00 açık; pazar ve resmî tatillerde kapalı. Giriş ücretli değil, bağış kabul ediliyor.</t>
        </is>
      </c>
      <c r="G92" s="29" t="inlineStr">
        <is>
          <t>Santo Sepulcro, Kutsal Hafta, dinî sanat, Alcazabilla, tronos, Centro</t>
        </is>
      </c>
      <c r="H92" s="29" t="inlineStr">
        <is>
          <t>planning;new;settled</t>
        </is>
      </c>
      <c r="I92" s="29" t="inlineStr">
        <is>
          <t>malaga:kaynak:402</t>
        </is>
      </c>
      <c r="J92" s="49" t="n">
        <v>46322</v>
      </c>
      <c r="K92" s="51" t="n">
        <v>324</v>
      </c>
      <c r="L92" s="29" t="inlineStr">
        <is>
          <t>Hayır</t>
        </is>
      </c>
      <c r="M92" s="29" t="inlineStr">
        <is>
          <t>Taslak</t>
        </is>
      </c>
      <c r="N92" s="29" t="inlineStr">
        <is>
          <t>Müzeler</t>
        </is>
      </c>
      <c r="O92" s="29" t="inlineStr">
        <is>
          <t>Centro</t>
        </is>
      </c>
      <c r="P92" s="29" t="inlineStr">
        <is>
          <t>Kapalı alan</t>
        </is>
      </c>
      <c r="Q92" s="29" t="inlineStr">
        <is>
          <t>CALLE ALCAZABILLA,5</t>
        </is>
      </c>
      <c r="R92" s="50" t="n">
        <v>36.720911</v>
      </c>
      <c r="S92" s="50" t="n">
        <v>-4.417348</v>
      </c>
      <c r="T92" s="29" t="n"/>
      <c r="U92" s="29" t="inlineStr">
        <is>
          <t>Zemin katta iki tahtın (tronos) sergilendiği Salón de Tronos, birinci katta Moreno Carbonero ve Revello de Toro gibi ressamların eserleri var. Binada hareket engelliler için erişim yok. Santral 952602150; bilgi belediyeye ait değil.</t>
        </is>
      </c>
      <c r="V92" s="29" t="inlineStr">
        <is>
          <t>Hayır</t>
        </is>
      </c>
      <c r="W92" s="29" t="n"/>
    </row>
    <row r="93" ht="54" customHeight="1">
      <c r="A93" s="29" t="inlineStr">
        <is>
          <t>malaga:museo-cofradia-estudiantes</t>
        </is>
      </c>
      <c r="B93" s="29" t="inlineStr">
        <is>
          <t>malaga</t>
        </is>
      </c>
      <c r="C93" s="29" t="inlineStr">
        <is>
          <t>museo-cofradia-estudiantes</t>
        </is>
      </c>
      <c r="D93" s="29" t="inlineStr">
        <is>
          <t>Museo de la Cofradía de Estudiantes</t>
        </is>
      </c>
      <c r="E93" s="29" t="inlineStr">
        <is>
          <t>Estudiantes kardeşliğinin müzesi; Calle Alcazabilla, Centro</t>
        </is>
      </c>
      <c r="F93" s="29" t="inlineStr">
        <is>
          <t>Belediyenin tesis sayfasına göre müze, Málaga'nın tarihî sanatsal merkezinde, Calle Alcazabilla 3'te. İki alanı var: Salón de Tronos ile Aula Didáctica-Salón de Actos. Salon, 11 vitrin ve 6 teşhir ünitesiyle Mesih ve Meryem tahtlarını, palio'yu (Meryem tahtının gölgeliği) ve mantoyu sergiliyor.</t>
        </is>
      </c>
      <c r="G93" s="29" t="inlineStr">
        <is>
          <t>Cofradía de Estudiantes, Kutsal Hafta, tronos, Alcazabilla, Centro</t>
        </is>
      </c>
      <c r="H93" s="29" t="inlineStr">
        <is>
          <t>planning;new;settled</t>
        </is>
      </c>
      <c r="I93" s="29" t="inlineStr">
        <is>
          <t>malaga:kaynak:404</t>
        </is>
      </c>
      <c r="J93" s="49" t="n">
        <v>46322</v>
      </c>
      <c r="K93" s="51" t="n">
        <v>325</v>
      </c>
      <c r="L93" s="29" t="inlineStr">
        <is>
          <t>Hayır</t>
        </is>
      </c>
      <c r="M93" s="29" t="inlineStr">
        <is>
          <t>Taslak</t>
        </is>
      </c>
      <c r="N93" s="29" t="inlineStr">
        <is>
          <t>Müzeler</t>
        </is>
      </c>
      <c r="O93" s="29" t="inlineStr">
        <is>
          <t>Centro</t>
        </is>
      </c>
      <c r="P93" s="29" t="inlineStr">
        <is>
          <t>Kapalı alan</t>
        </is>
      </c>
      <c r="Q93" s="29" t="inlineStr">
        <is>
          <t>CALLE ALCAZABILLA,3</t>
        </is>
      </c>
      <c r="R93" s="50" t="n">
        <v>36.72076</v>
      </c>
      <c r="S93" s="50" t="n">
        <v>-4.417367</v>
      </c>
      <c r="T93" s="29" t="n"/>
      <c r="U93" s="29" t="inlineStr">
        <is>
          <t>Binada hareket engelliler için erişim yok. Santral 952221264; bilgi belediyeye ait değil.</t>
        </is>
      </c>
      <c r="V93" s="29" t="inlineStr">
        <is>
          <t>Hayır</t>
        </is>
      </c>
      <c r="W93" s="29" t="n"/>
    </row>
    <row r="94" ht="54" customHeight="1">
      <c r="A94" s="29" t="inlineStr">
        <is>
          <t>malaga:mucac-malaga-la-coracha</t>
        </is>
      </c>
      <c r="B94" s="29" t="inlineStr">
        <is>
          <t>malaga</t>
        </is>
      </c>
      <c r="C94" s="29" t="inlineStr">
        <is>
          <t>mucac-malaga-la-coracha</t>
        </is>
      </c>
      <c r="D94" s="29" t="inlineStr">
        <is>
          <t>MUCAC Málaga (La Coracha)</t>
        </is>
      </c>
      <c r="E94" s="29" t="inlineStr">
        <is>
          <t>Çağdaş sanat merkezi müzesi; La Coracha yerleşkesi, Paseo de Reding</t>
        </is>
      </c>
      <c r="F94" s="29" t="inlineStr">
        <is>
          <t>Museo Centro de Arte Contemporáneo de Málaga, La Coracha binasında, Paseo de Reding 1'de (29016 Málaga). Giriş ücretsiz; salı-pazar 10:00-20:00 açık, pazartesi kapalı. Koleksiyon 19. yüzyıl sonundan günümüze modern ve çağdaş sanatı kapsıyor ve MUPAM'ın tarihî fonlarını da içeriyor.</t>
        </is>
      </c>
      <c r="G94" s="29" t="inlineStr">
        <is>
          <t>çağdaş sanat, MUCAC, La Coracha, ücretsiz müze, MUPAM, Paseo de Reding</t>
        </is>
      </c>
      <c r="H94" s="29" t="inlineStr">
        <is>
          <t>planning;new;settled</t>
        </is>
      </c>
      <c r="I94" s="29" t="inlineStr">
        <is>
          <t>malaga:kaynak:398</t>
        </is>
      </c>
      <c r="J94" s="49" t="n">
        <v>46322</v>
      </c>
      <c r="K94" s="51" t="n">
        <v>326</v>
      </c>
      <c r="L94" s="29" t="inlineStr">
        <is>
          <t>Hayır</t>
        </is>
      </c>
      <c r="M94" s="29" t="inlineStr">
        <is>
          <t>Taslak</t>
        </is>
      </c>
      <c r="N94" s="29" t="inlineStr">
        <is>
          <t>Sanat ve sergiler</t>
        </is>
      </c>
      <c r="O94" s="29" t="inlineStr">
        <is>
          <t>Centro</t>
        </is>
      </c>
      <c r="P94" s="29" t="inlineStr">
        <is>
          <t>Kapalı alan</t>
        </is>
      </c>
      <c r="Q94" s="29" t="inlineStr">
        <is>
          <t>Paseo de Reding, 1. 29016 Málaga</t>
        </is>
      </c>
      <c r="R94" s="50" t="n"/>
      <c r="S94" s="50" t="n"/>
      <c r="T94" s="29" t="n"/>
      <c r="U94" s="29" t="inlineStr">
        <is>
          <t>Calle Alemania s/n'deki Mayoristas binası ikinci mekân; sitede La Coracha Mayoristas başlığıyla 30 Ekim 2026-7 Mart 2027 tarihli bir sergi duyuruluyor. Telefon 951 928 710. Güncel sergiler arasında "Ayer. Colección 1940-1990" kalıcı koleksiyon sergisi var.</t>
        </is>
      </c>
      <c r="V94" s="29" t="inlineStr">
        <is>
          <t>Hayır</t>
        </is>
      </c>
      <c r="W94" s="29" t="n"/>
    </row>
    <row r="95" ht="54" customHeight="1">
      <c r="A95" s="29" t="inlineStr">
        <is>
          <t>malaga:sala-exposiciones-rectorado-uma</t>
        </is>
      </c>
      <c r="B95" s="29" t="inlineStr">
        <is>
          <t>malaga</t>
        </is>
      </c>
      <c r="C95" s="29" t="inlineStr">
        <is>
          <t>sala-exposiciones-rectorado-uma</t>
        </is>
      </c>
      <c r="D95" s="29" t="inlineStr">
        <is>
          <t>Sala de exposiciones del Rectorado de la UMA</t>
        </is>
      </c>
      <c r="E95" s="29" t="inlineStr">
        <is>
          <t>Málaga Üniversitesi Rektörlük binasındaki sergi salonu; Avenida de Cervantes, Centro</t>
        </is>
      </c>
      <c r="F95" s="29" t="inlineStr">
        <is>
          <t>Üniversitenin sergi salonu, Rektörlük binasında, Avda. de Cervantes 2'de, Paseo del Parque yanında. "Joaquín Oses (1839-1893) una vida dedicada a la fotografía" fotoğraf sergisi 8 Ekim 2026-9 Ocak 2027 arasında. Ziyaret saatleri pazartesi-cuma (tatiller hariç) 10:00-14:00 ve 17:00-21:00, cumartesi 10:00-14:00.</t>
        </is>
      </c>
      <c r="G95" s="29" t="inlineStr">
        <is>
          <t>üniversite, sergi salonu, Rectorado UMA, fotoğraf, Joaquín Oses, Paseo del Parque</t>
        </is>
      </c>
      <c r="H95" s="29" t="inlineStr">
        <is>
          <t>planning;new;settled</t>
        </is>
      </c>
      <c r="I95" s="29" t="inlineStr">
        <is>
          <t>malaga:kaynak:399</t>
        </is>
      </c>
      <c r="J95" s="49" t="n">
        <v>46322</v>
      </c>
      <c r="K95" s="51" t="n">
        <v>327</v>
      </c>
      <c r="L95" s="29" t="inlineStr">
        <is>
          <t>Hayır</t>
        </is>
      </c>
      <c r="M95" s="29" t="inlineStr">
        <is>
          <t>Taslak</t>
        </is>
      </c>
      <c r="N95" s="29" t="inlineStr">
        <is>
          <t>Sanat ve sergiler</t>
        </is>
      </c>
      <c r="O95" s="29" t="inlineStr">
        <is>
          <t>Centro</t>
        </is>
      </c>
      <c r="P95" s="29" t="inlineStr">
        <is>
          <t>Kapalı alan</t>
        </is>
      </c>
      <c r="Q95" s="29" t="inlineStr">
        <is>
          <t>Avda. de Cervantes, 2, Paseo del Parque de Málaga</t>
        </is>
      </c>
      <c r="R95" s="50" t="n">
        <v>36.720056</v>
      </c>
      <c r="S95" s="50" t="n">
        <v>-4.416139</v>
      </c>
      <c r="T95" s="29" t="n"/>
      <c r="U95" s="29" t="inlineStr">
        <is>
          <t>Aynı sayfada Campus de Teatinos'ta Bulevar Louis Pasteur 23'teki Contenedor Cultural'ın Espacio Cero sergi salonu da anılıyor.</t>
        </is>
      </c>
      <c r="V95" s="29" t="inlineStr">
        <is>
          <t>Hayır</t>
        </is>
      </c>
      <c r="W95" s="29" t="n"/>
    </row>
    <row r="96" ht="54" customHeight="1">
      <c r="A96" s="29" t="inlineStr">
        <is>
          <t>malaga:teatro-cervantes</t>
        </is>
      </c>
      <c r="B96" s="29" t="inlineStr">
        <is>
          <t>malaga</t>
        </is>
      </c>
      <c r="C96" s="29" t="inlineStr">
        <is>
          <t>teatro-cervantes</t>
        </is>
      </c>
      <c r="D96" s="29" t="inlineStr">
        <is>
          <t>Teatro Cervantes</t>
        </is>
      </c>
      <c r="E96" s="29" t="inlineStr">
        <is>
          <t>Málaga'nın tarihî tiyatrosu; Centro semtinde, Calle Ramos Marín'de</t>
        </is>
      </c>
      <c r="F96" s="29" t="inlineStr">
        <is>
          <t>Teatro Cervantes, Calle Ramos Marín, s/n, 29012 Málaga adresinde; Andalucía Tarihî Miras Genel Kataloğu'nda anıt (BIC) olarak kayıtlı bir yapı. Tatil olmayan her çarşamba 11:00-14:00 arasında tesislerini ücretsiz gezebilirsin; ziyaret önceden e-postayla talep ediliyor. Halk bilgi masası pazartesiden cumaya 8:00-15:00 arasında açık.</t>
        </is>
      </c>
      <c r="G96" s="29" t="inlineStr">
        <is>
          <t>Teatro Cervantes, tiyatro, Málaga, tarihî yapı, ücretsiz ziyaret, BIC</t>
        </is>
      </c>
      <c r="H96" s="29" t="inlineStr">
        <is>
          <t>planning;new;settled</t>
        </is>
      </c>
      <c r="I96" s="29" t="inlineStr">
        <is>
          <t>malaga:kaynak:368</t>
        </is>
      </c>
      <c r="J96" s="49" t="n">
        <v>46322</v>
      </c>
      <c r="K96" s="51" t="n">
        <v>401</v>
      </c>
      <c r="L96" s="29" t="inlineStr">
        <is>
          <t>Hayır</t>
        </is>
      </c>
      <c r="M96" s="29" t="inlineStr">
        <is>
          <t>Taslak</t>
        </is>
      </c>
      <c r="N96" s="29" t="inlineStr">
        <is>
          <t>Sahne ve müzik</t>
        </is>
      </c>
      <c r="O96" s="29" t="inlineStr">
        <is>
          <t>Centro</t>
        </is>
      </c>
      <c r="P96" s="29" t="inlineStr">
        <is>
          <t>Kapalı alan</t>
        </is>
      </c>
      <c r="Q96" s="29" t="inlineStr">
        <is>
          <t>Calle Ramos Marín, s/n, 29012 Málaga</t>
        </is>
      </c>
      <c r="R96" s="50" t="n">
        <v>36.724753</v>
      </c>
      <c r="S96" s="50" t="n">
        <v>-4.418553</v>
      </c>
      <c r="T96" s="29" t="n"/>
      <c r="U96" s="29" t="inlineStr">
        <is>
          <t>Ücretsiz ziyaret talebi cgila@malaga.eu adresine e-postayla yapılıyor; bilgi telefonu 952 224 109.</t>
        </is>
      </c>
      <c r="V96" s="29" t="inlineStr">
        <is>
          <t>Hayır</t>
        </is>
      </c>
      <c r="W96" s="29" t="n"/>
    </row>
    <row r="97" ht="54" customHeight="1">
      <c r="A97" s="29" t="inlineStr">
        <is>
          <t>malaga:teatro-echegaray</t>
        </is>
      </c>
      <c r="B97" s="29" t="inlineStr">
        <is>
          <t>malaga</t>
        </is>
      </c>
      <c r="C97" s="29" t="inlineStr">
        <is>
          <t>teatro-echegaray</t>
        </is>
      </c>
      <c r="D97" s="29" t="inlineStr">
        <is>
          <t>Teatro Echegaray</t>
        </is>
      </c>
      <c r="E97" s="29" t="inlineStr">
        <is>
          <t>Eski sinemadan dönüştürülmüş 297 koltuklu tiyatro; Centro, Calle Echegaray</t>
        </is>
      </c>
      <c r="F97" s="29" t="inlineStr">
        <is>
          <t>Teatro Echegaray, Calle Echegaray'daki eski bir sinema binasının sahneye uyarlanmış hâli; 2009 Ekim'inde açıldı ve 297 koltuğu var. Gişe saatleri iki kaynakta farklı: belediye sayfasına göre gişe hafta içi 11:00-14:00 ve 18:00-21:00, cumartesi 11:00-14:00 ve 19:00-20:00 arasında açık; işletmeci Málaga Procultura'ya göre ise gişe yalnız gösteri günlerinde, başlangıçtan bir saat önce açılıyor ve başlangıçtan yarım saat sonraya kadar açık kalıyor. Biletler UniTicket (Unicaja) üzerinden unientradas.es adresinden ya da telefonla satılıyor.</t>
        </is>
      </c>
      <c r="G97" s="29" t="inlineStr">
        <is>
          <t>Teatro Echegaray, tiyatro, Málaga, gişe, UniTicket, erişilebilir</t>
        </is>
      </c>
      <c r="H97" s="29" t="inlineStr">
        <is>
          <t>planning;new;settled</t>
        </is>
      </c>
      <c r="I97" s="29" t="inlineStr">
        <is>
          <t>malaga:kaynak:369;malaga:kaynak:368</t>
        </is>
      </c>
      <c r="J97" s="49" t="n">
        <v>46322</v>
      </c>
      <c r="K97" s="51" t="n">
        <v>402</v>
      </c>
      <c r="L97" s="29" t="inlineStr">
        <is>
          <t>Hayır</t>
        </is>
      </c>
      <c r="M97" s="29" t="inlineStr">
        <is>
          <t>Taslak</t>
        </is>
      </c>
      <c r="N97" s="29" t="inlineStr">
        <is>
          <t>Sahne ve müzik</t>
        </is>
      </c>
      <c r="O97" s="29" t="inlineStr">
        <is>
          <t>Centro</t>
        </is>
      </c>
      <c r="P97" s="29" t="inlineStr">
        <is>
          <t>Kapalı alan</t>
        </is>
      </c>
      <c r="Q97" s="29" t="inlineStr">
        <is>
          <t>Echegaray, 6, 29015 Málaga</t>
        </is>
      </c>
      <c r="R97" s="50" t="n">
        <v>36.721425</v>
      </c>
      <c r="S97" s="50" t="n">
        <v>-4.419353</v>
      </c>
      <c r="T97" s="29" t="n"/>
      <c r="U97" s="29" t="inlineStr">
        <is>
          <t>Salon kapıları gösteriden 30 dakika önce açılıyor. Koltukların bir kısmında görüş kısıtlı; hareket kısıtlılığı olanlar için erişim var.</t>
        </is>
      </c>
      <c r="V97" s="29" t="inlineStr">
        <is>
          <t>Hayır</t>
        </is>
      </c>
      <c r="W97" s="29" t="n"/>
    </row>
    <row r="98" ht="54" customHeight="1">
      <c r="A98" s="29" t="inlineStr">
        <is>
          <t>malaga:sala-maria-cristina</t>
        </is>
      </c>
      <c r="B98" s="29" t="inlineStr">
        <is>
          <t>malaga</t>
        </is>
      </c>
      <c r="C98" s="29" t="inlineStr">
        <is>
          <t>sala-maria-cristina</t>
        </is>
      </c>
      <c r="D98" s="29" t="inlineStr">
        <is>
          <t>Sala Unicaja de Conciertos María Cristina</t>
        </is>
      </c>
      <c r="E98" s="29" t="inlineStr">
        <is>
          <t>1871'de yapılmış, akustiğiyle bilinen tarihî konser salonu; Centro</t>
        </is>
      </c>
      <c r="F98" s="29" t="inlineStr">
        <is>
          <t>Calle Marqués de Valdecañas, 2 adresindeki salon, eski Real Conservatorio María Cristina binasında. Yapı 1871'de, 15. yüzyıldan kalma bir Fransisken manastırının kalıntıları üzerine inşa edilmiş ve 2010'dan beri anıt olarak kayıtlı. İspanya müzik dünyasında akustiğiyle seçkin bir yer olarak tanımlanıyor.</t>
        </is>
      </c>
      <c r="G98" s="29" t="inlineStr">
        <is>
          <t>María Cristina, konser salonu, Fundación Unicaja, Málaga, akustik, tarihî bina</t>
        </is>
      </c>
      <c r="H98" s="29" t="inlineStr">
        <is>
          <t>planning;new;settled</t>
        </is>
      </c>
      <c r="I98" s="29" t="inlineStr">
        <is>
          <t>malaga:kaynak:370</t>
        </is>
      </c>
      <c r="J98" s="49" t="n">
        <v>46322</v>
      </c>
      <c r="K98" s="51" t="n">
        <v>403</v>
      </c>
      <c r="L98" s="29" t="inlineStr">
        <is>
          <t>Hayır</t>
        </is>
      </c>
      <c r="M98" s="29" t="inlineStr">
        <is>
          <t>Taslak</t>
        </is>
      </c>
      <c r="N98" s="29" t="inlineStr">
        <is>
          <t>Sahne ve müzik</t>
        </is>
      </c>
      <c r="O98" s="29" t="inlineStr">
        <is>
          <t>Centro</t>
        </is>
      </c>
      <c r="P98" s="29" t="inlineStr">
        <is>
          <t>Kapalı alan</t>
        </is>
      </c>
      <c r="Q98" s="29" t="inlineStr">
        <is>
          <t>Calle Marqués de Valdecañas, 2, Málaga</t>
        </is>
      </c>
      <c r="R98" s="50" t="n">
        <v>36.724683</v>
      </c>
      <c r="S98" s="50" t="n">
        <v>-4.423083</v>
      </c>
      <c r="T98" s="29" t="n"/>
      <c r="U98" s="29" t="n"/>
      <c r="V98" s="29" t="inlineStr">
        <is>
          <t>Hayır</t>
        </is>
      </c>
      <c r="W98" s="29" t="n"/>
    </row>
    <row r="99" ht="54" customHeight="1">
      <c r="A99" s="29" t="inlineStr">
        <is>
          <t>malaga:teatro-del-soho-caixabank</t>
        </is>
      </c>
      <c r="B99" s="29" t="inlineStr">
        <is>
          <t>malaga</t>
        </is>
      </c>
      <c r="C99" s="29" t="inlineStr">
        <is>
          <t>teatro-del-soho-caixabank</t>
        </is>
      </c>
      <c r="D99" s="29" t="inlineStr">
        <is>
          <t>Teatro del Soho CaixaBank</t>
        </is>
      </c>
      <c r="E99" s="29" t="inlineStr">
        <is>
          <t>Eski Teatro Alameda binasında, Antonio Banderas'ın sahne projesi; Centro</t>
        </is>
      </c>
      <c r="F99" s="29" t="inlineStr">
        <is>
          <t>Teatro del Soho, 22 Aralık 1961'de bir opera gösterisiyle açılan eski Teatro Alameda; komedi, drama, bale, zarzuela ve caz dahil çeşitli gösterilere ev sahipliği yapıyor. Adresi C/ Córdoba, 13. Aktör Antonio Banderas 29 Eylül 2017'de sahne projesini burada yapacağını duyurdu; tiyatro bunun için 31 Mayıs 2018'de kapandı ve yeniden açılırken Teatro del Soho adını aldı. Binada 1983'ten beri Málaga Karnavalı da düzenleniyor.</t>
        </is>
      </c>
      <c r="G99" s="29" t="inlineStr">
        <is>
          <t>Teatro del Soho, Antonio Banderas, tiyatro, Málaga, Carnaval, C/ Córdoba</t>
        </is>
      </c>
      <c r="H99" s="29" t="inlineStr">
        <is>
          <t>planning;new;settled</t>
        </is>
      </c>
      <c r="I99" s="29" t="inlineStr">
        <is>
          <t>malaga:kaynak:371</t>
        </is>
      </c>
      <c r="J99" s="49" t="n">
        <v>46322</v>
      </c>
      <c r="K99" s="51" t="n">
        <v>404</v>
      </c>
      <c r="L99" s="29" t="inlineStr">
        <is>
          <t>Hayır</t>
        </is>
      </c>
      <c r="M99" s="29" t="inlineStr">
        <is>
          <t>Taslak</t>
        </is>
      </c>
      <c r="N99" s="29" t="inlineStr">
        <is>
          <t>Sahne ve müzik</t>
        </is>
      </c>
      <c r="O99" s="29" t="inlineStr">
        <is>
          <t>Centro</t>
        </is>
      </c>
      <c r="P99" s="29" t="inlineStr">
        <is>
          <t>Kapalı alan</t>
        </is>
      </c>
      <c r="Q99" s="29" t="inlineStr">
        <is>
          <t>C/ Córdoba, 13, Málaga</t>
        </is>
      </c>
      <c r="R99" s="50" t="n">
        <v>36.716167</v>
      </c>
      <c r="S99" s="50" t="n">
        <v>-4.421889</v>
      </c>
      <c r="T99" s="29" t="n"/>
      <c r="U99" s="29" t="inlineStr">
        <is>
          <t>Sayfa tiyatroyu 'Visitable' (ziyaret edilebilir) olarak işaretliyor; program sayfadaki 'Consultar programación' bölümünde. İletişim: 952 42 91 73, info@teatrodelsoho.com.</t>
        </is>
      </c>
      <c r="V99" s="29" t="inlineStr">
        <is>
          <t>Hayır</t>
        </is>
      </c>
      <c r="W99" s="29" t="n"/>
    </row>
    <row r="100" ht="54" customHeight="1">
      <c r="A100" s="29" t="inlineStr">
        <is>
          <t>malaga:teatro-canovas</t>
        </is>
      </c>
      <c r="B100" s="29" t="inlineStr">
        <is>
          <t>malaga</t>
        </is>
      </c>
      <c r="C100" s="29" t="inlineStr">
        <is>
          <t>teatro-canovas</t>
        </is>
      </c>
      <c r="D100" s="29" t="inlineStr">
        <is>
          <t>Teatro Cánovas</t>
        </is>
      </c>
      <c r="E100" s="29" t="inlineStr">
        <is>
          <t>Plaza del Ejido'da tiyatro; Centro</t>
        </is>
      </c>
      <c r="F100" s="29" t="inlineStr">
        <is>
          <t>Teatro Cánovas, Plaza del Ejido, 5, 29013 Málaga adresinde. Bilgi, bilet satışı ve halkla ilişkiler için buzon.teatrocanovas@juntadeandalucia.es adresi ve 951 30 89 02 numaralı telefon veriliyor; sanatsal programlama için teatro.canovas@juntadeandalucia.es adresine yazılıyor.</t>
        </is>
      </c>
      <c r="G100" s="29" t="inlineStr">
        <is>
          <t>Teatro Cánovas, tiyatro, Málaga, bilet, Plaza del Ejido</t>
        </is>
      </c>
      <c r="H100" s="29" t="inlineStr">
        <is>
          <t>planning;new;settled</t>
        </is>
      </c>
      <c r="I100" s="29" t="inlineStr">
        <is>
          <t>malaga:kaynak:372</t>
        </is>
      </c>
      <c r="J100" s="49" t="n">
        <v>46322</v>
      </c>
      <c r="K100" s="51" t="n">
        <v>405</v>
      </c>
      <c r="L100" s="29" t="inlineStr">
        <is>
          <t>Hayır</t>
        </is>
      </c>
      <c r="M100" s="29" t="inlineStr">
        <is>
          <t>Taslak</t>
        </is>
      </c>
      <c r="N100" s="29" t="inlineStr">
        <is>
          <t>Sahne ve müzik</t>
        </is>
      </c>
      <c r="O100" s="29" t="inlineStr">
        <is>
          <t>Centro</t>
        </is>
      </c>
      <c r="P100" s="29" t="inlineStr">
        <is>
          <t>Kapalı alan</t>
        </is>
      </c>
      <c r="Q100" s="29" t="inlineStr">
        <is>
          <t>Plaza del Ejido, 5, 29013 Málaga</t>
        </is>
      </c>
      <c r="R100" s="50" t="n">
        <v>36.72802918</v>
      </c>
      <c r="S100" s="50" t="n">
        <v>-4.41851637</v>
      </c>
      <c r="T100" s="29" t="n"/>
      <c r="U100" s="29" t="n"/>
      <c r="V100" s="29" t="inlineStr">
        <is>
          <t>Hayır</t>
        </is>
      </c>
      <c r="W100" s="29" t="n"/>
    </row>
    <row r="101" ht="54" customHeight="1">
      <c r="A101" s="29" t="inlineStr">
        <is>
          <t>malaga:auditorio-edgar-neville</t>
        </is>
      </c>
      <c r="B101" s="29" t="inlineStr">
        <is>
          <t>malaga</t>
        </is>
      </c>
      <c r="C101" s="29" t="inlineStr">
        <is>
          <t>auditorio-edgar-neville</t>
        </is>
      </c>
      <c r="D101" s="29" t="inlineStr">
        <is>
          <t>Auditorio Edgar Neville</t>
        </is>
      </c>
      <c r="E101" s="29" t="inlineStr">
        <is>
          <t>Diputación Provincial'in 2008'de açılan çok amaçlı sahnesi; Carretera de Cádiz</t>
        </is>
      </c>
      <c r="F101" s="29" t="inlineStr">
        <is>
          <t>Auditorio Edgar Neville, 2008'de Diputación Provincial'in oditoryumu olarak açıldı ve 2012'de yazar-yönetmen Edgar Neville'in adını aldı. Málaga Diputación Provincial'i tarafından yönetiliyor; Luis Machuca'nın tasarladığı ve 2007'de açılan Palacio Provincial'in bir parçası. Üç yüzden fazla kişilik çok disiplinli bir sahne.</t>
        </is>
      </c>
      <c r="G101" s="29" t="inlineStr">
        <is>
          <t>Edgar Neville, auditorio, Diputación de Málaga, sahne, Calle Pacífico</t>
        </is>
      </c>
      <c r="H101" s="29" t="inlineStr">
        <is>
          <t>planning;new;settled</t>
        </is>
      </c>
      <c r="I101" s="29" t="inlineStr">
        <is>
          <t>malaga:kaynak:373</t>
        </is>
      </c>
      <c r="J101" s="49" t="n">
        <v>46322</v>
      </c>
      <c r="K101" s="51" t="n">
        <v>406</v>
      </c>
      <c r="L101" s="29" t="inlineStr">
        <is>
          <t>Hayır</t>
        </is>
      </c>
      <c r="M101" s="29" t="inlineStr">
        <is>
          <t>Taslak</t>
        </is>
      </c>
      <c r="N101" s="29" t="inlineStr">
        <is>
          <t>Sahne ve müzik</t>
        </is>
      </c>
      <c r="O101" s="29" t="inlineStr">
        <is>
          <t>Carretera de Cádiz</t>
        </is>
      </c>
      <c r="P101" s="29" t="inlineStr">
        <is>
          <t>Kapalı alan</t>
        </is>
      </c>
      <c r="Q101" s="29" t="inlineStr">
        <is>
          <t>Calle Pacífico, 54, Málaga</t>
        </is>
      </c>
      <c r="R101" s="50" t="n">
        <v>36.68928969</v>
      </c>
      <c r="S101" s="50" t="n">
        <v>-4.44355933</v>
      </c>
      <c r="T101" s="29" t="n"/>
      <c r="U101" s="29" t="inlineStr">
        <is>
          <t>Sayfa mekânı 'Visitable' (ziyaret edilebilir) olarak işaretliyor; etkinlik biletleri sayfadaki 'Comprar entradas' bağlantısından satılıyor. İletişim: 952 133 950, gestiondeespacios@malaga.es.</t>
        </is>
      </c>
      <c r="V101" s="29" t="inlineStr">
        <is>
          <t>Hayır</t>
        </is>
      </c>
      <c r="W101" s="29" t="n"/>
    </row>
    <row r="102" ht="54" customHeight="1">
      <c r="A102" s="29" t="inlineStr">
        <is>
          <t>malaga:auditorio-curro-roman</t>
        </is>
      </c>
      <c r="B102" s="29" t="inlineStr">
        <is>
          <t>malaga</t>
        </is>
      </c>
      <c r="C102" s="29" t="inlineStr">
        <is>
          <t>auditorio-curro-roman</t>
        </is>
      </c>
      <c r="D102" s="29" t="inlineStr">
        <is>
          <t>Auditorio Curro Román</t>
        </is>
      </c>
      <c r="E102" s="29" t="inlineStr">
        <is>
          <t>Playa Virginia Parkı içindeki auditorio; Este</t>
        </is>
      </c>
      <c r="F102" s="29" t="inlineStr">
        <is>
          <t>Auditorio Curro Román, Playa Virginia Parkı'nın içinde. Kaynaktaki adres: Parque Playa Virginia, Calle Playa Virgina, s/n.</t>
        </is>
      </c>
      <c r="G102" s="29" t="inlineStr">
        <is>
          <t>Curro Román, auditorio, Playa Virginia, Málaga</t>
        </is>
      </c>
      <c r="H102" s="29" t="inlineStr">
        <is>
          <t>new;settled</t>
        </is>
      </c>
      <c r="I102" s="29" t="inlineStr">
        <is>
          <t>malaga:kaynak:374</t>
        </is>
      </c>
      <c r="J102" s="49" t="n">
        <v>46322</v>
      </c>
      <c r="K102" s="51" t="n">
        <v>407</v>
      </c>
      <c r="L102" s="29" t="inlineStr">
        <is>
          <t>Hayır</t>
        </is>
      </c>
      <c r="M102" s="29" t="inlineStr">
        <is>
          <t>Taslak</t>
        </is>
      </c>
      <c r="N102" s="29" t="inlineStr">
        <is>
          <t>Sahne ve müzik</t>
        </is>
      </c>
      <c r="O102" s="29" t="inlineStr">
        <is>
          <t>Este</t>
        </is>
      </c>
      <c r="P102" s="29" t="inlineStr">
        <is>
          <t>Açık hava</t>
        </is>
      </c>
      <c r="Q102" s="29" t="inlineStr">
        <is>
          <t>Parque Playa Virginia, Calle Playa Virgina, s/n, Málaga</t>
        </is>
      </c>
      <c r="R102" s="50" t="n">
        <v>36.71844</v>
      </c>
      <c r="S102" s="50" t="n">
        <v>-4.35194</v>
      </c>
      <c r="T102" s="29" t="n"/>
      <c r="U102" s="29" t="n"/>
      <c r="V102" s="29" t="inlineStr">
        <is>
          <t>Hayır</t>
        </is>
      </c>
      <c r="W102" s="29" t="n"/>
    </row>
    <row r="103" ht="54" customHeight="1">
      <c r="A103" s="29" t="inlineStr">
        <is>
          <t>malaga:recinto-eduardo-ocon</t>
        </is>
      </c>
      <c r="B103" s="29" t="inlineStr">
        <is>
          <t>malaga</t>
        </is>
      </c>
      <c r="C103" s="29" t="inlineStr">
        <is>
          <t>recinto-eduardo-ocon</t>
        </is>
      </c>
      <c r="D103" s="29" t="inlineStr">
        <is>
          <t>Recinto Eduardo Ocón</t>
        </is>
      </c>
      <c r="E103" s="29" t="inlineStr">
        <is>
          <t>Parque de Málaga içinde belediyenin açık hava oditoryumu; Centro</t>
        </is>
      </c>
      <c r="F103" s="29" t="inlineStr">
        <is>
          <t>Recinto Eduardo Ocón, Parque de Málaga içinde belediyeye ait açık hava oditoryumu; Paseo del Parque s/n, 29015 Málaga adresinde. Basamaklı tribünlerde 675 metrekarelik oturma alanı ve yaklaşık 540 kişilik oturma kapasitesi var. Sahne 156 metrekare ve kulisler sahnenin altında; yaklaşık 350 metrelik kısım geri çekilebilir, sarılabilir yelken tipi bir sistemle örtülebiliyor.</t>
        </is>
      </c>
      <c r="G103" s="29" t="inlineStr">
        <is>
          <t>Eduardo Ocón, açık hava sahnesi, Parque de Málaga, konser, Málaga</t>
        </is>
      </c>
      <c r="H103" s="29" t="inlineStr">
        <is>
          <t>planning;new;settled</t>
        </is>
      </c>
      <c r="I103" s="29" t="inlineStr">
        <is>
          <t>malaga:kaynak:375</t>
        </is>
      </c>
      <c r="J103" s="49" t="n">
        <v>46322</v>
      </c>
      <c r="K103" s="51" t="n">
        <v>408</v>
      </c>
      <c r="L103" s="29" t="inlineStr">
        <is>
          <t>Hayır</t>
        </is>
      </c>
      <c r="M103" s="29" t="inlineStr">
        <is>
          <t>Taslak</t>
        </is>
      </c>
      <c r="N103" s="29" t="inlineStr">
        <is>
          <t>Sahne ve müzik</t>
        </is>
      </c>
      <c r="O103" s="29" t="inlineStr">
        <is>
          <t>Centro</t>
        </is>
      </c>
      <c r="P103" s="29" t="inlineStr">
        <is>
          <t>Açık hava</t>
        </is>
      </c>
      <c r="Q103" s="29" t="inlineStr">
        <is>
          <t>Paseo del Parque s/n, 29015 Málaga</t>
        </is>
      </c>
      <c r="R103" s="50" t="n">
        <v>36.71919</v>
      </c>
      <c r="S103" s="50" t="n">
        <v>-4.41554</v>
      </c>
      <c r="T103" s="29" t="n"/>
      <c r="U103" s="29" t="inlineStr">
        <is>
          <t>Alan belediye birimlerinin ve kâr amacı gütmeyen kuruluşların başvurusuyla kullanılıyor; alanda Wi-Fi yok. İletişim: 951926168, recintoeduardoocon@malaga.eu.</t>
        </is>
      </c>
      <c r="V103" s="29" t="inlineStr">
        <is>
          <t>Hayır</t>
        </is>
      </c>
      <c r="W103" s="29" t="n"/>
    </row>
    <row r="104" ht="54" customHeight="1">
      <c r="A104" s="29" t="inlineStr">
        <is>
          <t>malaga:estadio-la-rosaleda</t>
        </is>
      </c>
      <c r="B104" s="29" t="inlineStr">
        <is>
          <t>malaga</t>
        </is>
      </c>
      <c r="C104" s="29" t="inlineStr">
        <is>
          <t>estadio-la-rosaleda</t>
        </is>
      </c>
      <c r="D104" s="29" t="inlineStr">
        <is>
          <t>Estadio La Rosaleda</t>
        </is>
      </c>
      <c r="E104" s="29" t="inlineStr">
        <is>
          <t>Málaga CF stadyumu; müze ve rehberli tur, Bailén-Miraflores</t>
        </is>
      </c>
      <c r="F104" s="29" t="inlineStr">
        <is>
          <t>Estadio La Rosaleda'da pazartesiden cumartesiye rehberli stadyum turu yapılıyor; tur müze, VIP alan, başkanlık locası, basın salonu ve sahaya çıkmadan önceki son metreleri kapsıyor. Tur, Málaga CF'nin maç oynadığı günler ve tatillerde yapılmıyor. Yetişkin bileti önceden alınırsa 12 €, tur günü gişede 15 €; 14 yaş altı çocuk 7 € ya da 10 €, 3 yaş altı biletsiz.</t>
        </is>
      </c>
      <c r="G104" s="29" t="inlineStr">
        <is>
          <t>La Rosaleda, Málaga CF, stadyum turu, müze, futbol, bilet</t>
        </is>
      </c>
      <c r="H104" s="29" t="inlineStr">
        <is>
          <t>planning;new;settled</t>
        </is>
      </c>
      <c r="I104" s="29" t="inlineStr">
        <is>
          <t>malaga:kaynak:376</t>
        </is>
      </c>
      <c r="J104" s="49" t="n">
        <v>46322</v>
      </c>
      <c r="K104" s="51" t="n">
        <v>409</v>
      </c>
      <c r="L104" s="29" t="inlineStr">
        <is>
          <t>Hayır</t>
        </is>
      </c>
      <c r="M104" s="29" t="inlineStr">
        <is>
          <t>Taslak</t>
        </is>
      </c>
      <c r="N104" s="29" t="inlineStr">
        <is>
          <t>Spor</t>
        </is>
      </c>
      <c r="O104" s="29" t="inlineStr">
        <is>
          <t>Bailén-Miraflores</t>
        </is>
      </c>
      <c r="P104" s="29" t="inlineStr">
        <is>
          <t>Karma</t>
        </is>
      </c>
      <c r="Q104" s="29" t="inlineStr">
        <is>
          <t>Puerta 0 (Pasaje Antonio Benítez), Estadio La Rosaleda, Málaga</t>
        </is>
      </c>
      <c r="R104" s="50" t="n">
        <v>36.734092</v>
      </c>
      <c r="S104" s="50" t="n">
        <v>-4.426422</v>
      </c>
      <c r="T104" s="29" t="n"/>
      <c r="U104" s="29" t="inlineStr">
        <is>
          <t>Buluşma noktası Puerta 0; seçtiğin tur saatinden en az 10 dakika önce orada ol, bir rehber seni alıp turu başlatıyor. Maç, antrenman ya da kulüp etkinliği olursa tur iptal edilebilir, güzergâhı veya saati değişebilir.</t>
        </is>
      </c>
      <c r="V104" s="29" t="inlineStr">
        <is>
          <t>Hayır</t>
        </is>
      </c>
      <c r="W104" s="29" t="n"/>
    </row>
    <row r="105" ht="54" customHeight="1">
      <c r="A105" s="29" t="inlineStr">
        <is>
          <t>malaga:polideportivo-ciudad-jardin</t>
        </is>
      </c>
      <c r="B105" s="29" t="inlineStr">
        <is>
          <t>malaga</t>
        </is>
      </c>
      <c r="C105" s="29" t="inlineStr">
        <is>
          <t>polideportivo-ciudad-jardin</t>
        </is>
      </c>
      <c r="D105" s="29" t="inlineStr">
        <is>
          <t>Polideportivo Ciudad Jardín</t>
        </is>
      </c>
      <c r="E105" s="29" t="inlineStr">
        <is>
          <t>Belediyenin spor salonu ve ders merkezi; Ciudad Jardín, Plaza John F. Kennedy</t>
        </is>
      </c>
      <c r="F105" s="29" t="inlineStr">
        <is>
          <t>Polideportivo Ciudad Jardín, Málaga Belediyesi Spor Alanı'na bağlı; Plaza John F. Kennedy, 3, 29014 Málaga adresinde. Yıl boyunca hafta içi 8:00-23:00, cumartesi ve pazar 9:00-22:00 arasında açık. Aikido (yetişkin, gençlik, çocuk), Pilates, müzikli yönlendirmeli dersler, yetişkin ve yaşlılar için kondisyon, spor okulları ve alan kiralama sunuluyor.</t>
        </is>
      </c>
      <c r="G105" s="29" t="inlineStr">
        <is>
          <t>Polideportivo, Ciudad Jardín, spor salonu, aikido, pilates, belediye</t>
        </is>
      </c>
      <c r="H105" s="29" t="inlineStr">
        <is>
          <t>new;settled</t>
        </is>
      </c>
      <c r="I105" s="29" t="inlineStr">
        <is>
          <t>malaga:kaynak:377</t>
        </is>
      </c>
      <c r="J105" s="49" t="n">
        <v>46322</v>
      </c>
      <c r="K105" s="51" t="n">
        <v>410</v>
      </c>
      <c r="L105" s="29" t="inlineStr">
        <is>
          <t>Hayır</t>
        </is>
      </c>
      <c r="M105" s="29" t="inlineStr">
        <is>
          <t>Taslak</t>
        </is>
      </c>
      <c r="N105" s="29" t="inlineStr">
        <is>
          <t>Spor</t>
        </is>
      </c>
      <c r="O105" s="29" t="inlineStr">
        <is>
          <t>Ciudad Jardín</t>
        </is>
      </c>
      <c r="P105" s="29" t="inlineStr">
        <is>
          <t>Karma</t>
        </is>
      </c>
      <c r="Q105" s="29" t="inlineStr">
        <is>
          <t>Plaza John F. Kennedy, 3, 29014 Málaga</t>
        </is>
      </c>
      <c r="R105" s="50" t="n">
        <v>36.750419</v>
      </c>
      <c r="S105" s="50" t="n">
        <v>-4.423852</v>
      </c>
      <c r="T105" s="29" t="n"/>
      <c r="U105" s="29" t="inlineStr">
        <is>
          <t>Ücret tahsilat saatleri her gün 9:30-13:30; hafta içi ve cumartesi ayrıca 18:00-22:00, pazar akşamı tahsilat yok. Telefon: 951929655.</t>
        </is>
      </c>
      <c r="V105" s="29" t="inlineStr">
        <is>
          <t>Hayır</t>
        </is>
      </c>
      <c r="W105" s="29" t="n"/>
    </row>
    <row r="106" ht="54" customHeight="1">
      <c r="A106" s="29" t="inlineStr">
        <is>
          <t>malaga:real-club-mediterraneo</t>
        </is>
      </c>
      <c r="B106" s="29" t="inlineStr">
        <is>
          <t>malaga</t>
        </is>
      </c>
      <c r="C106" s="29" t="inlineStr">
        <is>
          <t>real-club-mediterraneo</t>
        </is>
      </c>
      <c r="D106" s="29" t="inlineStr">
        <is>
          <t>Real Club Mediterráneo</t>
        </is>
      </c>
      <c r="E106" s="29" t="inlineStr">
        <is>
          <t>Málaga limanında kulüp merkezi ve marina; Centro, Paseo de la Farola</t>
        </is>
      </c>
      <c r="F106" s="29" t="inlineStr">
        <is>
          <t>Real Club Mediterráneo, Málaga limanındaki kulüp: merkezi (Sede Social) Paseo de la Farola, 18, 29016 Málaga adresinde; marinası (La Marina) Muelle de Levante s/n, 29016 Málaga'da. Merkez telefonları 952 226 300 ve 952 228 541; marina için aynı santralin dahili 5 numarası ya da 648 946 924 ve 676 577 303 aranabiliyor.</t>
        </is>
      </c>
      <c r="G106" s="29" t="inlineStr">
        <is>
          <t>Real Club Mediterráneo, marina, yat kulübü, Muelle de Levante, Málaga limanı</t>
        </is>
      </c>
      <c r="H106" s="29" t="inlineStr">
        <is>
          <t>planning;new;settled</t>
        </is>
      </c>
      <c r="I106" s="29" t="inlineStr">
        <is>
          <t>malaga:kaynak:378</t>
        </is>
      </c>
      <c r="J106" s="49" t="n">
        <v>46322</v>
      </c>
      <c r="K106" s="51" t="n">
        <v>411</v>
      </c>
      <c r="L106" s="29" t="inlineStr">
        <is>
          <t>Hayır</t>
        </is>
      </c>
      <c r="M106" s="29" t="inlineStr">
        <is>
          <t>Taslak</t>
        </is>
      </c>
      <c r="N106" s="29" t="inlineStr">
        <is>
          <t>Spor</t>
        </is>
      </c>
      <c r="O106" s="29" t="inlineStr">
        <is>
          <t>Centro</t>
        </is>
      </c>
      <c r="P106" s="29" t="inlineStr">
        <is>
          <t>Açık hava</t>
        </is>
      </c>
      <c r="Q106" s="29" t="inlineStr">
        <is>
          <t>Paseo de la Farola, 18, 29016 Málaga</t>
        </is>
      </c>
      <c r="R106" s="50" t="n">
        <v>36.71463</v>
      </c>
      <c r="S106" s="50" t="n">
        <v>-4.41372</v>
      </c>
      <c r="T106" s="29" t="n"/>
      <c r="U106" s="29" t="inlineStr">
        <is>
          <t>Marina telsizde VHF kanal 9'dan ulaşılabiliyor.</t>
        </is>
      </c>
      <c r="V106" s="29" t="inlineStr">
        <is>
          <t>Hayır</t>
        </is>
      </c>
      <c r="W106" s="29" t="n"/>
    </row>
    <row r="107" ht="54" customHeight="1">
      <c r="A107" s="29" t="inlineStr">
        <is>
          <t>malaga:complejo-deportivo-universitario</t>
        </is>
      </c>
      <c r="B107" s="29" t="inlineStr">
        <is>
          <t>malaga</t>
        </is>
      </c>
      <c r="C107" s="29" t="inlineStr">
        <is>
          <t>complejo-deportivo-universitario</t>
        </is>
      </c>
      <c r="D107" s="29" t="inlineStr">
        <is>
          <t>Complejo Deportivo Universitario</t>
        </is>
      </c>
      <c r="E107" s="29" t="inlineStr">
        <is>
          <t>Málaga Üniversitesi spor kompleksi; Teatinos kampüsünde</t>
        </is>
      </c>
      <c r="F107" s="29" t="inlineStr">
        <is>
          <t>Universidad de Málaga'nın Complejo Deportivo Universitario'su Teatinos Kampüsü'nde, Boulevard Louis Pasteur'da, Bilgisayar ve Telekomünikasyon Mühendisliği fakülteleri ile kampüs genişlemesinin başlangıcı arasında yer alıyor.</t>
        </is>
      </c>
      <c r="G107" s="29" t="inlineStr">
        <is>
          <t>UMA Deportes, üniversite spor kompleksi, Teatinos, Boulevard Louis Pasteur, Málaga</t>
        </is>
      </c>
      <c r="H107" s="29" t="inlineStr">
        <is>
          <t>new;settled</t>
        </is>
      </c>
      <c r="I107" s="29" t="inlineStr">
        <is>
          <t>malaga:kaynak:379</t>
        </is>
      </c>
      <c r="J107" s="49" t="n">
        <v>46322</v>
      </c>
      <c r="K107" s="51" t="n">
        <v>412</v>
      </c>
      <c r="L107" s="29" t="inlineStr">
        <is>
          <t>Hayır</t>
        </is>
      </c>
      <c r="M107" s="29" t="inlineStr">
        <is>
          <t>Taslak</t>
        </is>
      </c>
      <c r="N107" s="29" t="inlineStr">
        <is>
          <t>Spor</t>
        </is>
      </c>
      <c r="O107" s="29" t="inlineStr">
        <is>
          <t>Teatinos-Universidad</t>
        </is>
      </c>
      <c r="P107" s="29" t="inlineStr">
        <is>
          <t>Karma</t>
        </is>
      </c>
      <c r="Q107" s="29" t="inlineStr">
        <is>
          <t>Campus de Teatinos, Boulevard Louis Pasteur, Málaga</t>
        </is>
      </c>
      <c r="R107" s="50" t="n">
        <v>36.716022</v>
      </c>
      <c r="S107" s="50" t="n">
        <v>-4.480943</v>
      </c>
      <c r="T107" s="29" t="n"/>
      <c r="U107" s="29" t="inlineStr">
        <is>
          <t>El Ejido kampüsündeki spor etkinlikleri ayrı bir yerde, Edificio de Usos Múltiples'te yapılıyor.</t>
        </is>
      </c>
      <c r="V107" s="29" t="inlineStr">
        <is>
          <t>Hayır</t>
        </is>
      </c>
      <c r="W107" s="29" t="n"/>
    </row>
    <row r="108" ht="54" customHeight="1">
      <c r="A108" s="29" t="inlineStr">
        <is>
          <t>malaga:igy-malaga-marina</t>
        </is>
      </c>
      <c r="B108" s="29" t="inlineStr">
        <is>
          <t>malaga</t>
        </is>
      </c>
      <c r="C108" s="29" t="inlineStr">
        <is>
          <t>igy-malaga-marina</t>
        </is>
      </c>
      <c r="D108" s="29" t="inlineStr">
        <is>
          <t>IGY Málaga Marina</t>
        </is>
      </c>
      <c r="E108" s="29" t="inlineStr">
        <is>
          <t>Süperyatlara ayrılmış liman; Muelles de Santa Catalina, Paseo de la Farola</t>
        </is>
      </c>
      <c r="F108" s="29" t="inlineStr">
        <is>
          <t>IGY Málaga Marina, 20 ile 180 metre arasındaki tekneler için 33 bağlama yeri olan, süperyatlara ayrılmış bir marina; adresi Paseo de la Farola, S/N, 29016 Málaga. Ofis pazartesiden cumaya 9:00-17:00 arasında çalışıyor, rıhtım personeli günün 24 saati nöbette.</t>
        </is>
      </c>
      <c r="G108" s="29" t="inlineStr">
        <is>
          <t>IGY Málaga Marina, süperyat, marina, Paseo de la Farola, Málaga limanı</t>
        </is>
      </c>
      <c r="H108" s="29" t="inlineStr">
        <is>
          <t>planning;new;settled</t>
        </is>
      </c>
      <c r="I108" s="29" t="inlineStr">
        <is>
          <t>malaga:kaynak:380</t>
        </is>
      </c>
      <c r="J108" s="49" t="n">
        <v>46322</v>
      </c>
      <c r="K108" s="51" t="n">
        <v>413</v>
      </c>
      <c r="L108" s="29" t="inlineStr">
        <is>
          <t>Hayır</t>
        </is>
      </c>
      <c r="M108" s="29" t="inlineStr">
        <is>
          <t>Taslak</t>
        </is>
      </c>
      <c r="N108" s="29" t="inlineStr">
        <is>
          <t>Spor</t>
        </is>
      </c>
      <c r="O108" s="29" t="inlineStr">
        <is>
          <t>Centro</t>
        </is>
      </c>
      <c r="P108" s="29" t="inlineStr">
        <is>
          <t>Açık hava</t>
        </is>
      </c>
      <c r="Q108" s="29" t="inlineStr">
        <is>
          <t>Paseo de la Farola, S/N, 29016 Málaga</t>
        </is>
      </c>
      <c r="R108" s="50" t="n">
        <v>36.714452</v>
      </c>
      <c r="S108" s="50" t="n">
        <v>-4.417765</v>
      </c>
      <c r="T108" s="29" t="n"/>
      <c r="U108" s="29" t="inlineStr">
        <is>
          <t>Rıhtıma yalnız yetkili kişiler giriyor; bağlama yeri rezervasyonu için telefon +34 628 49 2362, telsiz VHF kanal 9.</t>
        </is>
      </c>
      <c r="V108" s="29" t="inlineStr">
        <is>
          <t>Hayır</t>
        </is>
      </c>
      <c r="W108" s="29" t="n"/>
    </row>
    <row r="109" ht="54" customHeight="1">
      <c r="A109" s="29" t="inlineStr">
        <is>
          <t>malaga:real-guadalhorce-club-de-golf</t>
        </is>
      </c>
      <c r="B109" s="29" t="inlineStr">
        <is>
          <t>malaga</t>
        </is>
      </c>
      <c r="C109" s="29" t="inlineStr">
        <is>
          <t>real-guadalhorce-club-de-golf</t>
        </is>
      </c>
      <c r="D109" s="29" t="inlineStr">
        <is>
          <t>Real Guadalhorce Club de Golf</t>
        </is>
      </c>
      <c r="E109" s="29" t="inlineStr">
        <is>
          <t>Golf kulübü; Churriana semti, Avenida José Ortega y Gasset</t>
        </is>
      </c>
      <c r="F109" s="29" t="inlineStr">
        <is>
          <t>Real Guadalhorce Club de Golf, Avda. José Ortega y Gasset, 555, 29196 Málaga adresindeki golf kulübü. Kulüp iki telefon veriyor: +34 952 179 378 ve +34 952 179 368.</t>
        </is>
      </c>
      <c r="G109" s="29" t="inlineStr">
        <is>
          <t>Real Guadalhorce, golf kulübü, Churriana, Málaga, rezervasyon</t>
        </is>
      </c>
      <c r="H109" s="29" t="inlineStr">
        <is>
          <t>new;settled</t>
        </is>
      </c>
      <c r="I109" s="29" t="inlineStr">
        <is>
          <t>malaga:kaynak:381</t>
        </is>
      </c>
      <c r="J109" s="49" t="n">
        <v>46322</v>
      </c>
      <c r="K109" s="51" t="n">
        <v>414</v>
      </c>
      <c r="L109" s="29" t="inlineStr">
        <is>
          <t>Hayır</t>
        </is>
      </c>
      <c r="M109" s="29" t="inlineStr">
        <is>
          <t>Taslak</t>
        </is>
      </c>
      <c r="N109" s="29" t="inlineStr">
        <is>
          <t>Spor</t>
        </is>
      </c>
      <c r="O109" s="29" t="inlineStr">
        <is>
          <t>Churriana</t>
        </is>
      </c>
      <c r="P109" s="29" t="inlineStr">
        <is>
          <t>Açık hava</t>
        </is>
      </c>
      <c r="Q109" s="29" t="inlineStr">
        <is>
          <t>Avda. José Ortega y Gasset, 555, 29196 Málaga</t>
        </is>
      </c>
      <c r="R109" s="50" t="n">
        <v>36.7036</v>
      </c>
      <c r="S109" s="50" t="n">
        <v>-4.5182</v>
      </c>
      <c r="T109" s="29" t="n"/>
      <c r="U109" s="29" t="inlineStr">
        <is>
          <t>Rezervasyon için reservas@guadalhorce.com adresine yazılıyor.</t>
        </is>
      </c>
      <c r="V109" s="29" t="inlineStr">
        <is>
          <t>Hayır</t>
        </is>
      </c>
      <c r="W109" s="29" t="n"/>
    </row>
    <row r="110" ht="54" customHeight="1">
      <c r="A110" s="29" t="inlineStr">
        <is>
          <t>malaga:jardin-botanico-historico-la-concepcion</t>
        </is>
      </c>
      <c r="B110" s="29" t="inlineStr">
        <is>
          <t>malaga</t>
        </is>
      </c>
      <c r="C110" s="29" t="inlineStr">
        <is>
          <t>jardin-botanico-historico-la-concepcion</t>
        </is>
      </c>
      <c r="D110" s="29" t="inlineStr">
        <is>
          <t>Jardín Botánico-Histórico La Concepción</t>
        </is>
      </c>
      <c r="E110" s="29" t="inlineStr">
        <is>
          <t>Şehir merkezinden 6 km uzakta tarihî botanik bahçe; Ciudad Jardín</t>
        </is>
      </c>
      <c r="F110" s="29" t="inlineStr">
        <is>
          <t>La Concepción, Camino del Jardín Botánico, nº 3, 29014 Málaga adresindeki belediye botanik bahçesi; merkezden yaklaşık 6 km uzakta. 1 Nisan-30 Eylül arasında 09:30-20:30, 1 Ekim-31 Mart arasında 09:30-17:30 açık; pazartesileri, 25 Aralık ve 1 Ocak'ta kapalı. Resmî tatile denk gelen ya da tatili kaydırılan pazartesilerde bahçe normal saatinde açık; 24 ve 31 Aralık'ta kapanış 15:00, bahçede kapanıştan yarım saat sonrasına kadar kalınabiliyor. Tam bilet 5,20 €, indirimli bilet 3,10 € (16 yaşa kadar gençler, 26 yaşa kadar öğrenciler, emekliler, kalabalık aileler, Málaga Pass vb.); Ekim-Mart arasında pazarları 14:00-17:30, Nisan-Eylül arasında pazarları 16:30-20:30 giriş ücretsiz.</t>
        </is>
      </c>
      <c r="G110" s="29" t="inlineStr">
        <is>
          <t>La Concepción, botanik bahçe, Málaga, aile, ücretsiz pazar, rehberli tur</t>
        </is>
      </c>
      <c r="H110" s="29" t="inlineStr">
        <is>
          <t>planning;new;settled</t>
        </is>
      </c>
      <c r="I110" s="29" t="inlineStr">
        <is>
          <t>malaga:kaynak:284</t>
        </is>
      </c>
      <c r="J110" s="49" t="n">
        <v>46322</v>
      </c>
      <c r="K110" s="51" t="n">
        <v>415</v>
      </c>
      <c r="L110" s="29" t="inlineStr">
        <is>
          <t>Evet</t>
        </is>
      </c>
      <c r="M110" s="29" t="inlineStr">
        <is>
          <t>Taslak</t>
        </is>
      </c>
      <c r="N110" s="29" t="inlineStr">
        <is>
          <t>Çocuklarla keşif</t>
        </is>
      </c>
      <c r="O110" s="29" t="inlineStr">
        <is>
          <t>Ciudad Jardín</t>
        </is>
      </c>
      <c r="P110" s="29" t="inlineStr">
        <is>
          <t>Açık hava</t>
        </is>
      </c>
      <c r="Q110" s="29" t="inlineStr">
        <is>
          <t>Camino del Jardín Botánico, nº 3, 29014 Málaga</t>
        </is>
      </c>
      <c r="R110" s="50" t="n">
        <v>36.761704</v>
      </c>
      <c r="S110" s="50" t="n">
        <v>-4.426414</v>
      </c>
      <c r="T110" s="29" t="n"/>
      <c r="U110" s="29" t="inlineStr">
        <is>
          <t>Bilet önceden online alınamıyor, yalnız gişede satılıyor. 16 yaş altı çocuklar yanlarında yetişkinle girmeli. Köpekler tasmalıysa kabul ediliyor. 1,5 saatlik isteğe bağlı rehberli tur yalnız rezervasyonla yapılıyor: 951926180 ya da infojbotanicomalaga@gmail.com.</t>
        </is>
      </c>
      <c r="V110" s="29" t="inlineStr">
        <is>
          <t>Hayır</t>
        </is>
      </c>
      <c r="W110" s="29" t="n"/>
    </row>
    <row r="111" ht="54" customHeight="1">
      <c r="A111" s="29" t="inlineStr">
        <is>
          <t>malaga:centro-de-ciencia-principia</t>
        </is>
      </c>
      <c r="B111" s="29" t="inlineStr">
        <is>
          <t>malaga</t>
        </is>
      </c>
      <c r="C111" s="29" t="inlineStr">
        <is>
          <t>centro-de-ciencia-principia</t>
        </is>
      </c>
      <c r="D111" s="29" t="inlineStr">
        <is>
          <t>Centro de Ciencia Principia</t>
        </is>
      </c>
      <c r="E111" s="29" t="inlineStr">
        <is>
          <t>Bilim merkezi ve planetaryum programları; Palma-Palmilla, Avenida de Luis Buñuel</t>
        </is>
      </c>
      <c r="F111" s="29" t="inlineStr">
        <is>
          <t>Centro de Ciencia Principia, Avenida de Luis Buñuel, 6, 29011 Málaga adresindeki bilim merkezi. Sayfa '3CLIPSE' planetaryum programını ve bilim-teknoloji yaygınlaştırma programını duyuruyor; bu programların rezervasyonu yalnız eğitim kurumlarına yönelik, sayfada okul grupları için 2026-2027 dönemi ziyaret bilgisi de var. Telefon: 613515875.</t>
        </is>
      </c>
      <c r="G111" s="29" t="inlineStr">
        <is>
          <t>Principia, bilim merkezi, planetaryum, çocuklar, okul grupları, Málaga</t>
        </is>
      </c>
      <c r="H111" s="29" t="inlineStr">
        <is>
          <t>planning;new;settled</t>
        </is>
      </c>
      <c r="I111" s="29" t="inlineStr">
        <is>
          <t>malaga:kaynak:382</t>
        </is>
      </c>
      <c r="J111" s="49" t="n">
        <v>46322</v>
      </c>
      <c r="K111" s="51" t="n">
        <v>416</v>
      </c>
      <c r="L111" s="29" t="inlineStr">
        <is>
          <t>Hayır</t>
        </is>
      </c>
      <c r="M111" s="29" t="inlineStr">
        <is>
          <t>Taslak</t>
        </is>
      </c>
      <c r="N111" s="29" t="inlineStr">
        <is>
          <t>Çocuklarla keşif</t>
        </is>
      </c>
      <c r="O111" s="29" t="inlineStr">
        <is>
          <t>Palma-Palmilla</t>
        </is>
      </c>
      <c r="P111" s="29" t="inlineStr">
        <is>
          <t>Kapalı alan</t>
        </is>
      </c>
      <c r="Q111" s="29" t="inlineStr">
        <is>
          <t>Avenida de Luis Buñuel, 6, 29011 Málaga</t>
        </is>
      </c>
      <c r="R111" s="50" t="n">
        <v>36.73322</v>
      </c>
      <c r="S111" s="50" t="n">
        <v>-4.42801</v>
      </c>
      <c r="T111" s="29" t="n"/>
      <c r="U111" s="29" t="inlineStr">
        <is>
          <t>'3CLIPSE' planetaryum programı için rezervasyon talebi yalnız eğitim kurumlarına yönelik; program için e-posta: reservas.programadivulgacion@ieslarosaleda.com.</t>
        </is>
      </c>
      <c r="V111" s="29" t="inlineStr">
        <is>
          <t>Hayır</t>
        </is>
      </c>
      <c r="W111" s="29" t="n"/>
    </row>
    <row r="112" ht="54" customHeight="1">
      <c r="A112" s="29" t="inlineStr">
        <is>
          <t>malaga:parque-de-la-alegria</t>
        </is>
      </c>
      <c r="B112" s="29" t="inlineStr">
        <is>
          <t>malaga</t>
        </is>
      </c>
      <c r="C112" s="29" t="inlineStr">
        <is>
          <t>parque-de-la-alegria</t>
        </is>
      </c>
      <c r="D112" s="29" t="inlineStr">
        <is>
          <t>Parque de la Alegría</t>
        </is>
      </c>
      <c r="E112" s="29" t="inlineStr">
        <is>
          <t>2011'de açılan, renkli ve çitle çevrili şehir parkı; Ciudad Jardín</t>
        </is>
      </c>
      <c r="F112" s="29" t="inlineStr">
        <is>
          <t>Parque de la Alegría, Ciudad Jardín bölgesinde Calle Camino de Casabermeja'da, 2011'de açılan 15.100 metrekarelik bir park. Şehrin en renkli ve özgün parklarından biri olarak anlatılıyor; palmiye, incir, araucaria ve servi dahil 90'dan fazla farklı ağaç ve bitki örneği var. Çevresi uzun, sivri uçlu bir parmaklıkla çevrili.</t>
        </is>
      </c>
      <c r="G112" s="29" t="inlineStr">
        <is>
          <t>Parque de la Alegría, çocuk parkı, Ciudad Jardín, Málaga, park</t>
        </is>
      </c>
      <c r="H112" s="29" t="inlineStr">
        <is>
          <t>new;settled</t>
        </is>
      </c>
      <c r="I112" s="29" t="inlineStr">
        <is>
          <t>malaga:kaynak:383</t>
        </is>
      </c>
      <c r="J112" s="49" t="n">
        <v>46322</v>
      </c>
      <c r="K112" s="51" t="n">
        <v>417</v>
      </c>
      <c r="L112" s="29" t="inlineStr">
        <is>
          <t>Hayır</t>
        </is>
      </c>
      <c r="M112" s="29" t="inlineStr">
        <is>
          <t>Taslak</t>
        </is>
      </c>
      <c r="N112" s="29" t="inlineStr">
        <is>
          <t>Çocuklarla keşif</t>
        </is>
      </c>
      <c r="O112" s="29" t="inlineStr">
        <is>
          <t>Ciudad Jardín</t>
        </is>
      </c>
      <c r="P112" s="29" t="inlineStr">
        <is>
          <t>Açık hava</t>
        </is>
      </c>
      <c r="Q112" s="29" t="inlineStr">
        <is>
          <t>Calle Camino de Casabermeja, Málaga</t>
        </is>
      </c>
      <c r="R112" s="50" t="n">
        <v>36.754411</v>
      </c>
      <c r="S112" s="50" t="n">
        <v>-4.425487</v>
      </c>
      <c r="T112" s="29" t="n"/>
      <c r="U112" s="29" t="inlineStr">
        <is>
          <t>Parkta modern heykelli bir gölet, yaşlılar için beyaz bir açık hava spor alanı, koşu için mavi ve bisiklet için yeşil pist ile çocuk bölgesi var.</t>
        </is>
      </c>
      <c r="V112" s="29" t="inlineStr">
        <is>
          <t>Hayır</t>
        </is>
      </c>
      <c r="W112" s="29" t="n"/>
    </row>
    <row r="113" ht="54" customHeight="1">
      <c r="A113" s="29" t="inlineStr">
        <is>
          <t>malaga:parque-del-norte</t>
        </is>
      </c>
      <c r="B113" s="29" t="inlineStr">
        <is>
          <t>malaga</t>
        </is>
      </c>
      <c r="C113" s="29" t="inlineStr">
        <is>
          <t>parque-del-norte</t>
        </is>
      </c>
      <c r="D113" s="29" t="inlineStr">
        <is>
          <t>Parque del Norte</t>
        </is>
      </c>
      <c r="E113" s="29" t="inlineStr">
        <is>
          <t>Dört bölümlü uzun belediye parkı; Bailén-Miraflores, Avenida Valle Inclán</t>
        </is>
      </c>
      <c r="F113" s="29" t="inlineStr">
        <is>
          <t>Parque del Norte, Avenida Valle Inclán ile Avenida Carlos de Haya arasında uzanan, uzun biçimli bir belediye parkı. Dört ayrı bölümü var: köpek parkı, çocuk oyun alanı, açık hava spor aletleri ve çim, ağaç ve çalılarla kaplı geniş bahçeler.</t>
        </is>
      </c>
      <c r="G113" s="29" t="inlineStr">
        <is>
          <t>Parque del Norte, köpek parkı, çocuk oyun alanı, Málaga, park</t>
        </is>
      </c>
      <c r="H113" s="29" t="inlineStr">
        <is>
          <t>new;settled</t>
        </is>
      </c>
      <c r="I113" s="29" t="inlineStr">
        <is>
          <t>malaga:kaynak:384</t>
        </is>
      </c>
      <c r="J113" s="49" t="n">
        <v>46322</v>
      </c>
      <c r="K113" s="51" t="n">
        <v>418</v>
      </c>
      <c r="L113" s="29" t="inlineStr">
        <is>
          <t>Hayır</t>
        </is>
      </c>
      <c r="M113" s="29" t="inlineStr">
        <is>
          <t>Taslak</t>
        </is>
      </c>
      <c r="N113" s="29" t="inlineStr">
        <is>
          <t>Çocuklarla keşif</t>
        </is>
      </c>
      <c r="O113" s="29" t="inlineStr">
        <is>
          <t>Bailén-Miraflores</t>
        </is>
      </c>
      <c r="P113" s="29" t="inlineStr">
        <is>
          <t>Açık hava</t>
        </is>
      </c>
      <c r="Q113" s="29" t="inlineStr">
        <is>
          <t>Entre la avenida Valle Inclán y la avenida Carlos de Haya, Málaga</t>
        </is>
      </c>
      <c r="R113" s="50" t="n">
        <v>36.7233</v>
      </c>
      <c r="S113" s="50" t="n">
        <v>-4.44622</v>
      </c>
      <c r="T113" s="29" t="n"/>
      <c r="U113" s="29" t="inlineStr">
        <is>
          <t>Köpeğini getirirsen ayrı bir köpek parkı bölümü var.</t>
        </is>
      </c>
      <c r="V113" s="29" t="inlineStr">
        <is>
          <t>Hayır</t>
        </is>
      </c>
      <c r="W113" s="29" t="n"/>
    </row>
    <row r="114" ht="54" customHeight="1">
      <c r="A114" s="29" t="inlineStr">
        <is>
          <t>malaga:parque-litoral</t>
        </is>
      </c>
      <c r="B114" s="29" t="inlineStr">
        <is>
          <t>malaga</t>
        </is>
      </c>
      <c r="C114" s="29" t="inlineStr">
        <is>
          <t>parque-litoral</t>
        </is>
      </c>
      <c r="D114" s="29" t="inlineStr">
        <is>
          <t>Parque Litoral</t>
        </is>
      </c>
      <c r="E114" s="29" t="inlineStr">
        <is>
          <t>Çocuk alanı ve ahşap seyir noktasıyla belediye parkı; Carretera de Cádiz</t>
        </is>
      </c>
      <c r="F114" s="29" t="inlineStr">
        <is>
          <t>Parque Litoral, Calle Villanueva de Algaidas'ta; belediye sayfasına göre 8:00-22:00 arasında ziyaret edilebiliyor. Çocuk bölgesinin simgesi, üzerinde küçük bir ahşap seyir noktası bulunan bir tepe. Yetişkinler için fotoğraf çekmeye ya da yeşil alanlarla çevrili banklarda sohbet etmeye uygun.</t>
        </is>
      </c>
      <c r="G114" s="29" t="inlineStr">
        <is>
          <t>Parque Litoral, çocuk parkı, Carretera de Cádiz, Málaga, mirador</t>
        </is>
      </c>
      <c r="H114" s="29" t="inlineStr">
        <is>
          <t>new;settled</t>
        </is>
      </c>
      <c r="I114" s="29" t="inlineStr">
        <is>
          <t>malaga:kaynak:385</t>
        </is>
      </c>
      <c r="J114" s="49" t="n">
        <v>46322</v>
      </c>
      <c r="K114" s="51" t="n">
        <v>419</v>
      </c>
      <c r="L114" s="29" t="inlineStr">
        <is>
          <t>Hayır</t>
        </is>
      </c>
      <c r="M114" s="29" t="inlineStr">
        <is>
          <t>Taslak</t>
        </is>
      </c>
      <c r="N114" s="29" t="inlineStr">
        <is>
          <t>Çocuklarla keşif</t>
        </is>
      </c>
      <c r="O114" s="29" t="inlineStr">
        <is>
          <t>Carretera de Cádiz</t>
        </is>
      </c>
      <c r="P114" s="29" t="inlineStr">
        <is>
          <t>Açık hava</t>
        </is>
      </c>
      <c r="Q114" s="29" t="inlineStr">
        <is>
          <t>Calle Villanueva de Algaidas, Málaga</t>
        </is>
      </c>
      <c r="R114" s="50" t="n">
        <v>36.68479</v>
      </c>
      <c r="S114" s="50" t="n">
        <v>-4.454</v>
      </c>
      <c r="T114" s="29" t="n"/>
      <c r="U114" s="29" t="inlineStr">
        <is>
          <t>Resmî adı Parque Litoral 25 de Noviembre; adını 25 Kasım 2008'deki açılış gününden alıyor.</t>
        </is>
      </c>
      <c r="V114" s="29" t="inlineStr">
        <is>
          <t>Hayır</t>
        </is>
      </c>
      <c r="W114" s="29" t="n"/>
    </row>
    <row r="115" ht="54" customHeight="1">
      <c r="A115" s="29" t="inlineStr">
        <is>
          <t>malaga:parque-del-cine</t>
        </is>
      </c>
      <c r="B115" s="29" t="inlineStr">
        <is>
          <t>malaga</t>
        </is>
      </c>
      <c r="C115" s="29" t="inlineStr">
        <is>
          <t>parque-del-cine</t>
        </is>
      </c>
      <c r="D115" s="29" t="inlineStr">
        <is>
          <t>Parque del Cine</t>
        </is>
      </c>
      <c r="E115" s="29" t="inlineStr">
        <is>
          <t>Sinema temalı park; Teatinos, Carril del Capitán</t>
        </is>
      </c>
      <c r="F115" s="29" t="inlineStr">
        <is>
          <t>Parque del Cine, Teatinos mahallesinde Carril del Capitán, Orson Welles ve Charles Dickens sokakları arasında, 2010'da açılan sinemadan ilham alan bir yeşil alan. 10.000 metrekarelik parkta çocuklar yenilikçi oyun elemanlarında oynarken yetişkinler dinlenip sinema motiflerini izleyebiliyor.</t>
        </is>
      </c>
      <c r="G115" s="29" t="inlineStr">
        <is>
          <t>Parque del Cine, sinema, çocuk parkı, Teatinos, Málaga</t>
        </is>
      </c>
      <c r="H115" s="29" t="inlineStr">
        <is>
          <t>new;settled</t>
        </is>
      </c>
      <c r="I115" s="29" t="inlineStr">
        <is>
          <t>malaga:kaynak:386</t>
        </is>
      </c>
      <c r="J115" s="49" t="n">
        <v>46322</v>
      </c>
      <c r="K115" s="51" t="n">
        <v>420</v>
      </c>
      <c r="L115" s="29" t="inlineStr">
        <is>
          <t>Hayır</t>
        </is>
      </c>
      <c r="M115" s="29" t="inlineStr">
        <is>
          <t>Taslak</t>
        </is>
      </c>
      <c r="N115" s="29" t="inlineStr">
        <is>
          <t>Çocuklarla keşif</t>
        </is>
      </c>
      <c r="O115" s="29" t="inlineStr">
        <is>
          <t>Teatinos-Universidad</t>
        </is>
      </c>
      <c r="P115" s="29" t="inlineStr">
        <is>
          <t>Açık hava</t>
        </is>
      </c>
      <c r="Q115" s="29" t="inlineStr">
        <is>
          <t>Barrio de Teatinos, entre las calles Carril del Capitán, Orson Welles y Charles Dickens, Málaga</t>
        </is>
      </c>
      <c r="R115" s="50" t="n">
        <v>36.72472</v>
      </c>
      <c r="S115" s="50" t="n">
        <v>-4.46263</v>
      </c>
      <c r="T115" s="29" t="n"/>
      <c r="U115" s="29" t="inlineStr">
        <is>
          <t>Sinema motifleri renkli ve fantastik; yetişkinler dinlenirken onları izleyebiliyor.</t>
        </is>
      </c>
      <c r="V115" s="29" t="inlineStr">
        <is>
          <t>Hayır</t>
        </is>
      </c>
      <c r="W115" s="29" t="n"/>
    </row>
    <row r="116" ht="54" customHeight="1">
      <c r="A116" s="29" t="inlineStr">
        <is>
          <t>malaga:parque-de-huelin</t>
        </is>
      </c>
      <c r="B116" s="29" t="inlineStr">
        <is>
          <t>malaga</t>
        </is>
      </c>
      <c r="C116" s="29" t="inlineStr">
        <is>
          <t>parque-de-huelin</t>
        </is>
      </c>
      <c r="D116" s="29" t="inlineStr">
        <is>
          <t>Parque de Huelin</t>
        </is>
      </c>
      <c r="E116" s="29" t="inlineStr">
        <is>
          <t>Göletli büyük şehir parkı ve kuş figürlü çocuk alanı; Carretera de Cádiz</t>
        </is>
      </c>
      <c r="F116" s="29" t="inlineStr">
        <is>
          <t>Parque de Huelin, Huelin mahallesinde, Carretera de Cádiz bölgesinde, şehrin büyük yeşil alanlarından biri. Ortasında palmiyeli bir adacık ve geleneksel bir Málaga balıkçı teknesi bulunan bir gölet, kenarında küçük ahşap köprülü yapay bir dere var. Zemini çoğunlukla çim; 30'dan fazla türden çok sayıda ağaç yetişiyor.</t>
        </is>
      </c>
      <c r="G116" s="29" t="inlineStr">
        <is>
          <t>Parque de Huelin, göl, çocuk parkı, Carretera de Cádiz, Málaga</t>
        </is>
      </c>
      <c r="H116" s="29" t="inlineStr">
        <is>
          <t>new;settled</t>
        </is>
      </c>
      <c r="I116" s="29" t="inlineStr">
        <is>
          <t>malaga:kaynak:387</t>
        </is>
      </c>
      <c r="J116" s="49" t="n">
        <v>46322</v>
      </c>
      <c r="K116" s="51" t="n">
        <v>421</v>
      </c>
      <c r="L116" s="29" t="inlineStr">
        <is>
          <t>Hayır</t>
        </is>
      </c>
      <c r="M116" s="29" t="inlineStr">
        <is>
          <t>Taslak</t>
        </is>
      </c>
      <c r="N116" s="29" t="inlineStr">
        <is>
          <t>Çocuklarla keşif</t>
        </is>
      </c>
      <c r="O116" s="29" t="inlineStr">
        <is>
          <t>Carretera de Cádiz</t>
        </is>
      </c>
      <c r="P116" s="29" t="inlineStr">
        <is>
          <t>Açık hava</t>
        </is>
      </c>
      <c r="Q116" s="29" t="inlineStr">
        <is>
          <t>Distrito Carretera de Cádiz, Málaga</t>
        </is>
      </c>
      <c r="R116" s="50" t="n">
        <v>36.706023</v>
      </c>
      <c r="S116" s="50" t="n">
        <v>-4.432575</v>
      </c>
      <c r="T116" s="29" t="n"/>
      <c r="U116" s="29" t="inlineStr">
        <is>
          <t>Belediye sayfası parkı pazar günü güneşte gazete okumak için en önerilen yer olarak tanıtıyor; çocuk alanında dev kuş figürleri ve yanında futsal-basketbol sahası var.</t>
        </is>
      </c>
      <c r="V116" s="29" t="inlineStr">
        <is>
          <t>Hayır</t>
        </is>
      </c>
      <c r="W116" s="29" t="n"/>
    </row>
    <row r="117" ht="54" customHeight="1">
      <c r="A117" s="29" t="inlineStr">
        <is>
          <t>malaga:parque-infantil-playa-virginia</t>
        </is>
      </c>
      <c r="B117" s="29" t="inlineStr">
        <is>
          <t>malaga</t>
        </is>
      </c>
      <c r="C117" s="29" t="inlineStr">
        <is>
          <t>parque-infantil-playa-virginia</t>
        </is>
      </c>
      <c r="D117" s="29" t="inlineStr">
        <is>
          <t>Parque Infantil Playa Virginia</t>
        </is>
      </c>
      <c r="E117" s="29" t="inlineStr">
        <is>
          <t>Ağaçlı küçük şehir parkı, çocuk oyun alanıyla; El Palo plajlarına yakın</t>
        </is>
      </c>
      <c r="F117" s="29" t="inlineStr">
        <is>
          <t>Parque Playa Virginia, Avenida Salvador Allende üzerinde, El Palo semtinin plajlarına birkaç metre mesafede, çok sayıda ağacın gölgesinde ziyaretçi ağırlayan kentsel bir alan. Küçük bir mikro alanda farklı bitki türleri, çeşmeler, nilüfer gölü, çocuk oyun bölgesi, açık hava spor aletleri ve çok sayıda bank bulunuyor.</t>
        </is>
      </c>
      <c r="G117" s="29" t="inlineStr">
        <is>
          <t>Playa Virginia, çocuk parkı, El Palo, Málaga, nilüfer gölü</t>
        </is>
      </c>
      <c r="H117" s="29" t="inlineStr">
        <is>
          <t>new;settled</t>
        </is>
      </c>
      <c r="I117" s="29" t="inlineStr">
        <is>
          <t>malaga:kaynak:388</t>
        </is>
      </c>
      <c r="J117" s="49" t="n">
        <v>46322</v>
      </c>
      <c r="K117" s="51" t="n">
        <v>422</v>
      </c>
      <c r="L117" s="29" t="inlineStr">
        <is>
          <t>Hayır</t>
        </is>
      </c>
      <c r="M117" s="29" t="inlineStr">
        <is>
          <t>Taslak</t>
        </is>
      </c>
      <c r="N117" s="29" t="inlineStr">
        <is>
          <t>Çocuklarla keşif</t>
        </is>
      </c>
      <c r="O117" s="29" t="inlineStr">
        <is>
          <t>Este</t>
        </is>
      </c>
      <c r="P117" s="29" t="inlineStr">
        <is>
          <t>Açık hava</t>
        </is>
      </c>
      <c r="Q117" s="29" t="inlineStr">
        <is>
          <t>Avenida Salvador Allende, a escasos metros de las playas de la barriada de El Palo, Málaga</t>
        </is>
      </c>
      <c r="R117" s="50" t="n">
        <v>36.71819</v>
      </c>
      <c r="S117" s="50" t="n">
        <v>-4.35034</v>
      </c>
      <c r="T117" s="29" t="n"/>
      <c r="U117" s="29" t="inlineStr">
        <is>
          <t>El Palo plajlarına birkaç metre mesafede; plaj dönüşünde gölgede mola verilebilecek banklar var.</t>
        </is>
      </c>
      <c r="V117" s="29" t="inlineStr">
        <is>
          <t>Hayır</t>
        </is>
      </c>
      <c r="W117" s="29" t="n"/>
    </row>
    <row r="118" ht="54" customHeight="1">
      <c r="A118" s="29" t="inlineStr">
        <is>
          <t>malaga:mimma-museo-interactivo-de-la-musica</t>
        </is>
      </c>
      <c r="B118" s="29" t="inlineStr">
        <is>
          <t>malaga</t>
        </is>
      </c>
      <c r="C118" s="29" t="inlineStr">
        <is>
          <t>mimma-museo-interactivo-de-la-musica</t>
        </is>
      </c>
      <c r="D118" s="29" t="inlineStr">
        <is>
          <t>Museo Interactivo de la Música (MIMMA)</t>
        </is>
      </c>
      <c r="E118" s="29" t="inlineStr">
        <is>
          <t>Palacio Conde de las Navas'ta müzik aletlerini çalabildiğin interaktif müze; Centro</t>
        </is>
      </c>
      <c r="F118" s="29" t="inlineStr">
        <is>
          <t>MIMMA, Palacio Conde de las Navas'ta, Calle Beatas, 15, 29008 Málaga adresinde; dünyanın her yerinden ve her çağdan müzik aletleri koleksiyonu olan interaktif bir müze. 7 Eylül-24 Haziran kış saatlerinde pazartesi 10:00-16:00, salı-pazar 10:00-19:00 açık; 25 Haziran-6 Eylül yaz saatlerinde pazartesi 10:30-16:00, salı-pazar 10:30-19:30. 'Se ruega tocar' salonlarında enstrümanları ellemen ve çalman teşvik ediliyor.</t>
        </is>
      </c>
      <c r="G118" s="29" t="inlineStr">
        <is>
          <t>MIMMA, müzik müzesi, interaktif müze, çocuklar, Palacio Conde de las Navas, Málaga</t>
        </is>
      </c>
      <c r="H118" s="29" t="inlineStr">
        <is>
          <t>planning;new;settled</t>
        </is>
      </c>
      <c r="I118" s="29" t="inlineStr">
        <is>
          <t>malaga:kaynak:422</t>
        </is>
      </c>
      <c r="J118" s="49" t="n">
        <v>46322</v>
      </c>
      <c r="K118" s="51" t="n">
        <v>423</v>
      </c>
      <c r="L118" s="29" t="inlineStr">
        <is>
          <t>Evet</t>
        </is>
      </c>
      <c r="M118" s="29" t="inlineStr">
        <is>
          <t>Taslak</t>
        </is>
      </c>
      <c r="N118" s="29" t="inlineStr">
        <is>
          <t>Çocuklarla keşif</t>
        </is>
      </c>
      <c r="O118" s="29" t="inlineStr">
        <is>
          <t>Centro</t>
        </is>
      </c>
      <c r="P118" s="29" t="inlineStr">
        <is>
          <t>Kapalı alan</t>
        </is>
      </c>
      <c r="Q118" s="29" t="inlineStr">
        <is>
          <t>Palacio Conde de las Navas, Calle Beatas, 15, 29008 Málaga</t>
        </is>
      </c>
      <c r="R118" s="50" t="n">
        <v>36.72324</v>
      </c>
      <c r="S118" s="50" t="n">
        <v>-4.41985</v>
      </c>
      <c r="T118" s="29" t="n"/>
      <c r="U118" s="29" t="inlineStr">
        <is>
          <t>Müzede Roma dönemi arkeolojik kalıntıları ve şehrin ortaçağ surundan parçalar var. Gişe kapanıştan 30 dakika önce kapanıyor, salonların boşaltılması kapanıştan 10 dakika önce başlıyor. Telefon: +34 952 210 440.</t>
        </is>
      </c>
      <c r="V118" s="29" t="inlineStr">
        <is>
          <t>Hayır</t>
        </is>
      </c>
      <c r="W118" s="29" t="n"/>
    </row>
    <row r="119" ht="54" customHeight="1">
      <c r="A119" s="29" t="inlineStr">
        <is>
          <t>malaga:parque-la-isla-del-tesoro</t>
        </is>
      </c>
      <c r="B119" s="29" t="inlineStr">
        <is>
          <t>malaga</t>
        </is>
      </c>
      <c r="C119" s="29" t="inlineStr">
        <is>
          <t>parque-la-isla-del-tesoro</t>
        </is>
      </c>
      <c r="D119" s="29" t="inlineStr">
        <is>
          <t>Parque La Isla del Tesoro</t>
        </is>
      </c>
      <c r="E119" s="29" t="inlineStr">
        <is>
          <t>Hazine Adası temalı çocuk parkı; Puerto de la Torre, El Tomillar</t>
        </is>
      </c>
      <c r="F119" s="29" t="inlineStr">
        <is>
          <t>La Isla del Tesoro, Puerto de la Torre ilçesinde El Tomillar mahallesindeki, Robert Louis Stevenson'ın en ünlü eserinden ilham alan temalı bir çocuk parkı; 2013'te açıldı ve 813 metrekarelik bir alanı kapsıyor. Adanın tepesinde kuleli kaydıraklar, gemi direği ve tırmanma ipleri ile kademeli tırmanma ağları var.</t>
        </is>
      </c>
      <c r="G119" s="29" t="inlineStr">
        <is>
          <t>La Isla del Tesoro, çocuk parkı, tematik park, Puerto de la Torre, Málaga</t>
        </is>
      </c>
      <c r="H119" s="29" t="inlineStr">
        <is>
          <t>new;settled</t>
        </is>
      </c>
      <c r="I119" s="29" t="inlineStr">
        <is>
          <t>malaga:kaynak:423</t>
        </is>
      </c>
      <c r="J119" s="49" t="n">
        <v>46322</v>
      </c>
      <c r="K119" s="51" t="n">
        <v>424</v>
      </c>
      <c r="L119" s="29" t="inlineStr">
        <is>
          <t>Hayır</t>
        </is>
      </c>
      <c r="M119" s="29" t="inlineStr">
        <is>
          <t>Taslak</t>
        </is>
      </c>
      <c r="N119" s="29" t="inlineStr">
        <is>
          <t>Çocuklarla keşif</t>
        </is>
      </c>
      <c r="O119" s="29" t="inlineStr">
        <is>
          <t>Puerto de la Torre</t>
        </is>
      </c>
      <c r="P119" s="29" t="inlineStr">
        <is>
          <t>Açık hava</t>
        </is>
      </c>
      <c r="Q119" s="29" t="inlineStr">
        <is>
          <t>Barrio de El Tomillar, distrito Puerto de la Torre, Málaga</t>
        </is>
      </c>
      <c r="R119" s="50" t="n">
        <v>36.73547</v>
      </c>
      <c r="S119" s="50" t="n">
        <v>-4.48278</v>
      </c>
      <c r="T119" s="29" t="n"/>
      <c r="U119" s="29" t="inlineStr">
        <is>
          <t>Resmî adı Parque infantil Víctor Hugo; adını bulunduğu Víctor Hugo meydanından alıyor.</t>
        </is>
      </c>
      <c r="V119" s="29" t="inlineStr">
        <is>
          <t>Hayır</t>
        </is>
      </c>
      <c r="W119" s="29" t="n"/>
    </row>
    <row r="120" ht="54" customHeight="1">
      <c r="A120" s="29" t="inlineStr">
        <is>
          <t>malaga:parque-de-manuel-navarrete</t>
        </is>
      </c>
      <c r="B120" s="29" t="inlineStr">
        <is>
          <t>malaga</t>
        </is>
      </c>
      <c r="C120" s="29" t="inlineStr">
        <is>
          <t>parque-de-manuel-navarrete</t>
        </is>
      </c>
      <c r="D120" s="29" t="inlineStr">
        <is>
          <t>Parque de Manuel Navarrete</t>
        </is>
      </c>
      <c r="E120" s="29" t="inlineStr">
        <is>
          <t>Çim alanlı ve spor sahalı mahalle parkı; Palma-Palmilla, Avenida James Bowles</t>
        </is>
      </c>
      <c r="F120" s="29" t="inlineStr">
        <is>
          <t>Parque de Manuel Navarrete, Palma-Palmilla ilçesinde, Avenida James Bowles üzerinde, Virreinas futbol sahasının hemen yanında. Çim alanları ile servi, dut ve kavak gibi çeşitli ağaçlarıyla öne çıkıyor; iki çocuk oyun alanı, açık hava spor aletleri ve çok amaçlı spor sahası var.</t>
        </is>
      </c>
      <c r="G120" s="29" t="inlineStr">
        <is>
          <t>Manuel Navarrete, mahalle parkı, Palma-Palmilla, çocuk oyun alanı, Málaga</t>
        </is>
      </c>
      <c r="H120" s="29" t="inlineStr">
        <is>
          <t>new;settled</t>
        </is>
      </c>
      <c r="I120" s="29" t="inlineStr">
        <is>
          <t>malaga:kaynak:425</t>
        </is>
      </c>
      <c r="J120" s="49" t="n">
        <v>46322</v>
      </c>
      <c r="K120" s="51" t="n">
        <v>425</v>
      </c>
      <c r="L120" s="29" t="inlineStr">
        <is>
          <t>Hayır</t>
        </is>
      </c>
      <c r="M120" s="29" t="inlineStr">
        <is>
          <t>Taslak</t>
        </is>
      </c>
      <c r="N120" s="29" t="inlineStr">
        <is>
          <t>Çocuklarla keşif</t>
        </is>
      </c>
      <c r="O120" s="29" t="inlineStr">
        <is>
          <t>Palma-Palmilla</t>
        </is>
      </c>
      <c r="P120" s="29" t="inlineStr">
        <is>
          <t>Açık hava</t>
        </is>
      </c>
      <c r="Q120" s="29" t="inlineStr">
        <is>
          <t>Distrito Palma-Palmilla, junto al campo de fútbol de las Virreinas, Málaga</t>
        </is>
      </c>
      <c r="R120" s="50" t="n"/>
      <c r="S120" s="50" t="n"/>
      <c r="T120" s="29" t="n"/>
      <c r="U120" s="29" t="inlineStr">
        <is>
          <t>Park, mahallede sosyal çalışmasıyla tanınan bir sakinin, Manuel Navarrete'in adını taşıyor; engelliler için erişim var ve yürüyüş-koşu için patika bulunuyor.</t>
        </is>
      </c>
      <c r="V120" s="29" t="inlineStr">
        <is>
          <t>Hayır</t>
        </is>
      </c>
      <c r="W120" s="29" t="n"/>
    </row>
    <row r="121" ht="54" customHeight="1">
      <c r="A121" s="29" t="inlineStr">
        <is>
          <t>malaga:plaza-de-toros-la-malagueta</t>
        </is>
      </c>
      <c r="B121" s="29" t="inlineStr">
        <is>
          <t>malaga</t>
        </is>
      </c>
      <c r="C121" s="29" t="inlineStr">
        <is>
          <t>plaza-de-toros-la-malagueta</t>
        </is>
      </c>
      <c r="D121" s="29" t="inlineStr">
        <is>
          <t>Plaza de toros de La Malagueta</t>
        </is>
      </c>
      <c r="E121" s="29" t="inlineStr">
        <is>
          <t>Málaga'nın boğa güreşi arenası; Centro, Paseo de Reding</t>
        </is>
      </c>
      <c r="F121" s="29" t="inlineStr">
        <is>
          <t>Plaza de toros de La Malagueta, Paseo de Reding, Málaga 29016 adresindeki arena; sayfası arena ve müze ziyareti ile boğa güreşi bileti satışı için ayrı iletişim hatları veriyor. Plaza + müze ziyaretinin girişi Puerta 8, Calle Maestranza. İletişim sayfasında pazartesiden cumaya 10:00-17:00 saati yazıyor.</t>
        </is>
      </c>
      <c r="G121" s="29" t="inlineStr">
        <is>
          <t>La Malagueta, boğa güreşi arenası, müze, Paseo de Reding, Málaga</t>
        </is>
      </c>
      <c r="H121" s="29" t="inlineStr">
        <is>
          <t>planning;new;settled</t>
        </is>
      </c>
      <c r="I121" s="29" t="inlineStr">
        <is>
          <t>malaga:kaynak:407</t>
        </is>
      </c>
      <c r="J121" s="49" t="n">
        <v>46322</v>
      </c>
      <c r="K121" s="51" t="n">
        <v>426</v>
      </c>
      <c r="L121" s="29" t="inlineStr">
        <is>
          <t>Hayır</t>
        </is>
      </c>
      <c r="M121" s="29" t="inlineStr">
        <is>
          <t>Taslak</t>
        </is>
      </c>
      <c r="N121" s="29" t="inlineStr">
        <is>
          <t>Spor</t>
        </is>
      </c>
      <c r="O121" s="29" t="inlineStr">
        <is>
          <t>Centro</t>
        </is>
      </c>
      <c r="P121" s="29" t="inlineStr">
        <is>
          <t>Açık hava</t>
        </is>
      </c>
      <c r="Q121" s="29" t="inlineStr">
        <is>
          <t>Paseo de Reding, Málaga 29016</t>
        </is>
      </c>
      <c r="R121" s="50" t="n">
        <v>36.720385</v>
      </c>
      <c r="S121" s="50" t="n">
        <v>-4.410797</v>
      </c>
      <c r="T121" s="29" t="n"/>
      <c r="U121" s="29" t="inlineStr">
        <is>
          <t>Plaza + müze ziyareti için telefon ve WhatsApp: +34 695 943 811; boğa güreşi biletleri için ayrı hat: +34 675 247 690.</t>
        </is>
      </c>
      <c r="V121" s="29" t="inlineStr">
        <is>
          <t>Hayır</t>
        </is>
      </c>
      <c r="W121" s="29" t="n"/>
    </row>
    <row r="122" ht="54" customHeight="1">
      <c r="A122" s="29" t="inlineStr">
        <is>
          <t>malaga:estadio-de-atletismo-ciudad-de-malaga</t>
        </is>
      </c>
      <c r="B122" s="29" t="inlineStr">
        <is>
          <t>malaga</t>
        </is>
      </c>
      <c r="C122" s="29" t="inlineStr">
        <is>
          <t>estadio-de-atletismo-ciudad-de-malaga</t>
        </is>
      </c>
      <c r="D122" s="29" t="inlineStr">
        <is>
          <t>Estadio de Atletismo Ciudad de Málaga</t>
        </is>
      </c>
      <c r="E122" s="29" t="inlineStr">
        <is>
          <t>400 metrelik pistli belediye atletizm stadyumu; Carretera de Cádiz</t>
        </is>
      </c>
      <c r="F122" s="29" t="inlineStr">
        <is>
          <t>Estadio de Atletismo Ciudad de Málaga, Calle Miguel de Merida Nicolich s/n adresinde, Palacio de Deportes Martín Carpena'nın yanında; metro 2. hat durağı var. Hafta içi 8:00-22:00, cumartesi 9:00-15:00, pazar 9:00-14:00 açık. 400 metrelik 9 kulvarlı pist, ulusal rugby maçları için onaylı çim saha ve 7.562 kişilik tribün var.</t>
        </is>
      </c>
      <c r="G122" s="29" t="inlineStr">
        <is>
          <t>atletizm stadyumu, Ciudad de Málaga, pist, rugby, Carretera de Cádiz, metro</t>
        </is>
      </c>
      <c r="H122" s="29" t="inlineStr">
        <is>
          <t>new;settled</t>
        </is>
      </c>
      <c r="I122" s="29" t="inlineStr">
        <is>
          <t>malaga:kaynak:408</t>
        </is>
      </c>
      <c r="J122" s="49" t="n">
        <v>46322</v>
      </c>
      <c r="K122" s="51" t="n">
        <v>427</v>
      </c>
      <c r="L122" s="29" t="inlineStr">
        <is>
          <t>Hayır</t>
        </is>
      </c>
      <c r="M122" s="29" t="inlineStr">
        <is>
          <t>Taslak</t>
        </is>
      </c>
      <c r="N122" s="29" t="inlineStr">
        <is>
          <t>Spor</t>
        </is>
      </c>
      <c r="O122" s="29" t="inlineStr">
        <is>
          <t>Carretera de Cádiz</t>
        </is>
      </c>
      <c r="P122" s="29" t="inlineStr">
        <is>
          <t>Açık hava</t>
        </is>
      </c>
      <c r="Q122" s="29" t="inlineStr">
        <is>
          <t>Calle Miguel de Merida Nicolich s/n, Málaga</t>
        </is>
      </c>
      <c r="R122" s="50" t="n">
        <v>36.6812</v>
      </c>
      <c r="S122" s="50" t="n">
        <v>-4.45875</v>
      </c>
      <c r="T122" s="29" t="n"/>
      <c r="U122" s="29" t="inlineStr">
        <is>
          <t>Hafta içi 17:00-18:30 arası sözleşmeli sporcular ve engelli atletlere, 18:30-20:00 arası sözleşmeli ve federasyonlu atletlere ayrılmış; telefon: 951 92 85 38.</t>
        </is>
      </c>
      <c r="V122" s="29" t="inlineStr">
        <is>
          <t>Hayır</t>
        </is>
      </c>
      <c r="W122" s="29" t="n"/>
    </row>
    <row r="123" ht="54" customHeight="1">
      <c r="A123" s="29" t="inlineStr">
        <is>
          <t>malaga:palacio-de-deportes-martin-carpena</t>
        </is>
      </c>
      <c r="B123" s="29" t="inlineStr">
        <is>
          <t>malaga</t>
        </is>
      </c>
      <c r="C123" s="29" t="inlineStr">
        <is>
          <t>palacio-de-deportes-martin-carpena</t>
        </is>
      </c>
      <c r="D123" s="29" t="inlineStr">
        <is>
          <t>Palacio de Deportes José María Martín Carpena</t>
        </is>
      </c>
      <c r="E123" s="29" t="inlineStr">
        <is>
          <t>Davis Kupası Finalleri'ne ev sahipliği yapan kapalı spor salonu; Carretera de Cádiz</t>
        </is>
      </c>
      <c r="F123" s="29" t="inlineStr">
        <is>
          <t>Palacio de Deportes José María Martín Carpena, Cl Miguel Mérida Nicolich, 2, 29004 Málaga adresinde; Davis Kupası Final 8'in resmî mekânı, Billie Jean King Cup'a da ev sahipliği yaptı. Sayfa metni spor etkinliklerinde 11.300'e kadar, teknik tablo ise en çok 10.638 seyirci yazıyor. Havalimanına birkaç dakika uzaklıkta ve metro ağına doğrudan bağlı.</t>
        </is>
      </c>
      <c r="G123" s="29" t="inlineStr">
        <is>
          <t>Martín Carpena, Palacio de Deportes, Unicaja basketbol, Davis Kupası, konser, Málaga</t>
        </is>
      </c>
      <c r="H123" s="29" t="inlineStr">
        <is>
          <t>new;settled</t>
        </is>
      </c>
      <c r="I123" s="29" t="inlineStr">
        <is>
          <t>malaga:kaynak:409</t>
        </is>
      </c>
      <c r="J123" s="49" t="n">
        <v>46322</v>
      </c>
      <c r="K123" s="51" t="n">
        <v>428</v>
      </c>
      <c r="L123" s="29" t="inlineStr">
        <is>
          <t>Hayır</t>
        </is>
      </c>
      <c r="M123" s="29" t="inlineStr">
        <is>
          <t>Taslak</t>
        </is>
      </c>
      <c r="N123" s="29" t="inlineStr">
        <is>
          <t>Spor</t>
        </is>
      </c>
      <c r="O123" s="29" t="inlineStr">
        <is>
          <t>Carretera de Cádiz</t>
        </is>
      </c>
      <c r="P123" s="29" t="inlineStr">
        <is>
          <t>Kapalı alan</t>
        </is>
      </c>
      <c r="Q123" s="29" t="inlineStr">
        <is>
          <t>Cl Miguel Mérida Nicolich, 2, 29004 Málaga</t>
        </is>
      </c>
      <c r="R123" s="50" t="n">
        <v>36.682467</v>
      </c>
      <c r="S123" s="50" t="n">
        <v>-4.460628</v>
      </c>
      <c r="T123" s="29" t="n"/>
      <c r="U123" s="29" t="inlineStr">
        <is>
          <t>Sayfada 2 padel kortu ve 2 halka açık otopark sayılıyor. Telefon: 95 217 63 92.</t>
        </is>
      </c>
      <c r="V123" s="29" t="inlineStr">
        <is>
          <t>Hayır</t>
        </is>
      </c>
      <c r="W123" s="29" t="n"/>
    </row>
    <row r="124" ht="54" customHeight="1">
      <c r="A124" s="29" t="inlineStr">
        <is>
          <t>malaga:auditorio-municipal-cortijo-de-torres</t>
        </is>
      </c>
      <c r="B124" s="29" t="inlineStr">
        <is>
          <t>malaga</t>
        </is>
      </c>
      <c r="C124" s="29" t="inlineStr">
        <is>
          <t>auditorio-municipal-cortijo-de-torres</t>
        </is>
      </c>
      <c r="D124" s="29" t="inlineStr">
        <is>
          <t>Auditorio Municipal Cortijo de Torres</t>
        </is>
      </c>
      <c r="E124" s="29" t="inlineStr">
        <is>
          <t>Dev dosel sahneli açık hava konser alanı; Cruz de Humilladero, Recinto Ferial</t>
        </is>
      </c>
      <c r="F124" s="29" t="inlineStr">
        <is>
          <t>Auditorio Municipal Cortijo de Torres, Cl Paquiro, 9, CP 29006 Málaga adresinde (Recinto Ferial); Costa del Sol'un büyük açık hava konser ve festival mekânı. En çok 11.935 kişi alıyor: 2.970 tribün ve 8.965 patio. Sahne 50 x 15 metre ve dev bir doseli var; Oh, See! Málaga ve Brunch! Electronik festivalleri burada yapılıyor.</t>
        </is>
      </c>
      <c r="G124" s="29" t="inlineStr">
        <is>
          <t>Cortijo de Torres, açık hava konser alanı, festival, Recinto Ferial, Málaga</t>
        </is>
      </c>
      <c r="H124" s="29" t="inlineStr">
        <is>
          <t>new;settled</t>
        </is>
      </c>
      <c r="I124" s="29" t="inlineStr">
        <is>
          <t>malaga:kaynak:410</t>
        </is>
      </c>
      <c r="J124" s="49" t="n">
        <v>46322</v>
      </c>
      <c r="K124" s="51" t="n">
        <v>429</v>
      </c>
      <c r="L124" s="29" t="inlineStr">
        <is>
          <t>Hayır</t>
        </is>
      </c>
      <c r="M124" s="29" t="inlineStr">
        <is>
          <t>Taslak</t>
        </is>
      </c>
      <c r="N124" s="29" t="inlineStr">
        <is>
          <t>Sahne ve müzik</t>
        </is>
      </c>
      <c r="O124" s="29" t="inlineStr">
        <is>
          <t>Cruz de Humilladero</t>
        </is>
      </c>
      <c r="P124" s="29" t="inlineStr">
        <is>
          <t>Açık hava</t>
        </is>
      </c>
      <c r="Q124" s="29" t="inlineStr">
        <is>
          <t>Cl Paquiro, 9, CP 29006 Málaga, Recinto Ferial</t>
        </is>
      </c>
      <c r="R124" s="50" t="n">
        <v>36.698933</v>
      </c>
      <c r="S124" s="50" t="n">
        <v>-4.465139</v>
      </c>
      <c r="T124" s="29" t="n"/>
      <c r="U124" s="29" t="inlineStr">
        <is>
          <t>Etkinlik programı ve biletler sayfadaki etkinlik listesinde ('Comprar entradas') yer alıyor.</t>
        </is>
      </c>
      <c r="V124" s="29" t="inlineStr">
        <is>
          <t>Hayır</t>
        </is>
      </c>
      <c r="W124" s="29" t="n"/>
    </row>
    <row r="125" ht="54" customHeight="1">
      <c r="A125" s="29" t="inlineStr">
        <is>
          <t>malaga:centro-acuatico-de-malaga</t>
        </is>
      </c>
      <c r="B125" s="29" t="inlineStr">
        <is>
          <t>malaga</t>
        </is>
      </c>
      <c r="C125" s="29" t="inlineStr">
        <is>
          <t>centro-acuatico-de-malaga</t>
        </is>
      </c>
      <c r="D125" s="29" t="inlineStr">
        <is>
          <t>Inacua Málaga</t>
        </is>
      </c>
      <c r="E125" s="29" t="inlineStr">
        <is>
          <t>Inacua'nın spor ve raket merkezi; Carretera de Cádiz, Calle Marilyn Monroe</t>
        </is>
      </c>
      <c r="F125" s="29" t="inlineStr">
        <is>
          <t>Inacua Málaga, C. Marilyn Monroe, 8 adresinde; merkez telefonu 952000507, e-posta infolitoral@forus.es. Aynı adreste raket merkezi de var (telefon 628235497).</t>
        </is>
      </c>
      <c r="G125" s="29" t="inlineStr">
        <is>
          <t>Inacua, spor merkezi, raket, Carretera de Cádiz, Málaga</t>
        </is>
      </c>
      <c r="H125" s="29" t="inlineStr">
        <is>
          <t>new;settled</t>
        </is>
      </c>
      <c r="I125" s="29" t="inlineStr">
        <is>
          <t>malaga:kaynak:419</t>
        </is>
      </c>
      <c r="J125" s="49" t="n">
        <v>46322</v>
      </c>
      <c r="K125" s="51" t="n">
        <v>430</v>
      </c>
      <c r="L125" s="29" t="inlineStr">
        <is>
          <t>Hayır</t>
        </is>
      </c>
      <c r="M125" s="29" t="inlineStr">
        <is>
          <t>Taslak</t>
        </is>
      </c>
      <c r="N125" s="29" t="inlineStr">
        <is>
          <t>Spor</t>
        </is>
      </c>
      <c r="O125" s="29" t="inlineStr">
        <is>
          <t>Carretera de Cádiz</t>
        </is>
      </c>
      <c r="P125" s="29" t="inlineStr">
        <is>
          <t>Karma</t>
        </is>
      </c>
      <c r="Q125" s="29" t="inlineStr">
        <is>
          <t>C. Marilyn Monroe, 8, Málaga</t>
        </is>
      </c>
      <c r="R125" s="50" t="n">
        <v>36.6811</v>
      </c>
      <c r="S125" s="50" t="n">
        <v>-4.45553</v>
      </c>
      <c r="T125" s="29" t="n"/>
      <c r="U125" s="29" t="inlineStr">
        <is>
          <t>Tesisi gezmek istersen sayfadaki formdan rehberli ziyaret rezervasyonu yapılıyor.</t>
        </is>
      </c>
      <c r="V125" s="29" t="inlineStr">
        <is>
          <t>Hayır</t>
        </is>
      </c>
      <c r="W125" s="29" t="n"/>
    </row>
    <row r="126" ht="54" customHeight="1">
      <c r="A126" s="29" t="inlineStr">
        <is>
          <t>malaga:palacio-de-ferias-y-congresos-de-malaga</t>
        </is>
      </c>
      <c r="B126" s="29" t="inlineStr">
        <is>
          <t>malaga</t>
        </is>
      </c>
      <c r="C126" s="29" t="inlineStr">
        <is>
          <t>palacio-de-ferias-y-congresos-de-malaga</t>
        </is>
      </c>
      <c r="D126" s="29" t="inlineStr">
        <is>
          <t>Palacio de Ferias y Congresos de Málaga</t>
        </is>
      </c>
      <c r="E126" s="29" t="inlineStr">
        <is>
          <t>Fuar ve kongre merkezi; Cruz de Humilladero, Avenida Ortega y Gasset</t>
        </is>
      </c>
      <c r="F126" s="29" t="inlineStr">
        <is>
          <t>Palacio de Ferias y Congresos de Málaga (FYCMA), Avenida Ortega y Gasset, 201, 29006 Málaga adresindeki fuar ve kongre merkezi. Telefon 952 045 500, e-posta info@fycma.com.</t>
        </is>
      </c>
      <c r="G126" s="29" t="inlineStr">
        <is>
          <t>FYCMA, fuar ve kongre merkezi, Avenida Ortega y Gasset, Málaga, etkinlik</t>
        </is>
      </c>
      <c r="H126" s="29" t="inlineStr">
        <is>
          <t>new;settled</t>
        </is>
      </c>
      <c r="I126" s="29" t="inlineStr">
        <is>
          <t>malaga:kaynak:426</t>
        </is>
      </c>
      <c r="J126" s="49" t="n">
        <v>46322</v>
      </c>
      <c r="K126" s="51" t="n">
        <v>431</v>
      </c>
      <c r="L126" s="29" t="inlineStr">
        <is>
          <t>Hayır</t>
        </is>
      </c>
      <c r="M126" s="29" t="inlineStr">
        <is>
          <t>Taslak</t>
        </is>
      </c>
      <c r="N126" s="29" t="inlineStr">
        <is>
          <t>Sahne ve müzik</t>
        </is>
      </c>
      <c r="O126" s="29" t="inlineStr">
        <is>
          <t>Cruz de Humilladero</t>
        </is>
      </c>
      <c r="P126" s="29" t="inlineStr">
        <is>
          <t>Kapalı alan</t>
        </is>
      </c>
      <c r="Q126" s="29" t="inlineStr">
        <is>
          <t>Avenida Ortega y Gasset, 201, 29006 Málaga</t>
        </is>
      </c>
      <c r="R126" s="50" t="n">
        <v>36.704769</v>
      </c>
      <c r="S126" s="50" t="n">
        <v>-4.459442</v>
      </c>
      <c r="T126" s="29" t="n"/>
      <c r="U126" s="29" t="inlineStr">
        <is>
          <t>FYCMA e-bülteni için 'profesyonel' ya da 'ziyaretçi' bilgisi seçilebiliyor.</t>
        </is>
      </c>
      <c r="V126" s="29" t="inlineStr">
        <is>
          <t>Hayır</t>
        </is>
      </c>
      <c r="W126" s="29" t="n"/>
    </row>
    <row r="127" ht="54" customHeight="1">
      <c r="A127" s="29" t="inlineStr">
        <is>
          <t>malaga:conservatorio-superior-de-musica-de-malaga</t>
        </is>
      </c>
      <c r="B127" s="29" t="inlineStr">
        <is>
          <t>malaga</t>
        </is>
      </c>
      <c r="C127" s="29" t="inlineStr">
        <is>
          <t>conservatorio-superior-de-musica-de-malaga</t>
        </is>
      </c>
      <c r="D127" s="29" t="inlineStr">
        <is>
          <t>Conservatorio Superior de Música de Málaga</t>
        </is>
      </c>
      <c r="E127" s="29" t="inlineStr">
        <is>
          <t>Yüksek müzik okulu; konser ve sınav takvimi sitesinde; Centro, Plaza del Maestro Artola</t>
        </is>
      </c>
      <c r="F127" s="29" t="inlineStr">
        <is>
          <t>Conservatorio Superior de Música de Málaga, Plaza del Maestro Artola nº 2, 29013 Málaga adresindeki yüksek müzik okulu. Sitede 2026/27 dönemi için topluluk ve sınav takvimi yayımlanıyor.</t>
        </is>
      </c>
      <c r="G127" s="29" t="inlineStr">
        <is>
          <t>Conservatorio Superior, müzik okulu, konser, Plaza del Maestro Artola, Málaga</t>
        </is>
      </c>
      <c r="H127" s="29" t="inlineStr">
        <is>
          <t>new;settled</t>
        </is>
      </c>
      <c r="I127" s="29" t="inlineStr">
        <is>
          <t>malaga:kaynak:427</t>
        </is>
      </c>
      <c r="J127" s="49" t="n">
        <v>46322</v>
      </c>
      <c r="K127" s="51" t="n">
        <v>432</v>
      </c>
      <c r="L127" s="29" t="inlineStr">
        <is>
          <t>Hayır</t>
        </is>
      </c>
      <c r="M127" s="29" t="inlineStr">
        <is>
          <t>Taslak</t>
        </is>
      </c>
      <c r="N127" s="29" t="inlineStr">
        <is>
          <t>Sahne ve müzik</t>
        </is>
      </c>
      <c r="O127" s="29" t="inlineStr">
        <is>
          <t>Centro</t>
        </is>
      </c>
      <c r="P127" s="29" t="inlineStr">
        <is>
          <t>Kapalı alan</t>
        </is>
      </c>
      <c r="Q127" s="29" t="inlineStr">
        <is>
          <t>Plaza del Maestro Artola nº 2, 29013 Málaga</t>
        </is>
      </c>
      <c r="R127" s="50" t="n">
        <v>36.72895</v>
      </c>
      <c r="S127" s="50" t="n">
        <v>-4.418695</v>
      </c>
      <c r="T127" s="29" t="n"/>
      <c r="U127" s="29" t="inlineStr">
        <is>
          <t>Konser ve sınav programı sitedeki 'CALENDARIO DE AGRUPACIONES Y EXÁMENES 26/27' bağlantısında.</t>
        </is>
      </c>
      <c r="V127" s="29" t="inlineStr">
        <is>
          <t>Hayır</t>
        </is>
      </c>
      <c r="W127" s="29" t="n"/>
    </row>
    <row r="128" ht="54" customHeight="1">
      <c r="A128" s="29" t="n"/>
      <c r="B128" s="29" t="n"/>
      <c r="C128" s="29" t="n"/>
      <c r="D128" s="29" t="n"/>
      <c r="E128" s="29" t="n"/>
      <c r="F128" s="29" t="n"/>
      <c r="G128" s="29" t="n"/>
      <c r="H128" s="29" t="n"/>
      <c r="I128" s="29" t="n"/>
      <c r="J128" s="49" t="n"/>
      <c r="K128" s="51" t="n"/>
      <c r="L128" s="29" t="n"/>
      <c r="M128" s="29" t="n"/>
      <c r="N128" s="29" t="n"/>
      <c r="O128" s="29" t="n"/>
      <c r="P128" s="29" t="n"/>
      <c r="Q128" s="29" t="n"/>
      <c r="R128" s="50" t="n"/>
      <c r="S128" s="50" t="n"/>
      <c r="T128" s="29" t="n"/>
      <c r="U128" s="29" t="n"/>
      <c r="V128" s="29" t="n"/>
      <c r="W128" s="29" t="n"/>
    </row>
    <row r="129" ht="54" customHeight="1">
      <c r="A129" s="29" t="n"/>
      <c r="B129" s="29" t="n"/>
      <c r="C129" s="29" t="n"/>
      <c r="D129" s="29" t="n"/>
      <c r="E129" s="29" t="n"/>
      <c r="F129" s="29" t="n"/>
      <c r="G129" s="29" t="n"/>
      <c r="H129" s="29" t="n"/>
      <c r="I129" s="29" t="n"/>
      <c r="J129" s="49" t="n"/>
      <c r="K129" s="51" t="n"/>
      <c r="L129" s="29" t="n"/>
      <c r="M129" s="29" t="n"/>
      <c r="N129" s="29" t="n"/>
      <c r="O129" s="29" t="n"/>
      <c r="P129" s="29" t="n"/>
      <c r="Q129" s="29" t="n"/>
      <c r="R129" s="50" t="n"/>
      <c r="S129" s="50" t="n"/>
      <c r="T129" s="29" t="n"/>
      <c r="U129" s="29" t="n"/>
      <c r="V129" s="29" t="n"/>
      <c r="W129" s="29" t="n"/>
    </row>
    <row r="130" ht="54" customHeight="1">
      <c r="A130" s="29" t="n"/>
      <c r="B130" s="29" t="n"/>
      <c r="C130" s="29" t="n"/>
      <c r="D130" s="29" t="n"/>
      <c r="E130" s="29" t="n"/>
      <c r="F130" s="29" t="n"/>
      <c r="G130" s="29" t="n"/>
      <c r="H130" s="29" t="n"/>
      <c r="I130" s="29" t="n"/>
      <c r="J130" s="49" t="n"/>
      <c r="K130" s="51" t="n"/>
      <c r="L130" s="29" t="n"/>
      <c r="M130" s="29" t="n"/>
      <c r="N130" s="29" t="n"/>
      <c r="O130" s="29" t="n"/>
      <c r="P130" s="29" t="n"/>
      <c r="Q130" s="29" t="n"/>
      <c r="R130" s="50" t="n"/>
      <c r="S130" s="50" t="n"/>
      <c r="T130" s="29" t="n"/>
      <c r="U130" s="29" t="n"/>
      <c r="V130" s="29" t="n"/>
      <c r="W130" s="29" t="n"/>
    </row>
    <row r="131" ht="54" customHeight="1">
      <c r="A131" s="29" t="n"/>
      <c r="B131" s="29" t="n"/>
      <c r="C131" s="29" t="n"/>
      <c r="D131" s="29" t="n"/>
      <c r="E131" s="29" t="n"/>
      <c r="F131" s="29" t="n"/>
      <c r="G131" s="29" t="n"/>
      <c r="H131" s="29" t="n"/>
      <c r="I131" s="29" t="n"/>
      <c r="J131" s="49" t="n"/>
      <c r="K131" s="51" t="n"/>
      <c r="L131" s="29" t="n"/>
      <c r="M131" s="29" t="n"/>
      <c r="N131" s="29" t="n"/>
      <c r="O131" s="29" t="n"/>
      <c r="P131" s="29" t="n"/>
      <c r="Q131" s="29" t="n"/>
      <c r="R131" s="50" t="n"/>
      <c r="S131" s="50" t="n"/>
      <c r="T131" s="29" t="n"/>
      <c r="U131" s="29" t="n"/>
      <c r="V131" s="29" t="n"/>
      <c r="W131" s="29" t="n"/>
    </row>
    <row r="132" ht="54" customHeight="1">
      <c r="A132" s="29" t="n"/>
      <c r="B132" s="29" t="n"/>
      <c r="C132" s="29" t="n"/>
      <c r="D132" s="29" t="n"/>
      <c r="E132" s="29" t="n"/>
      <c r="F132" s="29" t="n"/>
      <c r="G132" s="29" t="n"/>
      <c r="H132" s="29" t="n"/>
      <c r="I132" s="29" t="n"/>
      <c r="J132" s="49" t="n"/>
      <c r="K132" s="51" t="n"/>
      <c r="L132" s="29" t="n"/>
      <c r="M132" s="29" t="n"/>
      <c r="N132" s="29" t="n"/>
      <c r="O132" s="29" t="n"/>
      <c r="P132" s="29" t="n"/>
      <c r="Q132" s="29" t="n"/>
      <c r="R132" s="50" t="n"/>
      <c r="S132" s="50" t="n"/>
      <c r="T132" s="29" t="n"/>
      <c r="U132" s="29" t="n"/>
      <c r="V132" s="29" t="n"/>
      <c r="W132" s="29" t="n"/>
    </row>
    <row r="133" ht="54" customHeight="1">
      <c r="A133" s="29" t="n"/>
      <c r="B133" s="29" t="n"/>
      <c r="C133" s="29" t="n"/>
      <c r="D133" s="29" t="n"/>
      <c r="E133" s="29" t="n"/>
      <c r="F133" s="29" t="n"/>
      <c r="G133" s="29" t="n"/>
      <c r="H133" s="29" t="n"/>
      <c r="I133" s="29" t="n"/>
      <c r="J133" s="49" t="n"/>
      <c r="K133" s="51" t="n"/>
      <c r="L133" s="29" t="n"/>
      <c r="M133" s="29" t="n"/>
      <c r="N133" s="29" t="n"/>
      <c r="O133" s="29" t="n"/>
      <c r="P133" s="29" t="n"/>
      <c r="Q133" s="29" t="n"/>
      <c r="R133" s="50" t="n"/>
      <c r="S133" s="50" t="n"/>
      <c r="T133" s="29" t="n"/>
      <c r="U133" s="29" t="n"/>
      <c r="V133" s="29" t="n"/>
      <c r="W133" s="29" t="n"/>
    </row>
    <row r="134" ht="54" customHeight="1">
      <c r="A134" s="29" t="n"/>
      <c r="B134" s="29" t="n"/>
      <c r="C134" s="29" t="n"/>
      <c r="D134" s="29" t="n"/>
      <c r="E134" s="29" t="n"/>
      <c r="F134" s="29" t="n"/>
      <c r="G134" s="29" t="n"/>
      <c r="H134" s="29" t="n"/>
      <c r="I134" s="29" t="n"/>
      <c r="J134" s="49" t="n"/>
      <c r="K134" s="51" t="n"/>
      <c r="L134" s="29" t="n"/>
      <c r="M134" s="29" t="n"/>
      <c r="N134" s="29" t="n"/>
      <c r="O134" s="29" t="n"/>
      <c r="P134" s="29" t="n"/>
      <c r="Q134" s="29" t="n"/>
      <c r="R134" s="50" t="n"/>
      <c r="S134" s="50" t="n"/>
      <c r="T134" s="29" t="n"/>
      <c r="U134" s="29" t="n"/>
      <c r="V134" s="29" t="n"/>
      <c r="W134" s="29" t="n"/>
    </row>
    <row r="135" ht="54" customHeight="1">
      <c r="A135" s="29" t="n"/>
      <c r="B135" s="29" t="n"/>
      <c r="C135" s="29" t="n"/>
      <c r="D135" s="29" t="n"/>
      <c r="E135" s="29" t="n"/>
      <c r="F135" s="29" t="n"/>
      <c r="G135" s="29" t="n"/>
      <c r="H135" s="29" t="n"/>
      <c r="I135" s="29" t="n"/>
      <c r="J135" s="49" t="n"/>
      <c r="K135" s="51" t="n"/>
      <c r="L135" s="29" t="n"/>
      <c r="M135" s="29" t="n"/>
      <c r="N135" s="29" t="n"/>
      <c r="O135" s="29" t="n"/>
      <c r="P135" s="29" t="n"/>
      <c r="Q135" s="29" t="n"/>
      <c r="R135" s="50" t="n"/>
      <c r="S135" s="50" t="n"/>
      <c r="T135" s="29" t="n"/>
      <c r="U135" s="29" t="n"/>
      <c r="V135" s="29" t="n"/>
      <c r="W135" s="29" t="n"/>
    </row>
    <row r="136" ht="54" customHeight="1">
      <c r="A136" s="29" t="n"/>
      <c r="B136" s="29" t="n"/>
      <c r="C136" s="29" t="n"/>
      <c r="D136" s="29" t="n"/>
      <c r="E136" s="29" t="n"/>
      <c r="F136" s="29" t="n"/>
      <c r="G136" s="29" t="n"/>
      <c r="H136" s="29" t="n"/>
      <c r="I136" s="29" t="n"/>
      <c r="J136" s="49" t="n"/>
      <c r="K136" s="51" t="n"/>
      <c r="L136" s="29" t="n"/>
      <c r="M136" s="29" t="n"/>
      <c r="N136" s="29" t="n"/>
      <c r="O136" s="29" t="n"/>
      <c r="P136" s="29" t="n"/>
      <c r="Q136" s="29" t="n"/>
      <c r="R136" s="50" t="n"/>
      <c r="S136" s="50" t="n"/>
      <c r="T136" s="29" t="n"/>
      <c r="U136" s="29" t="n"/>
      <c r="V136" s="29" t="n"/>
      <c r="W136" s="29" t="n"/>
    </row>
    <row r="137" ht="54" customHeight="1">
      <c r="A137" s="29" t="n"/>
      <c r="B137" s="29" t="n"/>
      <c r="C137" s="29" t="n"/>
      <c r="D137" s="29" t="n"/>
      <c r="E137" s="29" t="n"/>
      <c r="F137" s="29" t="n"/>
      <c r="G137" s="29" t="n"/>
      <c r="H137" s="29" t="n"/>
      <c r="I137" s="29" t="n"/>
      <c r="J137" s="49" t="n"/>
      <c r="K137" s="51" t="n"/>
      <c r="L137" s="29" t="n"/>
      <c r="M137" s="29" t="n"/>
      <c r="N137" s="29" t="n"/>
      <c r="O137" s="29" t="n"/>
      <c r="P137" s="29" t="n"/>
      <c r="Q137" s="29" t="n"/>
      <c r="R137" s="50" t="n"/>
      <c r="S137" s="50" t="n"/>
      <c r="T137" s="29" t="n"/>
      <c r="U137" s="29" t="n"/>
      <c r="V137" s="29" t="n"/>
      <c r="W137" s="29" t="n"/>
    </row>
    <row r="138" ht="54" customHeight="1">
      <c r="A138" s="29" t="n"/>
      <c r="B138" s="29" t="n"/>
      <c r="C138" s="29" t="n"/>
      <c r="D138" s="29" t="n"/>
      <c r="E138" s="29" t="n"/>
      <c r="F138" s="29" t="n"/>
      <c r="G138" s="29" t="n"/>
      <c r="H138" s="29" t="n"/>
      <c r="I138" s="29" t="n"/>
      <c r="J138" s="49" t="n"/>
      <c r="K138" s="51" t="n"/>
      <c r="L138" s="29" t="n"/>
      <c r="M138" s="29" t="n"/>
      <c r="N138" s="29" t="n"/>
      <c r="O138" s="29" t="n"/>
      <c r="P138" s="29" t="n"/>
      <c r="Q138" s="29" t="n"/>
      <c r="R138" s="50" t="n"/>
      <c r="S138" s="50" t="n"/>
      <c r="T138" s="29" t="n"/>
      <c r="U138" s="29" t="n"/>
      <c r="V138" s="29" t="n"/>
      <c r="W138" s="29" t="n"/>
    </row>
    <row r="139" ht="54" customHeight="1">
      <c r="A139" s="29" t="n"/>
      <c r="B139" s="29" t="n"/>
      <c r="C139" s="29" t="n"/>
      <c r="D139" s="29" t="n"/>
      <c r="E139" s="29" t="n"/>
      <c r="F139" s="29" t="n"/>
      <c r="G139" s="29" t="n"/>
      <c r="H139" s="29" t="n"/>
      <c r="I139" s="29" t="n"/>
      <c r="J139" s="49" t="n"/>
      <c r="K139" s="51" t="n"/>
      <c r="L139" s="29" t="n"/>
      <c r="M139" s="29" t="n"/>
      <c r="N139" s="29" t="n"/>
      <c r="O139" s="29" t="n"/>
      <c r="P139" s="29" t="n"/>
      <c r="Q139" s="29" t="n"/>
      <c r="R139" s="50" t="n"/>
      <c r="S139" s="50" t="n"/>
      <c r="T139" s="29" t="n"/>
      <c r="U139" s="29" t="n"/>
      <c r="V139" s="29" t="n"/>
      <c r="W139" s="29" t="n"/>
    </row>
    <row r="140" ht="54" customHeight="1">
      <c r="A140" s="29" t="n"/>
      <c r="B140" s="29" t="n"/>
      <c r="C140" s="29" t="n"/>
      <c r="D140" s="29" t="n"/>
      <c r="E140" s="29" t="n"/>
      <c r="F140" s="29" t="n"/>
      <c r="G140" s="29" t="n"/>
      <c r="H140" s="29" t="n"/>
      <c r="I140" s="29" t="n"/>
      <c r="J140" s="49" t="n"/>
      <c r="K140" s="51" t="n"/>
      <c r="L140" s="29" t="n"/>
      <c r="M140" s="29" t="n"/>
      <c r="N140" s="29" t="n"/>
      <c r="O140" s="29" t="n"/>
      <c r="P140" s="29" t="n"/>
      <c r="Q140" s="29" t="n"/>
      <c r="R140" s="50" t="n"/>
      <c r="S140" s="50" t="n"/>
      <c r="T140" s="29" t="n"/>
      <c r="U140" s="29" t="n"/>
      <c r="V140" s="29" t="n"/>
      <c r="W140" s="29" t="n"/>
    </row>
    <row r="141" ht="54" customHeight="1">
      <c r="A141" s="29" t="n"/>
      <c r="B141" s="29" t="n"/>
      <c r="C141" s="29" t="n"/>
      <c r="D141" s="29" t="n"/>
      <c r="E141" s="29" t="n"/>
      <c r="F141" s="29" t="n"/>
      <c r="G141" s="29" t="n"/>
      <c r="H141" s="29" t="n"/>
      <c r="I141" s="29" t="n"/>
      <c r="J141" s="49" t="n"/>
      <c r="K141" s="51" t="n"/>
      <c r="L141" s="29" t="n"/>
      <c r="M141" s="29" t="n"/>
      <c r="N141" s="29" t="n"/>
      <c r="O141" s="29" t="n"/>
      <c r="P141" s="29" t="n"/>
      <c r="Q141" s="29" t="n"/>
      <c r="R141" s="50" t="n"/>
      <c r="S141" s="50" t="n"/>
      <c r="T141" s="29" t="n"/>
      <c r="U141" s="29" t="n"/>
      <c r="V141" s="29" t="n"/>
      <c r="W141" s="29" t="n"/>
    </row>
    <row r="142" ht="54" customHeight="1">
      <c r="A142" s="29" t="n"/>
      <c r="B142" s="29" t="n"/>
      <c r="C142" s="29" t="n"/>
      <c r="D142" s="29" t="n"/>
      <c r="E142" s="29" t="n"/>
      <c r="F142" s="29" t="n"/>
      <c r="G142" s="29" t="n"/>
      <c r="H142" s="29" t="n"/>
      <c r="I142" s="29" t="n"/>
      <c r="J142" s="49" t="n"/>
      <c r="K142" s="51" t="n"/>
      <c r="L142" s="29" t="n"/>
      <c r="M142" s="29" t="n"/>
      <c r="N142" s="29" t="n"/>
      <c r="O142" s="29" t="n"/>
      <c r="P142" s="29" t="n"/>
      <c r="Q142" s="29" t="n"/>
      <c r="R142" s="50" t="n"/>
      <c r="S142" s="50" t="n"/>
      <c r="T142" s="29" t="n"/>
      <c r="U142" s="29" t="n"/>
      <c r="V142" s="29" t="n"/>
      <c r="W142" s="29" t="n"/>
    </row>
    <row r="143" ht="54" customHeight="1">
      <c r="A143" s="29" t="n"/>
      <c r="B143" s="29" t="n"/>
      <c r="C143" s="29" t="n"/>
      <c r="D143" s="29" t="n"/>
      <c r="E143" s="29" t="n"/>
      <c r="F143" s="29" t="n"/>
      <c r="G143" s="29" t="n"/>
      <c r="H143" s="29" t="n"/>
      <c r="I143" s="29" t="n"/>
      <c r="J143" s="49" t="n"/>
      <c r="K143" s="51" t="n"/>
      <c r="L143" s="29" t="n"/>
      <c r="M143" s="29" t="n"/>
      <c r="N143" s="29" t="n"/>
      <c r="O143" s="29" t="n"/>
      <c r="P143" s="29" t="n"/>
      <c r="Q143" s="29" t="n"/>
      <c r="R143" s="50" t="n"/>
      <c r="S143" s="50" t="n"/>
      <c r="T143" s="29" t="n"/>
      <c r="U143" s="29" t="n"/>
      <c r="V143" s="29" t="n"/>
      <c r="W143" s="29" t="n"/>
    </row>
    <row r="144" ht="54" customHeight="1">
      <c r="A144" s="29" t="n"/>
      <c r="B144" s="29" t="n"/>
      <c r="C144" s="29" t="n"/>
      <c r="D144" s="29" t="n"/>
      <c r="E144" s="29" t="n"/>
      <c r="F144" s="29" t="n"/>
      <c r="G144" s="29" t="n"/>
      <c r="H144" s="29" t="n"/>
      <c r="I144" s="29" t="n"/>
      <c r="J144" s="49" t="n"/>
      <c r="K144" s="51" t="n"/>
      <c r="L144" s="29" t="n"/>
      <c r="M144" s="29" t="n"/>
      <c r="N144" s="29" t="n"/>
      <c r="O144" s="29" t="n"/>
      <c r="P144" s="29" t="n"/>
      <c r="Q144" s="29" t="n"/>
      <c r="R144" s="50" t="n"/>
      <c r="S144" s="50" t="n"/>
      <c r="T144" s="29" t="n"/>
      <c r="U144" s="29" t="n"/>
      <c r="V144" s="29" t="n"/>
      <c r="W144" s="29" t="n"/>
    </row>
    <row r="145" ht="54" customHeight="1">
      <c r="A145" s="29" t="n"/>
      <c r="B145" s="29" t="n"/>
      <c r="C145" s="29" t="n"/>
      <c r="D145" s="29" t="n"/>
      <c r="E145" s="29" t="n"/>
      <c r="F145" s="29" t="n"/>
      <c r="G145" s="29" t="n"/>
      <c r="H145" s="29" t="n"/>
      <c r="I145" s="29" t="n"/>
      <c r="J145" s="49" t="n"/>
      <c r="K145" s="51" t="n"/>
      <c r="L145" s="29" t="n"/>
      <c r="M145" s="29" t="n"/>
      <c r="N145" s="29" t="n"/>
      <c r="O145" s="29" t="n"/>
      <c r="P145" s="29" t="n"/>
      <c r="Q145" s="29" t="n"/>
      <c r="R145" s="50" t="n"/>
      <c r="S145" s="50" t="n"/>
      <c r="T145" s="29" t="n"/>
      <c r="U145" s="29" t="n"/>
      <c r="V145" s="29" t="n"/>
      <c r="W145" s="29" t="n"/>
    </row>
    <row r="146" ht="54" customHeight="1">
      <c r="A146" s="29" t="n"/>
      <c r="B146" s="29" t="n"/>
      <c r="C146" s="29" t="n"/>
      <c r="D146" s="29" t="n"/>
      <c r="E146" s="29" t="n"/>
      <c r="F146" s="29" t="n"/>
      <c r="G146" s="29" t="n"/>
      <c r="H146" s="29" t="n"/>
      <c r="I146" s="29" t="n"/>
      <c r="J146" s="49" t="n"/>
      <c r="K146" s="51" t="n"/>
      <c r="L146" s="29" t="n"/>
      <c r="M146" s="29" t="n"/>
      <c r="N146" s="29" t="n"/>
      <c r="O146" s="29" t="n"/>
      <c r="P146" s="29" t="n"/>
      <c r="Q146" s="29" t="n"/>
      <c r="R146" s="50" t="n"/>
      <c r="S146" s="50" t="n"/>
      <c r="T146" s="29" t="n"/>
      <c r="U146" s="29" t="n"/>
      <c r="V146" s="29" t="n"/>
      <c r="W146" s="29" t="n"/>
    </row>
    <row r="147" ht="54" customHeight="1">
      <c r="A147" s="29" t="n"/>
      <c r="B147" s="29" t="n"/>
      <c r="C147" s="29" t="n"/>
      <c r="D147" s="29" t="n"/>
      <c r="E147" s="29" t="n"/>
      <c r="F147" s="29" t="n"/>
      <c r="G147" s="29" t="n"/>
      <c r="H147" s="29" t="n"/>
      <c r="I147" s="29" t="n"/>
      <c r="J147" s="49" t="n"/>
      <c r="K147" s="51" t="n"/>
      <c r="L147" s="29" t="n"/>
      <c r="M147" s="29" t="n"/>
      <c r="N147" s="29" t="n"/>
      <c r="O147" s="29" t="n"/>
      <c r="P147" s="29" t="n"/>
      <c r="Q147" s="29" t="n"/>
      <c r="R147" s="50" t="n"/>
      <c r="S147" s="50" t="n"/>
      <c r="T147" s="29" t="n"/>
      <c r="U147" s="29" t="n"/>
      <c r="V147" s="29" t="n"/>
      <c r="W147" s="29" t="n"/>
    </row>
    <row r="148" ht="54" customHeight="1">
      <c r="A148" s="29" t="n"/>
      <c r="B148" s="29" t="n"/>
      <c r="C148" s="29" t="n"/>
      <c r="D148" s="29" t="n"/>
      <c r="E148" s="29" t="n"/>
      <c r="F148" s="29" t="n"/>
      <c r="G148" s="29" t="n"/>
      <c r="H148" s="29" t="n"/>
      <c r="I148" s="29" t="n"/>
      <c r="J148" s="49" t="n"/>
      <c r="K148" s="51" t="n"/>
      <c r="L148" s="29" t="n"/>
      <c r="M148" s="29" t="n"/>
      <c r="N148" s="29" t="n"/>
      <c r="O148" s="29" t="n"/>
      <c r="P148" s="29" t="n"/>
      <c r="Q148" s="29" t="n"/>
      <c r="R148" s="50" t="n"/>
      <c r="S148" s="50" t="n"/>
      <c r="T148" s="29" t="n"/>
      <c r="U148" s="29" t="n"/>
      <c r="V148" s="29" t="n"/>
      <c r="W148" s="29" t="n"/>
    </row>
    <row r="149" ht="54" customHeight="1">
      <c r="A149" s="29" t="n"/>
      <c r="B149" s="29" t="n"/>
      <c r="C149" s="29" t="n"/>
      <c r="D149" s="29" t="n"/>
      <c r="E149" s="29" t="n"/>
      <c r="F149" s="29" t="n"/>
      <c r="G149" s="29" t="n"/>
      <c r="H149" s="29" t="n"/>
      <c r="I149" s="29" t="n"/>
      <c r="J149" s="49" t="n"/>
      <c r="K149" s="51" t="n"/>
      <c r="L149" s="29" t="n"/>
      <c r="M149" s="29" t="n"/>
      <c r="N149" s="29" t="n"/>
      <c r="O149" s="29" t="n"/>
      <c r="P149" s="29" t="n"/>
      <c r="Q149" s="29" t="n"/>
      <c r="R149" s="50" t="n"/>
      <c r="S149" s="50" t="n"/>
      <c r="T149" s="29" t="n"/>
      <c r="U149" s="29" t="n"/>
      <c r="V149" s="29" t="n"/>
      <c r="W149" s="29" t="n"/>
    </row>
    <row r="150" ht="54" customHeight="1">
      <c r="A150" s="29" t="n"/>
      <c r="B150" s="29" t="n"/>
      <c r="C150" s="29" t="n"/>
      <c r="D150" s="29" t="n"/>
      <c r="E150" s="29" t="n"/>
      <c r="F150" s="29" t="n"/>
      <c r="G150" s="29" t="n"/>
      <c r="H150" s="29" t="n"/>
      <c r="I150" s="29" t="n"/>
      <c r="J150" s="49" t="n"/>
      <c r="K150" s="51" t="n"/>
      <c r="L150" s="29" t="n"/>
      <c r="M150" s="29" t="n"/>
      <c r="N150" s="29" t="n"/>
      <c r="O150" s="29" t="n"/>
      <c r="P150" s="29" t="n"/>
      <c r="Q150" s="29" t="n"/>
      <c r="R150" s="50" t="n"/>
      <c r="S150" s="50" t="n"/>
      <c r="T150" s="29" t="n"/>
      <c r="U150" s="29" t="n"/>
      <c r="V150" s="29" t="n"/>
      <c r="W150" s="29" t="n"/>
    </row>
    <row r="151" ht="54" customHeight="1">
      <c r="A151" s="29" t="n"/>
      <c r="B151" s="29" t="n"/>
      <c r="C151" s="29" t="n"/>
      <c r="D151" s="29" t="n"/>
      <c r="E151" s="29" t="n"/>
      <c r="F151" s="29" t="n"/>
      <c r="G151" s="29" t="n"/>
      <c r="H151" s="29" t="n"/>
      <c r="I151" s="29" t="n"/>
      <c r="J151" s="49" t="n"/>
      <c r="K151" s="51" t="n"/>
      <c r="L151" s="29" t="n"/>
      <c r="M151" s="29" t="n"/>
      <c r="N151" s="29" t="n"/>
      <c r="O151" s="29" t="n"/>
      <c r="P151" s="29" t="n"/>
      <c r="Q151" s="29" t="n"/>
      <c r="R151" s="50" t="n"/>
      <c r="S151" s="50" t="n"/>
      <c r="T151" s="29" t="n"/>
      <c r="U151" s="29" t="n"/>
      <c r="V151" s="29" t="n"/>
      <c r="W151" s="29" t="n"/>
    </row>
    <row r="152" ht="54" customHeight="1">
      <c r="A152" s="29" t="n"/>
      <c r="B152" s="29" t="n"/>
      <c r="C152" s="29" t="n"/>
      <c r="D152" s="29" t="n"/>
      <c r="E152" s="29" t="n"/>
      <c r="F152" s="29" t="n"/>
      <c r="G152" s="29" t="n"/>
      <c r="H152" s="29" t="n"/>
      <c r="I152" s="29" t="n"/>
      <c r="J152" s="49" t="n"/>
      <c r="K152" s="51" t="n"/>
      <c r="L152" s="29" t="n"/>
      <c r="M152" s="29" t="n"/>
      <c r="N152" s="29" t="n"/>
      <c r="O152" s="29" t="n"/>
      <c r="P152" s="29" t="n"/>
      <c r="Q152" s="29" t="n"/>
      <c r="R152" s="50" t="n"/>
      <c r="S152" s="50" t="n"/>
      <c r="T152" s="29" t="n"/>
      <c r="U152" s="29" t="n"/>
      <c r="V152" s="29" t="n"/>
      <c r="W152" s="29" t="n"/>
    </row>
    <row r="153" ht="54" customHeight="1">
      <c r="A153" s="29" t="n"/>
      <c r="B153" s="29" t="n"/>
      <c r="C153" s="29" t="n"/>
      <c r="D153" s="29" t="n"/>
      <c r="E153" s="29" t="n"/>
      <c r="F153" s="29" t="n"/>
      <c r="G153" s="29" t="n"/>
      <c r="H153" s="29" t="n"/>
      <c r="I153" s="29" t="n"/>
      <c r="J153" s="49" t="n"/>
      <c r="K153" s="51" t="n"/>
      <c r="L153" s="29" t="n"/>
      <c r="M153" s="29" t="n"/>
      <c r="N153" s="29" t="n"/>
      <c r="O153" s="29" t="n"/>
      <c r="P153" s="29" t="n"/>
      <c r="Q153" s="29" t="n"/>
      <c r="R153" s="50" t="n"/>
      <c r="S153" s="50" t="n"/>
      <c r="T153" s="29" t="n"/>
      <c r="U153" s="29" t="n"/>
      <c r="V153" s="29" t="n"/>
      <c r="W153" s="29" t="n"/>
    </row>
    <row r="154" ht="54" customHeight="1">
      <c r="A154" s="29" t="n"/>
      <c r="B154" s="29" t="n"/>
      <c r="C154" s="29" t="n"/>
      <c r="D154" s="29" t="n"/>
      <c r="E154" s="29" t="n"/>
      <c r="F154" s="29" t="n"/>
      <c r="G154" s="29" t="n"/>
      <c r="H154" s="29" t="n"/>
      <c r="I154" s="29" t="n"/>
      <c r="J154" s="49" t="n"/>
      <c r="K154" s="51" t="n"/>
      <c r="L154" s="29" t="n"/>
      <c r="M154" s="29" t="n"/>
      <c r="N154" s="29" t="n"/>
      <c r="O154" s="29" t="n"/>
      <c r="P154" s="29" t="n"/>
      <c r="Q154" s="29" t="n"/>
      <c r="R154" s="50" t="n"/>
      <c r="S154" s="50" t="n"/>
      <c r="T154" s="29" t="n"/>
      <c r="U154" s="29" t="n"/>
      <c r="V154" s="29" t="n"/>
      <c r="W154" s="29" t="n"/>
    </row>
    <row r="155" ht="54" customHeight="1">
      <c r="A155" s="29" t="n"/>
      <c r="B155" s="29" t="n"/>
      <c r="C155" s="29" t="n"/>
      <c r="D155" s="29" t="n"/>
      <c r="E155" s="29" t="n"/>
      <c r="F155" s="29" t="n"/>
      <c r="G155" s="29" t="n"/>
      <c r="H155" s="29" t="n"/>
      <c r="I155" s="29" t="n"/>
      <c r="J155" s="49" t="n"/>
      <c r="K155" s="51" t="n"/>
      <c r="L155" s="29" t="n"/>
      <c r="M155" s="29" t="n"/>
      <c r="N155" s="29" t="n"/>
      <c r="O155" s="29" t="n"/>
      <c r="P155" s="29" t="n"/>
      <c r="Q155" s="29" t="n"/>
      <c r="R155" s="50" t="n"/>
      <c r="S155" s="50" t="n"/>
      <c r="T155" s="29" t="n"/>
      <c r="U155" s="29" t="n"/>
      <c r="V155" s="29" t="n"/>
      <c r="W155" s="29" t="n"/>
    </row>
    <row r="156" ht="54" customHeight="1">
      <c r="A156" s="29" t="n"/>
      <c r="B156" s="29" t="n"/>
      <c r="C156" s="29" t="n"/>
      <c r="D156" s="29" t="n"/>
      <c r="E156" s="29" t="n"/>
      <c r="F156" s="29" t="n"/>
      <c r="G156" s="29" t="n"/>
      <c r="H156" s="29" t="n"/>
      <c r="I156" s="29" t="n"/>
      <c r="J156" s="49" t="n"/>
      <c r="K156" s="51" t="n"/>
      <c r="L156" s="29" t="n"/>
      <c r="M156" s="29" t="n"/>
      <c r="N156" s="29" t="n"/>
      <c r="O156" s="29" t="n"/>
      <c r="P156" s="29" t="n"/>
      <c r="Q156" s="29" t="n"/>
      <c r="R156" s="50" t="n"/>
      <c r="S156" s="50" t="n"/>
      <c r="T156" s="29" t="n"/>
      <c r="U156" s="29" t="n"/>
      <c r="V156" s="29" t="n"/>
      <c r="W156" s="29" t="n"/>
    </row>
    <row r="157" ht="54" customHeight="1">
      <c r="A157" s="29" t="n"/>
      <c r="B157" s="29" t="n"/>
      <c r="C157" s="29" t="n"/>
      <c r="D157" s="29" t="n"/>
      <c r="E157" s="29" t="n"/>
      <c r="F157" s="29" t="n"/>
      <c r="G157" s="29" t="n"/>
      <c r="H157" s="29" t="n"/>
      <c r="I157" s="29" t="n"/>
      <c r="J157" s="49" t="n"/>
      <c r="K157" s="51" t="n"/>
      <c r="L157" s="29" t="n"/>
      <c r="M157" s="29" t="n"/>
      <c r="N157" s="29" t="n"/>
      <c r="O157" s="29" t="n"/>
      <c r="P157" s="29" t="n"/>
      <c r="Q157" s="29" t="n"/>
      <c r="R157" s="50" t="n"/>
      <c r="S157" s="50" t="n"/>
      <c r="T157" s="29" t="n"/>
      <c r="U157" s="29" t="n"/>
      <c r="V157" s="29" t="n"/>
      <c r="W157" s="29" t="n"/>
    </row>
    <row r="158" ht="54" customHeight="1">
      <c r="A158" s="29" t="n"/>
      <c r="B158" s="29" t="n"/>
      <c r="C158" s="29" t="n"/>
      <c r="D158" s="29" t="n"/>
      <c r="E158" s="29" t="n"/>
      <c r="F158" s="29" t="n"/>
      <c r="G158" s="29" t="n"/>
      <c r="H158" s="29" t="n"/>
      <c r="I158" s="29" t="n"/>
      <c r="J158" s="49" t="n"/>
      <c r="K158" s="51" t="n"/>
      <c r="L158" s="29" t="n"/>
      <c r="M158" s="29" t="n"/>
      <c r="N158" s="29" t="n"/>
      <c r="O158" s="29" t="n"/>
      <c r="P158" s="29" t="n"/>
      <c r="Q158" s="29" t="n"/>
      <c r="R158" s="50" t="n"/>
      <c r="S158" s="50" t="n"/>
      <c r="T158" s="29" t="n"/>
      <c r="U158" s="29" t="n"/>
      <c r="V158" s="29" t="n"/>
      <c r="W158" s="29" t="n"/>
    </row>
    <row r="159" ht="54" customHeight="1">
      <c r="A159" s="29" t="n"/>
      <c r="B159" s="29" t="n"/>
      <c r="C159" s="29" t="n"/>
      <c r="D159" s="29" t="n"/>
      <c r="E159" s="29" t="n"/>
      <c r="F159" s="29" t="n"/>
      <c r="G159" s="29" t="n"/>
      <c r="H159" s="29" t="n"/>
      <c r="I159" s="29" t="n"/>
      <c r="J159" s="49" t="n"/>
      <c r="K159" s="51" t="n"/>
      <c r="L159" s="29" t="n"/>
      <c r="M159" s="29" t="n"/>
      <c r="N159" s="29" t="n"/>
      <c r="O159" s="29" t="n"/>
      <c r="P159" s="29" t="n"/>
      <c r="Q159" s="29" t="n"/>
      <c r="R159" s="50" t="n"/>
      <c r="S159" s="50" t="n"/>
      <c r="T159" s="29" t="n"/>
      <c r="U159" s="29" t="n"/>
      <c r="V159" s="29" t="n"/>
      <c r="W159" s="29" t="n"/>
    </row>
    <row r="160" ht="54" customHeight="1">
      <c r="A160" s="29" t="n"/>
      <c r="B160" s="29" t="n"/>
      <c r="C160" s="29" t="n"/>
      <c r="D160" s="29" t="n"/>
      <c r="E160" s="29" t="n"/>
      <c r="F160" s="29" t="n"/>
      <c r="G160" s="29" t="n"/>
      <c r="H160" s="29" t="n"/>
      <c r="I160" s="29" t="n"/>
      <c r="J160" s="49" t="n"/>
      <c r="K160" s="51" t="n"/>
      <c r="L160" s="29" t="n"/>
      <c r="M160" s="29" t="n"/>
      <c r="N160" s="29" t="n"/>
      <c r="O160" s="29" t="n"/>
      <c r="P160" s="29" t="n"/>
      <c r="Q160" s="29" t="n"/>
      <c r="R160" s="50" t="n"/>
      <c r="S160" s="50" t="n"/>
      <c r="T160" s="29" t="n"/>
      <c r="U160" s="29" t="n"/>
      <c r="V160" s="29" t="n"/>
      <c r="W160" s="29" t="n"/>
    </row>
    <row r="161" ht="54" customHeight="1">
      <c r="A161" s="29" t="n"/>
      <c r="B161" s="29" t="n"/>
      <c r="C161" s="29" t="n"/>
      <c r="D161" s="29" t="n"/>
      <c r="E161" s="29" t="n"/>
      <c r="F161" s="29" t="n"/>
      <c r="G161" s="29" t="n"/>
      <c r="H161" s="29" t="n"/>
      <c r="I161" s="29" t="n"/>
      <c r="J161" s="49" t="n"/>
      <c r="K161" s="51" t="n"/>
      <c r="L161" s="29" t="n"/>
      <c r="M161" s="29" t="n"/>
      <c r="N161" s="29" t="n"/>
      <c r="O161" s="29" t="n"/>
      <c r="P161" s="29" t="n"/>
      <c r="Q161" s="29" t="n"/>
      <c r="R161" s="50" t="n"/>
      <c r="S161" s="50" t="n"/>
      <c r="T161" s="29" t="n"/>
      <c r="U161" s="29" t="n"/>
      <c r="V161" s="29" t="n"/>
      <c r="W161" s="29" t="n"/>
    </row>
    <row r="162" ht="54" customHeight="1">
      <c r="A162" s="29" t="n"/>
      <c r="B162" s="29" t="n"/>
      <c r="C162" s="29" t="n"/>
      <c r="D162" s="29" t="n"/>
      <c r="E162" s="29" t="n"/>
      <c r="F162" s="29" t="n"/>
      <c r="G162" s="29" t="n"/>
      <c r="H162" s="29" t="n"/>
      <c r="I162" s="29" t="n"/>
      <c r="J162" s="49" t="n"/>
      <c r="K162" s="51" t="n"/>
      <c r="L162" s="29" t="n"/>
      <c r="M162" s="29" t="n"/>
      <c r="N162" s="29" t="n"/>
      <c r="O162" s="29" t="n"/>
      <c r="P162" s="29" t="n"/>
      <c r="Q162" s="29" t="n"/>
      <c r="R162" s="50" t="n"/>
      <c r="S162" s="50" t="n"/>
      <c r="T162" s="29" t="n"/>
      <c r="U162" s="29" t="n"/>
      <c r="V162" s="29" t="n"/>
      <c r="W162" s="29" t="n"/>
    </row>
    <row r="163" ht="54" customHeight="1">
      <c r="A163" s="29" t="n"/>
      <c r="B163" s="29" t="n"/>
      <c r="C163" s="29" t="n"/>
      <c r="D163" s="29" t="n"/>
      <c r="E163" s="29" t="n"/>
      <c r="F163" s="29" t="n"/>
      <c r="G163" s="29" t="n"/>
      <c r="H163" s="29" t="n"/>
      <c r="I163" s="29" t="n"/>
      <c r="J163" s="49" t="n"/>
      <c r="K163" s="51" t="n"/>
      <c r="L163" s="29" t="n"/>
      <c r="M163" s="29" t="n"/>
      <c r="N163" s="29" t="n"/>
      <c r="O163" s="29" t="n"/>
      <c r="P163" s="29" t="n"/>
      <c r="Q163" s="29" t="n"/>
      <c r="R163" s="50" t="n"/>
      <c r="S163" s="50" t="n"/>
      <c r="T163" s="29" t="n"/>
      <c r="U163" s="29" t="n"/>
      <c r="V163" s="29" t="n"/>
      <c r="W163" s="29" t="n"/>
    </row>
    <row r="164" ht="54" customHeight="1">
      <c r="A164" s="29" t="n"/>
      <c r="B164" s="29" t="n"/>
      <c r="C164" s="29" t="n"/>
      <c r="D164" s="29" t="n"/>
      <c r="E164" s="29" t="n"/>
      <c r="F164" s="29" t="n"/>
      <c r="G164" s="29" t="n"/>
      <c r="H164" s="29" t="n"/>
      <c r="I164" s="29" t="n"/>
      <c r="J164" s="49" t="n"/>
      <c r="K164" s="51" t="n"/>
      <c r="L164" s="29" t="n"/>
      <c r="M164" s="29" t="n"/>
      <c r="N164" s="29" t="n"/>
      <c r="O164" s="29" t="n"/>
      <c r="P164" s="29" t="n"/>
      <c r="Q164" s="29" t="n"/>
      <c r="R164" s="50" t="n"/>
      <c r="S164" s="50" t="n"/>
      <c r="T164" s="29" t="n"/>
      <c r="U164" s="29" t="n"/>
      <c r="V164" s="29" t="n"/>
      <c r="W164" s="29" t="n"/>
    </row>
    <row r="165" ht="54" customHeight="1">
      <c r="A165" s="29" t="n"/>
      <c r="B165" s="29" t="n"/>
      <c r="C165" s="29" t="n"/>
      <c r="D165" s="29" t="n"/>
      <c r="E165" s="29" t="n"/>
      <c r="F165" s="29" t="n"/>
      <c r="G165" s="29" t="n"/>
      <c r="H165" s="29" t="n"/>
      <c r="I165" s="29" t="n"/>
      <c r="J165" s="49" t="n"/>
      <c r="K165" s="51" t="n"/>
      <c r="L165" s="29" t="n"/>
      <c r="M165" s="29" t="n"/>
      <c r="N165" s="29" t="n"/>
      <c r="O165" s="29" t="n"/>
      <c r="P165" s="29" t="n"/>
      <c r="Q165" s="29" t="n"/>
      <c r="R165" s="50" t="n"/>
      <c r="S165" s="50" t="n"/>
      <c r="T165" s="29" t="n"/>
      <c r="U165" s="29" t="n"/>
      <c r="V165" s="29" t="n"/>
      <c r="W165" s="29" t="n"/>
    </row>
    <row r="166" ht="54" customHeight="1">
      <c r="A166" s="29" t="n"/>
      <c r="B166" s="29" t="n"/>
      <c r="C166" s="29" t="n"/>
      <c r="D166" s="29" t="n"/>
      <c r="E166" s="29" t="n"/>
      <c r="F166" s="29" t="n"/>
      <c r="G166" s="29" t="n"/>
      <c r="H166" s="29" t="n"/>
      <c r="I166" s="29" t="n"/>
      <c r="J166" s="49" t="n"/>
      <c r="K166" s="51" t="n"/>
      <c r="L166" s="29" t="n"/>
      <c r="M166" s="29" t="n"/>
      <c r="N166" s="29" t="n"/>
      <c r="O166" s="29" t="n"/>
      <c r="P166" s="29" t="n"/>
      <c r="Q166" s="29" t="n"/>
      <c r="R166" s="50" t="n"/>
      <c r="S166" s="50" t="n"/>
      <c r="T166" s="29" t="n"/>
      <c r="U166" s="29" t="n"/>
      <c r="V166" s="29" t="n"/>
      <c r="W166" s="29" t="n"/>
    </row>
    <row r="167" ht="54" customHeight="1">
      <c r="A167" s="29" t="n"/>
      <c r="B167" s="29" t="n"/>
      <c r="C167" s="29" t="n"/>
      <c r="D167" s="29" t="n"/>
      <c r="E167" s="29" t="n"/>
      <c r="F167" s="29" t="n"/>
      <c r="G167" s="29" t="n"/>
      <c r="H167" s="29" t="n"/>
      <c r="I167" s="29" t="n"/>
      <c r="J167" s="49" t="n"/>
      <c r="K167" s="51" t="n"/>
      <c r="L167" s="29" t="n"/>
      <c r="M167" s="29" t="n"/>
      <c r="N167" s="29" t="n"/>
      <c r="O167" s="29" t="n"/>
      <c r="P167" s="29" t="n"/>
      <c r="Q167" s="29" t="n"/>
      <c r="R167" s="50" t="n"/>
      <c r="S167" s="50" t="n"/>
      <c r="T167" s="29" t="n"/>
      <c r="U167" s="29" t="n"/>
      <c r="V167" s="29" t="n"/>
      <c r="W167" s="29" t="n"/>
    </row>
    <row r="168" ht="54" customHeight="1">
      <c r="A168" s="29" t="n"/>
      <c r="B168" s="29" t="n"/>
      <c r="C168" s="29" t="n"/>
      <c r="D168" s="29" t="n"/>
      <c r="E168" s="29" t="n"/>
      <c r="F168" s="29" t="n"/>
      <c r="G168" s="29" t="n"/>
      <c r="H168" s="29" t="n"/>
      <c r="I168" s="29" t="n"/>
      <c r="J168" s="49" t="n"/>
      <c r="K168" s="51" t="n"/>
      <c r="L168" s="29" t="n"/>
      <c r="M168" s="29" t="n"/>
      <c r="N168" s="29" t="n"/>
      <c r="O168" s="29" t="n"/>
      <c r="P168" s="29" t="n"/>
      <c r="Q168" s="29" t="n"/>
      <c r="R168" s="50" t="n"/>
      <c r="S168" s="50" t="n"/>
      <c r="T168" s="29" t="n"/>
      <c r="U168" s="29" t="n"/>
      <c r="V168" s="29" t="n"/>
      <c r="W168" s="29" t="n"/>
    </row>
    <row r="169" ht="54" customHeight="1">
      <c r="A169" s="29" t="n"/>
      <c r="B169" s="29" t="n"/>
      <c r="C169" s="29" t="n"/>
      <c r="D169" s="29" t="n"/>
      <c r="E169" s="29" t="n"/>
      <c r="F169" s="29" t="n"/>
      <c r="G169" s="29" t="n"/>
      <c r="H169" s="29" t="n"/>
      <c r="I169" s="29" t="n"/>
      <c r="J169" s="49" t="n"/>
      <c r="K169" s="51" t="n"/>
      <c r="L169" s="29" t="n"/>
      <c r="M169" s="29" t="n"/>
      <c r="N169" s="29" t="n"/>
      <c r="O169" s="29" t="n"/>
      <c r="P169" s="29" t="n"/>
      <c r="Q169" s="29" t="n"/>
      <c r="R169" s="50" t="n"/>
      <c r="S169" s="50" t="n"/>
      <c r="T169" s="29" t="n"/>
      <c r="U169" s="29" t="n"/>
      <c r="V169" s="29" t="n"/>
      <c r="W169" s="29" t="n"/>
    </row>
    <row r="170" ht="54" customHeight="1">
      <c r="A170" s="29" t="n"/>
      <c r="B170" s="29" t="n"/>
      <c r="C170" s="29" t="n"/>
      <c r="D170" s="29" t="n"/>
      <c r="E170" s="29" t="n"/>
      <c r="F170" s="29" t="n"/>
      <c r="G170" s="29" t="n"/>
      <c r="H170" s="29" t="n"/>
      <c r="I170" s="29" t="n"/>
      <c r="J170" s="49" t="n"/>
      <c r="K170" s="51" t="n"/>
      <c r="L170" s="29" t="n"/>
      <c r="M170" s="29" t="n"/>
      <c r="N170" s="29" t="n"/>
      <c r="O170" s="29" t="n"/>
      <c r="P170" s="29" t="n"/>
      <c r="Q170" s="29" t="n"/>
      <c r="R170" s="50" t="n"/>
      <c r="S170" s="50" t="n"/>
      <c r="T170" s="29" t="n"/>
      <c r="U170" s="29" t="n"/>
      <c r="V170" s="29" t="n"/>
      <c r="W170" s="29" t="n"/>
    </row>
    <row r="171" ht="54" customHeight="1">
      <c r="A171" s="29" t="n"/>
      <c r="B171" s="29" t="n"/>
      <c r="C171" s="29" t="n"/>
      <c r="D171" s="29" t="n"/>
      <c r="E171" s="29" t="n"/>
      <c r="F171" s="29" t="n"/>
      <c r="G171" s="29" t="n"/>
      <c r="H171" s="29" t="n"/>
      <c r="I171" s="29" t="n"/>
      <c r="J171" s="49" t="n"/>
      <c r="K171" s="51" t="n"/>
      <c r="L171" s="29" t="n"/>
      <c r="M171" s="29" t="n"/>
      <c r="N171" s="29" t="n"/>
      <c r="O171" s="29" t="n"/>
      <c r="P171" s="29" t="n"/>
      <c r="Q171" s="29" t="n"/>
      <c r="R171" s="50" t="n"/>
      <c r="S171" s="50" t="n"/>
      <c r="T171" s="29" t="n"/>
      <c r="U171" s="29" t="n"/>
      <c r="V171" s="29" t="n"/>
      <c r="W171" s="29" t="n"/>
    </row>
    <row r="172" ht="54" customHeight="1">
      <c r="A172" s="29" t="n"/>
      <c r="B172" s="29" t="n"/>
      <c r="C172" s="29" t="n"/>
      <c r="D172" s="29" t="n"/>
      <c r="E172" s="29" t="n"/>
      <c r="F172" s="29" t="n"/>
      <c r="G172" s="29" t="n"/>
      <c r="H172" s="29" t="n"/>
      <c r="I172" s="29" t="n"/>
      <c r="J172" s="49" t="n"/>
      <c r="K172" s="51" t="n"/>
      <c r="L172" s="29" t="n"/>
      <c r="M172" s="29" t="n"/>
      <c r="N172" s="29" t="n"/>
      <c r="O172" s="29" t="n"/>
      <c r="P172" s="29" t="n"/>
      <c r="Q172" s="29" t="n"/>
      <c r="R172" s="50" t="n"/>
      <c r="S172" s="50" t="n"/>
      <c r="T172" s="29" t="n"/>
      <c r="U172" s="29" t="n"/>
      <c r="V172" s="29" t="n"/>
      <c r="W172" s="29" t="n"/>
    </row>
    <row r="173" ht="54" customHeight="1">
      <c r="A173" s="29" t="n"/>
      <c r="B173" s="29" t="n"/>
      <c r="C173" s="29" t="n"/>
      <c r="D173" s="29" t="n"/>
      <c r="E173" s="29" t="n"/>
      <c r="F173" s="29" t="n"/>
      <c r="G173" s="29" t="n"/>
      <c r="H173" s="29" t="n"/>
      <c r="I173" s="29" t="n"/>
      <c r="J173" s="49" t="n"/>
      <c r="K173" s="51" t="n"/>
      <c r="L173" s="29" t="n"/>
      <c r="M173" s="29" t="n"/>
      <c r="N173" s="29" t="n"/>
      <c r="O173" s="29" t="n"/>
      <c r="P173" s="29" t="n"/>
      <c r="Q173" s="29" t="n"/>
      <c r="R173" s="50" t="n"/>
      <c r="S173" s="50" t="n"/>
      <c r="T173" s="29" t="n"/>
      <c r="U173" s="29" t="n"/>
      <c r="V173" s="29" t="n"/>
      <c r="W173" s="29" t="n"/>
    </row>
    <row r="174" ht="54" customHeight="1">
      <c r="A174" s="29" t="n"/>
      <c r="B174" s="29" t="n"/>
      <c r="C174" s="29" t="n"/>
      <c r="D174" s="29" t="n"/>
      <c r="E174" s="29" t="n"/>
      <c r="F174" s="29" t="n"/>
      <c r="G174" s="29" t="n"/>
      <c r="H174" s="29" t="n"/>
      <c r="I174" s="29" t="n"/>
      <c r="J174" s="49" t="n"/>
      <c r="K174" s="51" t="n"/>
      <c r="L174" s="29" t="n"/>
      <c r="M174" s="29" t="n"/>
      <c r="N174" s="29" t="n"/>
      <c r="O174" s="29" t="n"/>
      <c r="P174" s="29" t="n"/>
      <c r="Q174" s="29" t="n"/>
      <c r="R174" s="50" t="n"/>
      <c r="S174" s="50" t="n"/>
      <c r="T174" s="29" t="n"/>
      <c r="U174" s="29" t="n"/>
      <c r="V174" s="29" t="n"/>
      <c r="W174" s="29" t="n"/>
    </row>
    <row r="175" ht="54" customHeight="1">
      <c r="A175" s="29" t="n"/>
      <c r="B175" s="29" t="n"/>
      <c r="C175" s="29" t="n"/>
      <c r="D175" s="29" t="n"/>
      <c r="E175" s="29" t="n"/>
      <c r="F175" s="29" t="n"/>
      <c r="G175" s="29" t="n"/>
      <c r="H175" s="29" t="n"/>
      <c r="I175" s="29" t="n"/>
      <c r="J175" s="49" t="n"/>
      <c r="K175" s="51" t="n"/>
      <c r="L175" s="29" t="n"/>
      <c r="M175" s="29" t="n"/>
      <c r="N175" s="29" t="n"/>
      <c r="O175" s="29" t="n"/>
      <c r="P175" s="29" t="n"/>
      <c r="Q175" s="29" t="n"/>
      <c r="R175" s="50" t="n"/>
      <c r="S175" s="50" t="n"/>
      <c r="T175" s="29" t="n"/>
      <c r="U175" s="29" t="n"/>
      <c r="V175" s="29" t="n"/>
      <c r="W175" s="29" t="n"/>
    </row>
    <row r="176" ht="54" customHeight="1">
      <c r="A176" s="29" t="n"/>
      <c r="B176" s="29" t="n"/>
      <c r="C176" s="29" t="n"/>
      <c r="D176" s="29" t="n"/>
      <c r="E176" s="29" t="n"/>
      <c r="F176" s="29" t="n"/>
      <c r="G176" s="29" t="n"/>
      <c r="H176" s="29" t="n"/>
      <c r="I176" s="29" t="n"/>
      <c r="J176" s="49" t="n"/>
      <c r="K176" s="51" t="n"/>
      <c r="L176" s="29" t="n"/>
      <c r="M176" s="29" t="n"/>
      <c r="N176" s="29" t="n"/>
      <c r="O176" s="29" t="n"/>
      <c r="P176" s="29" t="n"/>
      <c r="Q176" s="29" t="n"/>
      <c r="R176" s="50" t="n"/>
      <c r="S176" s="50" t="n"/>
      <c r="T176" s="29" t="n"/>
      <c r="U176" s="29" t="n"/>
      <c r="V176" s="29" t="n"/>
      <c r="W176" s="29" t="n"/>
    </row>
    <row r="177" ht="54" customHeight="1">
      <c r="A177" s="29" t="n"/>
      <c r="B177" s="29" t="n"/>
      <c r="C177" s="29" t="n"/>
      <c r="D177" s="29" t="n"/>
      <c r="E177" s="29" t="n"/>
      <c r="F177" s="29" t="n"/>
      <c r="G177" s="29" t="n"/>
      <c r="H177" s="29" t="n"/>
      <c r="I177" s="29" t="n"/>
      <c r="J177" s="49" t="n"/>
      <c r="K177" s="51" t="n"/>
      <c r="L177" s="29" t="n"/>
      <c r="M177" s="29" t="n"/>
      <c r="N177" s="29" t="n"/>
      <c r="O177" s="29" t="n"/>
      <c r="P177" s="29" t="n"/>
      <c r="Q177" s="29" t="n"/>
      <c r="R177" s="50" t="n"/>
      <c r="S177" s="50" t="n"/>
      <c r="T177" s="29" t="n"/>
      <c r="U177" s="29" t="n"/>
      <c r="V177" s="29" t="n"/>
      <c r="W177" s="29" t="n"/>
    </row>
    <row r="178" ht="54" customHeight="1">
      <c r="A178" s="29" t="n"/>
      <c r="B178" s="29" t="n"/>
      <c r="C178" s="29" t="n"/>
      <c r="D178" s="29" t="n"/>
      <c r="E178" s="29" t="n"/>
      <c r="F178" s="29" t="n"/>
      <c r="G178" s="29" t="n"/>
      <c r="H178" s="29" t="n"/>
      <c r="I178" s="29" t="n"/>
      <c r="J178" s="49" t="n"/>
      <c r="K178" s="51" t="n"/>
      <c r="L178" s="29" t="n"/>
      <c r="M178" s="29" t="n"/>
      <c r="N178" s="29" t="n"/>
      <c r="O178" s="29" t="n"/>
      <c r="P178" s="29" t="n"/>
      <c r="Q178" s="29" t="n"/>
      <c r="R178" s="50" t="n"/>
      <c r="S178" s="50" t="n"/>
      <c r="T178" s="29" t="n"/>
      <c r="U178" s="29" t="n"/>
      <c r="V178" s="29" t="n"/>
      <c r="W178" s="29" t="n"/>
    </row>
    <row r="179" ht="54" customHeight="1">
      <c r="A179" s="29" t="n"/>
      <c r="B179" s="29" t="n"/>
      <c r="C179" s="29" t="n"/>
      <c r="D179" s="29" t="n"/>
      <c r="E179" s="29" t="n"/>
      <c r="F179" s="29" t="n"/>
      <c r="G179" s="29" t="n"/>
      <c r="H179" s="29" t="n"/>
      <c r="I179" s="29" t="n"/>
      <c r="J179" s="49" t="n"/>
      <c r="K179" s="51" t="n"/>
      <c r="L179" s="29" t="n"/>
      <c r="M179" s="29" t="n"/>
      <c r="N179" s="29" t="n"/>
      <c r="O179" s="29" t="n"/>
      <c r="P179" s="29" t="n"/>
      <c r="Q179" s="29" t="n"/>
      <c r="R179" s="50" t="n"/>
      <c r="S179" s="50" t="n"/>
      <c r="T179" s="29" t="n"/>
      <c r="U179" s="29" t="n"/>
      <c r="V179" s="29" t="n"/>
      <c r="W179" s="29" t="n"/>
    </row>
    <row r="180" ht="54" customHeight="1">
      <c r="A180" s="29" t="n"/>
      <c r="B180" s="29" t="n"/>
      <c r="C180" s="29" t="n"/>
      <c r="D180" s="29" t="n"/>
      <c r="E180" s="29" t="n"/>
      <c r="F180" s="29" t="n"/>
      <c r="G180" s="29" t="n"/>
      <c r="H180" s="29" t="n"/>
      <c r="I180" s="29" t="n"/>
      <c r="J180" s="49" t="n"/>
      <c r="K180" s="51" t="n"/>
      <c r="L180" s="29" t="n"/>
      <c r="M180" s="29" t="n"/>
      <c r="N180" s="29" t="n"/>
      <c r="O180" s="29" t="n"/>
      <c r="P180" s="29" t="n"/>
      <c r="Q180" s="29" t="n"/>
      <c r="R180" s="50" t="n"/>
      <c r="S180" s="50" t="n"/>
      <c r="T180" s="29" t="n"/>
      <c r="U180" s="29" t="n"/>
      <c r="V180" s="29" t="n"/>
      <c r="W180" s="29" t="n"/>
    </row>
    <row r="181" ht="54" customHeight="1">
      <c r="A181" s="29" t="n"/>
      <c r="B181" s="29" t="n"/>
      <c r="C181" s="29" t="n"/>
      <c r="D181" s="29" t="n"/>
      <c r="E181" s="29" t="n"/>
      <c r="F181" s="29" t="n"/>
      <c r="G181" s="29" t="n"/>
      <c r="H181" s="29" t="n"/>
      <c r="I181" s="29" t="n"/>
      <c r="J181" s="49" t="n"/>
      <c r="K181" s="51" t="n"/>
      <c r="L181" s="29" t="n"/>
      <c r="M181" s="29" t="n"/>
      <c r="N181" s="29" t="n"/>
      <c r="O181" s="29" t="n"/>
      <c r="P181" s="29" t="n"/>
      <c r="Q181" s="29" t="n"/>
      <c r="R181" s="50" t="n"/>
      <c r="S181" s="50" t="n"/>
      <c r="T181" s="29" t="n"/>
      <c r="U181" s="29" t="n"/>
      <c r="V181" s="29" t="n"/>
      <c r="W181" s="29" t="n"/>
    </row>
    <row r="182" ht="54" customHeight="1">
      <c r="A182" s="29" t="n"/>
      <c r="B182" s="29" t="n"/>
      <c r="C182" s="29" t="n"/>
      <c r="D182" s="29" t="n"/>
      <c r="E182" s="29" t="n"/>
      <c r="F182" s="29" t="n"/>
      <c r="G182" s="29" t="n"/>
      <c r="H182" s="29" t="n"/>
      <c r="I182" s="29" t="n"/>
      <c r="J182" s="49" t="n"/>
      <c r="K182" s="51" t="n"/>
      <c r="L182" s="29" t="n"/>
      <c r="M182" s="29" t="n"/>
      <c r="N182" s="29" t="n"/>
      <c r="O182" s="29" t="n"/>
      <c r="P182" s="29" t="n"/>
      <c r="Q182" s="29" t="n"/>
      <c r="R182" s="50" t="n"/>
      <c r="S182" s="50" t="n"/>
      <c r="T182" s="29" t="n"/>
      <c r="U182" s="29" t="n"/>
      <c r="V182" s="29" t="n"/>
      <c r="W182" s="29" t="n"/>
    </row>
    <row r="183" ht="54" customHeight="1">
      <c r="A183" s="29" t="n"/>
      <c r="B183" s="29" t="n"/>
      <c r="C183" s="29" t="n"/>
      <c r="D183" s="29" t="n"/>
      <c r="E183" s="29" t="n"/>
      <c r="F183" s="29" t="n"/>
      <c r="G183" s="29" t="n"/>
      <c r="H183" s="29" t="n"/>
      <c r="I183" s="29" t="n"/>
      <c r="J183" s="49" t="n"/>
      <c r="K183" s="51" t="n"/>
      <c r="L183" s="29" t="n"/>
      <c r="M183" s="29" t="n"/>
      <c r="N183" s="29" t="n"/>
      <c r="O183" s="29" t="n"/>
      <c r="P183" s="29" t="n"/>
      <c r="Q183" s="29" t="n"/>
      <c r="R183" s="50" t="n"/>
      <c r="S183" s="50" t="n"/>
      <c r="T183" s="29" t="n"/>
      <c r="U183" s="29" t="n"/>
      <c r="V183" s="29" t="n"/>
      <c r="W183" s="29" t="n"/>
    </row>
    <row r="184" ht="54" customHeight="1">
      <c r="A184" s="29" t="n"/>
      <c r="B184" s="29" t="n"/>
      <c r="C184" s="29" t="n"/>
      <c r="D184" s="29" t="n"/>
      <c r="E184" s="29" t="n"/>
      <c r="F184" s="29" t="n"/>
      <c r="G184" s="29" t="n"/>
      <c r="H184" s="29" t="n"/>
      <c r="I184" s="29" t="n"/>
      <c r="J184" s="49" t="n"/>
      <c r="K184" s="51" t="n"/>
      <c r="L184" s="29" t="n"/>
      <c r="M184" s="29" t="n"/>
      <c r="N184" s="29" t="n"/>
      <c r="O184" s="29" t="n"/>
      <c r="P184" s="29" t="n"/>
      <c r="Q184" s="29" t="n"/>
      <c r="R184" s="50" t="n"/>
      <c r="S184" s="50" t="n"/>
      <c r="T184" s="29" t="n"/>
      <c r="U184" s="29" t="n"/>
      <c r="V184" s="29" t="n"/>
      <c r="W184" s="29" t="n"/>
    </row>
    <row r="185" ht="54" customHeight="1">
      <c r="A185" s="29" t="n"/>
      <c r="B185" s="29" t="n"/>
      <c r="C185" s="29" t="n"/>
      <c r="D185" s="29" t="n"/>
      <c r="E185" s="29" t="n"/>
      <c r="F185" s="29" t="n"/>
      <c r="G185" s="29" t="n"/>
      <c r="H185" s="29" t="n"/>
      <c r="I185" s="29" t="n"/>
      <c r="J185" s="49" t="n"/>
      <c r="K185" s="51" t="n"/>
      <c r="L185" s="29" t="n"/>
      <c r="M185" s="29" t="n"/>
      <c r="N185" s="29" t="n"/>
      <c r="O185" s="29" t="n"/>
      <c r="P185" s="29" t="n"/>
      <c r="Q185" s="29" t="n"/>
      <c r="R185" s="50" t="n"/>
      <c r="S185" s="50" t="n"/>
      <c r="T185" s="29" t="n"/>
      <c r="U185" s="29" t="n"/>
      <c r="V185" s="29" t="n"/>
      <c r="W185" s="29" t="n"/>
    </row>
    <row r="186" ht="54" customHeight="1">
      <c r="A186" s="29" t="n"/>
      <c r="B186" s="29" t="n"/>
      <c r="C186" s="29" t="n"/>
      <c r="D186" s="29" t="n"/>
      <c r="E186" s="29" t="n"/>
      <c r="F186" s="29" t="n"/>
      <c r="G186" s="29" t="n"/>
      <c r="H186" s="29" t="n"/>
      <c r="I186" s="29" t="n"/>
      <c r="J186" s="49" t="n"/>
      <c r="K186" s="51" t="n"/>
      <c r="L186" s="29" t="n"/>
      <c r="M186" s="29" t="n"/>
      <c r="N186" s="29" t="n"/>
      <c r="O186" s="29" t="n"/>
      <c r="P186" s="29" t="n"/>
      <c r="Q186" s="29" t="n"/>
      <c r="R186" s="50" t="n"/>
      <c r="S186" s="50" t="n"/>
      <c r="T186" s="29" t="n"/>
      <c r="U186" s="29" t="n"/>
      <c r="V186" s="29" t="n"/>
      <c r="W186" s="29" t="n"/>
    </row>
    <row r="187" ht="54" customHeight="1">
      <c r="A187" s="29" t="n"/>
      <c r="B187" s="29" t="n"/>
      <c r="C187" s="29" t="n"/>
      <c r="D187" s="29" t="n"/>
      <c r="E187" s="29" t="n"/>
      <c r="F187" s="29" t="n"/>
      <c r="G187" s="29" t="n"/>
      <c r="H187" s="29" t="n"/>
      <c r="I187" s="29" t="n"/>
      <c r="J187" s="49" t="n"/>
      <c r="K187" s="51" t="n"/>
      <c r="L187" s="29" t="n"/>
      <c r="M187" s="29" t="n"/>
      <c r="N187" s="29" t="n"/>
      <c r="O187" s="29" t="n"/>
      <c r="P187" s="29" t="n"/>
      <c r="Q187" s="29" t="n"/>
      <c r="R187" s="50" t="n"/>
      <c r="S187" s="50" t="n"/>
      <c r="T187" s="29" t="n"/>
      <c r="U187" s="29" t="n"/>
      <c r="V187" s="29" t="n"/>
      <c r="W187" s="29" t="n"/>
    </row>
  </sheetData>
  <mergeCells count="1">
    <mergeCell ref="A3:H3"/>
  </mergeCells>
  <conditionalFormatting sqref="A8:A187">
    <cfRule type="expression" priority="1" dxfId="1">
      <formula>AND($A8&lt;&gt;"",ISBLANK(A8))</formula>
    </cfRule>
  </conditionalFormatting>
  <conditionalFormatting sqref="B8:B187">
    <cfRule type="expression" priority="2" dxfId="1">
      <formula>AND($A8&lt;&gt;"",ISBLANK(B8))</formula>
    </cfRule>
  </conditionalFormatting>
  <conditionalFormatting sqref="C8:C187">
    <cfRule type="expression" priority="3" dxfId="1">
      <formula>AND($A8&lt;&gt;"",ISBLANK(C8))</formula>
    </cfRule>
  </conditionalFormatting>
  <conditionalFormatting sqref="D8:D187">
    <cfRule type="expression" priority="4" dxfId="1">
      <formula>AND($A8&lt;&gt;"",ISBLANK(D8))</formula>
    </cfRule>
  </conditionalFormatting>
  <conditionalFormatting sqref="F8:F187">
    <cfRule type="expression" priority="5" dxfId="1">
      <formula>AND($A8&lt;&gt;"",ISBLANK(F8))</formula>
    </cfRule>
  </conditionalFormatting>
  <conditionalFormatting sqref="I8:I187">
    <cfRule type="expression" priority="6" dxfId="1">
      <formula>AND($A8&lt;&gt;"",ISBLANK(I8))</formula>
    </cfRule>
  </conditionalFormatting>
  <conditionalFormatting sqref="J8:J187">
    <cfRule type="expression" priority="7" dxfId="1">
      <formula>AND($A8&lt;&gt;"",ISBLANK(J8))</formula>
    </cfRule>
  </conditionalFormatting>
  <conditionalFormatting sqref="K8:K187">
    <cfRule type="expression" priority="8" dxfId="1">
      <formula>AND($A8&lt;&gt;"",ISBLANK(K8))</formula>
    </cfRule>
  </conditionalFormatting>
  <conditionalFormatting sqref="L8:L187">
    <cfRule type="expression" priority="9" dxfId="1">
      <formula>AND($A8&lt;&gt;"",ISBLANK(L8))</formula>
    </cfRule>
  </conditionalFormatting>
  <conditionalFormatting sqref="M8:M187">
    <cfRule type="expression" priority="10" dxfId="1">
      <formula>AND($A8&lt;&gt;"",ISBLANK(M8))</formula>
    </cfRule>
  </conditionalFormatting>
  <conditionalFormatting sqref="N8:N187">
    <cfRule type="expression" priority="11" dxfId="1">
      <formula>AND($A8&lt;&gt;"",ISBLANK(N8))</formula>
    </cfRule>
  </conditionalFormatting>
  <conditionalFormatting sqref="O8:O187">
    <cfRule type="expression" priority="12" dxfId="1">
      <formula>AND($A8&lt;&gt;"",ISBLANK(O8))</formula>
    </cfRule>
  </conditionalFormatting>
  <conditionalFormatting sqref="P8:P187">
    <cfRule type="expression" priority="13" dxfId="1">
      <formula>AND($A8&lt;&gt;"",ISBLANK(P8))</formula>
    </cfRule>
  </conditionalFormatting>
  <conditionalFormatting sqref="Q8:Q187">
    <cfRule type="expression" priority="14" dxfId="1">
      <formula>AND($A8&lt;&gt;"",ISBLANK(Q8))</formula>
    </cfRule>
  </conditionalFormatting>
  <conditionalFormatting sqref="V8:V187">
    <cfRule type="expression" priority="15" dxfId="1">
      <formula>AND($A8&lt;&gt;"",ISBLANK(V8))</formula>
    </cfRule>
  </conditionalFormatting>
  <dataValidations count="5">
    <dataValidation sqref="L8:L187" showDropDown="0" showInputMessage="0" showErrorMessage="0" allowBlank="0" type="list">
      <formula1>"Evet,Hayır"</formula1>
    </dataValidation>
    <dataValidation sqref="M8:M187" showDropDown="0" showInputMessage="0" showErrorMessage="0" allowBlank="0" type="list">
      <formula1>"Taslak,İnceleme,Düzeltme,Onaylandı"</formula1>
    </dataValidation>
    <dataValidation sqref="N8:N187" showDropDown="0" showInputMessage="0" showErrorMessage="0" allowBlank="0" type="list">
      <formula1>"Müzeler,Sanat ve sergiler,Sahne ve müzik,Spor,Doğa ve açık hava,Çocuklarla keşif,Yeme ve içme,Tarih ve mimari"</formula1>
    </dataValidation>
    <dataValidation sqref="P8:P187" showDropDown="0" showInputMessage="0" showErrorMessage="0" allowBlank="0" type="list">
      <formula1>"Kapalı alan,Açık hava,Karma"</formula1>
    </dataValidation>
    <dataValidation sqref="V8:V18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48" customWidth="1" min="16" max="16"/>
    <col width="58" customWidth="1" min="17" max="17"/>
    <col width="28" customWidth="1" min="18" max="18"/>
  </cols>
  <sheetData>
    <row r="1" ht="30" customHeight="1">
      <c r="A1" s="2" t="n"/>
      <c r="B1" s="2" t="n"/>
      <c r="C1" s="2" t="n"/>
      <c r="D1" s="2" t="n"/>
      <c r="E1" s="2" t="n"/>
      <c r="F1" s="2" t="n"/>
      <c r="G1" s="2" t="n"/>
      <c r="H1" s="2" t="n"/>
      <c r="I1" s="2" t="n"/>
      <c r="J1" s="2" t="n"/>
      <c r="K1" s="2" t="n"/>
      <c r="L1" s="2" t="n"/>
      <c r="M1" s="2" t="n"/>
      <c r="N1" s="2" t="n"/>
      <c r="O1" s="2" t="n"/>
      <c r="P1" s="2" t="n"/>
      <c r="Q1" s="2" t="n"/>
      <c r="R1" s="2" t="n"/>
    </row>
    <row r="2" ht="30" customHeight="1">
      <c r="A2" s="19" t="inlineStr">
        <is>
          <t>Corteqs · Mahalle ve yerel bölge</t>
        </is>
      </c>
      <c r="B2" s="2" t="n"/>
      <c r="C2" s="2" t="n"/>
      <c r="D2" s="2" t="n"/>
      <c r="E2" s="2" t="n"/>
      <c r="F2" s="2" t="n"/>
      <c r="G2" s="2" t="n"/>
      <c r="H2" s="2" t="n"/>
      <c r="I2" s="2" t="n"/>
      <c r="J2" s="2" t="n"/>
      <c r="K2" s="2" t="n"/>
      <c r="L2" s="2" t="n"/>
      <c r="M2" s="2" t="n"/>
      <c r="N2" s="2" t="n"/>
      <c r="O2" s="2" t="n"/>
      <c r="P2" s="2" t="n"/>
      <c r="Q2" s="2" t="n"/>
      <c r="R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row>
    <row r="4" ht="30" customHeight="1">
      <c r="A4" s="21" t="n"/>
      <c r="B4" s="21" t="n"/>
      <c r="C4" s="21" t="n"/>
      <c r="D4" s="21" t="n"/>
      <c r="E4" s="21" t="n"/>
      <c r="F4" s="21" t="n"/>
      <c r="G4" s="21" t="n"/>
      <c r="H4" s="21" t="n"/>
      <c r="I4" s="21" t="n"/>
      <c r="J4" s="21" t="n"/>
      <c r="K4" s="21" t="n"/>
      <c r="L4" s="21" t="n"/>
      <c r="M4" s="21" t="n"/>
      <c r="N4" s="21" t="n"/>
      <c r="O4" s="21" t="n"/>
      <c r="P4" s="21" t="n"/>
      <c r="Q4" s="21" t="n"/>
      <c r="R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İsteğe bağlı · alt satır</t>
        </is>
      </c>
      <c r="P5" s="22" t="inlineStr">
        <is>
          <t>İsteğe bağlı · JSON</t>
        </is>
      </c>
      <c r="Q5" s="22" t="inlineStr">
        <is>
          <t>İsteğe bağlı</t>
        </is>
      </c>
      <c r="R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Yer / konum</t>
        </is>
      </c>
      <c r="O6" s="25" t="inlineStr">
        <is>
          <t>Öne çıkan özellikler</t>
        </is>
      </c>
      <c r="P6" s="25" t="inlineStr">
        <is>
          <t>Karşılaştırma alanları (JSON)</t>
        </is>
      </c>
      <c r="Q6" s="25" t="inlineStr">
        <is>
          <t>Yaşam ve ev seçimi notu</t>
        </is>
      </c>
      <c r="R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location</t>
        </is>
      </c>
      <c r="O7" s="28" t="inlineStr">
        <is>
          <t>tags</t>
        </is>
      </c>
      <c r="P7" s="28" t="inlineStr">
        <is>
          <t>compare_json</t>
        </is>
      </c>
      <c r="Q7" s="28" t="inlineStr">
        <is>
          <t>note</t>
        </is>
      </c>
      <c r="R7" s="28" t="inlineStr">
        <is>
          <t>media_key</t>
        </is>
      </c>
    </row>
    <row r="8" ht="54" customHeight="1">
      <c r="A8" s="29" t="inlineStr">
        <is>
          <t>malaga:la-merced</t>
        </is>
      </c>
      <c r="B8" s="29" t="inlineStr">
        <is>
          <t>malaga</t>
        </is>
      </c>
      <c r="C8" s="29" t="inlineStr">
        <is>
          <t>la-merced</t>
        </is>
      </c>
      <c r="D8" s="29" t="inlineStr">
        <is>
          <t>La Merced</t>
        </is>
      </c>
      <c r="E8" s="29" t="inlineStr">
        <is>
          <t>Tarihî merkezde Plaza de la Merced çevresi: Picasso'nun doğduğu meydan ve belediye pazarı</t>
        </is>
      </c>
      <c r="F8" s="29" t="inlineStr">
        <is>
          <t>La Merced, Málaga'nın tarihî merkezinde Plaza de la Merced çevresidir. Belediyenin pazar sayfasına göre ressam Pablo Picasso bu meydanda doğdu. Mercado de la Merced, Casa Museo de Picasso ile Teatro Cervantes'i birbirine bağlıyor ve 22 gurme tezgâhı barındırıyor.</t>
        </is>
      </c>
      <c r="G8" s="29" t="inlineStr">
        <is>
          <t>La Merced, Plaza de la Merced, tarihî merkez, Mercado de la Merced, Picasso</t>
        </is>
      </c>
      <c r="H8" s="29" t="inlineStr">
        <is>
          <t>planning;new;settled</t>
        </is>
      </c>
      <c r="I8" s="29" t="inlineStr">
        <is>
          <t>malaga:kaynak:305;malaga:kaynak:337;malaga:kaynak:414;malaga:kaynak:440</t>
        </is>
      </c>
      <c r="J8" s="49" t="n">
        <v>46322</v>
      </c>
      <c r="K8" s="51" t="n">
        <v>1</v>
      </c>
      <c r="L8" s="29" t="inlineStr">
        <is>
          <t>Evet</t>
        </is>
      </c>
      <c r="M8" s="29" t="inlineStr">
        <is>
          <t>Taslak</t>
        </is>
      </c>
      <c r="N8" s="29" t="inlineStr">
        <is>
          <t>Tarihî merkez; Plaza de la Merced ve C/ la Merced çevresi (Mercado de la Merced: pazarın kendi sayfasına göre C/ la Merced 4, 29012; aynı sitedeki pazar listesinde Calle Merced 1).</t>
        </is>
      </c>
      <c r="O8" s="29" t="inlineStr">
        <is>
          <t>Tarihî merkez
Plaza de la Merced
Picasso'nun doğum meydanı
Gurme pazar yapısı</t>
        </is>
      </c>
      <c r="P8" s="29" t="inlineStr">
        <is>
          <t>{"Konum": "Tarihî merkezin tam içinde; pazar yapısı, kendi sayfasına göre, C/ la Merced 4 (29012) adresinde (aynı sitedeki pazar listesi Calle Merced 1 yazıyor), Casa Museo de Picasso ile Teatro Cervantes arasında.", "Ulaşım": "Belediye pazar sayfası yakın hatları şöyle sıralıyor: otobüs 1, 14, 8 ve C2; Cercanías C-1 ve C-2; Metro L1.", "Yeşil alan ve sahil": "Tarihî merkezde, belediye binasının arkasında, Gibralfaro'nun güney yamacında Jardines de Puerta Oscura var: Teatro Romano ile Museo Picasso arasında teraslı bir bahçe (yaklaşık 14.000 m²).", "Gündelik hizmetler": "Mercado de la Merced pazartesiden cumartesiye 08:00–20:00 arası açık; tezgâhlarda sushi'den farklı biralara kadar çeşitli ürünler var."}</t>
        </is>
      </c>
      <c r="Q8" s="29" t="inlineStr">
        <is>
          <t>Her ayın ilk pazar günü Plaza de la Merced'de el sanatları pazarı kuruluyor; saatler kesintisiz 11:00–19:00.</t>
        </is>
      </c>
      <c r="R8" s="29" t="n"/>
    </row>
    <row r="9" ht="54" customHeight="1">
      <c r="A9" s="29" t="inlineStr">
        <is>
          <t>malaga:la-malagueta</t>
        </is>
      </c>
      <c r="B9" s="29" t="inlineStr">
        <is>
          <t>malaga</t>
        </is>
      </c>
      <c r="C9" s="29" t="inlineStr">
        <is>
          <t>la-malagueta</t>
        </is>
      </c>
      <c r="D9" s="29" t="inlineStr">
        <is>
          <t>La Malagueta</t>
        </is>
      </c>
      <c r="E9" s="29" t="inlineStr">
        <is>
          <t>Tarihî merkeze yakın kentsel plaj semti; Paseo de Reding çevresi</t>
        </is>
      </c>
      <c r="F9" s="29" t="inlineStr">
        <is>
          <t>La Malagueta, tarihî merkeze yakın kıyıdaki semttir; belediye sayfası buradaki plajı kentin en simgesel plajlarından biri olarak anıyor. Plaj yaklaşık 1,2 km uzunluğunda, sakin sulu ve mavi bayraklı. Paseo de Reding üzerinde Centro Cultural La Malagueta ile Plaza de Toros La Malagueta duruyor.</t>
        </is>
      </c>
      <c r="G9" s="29" t="inlineStr">
        <is>
          <t>La Malagueta, kentsel plaj, mavi bayrak, Paseo de Reding, Plaza de Toros, merkeze yakın sahil</t>
        </is>
      </c>
      <c r="H9" s="29" t="inlineStr">
        <is>
          <t>planning;new;settled</t>
        </is>
      </c>
      <c r="I9" s="29" t="inlineStr">
        <is>
          <t>malaga:kaynak:234;malaga:kaynak:338;malaga:kaynak:366;malaga:kaynak:407;malaga:kaynak:327</t>
        </is>
      </c>
      <c r="J9" s="49" t="n">
        <v>46322</v>
      </c>
      <c r="K9" s="51" t="n">
        <v>2</v>
      </c>
      <c r="L9" s="29" t="inlineStr">
        <is>
          <t>Hayır</t>
        </is>
      </c>
      <c r="M9" s="29" t="inlineStr">
        <is>
          <t>Taslak</t>
        </is>
      </c>
      <c r="N9" s="29" t="inlineStr">
        <is>
          <t>Tarihî merkeze yakın kıyı şeridi; Paseo de Reding (29016) çevresi.</t>
        </is>
      </c>
      <c r="O9" s="29" t="inlineStr">
        <is>
          <t>Kentsel plaj
Mavi bayrak
Paseo de Reding
Tarihî merkeze yakın</t>
        </is>
      </c>
      <c r="P9" s="29" t="inlineStr">
        <is>
          <t>{"Konum": "Tarihî merkeze yakın kıyıda; Paseo de Reding 8 (29016) adresinde kültür merkezi, aynı caddede boğa güreşi arenası var.", "Ulaşım": "Belediye plaj sayfası toplu taşıma olarak kent içi otobüsü (Autobús: Urbano) gösteriyor. Renfe, María Zambrano istasyonundan yürüyerek 20 dakikadan kısa sürede limana, oradan da ilk plajlardan biri olan La Malagueta'ya varılabildiğini yazıyor.", "Yeşil alan ve sahil": "Yaklaşık 1,2 km uzunluğunda, ortalama 45 m genişliğinde kum plaj; sakin dalga, mavi bayrak, yürüyüş yolu ve çocuk oyun alanı var.", "Gündelik hizmetler": "Plajda duş ve tuvalet bulunuyor; belediyenin gösterdiği en yakın hastane Clínica Parque San Antonio (Av. Pintor Sorolla 2), yaklaşık 2 km. Centro Cultural La Malagueta salı–cuma 09:00–18:00, cumartesi, pazar ve resmî tatillerde 09:00–15:00 açık."}</t>
        </is>
      </c>
      <c r="Q9" s="29" t="n"/>
      <c r="R9" s="29" t="n"/>
    </row>
    <row r="10" ht="54" customHeight="1">
      <c r="A10" s="29" t="inlineStr">
        <is>
          <t>malaga:ensanche-centro</t>
        </is>
      </c>
      <c r="B10" s="29" t="inlineStr">
        <is>
          <t>malaga</t>
        </is>
      </c>
      <c r="C10" s="29" t="inlineStr">
        <is>
          <t>ensanche-centro</t>
        </is>
      </c>
      <c r="D10" s="29" t="inlineStr">
        <is>
          <t>Merkez: Atarazanas ve Paseo del Parque</t>
        </is>
      </c>
      <c r="E10" s="29" t="inlineStr">
        <is>
          <t>Atarazanas pazarı, Paseo del Parque ve belediye bahçelerinin çevresindeki merkez</t>
        </is>
      </c>
      <c r="F10" s="29" t="inlineStr">
        <is>
          <t>Málaga'nın merkezi: Atarazanas pazarı, Paseo del Parque ve belediye bahçelerinin çevresi. Mercado de Atarazanas ortaçağ kökenli, kültürel miras olarak tescilli bir pazardır ve 19. yüzyılda Joaquín de Rucoba tarafından inşa edildi. Parque de Málaga, 19. yüzyıl sonunda denizden kazanılan arazide kurulmuş, 3,3 hektarlık tropik bir parktır.</t>
        </is>
      </c>
      <c r="G10" s="29" t="inlineStr">
        <is>
          <t>Atarazanas, Paseo del Parque, Parque de Málaga, merkez, havalimanı ekspresi</t>
        </is>
      </c>
      <c r="H10" s="29" t="inlineStr">
        <is>
          <t>planning;new;settled</t>
        </is>
      </c>
      <c r="I10" s="29" t="inlineStr">
        <is>
          <t>malaga:kaynak:226;malaga:kaynak:305;malaga:kaynak:328;malaga:kaynak:336;malaga:kaynak:440</t>
        </is>
      </c>
      <c r="J10" s="49" t="n">
        <v>46322</v>
      </c>
      <c r="K10" s="51" t="n">
        <v>3</v>
      </c>
      <c r="L10" s="29" t="inlineStr">
        <is>
          <t>Hayır</t>
        </is>
      </c>
      <c r="M10" s="29" t="inlineStr">
        <is>
          <t>Taslak</t>
        </is>
      </c>
      <c r="N10" s="29" t="inlineStr">
        <is>
          <t>Merkez; C/ Atarazanas 10 (29005), Paseo del Parque ve Avda. Cervantes çevresi.</t>
        </is>
      </c>
      <c r="O10" s="29" t="inlineStr">
        <is>
          <t>Merkez
Mercado de Atarazanas
Parque de Málaga
Paseo del Parque'tan havalimanı ekspresi</t>
        </is>
      </c>
      <c r="P10" s="29" t="inlineStr">
        <is>
          <t>{"Konum": "Parque de Málaga şehrin merkezinde, Paseo del Parque üzerinde; Atarazanas pazarı Plaza de la Marina'ya yürüyerek beş dakika.", "Ulaşım": "Atarazanas'ta 2 ve 10 numaralı otobüsler duruyor, 36 numaralı hat Plaza de Arriola'da; tren için Málaga Centro istasyonu kullanılıyor. EMT'nin havalimanı ekspres hattı Paseo del Parque'tan kalkıyor, bilet 4 €.", "Yeşil alan ve sahil": "Parque de Málaga 3,3 hektar; palmiye, dragon ağacı ve tropik türler. Belediye binasının doğu yanındaki Jardines Pedro Luis Alonso 6.500 m².", "Gündelik hizmetler": "Mercado de Atarazanas pazartesiden cumartesiye 08:00–15:00 açık; taze meyve, sebze, balık ve et tezgâhlarının yanında tapas barları var."}</t>
        </is>
      </c>
      <c r="Q10" s="29" t="inlineStr">
        <is>
          <t>Belediye, 260 tezgâhıyla Atarazanas'ı 15 belediye pazarının en büyüğü olarak gösteriyor.</t>
        </is>
      </c>
      <c r="R10" s="29" t="n"/>
    </row>
    <row r="11" ht="54" customHeight="1">
      <c r="A11" s="29" t="inlineStr">
        <is>
          <t>malaga:la-victoria</t>
        </is>
      </c>
      <c r="B11" s="29" t="inlineStr">
        <is>
          <t>malaga</t>
        </is>
      </c>
      <c r="C11" s="29" t="inlineStr">
        <is>
          <t>la-victoria</t>
        </is>
      </c>
      <c r="D11" s="29" t="inlineStr">
        <is>
          <t>La Victoria</t>
        </is>
      </c>
      <c r="E11" s="29" t="inlineStr">
        <is>
          <t>Santuario çevresi ve Monte Victoria eteği</t>
        </is>
      </c>
      <c r="F11" s="29" t="inlineStr">
        <is>
          <t>La Victoria, belediyenin Gibralfaro parkı sayfasında La Malagueta ile birlikte semt (barrio) olarak geçiyor. Santa María de la Victoria cemaati ise Málaga'nın Centro-Norte bölgesinde; cemaat sayfası Málaga ve piskoposluğun koruyucusu sayılan 15. yüzyıldan kalma Victoria Meryem heykelini ve 8 Eylül bayramını anıyor. Merkez ilçedeki Monte Victoria Orman Parkı kent dokusuyla tamamen çevrili, 312.000 m² büyüklüğünde bir çam ormanıdır.</t>
        </is>
      </c>
      <c r="G11" s="29" t="inlineStr">
        <is>
          <t>La Victoria, Monte Victoria, Santuario, Gibralfaro, orman parkı</t>
        </is>
      </c>
      <c r="H11" s="29" t="inlineStr">
        <is>
          <t>planning;new;settled</t>
        </is>
      </c>
      <c r="I11" s="29" t="inlineStr">
        <is>
          <t>malaga:kaynak:199;malaga:kaynak:312;malaga:kaynak:326;malaga:kaynak:327</t>
        </is>
      </c>
      <c r="J11" s="49" t="n">
        <v>46322</v>
      </c>
      <c r="K11" s="51" t="n">
        <v>4</v>
      </c>
      <c r="L11" s="29" t="inlineStr">
        <is>
          <t>Hayır</t>
        </is>
      </c>
      <c r="M11" s="29" t="inlineStr">
        <is>
          <t>Taslak</t>
        </is>
      </c>
      <c r="N11" s="29" t="inlineStr">
        <is>
          <t>Plaza del Santuario (29013) çevresi, cemaatin Centro-Norte bölgesi; Monte Victoria çevresi.</t>
        </is>
      </c>
      <c r="O11" s="29" t="inlineStr">
        <is>
          <t>Santuario çevresi
Monte Victoria
Centro-Norte cemaat bölgesi
Yürüyüş yolları</t>
        </is>
      </c>
      <c r="P11" s="29" t="inlineStr">
        <is>
          <t>{"Konum": "Cemaat Centro-Norte bölgesinde; adresi Plaza del Santuario 8 (29013). Monte Victoria parkı Merkez ilçesinin (Distrito 1) içinde.", "Ulaşım": "Gibralfaro Orman Parkı'na merkezden ve La Victoria semtinden rahatça çıkılıyor; parktaki yürüyüş yollarının uzunluğu 2 km'yi aşıyor.", "Yeşil alan ve sahil": "Monte Victoria parkı 312.000 m², en yüksek noktası 193,5 m; güneyindeki Gibralfaro parkı 278.000 m² ile Alcazaba'yı kaleye bağlıyor.", "Gündelik hizmetler": "Victoria sağlık ocağı (Centro de salud Victoria) telefonu 951 308 469; Santa María de la Victoria cemaatinin nüfusu 9.030."}</t>
        </is>
      </c>
      <c r="Q11" s="29" t="n"/>
      <c r="R11" s="29" t="n"/>
    </row>
    <row r="12" ht="54" customHeight="1">
      <c r="A12" s="29" t="inlineStr">
        <is>
          <t>malaga:la-caleta</t>
        </is>
      </c>
      <c r="B12" s="29" t="inlineStr">
        <is>
          <t>malaga</t>
        </is>
      </c>
      <c r="C12" s="29" t="inlineStr">
        <is>
          <t>la-caleta</t>
        </is>
      </c>
      <c r="D12" s="29" t="inlineStr">
        <is>
          <t>La Caleta</t>
        </is>
      </c>
      <c r="E12" s="29" t="inlineStr">
        <is>
          <t>19. yüzyıl sonunda seçkinlerin villalarını kurduğu sahil semti</t>
        </is>
      </c>
      <c r="F12" s="29" t="inlineStr">
        <is>
          <t>La Caleta, belediyeye göre 19. yüzyıl sonunda üst burjuvazinin lüks villa ve saraylarını kurmak için seçtiği görkemli bir semttir. Aynı adı taşıyan plaj La Malagueta ile Baños del Carmen arasında uzanıyor; 1000 m uzunluğunda, ortalama 25 m genişliğinde ve tarihî merkeze yakınlığı yüzünden çok dolu.</t>
        </is>
      </c>
      <c r="G12" s="29" t="inlineStr">
        <is>
          <t>La Caleta, Baños del Carmen, sahil semti, tarihî villalar, kentsel plaj</t>
        </is>
      </c>
      <c r="H12" s="29" t="inlineStr">
        <is>
          <t>planning;new;settled</t>
        </is>
      </c>
      <c r="I12" s="29" t="inlineStr">
        <is>
          <t>malaga:kaynak:270;malaga:kaynak:339;malaga:kaynak:342</t>
        </is>
      </c>
      <c r="J12" s="49" t="n">
        <v>46322</v>
      </c>
      <c r="K12" s="51" t="n">
        <v>5</v>
      </c>
      <c r="L12" s="29" t="inlineStr">
        <is>
          <t>Hayır</t>
        </is>
      </c>
      <c r="M12" s="29" t="inlineStr">
        <is>
          <t>Taslak</t>
        </is>
      </c>
      <c r="N12" s="29" t="inlineStr">
        <is>
          <t>Plajı La Malagueta ile Baños del Carmen plajları arasında olan sahil semti.</t>
        </is>
      </c>
      <c r="O12" s="29" t="inlineStr">
        <is>
          <t>Sahil
Tarihî villalar
Tarihî merkeze yakın
Baños del Carmen komşusu</t>
        </is>
      </c>
      <c r="P12" s="29" t="inlineStr">
        <is>
          <t>{"Konum": "La Malagueta ile Baños del Carmen plajları arasında; belediye sayfası semti 'señorial barrio' (görkemli semt) diye tanımlıyor ve tarihî merkeze yakınlığını vurguluyor.", "Ulaşım": "Belediye plaj sayfası erişim türünü araba/otobüs (Coche/Bus), toplu taşımayı ise kent içi otobüs (Autobús: Urbano) olarak veriyor.", "Yeşil alan ve sahil": "1000 m kum plaj; komşu Baños del Carmen plajı 550 m uzunluğunda ve Málaga körfezine bakan manzarasıyla biliniyor.", "Gündelik hizmetler": "En yakın hastane plajın hemen yanında: Clínica Parque San Antonio (Av. Pintor Sorolla 2). Plajda duş, tuvalet ve çocuk oyun alanı var."}</t>
        </is>
      </c>
      <c r="Q12" s="29" t="inlineStr">
        <is>
          <t>Komşu Baños del Carmen'deki balneario 1918'de açıldı; Málaga burjuvazisine ve yabancı turistlere göre tasarlanmıştı.</t>
        </is>
      </c>
      <c r="R12" s="29" t="n"/>
    </row>
    <row r="13" ht="54" customHeight="1">
      <c r="A13" s="29" t="inlineStr">
        <is>
          <t>malaga:pedregalejo</t>
        </is>
      </c>
      <c r="B13" s="29" t="inlineStr">
        <is>
          <t>malaga</t>
        </is>
      </c>
      <c r="C13" s="29" t="inlineStr">
        <is>
          <t>pedregalejo</t>
        </is>
      </c>
      <c r="D13" s="29" t="inlineStr">
        <is>
          <t>Pedregalejo</t>
        </is>
      </c>
      <c r="E13" s="29" t="inlineStr">
        <is>
          <t>Eski balıkçı mahallesi: kentin en eski sahil yürüyüş yolu ve balık restoranları</t>
        </is>
      </c>
      <c r="F13" s="29" t="inlineStr">
        <is>
          <t>Pedregalejo, belediyenin plaj sayfasında Málaga'nın en eski ve geleneksel balıkçı mahallelerinden biri olarak geçiyor. Sahildeki paseo marítimo kentin en eskisi ve balık-deniz ürünleri restoranlarıyla ünlü. 1959'da açılan semt pazarı, 15 belediye pazarının en küçüğü; belediye sayfası tezgâh sayısını bir yerde 5, bir yerde 'bir çift' (yaklaşık 2) olarak veriyor.</t>
        </is>
      </c>
      <c r="G13" s="29" t="inlineStr">
        <is>
          <t>Pedregalejo, balıkçı mahallesi, paseo marítimo, balık restoranı, Las Acacias, doğu sahili</t>
        </is>
      </c>
      <c r="H13" s="29" t="inlineStr">
        <is>
          <t>planning;new;settled</t>
        </is>
      </c>
      <c r="I13" s="29" t="inlineStr">
        <is>
          <t>malaga:kaynak:270;malaga:kaynak:305;malaga:kaynak:340;malaga:kaynak:341</t>
        </is>
      </c>
      <c r="J13" s="49" t="n">
        <v>46322</v>
      </c>
      <c r="K13" s="51" t="n">
        <v>6</v>
      </c>
      <c r="L13" s="29" t="inlineStr">
        <is>
          <t>Hayır</t>
        </is>
      </c>
      <c r="M13" s="29" t="inlineStr">
        <is>
          <t>Taslak</t>
        </is>
      </c>
      <c r="N13" s="29" t="inlineStr">
        <is>
          <t>Pedregalejo – Las Acacias sahili; belediyenin plaj listesinde Baños del Carmen'den sonra, Las Acacias ve El Palo'dan önce sıralanıyor.</t>
        </is>
      </c>
      <c r="O13" s="29" t="inlineStr">
        <is>
          <t>Balıkçı mahallesi
Sahil yürüyüş yolu
Balık restoranları
Küçük semt pazarı</t>
        </is>
      </c>
      <c r="P13" s="29" t="inlineStr">
        <is>
          <t>{"Konum": "Belediye plaj sayfasında 'Pedregalejo – Las Acacias' adıyla geçiyor; El Palo bölgesinin plaj listesinde Baños del Carmen'den sonra, Acacias ve El Palo'dan önce sıralanıyor.", "Ulaşım": "Belediye plaj sayfası toplu taşımayı kent içi otobüs (Autobús: Urbano) olarak veriyor.", "Yeşil alan ve sahil": "Eskiden çakıllı olan plaj bugün mahmuzlarla tamamen yenilenmiş durumda; El Palo plajları Arroyo Gálica'dan Pedregalejo'ya kadar uzanıyor.", "Gündelik hizmetler": "Ostomi hastaları için ayrılmış plaj tuvaletlerinden biri Pedregalejo'da. Semt pazarı 1959'da açıldı; bugün yaklaşık iki tezgâh var (belediye sayfasının bir yerinde 5 yazıyor) ve tezgâhlardan biri balıkçı."}</t>
        </is>
      </c>
      <c r="Q13" s="29" t="n"/>
      <c r="R13" s="29" t="n"/>
    </row>
    <row r="14" ht="54" customHeight="1">
      <c r="A14" s="29" t="inlineStr">
        <is>
          <t>malaga:el-palo</t>
        </is>
      </c>
      <c r="B14" s="29" t="inlineStr">
        <is>
          <t>malaga</t>
        </is>
      </c>
      <c r="C14" s="29" t="inlineStr">
        <is>
          <t>el-palo</t>
        </is>
      </c>
      <c r="D14" s="29" t="inlineStr">
        <is>
          <t>El Palo</t>
        </is>
      </c>
      <c r="E14" s="29" t="inlineStr">
        <is>
          <t>Geleneksel balıkçı semti: Monte San Antón eteği, cumartesi pazarı ve plajlar</t>
        </is>
      </c>
      <c r="F14" s="29" t="inlineStr">
        <is>
          <t>El Palo, belediye sayfalarında geleneksel bir balıkçı mahallesi olarak anılıyor; plajlarında balıkçıların hâlâ kullandığı tekneler duruyor. Semtin kuzeyinde 370 hektarlık Monte San Antón yükseliyor. Her cumartesi Plaza Virgen de la Milagrosa'da sokak pazarı kuruluyor.</t>
        </is>
      </c>
      <c r="G14" s="29" t="inlineStr">
        <is>
          <t>El Palo, balıkçı mahallesi, Monte San Antón, Plaza Virgen de la Milagrosa, cumartesi pazarı, plaj</t>
        </is>
      </c>
      <c r="H14" s="29" t="inlineStr">
        <is>
          <t>planning;new;settled</t>
        </is>
      </c>
      <c r="I14" s="29" t="inlineStr">
        <is>
          <t>malaga:kaynak:199;malaga:kaynak:305;malaga:kaynak:335;malaga:kaynak:341;malaga:kaynak:388;malaga:kaynak:414</t>
        </is>
      </c>
      <c r="J14" s="49" t="n">
        <v>46322</v>
      </c>
      <c r="K14" s="51" t="n">
        <v>7</v>
      </c>
      <c r="L14" s="29" t="inlineStr">
        <is>
          <t>Hayır</t>
        </is>
      </c>
      <c r="M14" s="29" t="inlineStr">
        <is>
          <t>Taslak</t>
        </is>
      </c>
      <c r="N14" s="29" t="inlineStr">
        <is>
          <t>Arroyo Gálica'dan Pedregalejo'ya uzanan plajların bulunduğu semt; belediye sayfasına göre Monte San Antón'un güneyindeki barriada.</t>
        </is>
      </c>
      <c r="O14" s="29" t="inlineStr">
        <is>
          <t>Balıkçı mahallesi
Cumartesi pazarı
Monte San Antón
Erişilebilir plaj</t>
        </is>
      </c>
      <c r="P14" s="29" t="inlineStr">
        <is>
          <t>{"Konum": "Plajları Arroyo Gálica'dan Pedregalejo'ya uzanıyor; arkasında Monte San Antón (Doğu ilçesi, Distrito 2) yükseliyor. Semt pazarı Plaza Virgen Milagrosa'da (29017).", "Ulaşım": "Belediye plaj sayfası toplu taşımayı kent içi otobüs (Autobús: Urbano) olarak veriyor; plaj Evrensel Erişilebilirlik (Accesibilidad Universal) sertifikasına sahip.", "Yeşil alan ve sahil": "Plajlar 1200 m uzunluğunda ve ortalama 25 m genişliğinde. Plajlara birkaç metre mesafedeki Parque Playa Virginia'da (Av. Salvador Allende) nilüfer göleti ve çocuk oyun alanı var.", "Gündelik hizmetler": "Centro de salud El Palo telefonu 951 308 432. Semt pazarı 26 Ağustos 1963'te açıldı; cumartesi sokak pazarı."}</t>
        </is>
      </c>
      <c r="Q14" s="29" t="n"/>
      <c r="R14" s="29" t="n"/>
    </row>
    <row r="15" ht="54" customHeight="1">
      <c r="A15" s="29" t="inlineStr">
        <is>
          <t>malaga:la-arana</t>
        </is>
      </c>
      <c r="B15" s="29" t="inlineStr">
        <is>
          <t>malaga</t>
        </is>
      </c>
      <c r="C15" s="29" t="inlineStr">
        <is>
          <t>la-arana</t>
        </is>
      </c>
      <c r="D15" s="29" t="inlineStr">
        <is>
          <t>La Araña</t>
        </is>
      </c>
      <c r="E15" s="29" t="inlineStr">
        <is>
          <t>Belediye sınırının en doğusundaki balıkçı semti; köpek plajıyla</t>
        </is>
      </c>
      <c r="F15" s="29" t="inlineStr">
        <is>
          <t>La Araña, Málaga belediye sınırlarının en doğudaki yerleşimidir. Belediyeye göre tipik bir balıkçı mahallesidir ve plajında hâlâ tekne ve balıkçı malzemeleri görülür. Arroyo Totalán ile Rincón de la Victoria sahil yolunun başı arasındaki yaklaşık 600 metrelik şerit köpek plajı olarak düzenlendi.</t>
        </is>
      </c>
      <c r="G15" s="29" t="inlineStr">
        <is>
          <t>La Araña, balıkçı mahallesi, köpek plajı, Arroyo Totalán, en doğu semt</t>
        </is>
      </c>
      <c r="H15" s="29" t="inlineStr">
        <is>
          <t>planning;new;settled</t>
        </is>
      </c>
      <c r="I15" s="29" t="inlineStr">
        <is>
          <t>malaga:kaynak:270;malaga:kaynak:272;malaga:kaynak:349</t>
        </is>
      </c>
      <c r="J15" s="49" t="n">
        <v>46322</v>
      </c>
      <c r="K15" s="51" t="n">
        <v>8</v>
      </c>
      <c r="L15" s="29" t="inlineStr">
        <is>
          <t>Hayır</t>
        </is>
      </c>
      <c r="M15" s="29" t="inlineStr">
        <is>
          <t>Taslak</t>
        </is>
      </c>
      <c r="N15" s="29" t="inlineStr">
        <is>
          <t>Belediye sınırının en doğusunda sahil; Arroyo Totalán ile Rincón de la Victoria sınırı.</t>
        </is>
      </c>
      <c r="O15" s="29" t="inlineStr">
        <is>
          <t>Balıkçı mahallesi
Köpek plajı
En doğudaki semt
Küçük plaj</t>
        </is>
      </c>
      <c r="P15" s="29" t="inlineStr">
        <is>
          <t>{"Konum": "Málaga belediyesinin en doğudaki yerleşimi; köpek plajının adresi 'Playa de la Araña, arroyo de Totalán'.", "Ulaşım": "Belediye plaj sayfasında otobüs ve otopark işaretli; El Candado liman kulübü 1 km mesafede.", "Yeşil alan ve sahil": "Plaj 500 m uzunluğunda, ortalama 25 m genişliğinde. Arroyo Totalán'dan Rincón de la Victoria sahil yolunun başına kadar olan yaklaşık 600 m'lik bölüm köpek plajı; 20 kg'ı aşan köpeklere ağızlık takılması gerekiyor.", "Gündelik hizmetler": "Sahil ambulansının (Ambulancia 2) hizmet bölgesi Malagueta'dan La Araña'ya kadar uzanan doğu kesimi; plaj sayfasındaki en yakın hastane Clínica Parque San Antonio yaklaşık 7 km."}</t>
        </is>
      </c>
      <c r="Q15" s="29" t="inlineStr">
        <is>
          <t>Köpek plajı yüzme alanı olarak sınıflandırılmamış; evcil hayvanlarla girişe izin var.</t>
        </is>
      </c>
      <c r="R15" s="29" t="n"/>
    </row>
    <row r="16" ht="54" customHeight="1">
      <c r="A16" s="29" t="inlineStr">
        <is>
          <t>malaga:huelin</t>
        </is>
      </c>
      <c r="B16" s="29" t="inlineStr">
        <is>
          <t>malaga</t>
        </is>
      </c>
      <c r="C16" s="29" t="inlineStr">
        <is>
          <t>huelin</t>
        </is>
      </c>
      <c r="D16" s="29" t="inlineStr">
        <is>
          <t>Huelin</t>
        </is>
      </c>
      <c r="E16" s="29" t="inlineStr">
        <is>
          <t>Denize yakın, otantik ve çok tipik bir Málaga mahallesi: kendi pazarı, parkı ve metro durağı var</t>
        </is>
      </c>
      <c r="F16" s="29" t="inlineStr">
        <is>
          <t>Huelin, belediyenin pazar sayfasında 'otantik ve çok tipik bir Málaga mahallesi' diye anılıyor; denize açılan mahallede La Misericordia gibi ünlü plajlar var. Mercado de Huelin'de 162 tezgâh bulunuyor. Parque de Huelin ise Carretera de Cádiz ilçesinde yer alıyor; belediye göleti ve çocuk alanıyla onu kentin büyük yeşil alanlarından biri sayıyor.</t>
        </is>
      </c>
      <c r="G16" s="29" t="inlineStr">
        <is>
          <t>Huelin, Carretera de Cádiz, Mercado de Huelin, Parque de Huelin, La Misericordia, Metro L2</t>
        </is>
      </c>
      <c r="H16" s="29" t="inlineStr">
        <is>
          <t>planning;new;settled</t>
        </is>
      </c>
      <c r="I16" s="29" t="inlineStr">
        <is>
          <t>malaga:kaynak:183;malaga:kaynak:199;malaga:kaynak:305;malaga:kaynak:343;malaga:kaynak:364;malaga:kaynak:387;malaga:kaynak:417</t>
        </is>
      </c>
      <c r="J16" s="49" t="n">
        <v>46322</v>
      </c>
      <c r="K16" s="51" t="n">
        <v>9</v>
      </c>
      <c r="L16" s="29" t="inlineStr">
        <is>
          <t>Evet</t>
        </is>
      </c>
      <c r="M16" s="29" t="inlineStr">
        <is>
          <t>Taslak</t>
        </is>
      </c>
      <c r="N16" s="29" t="inlineStr">
        <is>
          <t>Carretera de Cádiz ilçesi; Mercado de Huelin (C. la Hoz 37, 29002) ve Paseo Marítimo Antonio Machado çevresi.</t>
        </is>
      </c>
      <c r="O16" s="29" t="inlineStr">
        <is>
          <t>Denize yakın
Kendi belediye pazarı
Metro L2
Geniş şehir parkı</t>
        </is>
      </c>
      <c r="P16" s="29" t="inlineStr">
        <is>
          <t>{"Konum": "Carretera de Cádiz ilçesinde, denize yakın; Misericordia plajının yanındaki Colección del Museo Ruso (Tabacalera) sayfası, Paseo Marítimo Antonio Machado üzerinden kent merkezine 3 km mesafe veriyor.", "Ulaşım": "Mercado de Huelin sayfası yakın hatları şöyle veriyor: otobüs 15, 22, 3 ve M-110; Cercanías C-1; Metro L2. Misericordia plajının yanındaki Museo Ruso (Tabacalera) sayfası metro durağı olarak Princesa-Huelin'i, otobüs duraklarından 3, 7, 15 ve 40'ı sayıyor.", "Yeşil alan ve sahil": "Parque de Huelin 30'dan fazla ağaç türü, ortasında palmiyeli bir adacık ve geleneksel balıkçı teknesi olan bir gölet, çocuk parkı ve çok amaçlı spor sahası içeriyor. Sahildeki La Misericordia plajı yaklaşık 2000 m uzunluğunda.", "Gündelik hizmetler": "Mercado de Huelin pazartesiden cumartesiye 08:00–15:00 açık. Sosyal hizmetler merkezi (CSSC nº12) C/ Emilio de la Cerda 24'te, telefonu 951 926 185; sağlık ocağı (Centro de salud Huelin) telefonu 951 308 081."}</t>
        </is>
      </c>
      <c r="Q16" s="29" t="inlineStr">
        <is>
          <t>Pazar sayfası, pazardaki kafeteryanın İspanya'nın en ucuz günün menüsüyle tanındığını yazıyor.</t>
        </is>
      </c>
      <c r="R16" s="29" t="n"/>
    </row>
    <row r="17" ht="54" customHeight="1">
      <c r="A17" s="29" t="inlineStr">
        <is>
          <t>malaga:ciudad-jardin</t>
        </is>
      </c>
      <c r="B17" s="29" t="inlineStr">
        <is>
          <t>malaga</t>
        </is>
      </c>
      <c r="C17" s="29" t="inlineStr">
        <is>
          <t>ciudad-jardin</t>
        </is>
      </c>
      <c r="D17" s="29" t="inlineStr">
        <is>
          <t>Ciudad Jardín</t>
        </is>
      </c>
      <c r="E17" s="29" t="inlineStr">
        <is>
          <t>1920'lerde kurulan geniş mahalle: pazarı, spor tesisi ve kuzeyde orman parkı var</t>
        </is>
      </c>
      <c r="F17" s="29" t="inlineStr">
        <is>
          <t>Ciudad Jardín, bir kilise sayfasına göre 1920'li yıllarda kurulmuş bir mahalledir. Belediye pazar sayfası mahalleyi Málaga'nın en popüler barriada'larından biri sayıyor. Mercado Ciudad Jardín'de 59 tezgâh var; çevrede Polideportivo Ciudad Jardín ve 2011'de açılan renkli Parque de la Alegría bulunuyor.</t>
        </is>
      </c>
      <c r="G17" s="29" t="inlineStr">
        <is>
          <t>Ciudad Jardín, Mercado Ciudad Jardín, Parque de la Alegría, Polideportivo, La Concepción, kuzey ilçe</t>
        </is>
      </c>
      <c r="H17" s="29" t="inlineStr">
        <is>
          <t>planning;new;settled</t>
        </is>
      </c>
      <c r="I17" s="29" t="inlineStr">
        <is>
          <t>malaga:kaynak:183;malaga:kaynak:199;malaga:kaynak:305;malaga:kaynak:324;malaga:kaynak:325;malaga:kaynak:377;malaga:kaynak:383;malaga:kaynak:420</t>
        </is>
      </c>
      <c r="J17" s="49" t="n">
        <v>46322</v>
      </c>
      <c r="K17" s="51" t="n">
        <v>10</v>
      </c>
      <c r="L17" s="29" t="inlineStr">
        <is>
          <t>Hayır</t>
        </is>
      </c>
      <c r="M17" s="29" t="inlineStr">
        <is>
          <t>Taslak</t>
        </is>
      </c>
      <c r="N17" s="29" t="inlineStr">
        <is>
          <t>Ciudad Jardín ilçesi; Mercado Ciudad Jardín (C/ Emilio Prados 15) ve Plaza John F. Kennedy 3 (29014) çevresi.</t>
        </is>
      </c>
      <c r="O17" s="29" t="inlineStr">
        <is>
          <t>Popüler mahalle
Belediye pazarı
Spor tesisi
Orman parkına yakın</t>
        </is>
      </c>
      <c r="P17" s="29" t="inlineStr">
        <is>
          <t>{"Konum": "Ciudad Jardín ilçesinin içinde; pazar C/ Emilio Prados 15'te, belediye spor tesisi Plaza John F. Kennedy 3'te (29014).", "Ulaşım": "Parque de la Alegría, Camino de Casabermeja üzerinde otoyolun (autovía) arkasında; Polideportivo hafta içi 08:00–23:00 arası açık.", "Yeşil alan ve sahil": "Parque de la Alegría 15.100 m²: 90'dan fazla farklı ağaç ve bitki örneği, koşu pisti ve bisiklet pisti. Kuzeydeki Parque Forestal La Concepción 190.000 m²; Ciudad Jardín ilçesi eylülde orada Romería de la Alegría'yı kutluyor.", "Gündelik hizmetler": "Mercado Ciudad Jardín pazartesiden cumartesiye 08:00–14:00 açık (tel. 951 926 035); perşembe günleri sokak pazarı kuruluyor. Sosyal hizmetler merkezi C/ Las Moreras 6'da (tel. 951 926 073); sağlık ocağı telefonu 951 308 770."}</t>
        </is>
      </c>
      <c r="Q17" s="29" t="inlineStr">
        <is>
          <t>Polideportivo Ciudad Jardín cumartesi ve pazar 09:00–22:00 açık; telefonu 951 929 655.</t>
        </is>
      </c>
      <c r="R17" s="29" t="n"/>
    </row>
    <row r="18" ht="54" customHeight="1">
      <c r="A18" s="29" t="inlineStr">
        <is>
          <t>malaga:teatinos</t>
        </is>
      </c>
      <c r="B18" s="29" t="inlineStr">
        <is>
          <t>malaga</t>
        </is>
      </c>
      <c r="C18" s="29" t="inlineStr">
        <is>
          <t>teatinos</t>
        </is>
      </c>
      <c r="D18" s="29" t="inlineStr">
        <is>
          <t>Teatinos</t>
        </is>
      </c>
      <c r="E18" s="29" t="inlineStr">
        <is>
          <t>Üniversite kampüsü, hastane ve geniş konut semti</t>
        </is>
      </c>
      <c r="F18" s="29" t="inlineStr">
        <is>
          <t>Teatinos, Málaga Üniversitesi'nin Campus de Teatinos kampüsünün bulunduğu konut semtidir; belediye, Parque del Cine'yi 'Teatinos'un konut mahallesindeki' park olarak tanımlıyor. Kampüste üniversitenin spor kompleksi ve kültür merkezi Bulevar Louis Pasteur'de, Hospital Universitario Virgen de la Victoria ise Campus Universitario Teatinos adresinde bulunuyor.</t>
        </is>
      </c>
      <c r="G18" s="29" t="inlineStr">
        <is>
          <t>Teatinos, UMA, Campus de Teatinos, Parque del Cine, Hospital Virgen de la Victoria, üniversite semti</t>
        </is>
      </c>
      <c r="H18" s="29" t="inlineStr">
        <is>
          <t>planning;new;settled</t>
        </is>
      </c>
      <c r="I18" s="29" t="inlineStr">
        <is>
          <t>malaga:kaynak:183;malaga:kaynak:197;malaga:kaynak:206;malaga:kaynak:227;malaga:kaynak:305;malaga:kaynak:330;malaga:kaynak:379;malaga:kaynak:386;malaga:kaynak:399</t>
        </is>
      </c>
      <c r="J18" s="49" t="n">
        <v>46322</v>
      </c>
      <c r="K18" s="51" t="n">
        <v>11</v>
      </c>
      <c r="L18" s="29" t="inlineStr">
        <is>
          <t>Hayır</t>
        </is>
      </c>
      <c r="M18" s="29" t="inlineStr">
        <is>
          <t>Taslak</t>
        </is>
      </c>
      <c r="N18" s="29" t="inlineStr">
        <is>
          <t>Teatinos-Universidad ilçesi; Campus de Teatinos (Bulevar Louis Pasteur) ve çevresindeki konut semti.</t>
        </is>
      </c>
      <c r="O18" s="29" t="inlineStr">
        <is>
          <t>Üniversite kampüsü
Hastane yakını
Konut semti
Parque del Cine</t>
        </is>
      </c>
      <c r="P18" s="29" t="inlineStr">
        <is>
          <t>{"Konum": "Teatinos-Universidad ilçesinde; üniversite spor kompleksi Campus de Teatinos'ta, Bulevar Louis Pasteur'de. Hospital Virgen de la Victoria Campus Universitario Teatinos s/n (29010) adresinde.", "Ulaşım": "EMT'nin yeniden yüklenebilir kartları arasında Estudiantes, Joven ve UMA kartları sayılıyor; öğrenci kartına şartlara bağlı aylık yükleme 13,50 €.", "Yeşil alan ve sahil": "Parque del Cine 10.000 m² (2010'da açıldı); ilçedeki Laguna de la Barrera çevresinde 14.850 m²'lik yapay göl, yeşil alanlar ve patikalar var.", "Gündelik hizmetler": "Pazartesi günleri mahallede sokak pazarı kuruluyor. Sosyal hizmetler merkezi C/ Juan de Robles 38'de (tel. 951 926 171); belediyenin Andalucía Orienta iş danışmanlık birimi C/ Pablo Bruna 1'de."}</t>
        </is>
      </c>
      <c r="Q18" s="29" t="inlineStr">
        <is>
          <t>Hospital Universitario Virgen de la Victoria acil servis telefonu 951 03 14 37.</t>
        </is>
      </c>
      <c r="R18" s="29" t="n"/>
    </row>
    <row r="19" ht="54" customHeight="1">
      <c r="A19" s="29" t="inlineStr">
        <is>
          <t>malaga:palma-palmilla</t>
        </is>
      </c>
      <c r="B19" s="29" t="inlineStr">
        <is>
          <t>malaga</t>
        </is>
      </c>
      <c r="C19" s="29" t="inlineStr">
        <is>
          <t>palma-palmilla</t>
        </is>
      </c>
      <c r="D19" s="29" t="inlineStr">
        <is>
          <t>Palma-Palmilla</t>
        </is>
      </c>
      <c r="E19" s="29" t="inlineStr">
        <is>
          <t>La Virreina orman parkı ve Manuel Navarrete parkı çevresindeki 5 numaralı ilçe</t>
        </is>
      </c>
      <c r="F19" s="29" t="inlineStr">
        <is>
          <t>Palma-Palmilla, belediyenin 5 numaralı ilçesidir (Distrito Nº 5). İlçedeki Parque Forestal La Virreina 408.900 m² alanıyla sekize kadar seyir terasına, piknik alanlarına ve işaretli yürüyüş rotalarına sahip. Parque de Manuel Navarrete ise Virreinas futbol sahasının yanında çocuk alanı ve açık hava spor aletleri sunuyor.</t>
        </is>
      </c>
      <c r="G19" s="29" t="inlineStr">
        <is>
          <t>Palma-Palmilla, La Virreina, Manuel Navarrete, orman parkı, Distrito 5, salı pazarı</t>
        </is>
      </c>
      <c r="H19" s="29" t="inlineStr">
        <is>
          <t>planning;new;settled</t>
        </is>
      </c>
      <c r="I19" s="29" t="inlineStr">
        <is>
          <t>malaga:kaynak:183;malaga:kaynak:199;malaga:kaynak:305;malaga:kaynak:347;malaga:kaynak:425</t>
        </is>
      </c>
      <c r="J19" s="49" t="n">
        <v>46322</v>
      </c>
      <c r="K19" s="51" t="n">
        <v>12</v>
      </c>
      <c r="L19" s="29" t="inlineStr">
        <is>
          <t>Hayır</t>
        </is>
      </c>
      <c r="M19" s="29" t="inlineStr">
        <is>
          <t>Taslak</t>
        </is>
      </c>
      <c r="N19" s="29" t="inlineStr">
        <is>
          <t>Palma-Palmilla ilçesi (Distrito Nº 5); Avenida Jane Bowles çevresi, C/ Alonso Cruzado'da sosyal hizmetler merkezi.</t>
        </is>
      </c>
      <c r="O19" s="29" t="inlineStr">
        <is>
          <t>Orman parkı
Seyir terasları
Mahalle parkı
Salı pazarı</t>
        </is>
      </c>
      <c r="P19" s="29" t="inlineStr">
        <is>
          <t>{"Konum": "Distrito Nº 5 Palma-Palmilla'da; La Virreina parkına Av. de Jane Bowles'ten giriliyor, Manuel Navarrete parkı Virreinas futbol sahasının hemen yanında.", "Ulaşım": "La Virreina'da farklı yamaçları birbirine bağlayan bir yaya köprüsü var; Manuel Navarrete parkında engelli erişimi var.", "Yeşil alan ve sahil": "La Virreina 408.900 m²; çam, akdeniz zeytini ve keçiboynuzu gibi türler, sekize kadar seyir terası, piknik alanları ve yürüyüş rotaları. Manuel Navarrete parkı iki çocuk oyun alanı, açık hava spor aletleri ve çok amaçlı saha içeriyor.", "Gündelik hizmetler": "Salı günleri mahallede sokak pazarı kuruluyor. Sosyal hizmetler merkezi (CSSC nº5) C/ Alonso Cruzado s/n'de (29011), tel. 951 926 075; sağlık ocağı telefonu 951 308 266."}</t>
        </is>
      </c>
      <c r="Q19" s="29" t="inlineStr">
        <is>
          <t>Manuel Navarrete parkının adı, mahallede sosyal çalışmalarıyla tanınan bir komşudan geliyor.</t>
        </is>
      </c>
      <c r="R19" s="29" t="n"/>
    </row>
    <row r="20" ht="54" customHeight="1">
      <c r="A20" s="29" t="inlineStr">
        <is>
          <t>malaga:churriana</t>
        </is>
      </c>
      <c r="B20" s="29" t="inlineStr">
        <is>
          <t>malaga</t>
        </is>
      </c>
      <c r="C20" s="29" t="inlineStr">
        <is>
          <t>churriana</t>
        </is>
      </c>
      <c r="D20" s="29" t="inlineStr">
        <is>
          <t>Churriana</t>
        </is>
      </c>
      <c r="E20" s="29" t="inlineStr">
        <is>
          <t>Eskiden köy, bugün Málaga'nın batısında sakin bir ilçe; havalimanına yakın</t>
        </is>
      </c>
      <c r="F20" s="29" t="inlineStr">
        <is>
          <t>Churriana, belediyenin pazar sayfasına göre Málaga'ya çok yakın bir köyken kentin bir semti olmuş. Aynı sayfa bölgeyi 'yatak şehir' sayıyor: batıdaki bu kesimde yaşam sakin, plaj ve havalimanı çok yakın. İlçede 300.000 m²'lik Parque Forestal Comandante Benítez bulunuyor.</t>
        </is>
      </c>
      <c r="G20" s="29" t="inlineStr">
        <is>
          <t>Churriana, batı Málaga, havalimanı, Parque Comandante Benítez, Plaza Mayor, sakin ilçe</t>
        </is>
      </c>
      <c r="H20" s="29" t="inlineStr">
        <is>
          <t>planning;new;settled</t>
        </is>
      </c>
      <c r="I20" s="29" t="inlineStr">
        <is>
          <t>malaga:kaynak:183;malaga:kaynak:199;malaga:kaynak:305;malaga:kaynak:348;malaga:kaynak:414</t>
        </is>
      </c>
      <c r="J20" s="49" t="n">
        <v>46322</v>
      </c>
      <c r="K20" s="51" t="n">
        <v>13</v>
      </c>
      <c r="L20" s="29" t="inlineStr">
        <is>
          <t>Hayır</t>
        </is>
      </c>
      <c r="M20" s="29" t="inlineStr">
        <is>
          <t>Taslak</t>
        </is>
      </c>
      <c r="N20" s="29" t="inlineStr">
        <is>
          <t>Churriana ilçesi (29140): Plaza Mayor ve C/ Maestro Usandizaga çevresi; orman parkı Centro de Ocio Plaza Mayor yakınında.</t>
        </is>
      </c>
      <c r="O20" s="29" t="inlineStr">
        <is>
          <t>Eski köy
Havalimanına yakın
Sakin yaşam
Orman parkı</t>
        </is>
      </c>
      <c r="P20" s="29" t="inlineStr">
        <is>
          <t>{"Konum": "Kentin batı kesiminde; ilçe Churriana, posta kodu 29140, semt pazarı Plaza Mayor'da.", "Ulaşım": "Parque Comandante Benítez'e MA-20 veya MA-21 yolundan ulaşılıyor.", "Yeşil alan ve sahil": "Parque Forestal Metropolitano Comandante Benítez 300.000 m²: çam, okaliptüs, selvi ve palmiye ağaçları, yürüyüş ve dağ bisikleti yolları. Parkta kamp, avlanma, ateş yakma, mangal ve başıboş hayvan yasak.", "Gündelik hizmetler": "Salı günleri Churriana'da sokak pazarı kuruluyor. Sosyal hizmetler merkezi (CSSC nº8) C/ Maestro Usandizaga 15'te (tel. 951 926 078); sağlık ocağı telefonu 951 308 810."}</t>
        </is>
      </c>
      <c r="Q20" s="29" t="n"/>
      <c r="R20" s="29" t="n"/>
    </row>
    <row r="21" ht="54" customHeight="1">
      <c r="A21" s="29" t="inlineStr">
        <is>
          <t>malaga:guadalmar</t>
        </is>
      </c>
      <c r="B21" s="29" t="inlineStr">
        <is>
          <t>malaga</t>
        </is>
      </c>
      <c r="C21" s="29" t="inlineStr">
        <is>
          <t>guadalmar</t>
        </is>
      </c>
      <c r="D21" s="29" t="inlineStr">
        <is>
          <t>Guadalmar</t>
        </is>
      </c>
      <c r="E21" s="29" t="inlineStr">
        <is>
          <t>Havalimanına en yakın plaj ve Guadalhorce ağzındaki doğa alanı</t>
        </is>
      </c>
      <c r="F21" s="29" t="inlineStr">
        <is>
          <t>Guadalmar, belediyenin Churriana bölgesi plajları arasında sayılan bir barriada'dır; plajı golf sahasından Guadalhorce nehrinin ağzına uzanıyor. Belediyeye göre buradaki plaj havalimanına en yakın olanıdır ve kentin nüdist alanı bulunan tek kentsel plajıdır. Batı ucunda 122 hektarlık bir ada üzerinde kurulu Paraje Natural Desembocadura del Guadalhorce yer alıyor.</t>
        </is>
      </c>
      <c r="G21" s="29" t="inlineStr">
        <is>
          <t>Guadalmar, Guadalhorce, doğa alanı, kuş gözlemi, havalimanına yakın plaj, nüdist alan</t>
        </is>
      </c>
      <c r="H21" s="29" t="inlineStr">
        <is>
          <t>planning;new;settled</t>
        </is>
      </c>
      <c r="I21" s="29" t="inlineStr">
        <is>
          <t>malaga:kaynak:270;malaga:kaynak:329;malaga:kaynak:344</t>
        </is>
      </c>
      <c r="J21" s="49" t="n">
        <v>46322</v>
      </c>
      <c r="K21" s="51" t="n">
        <v>14</v>
      </c>
      <c r="L21" s="29" t="inlineStr">
        <is>
          <t>Hayır</t>
        </is>
      </c>
      <c r="M21" s="29" t="inlineStr">
        <is>
          <t>Taslak</t>
        </is>
      </c>
      <c r="N21" s="29" t="inlineStr">
        <is>
          <t>Belediyenin Churriana bölgesi plaj listesinde (Campo de Golf / Guadalmar); plajı golf sahasından Guadalhorce ağzına uzanıyor; Paseo Marítimo Antonio Banderas'ın sonu.</t>
        </is>
      </c>
      <c r="O21" s="29" t="inlineStr">
        <is>
          <t>Doğa koruma alanı
Havalimanına yakın
Kuş gözlemi
Nüdist alan</t>
        </is>
      </c>
      <c r="P21" s="29" t="inlineStr">
        <is>
          <t>{"Konum": "Plaj golf sahasından Guadalhorce ağzına uzanıyor; doğa alanı Paseo Marítimo Antonio Banderas'ın sonunda ve Guadalmar semtiyle komşu.", "Ulaşım": "Belediye plaj sayfası toplu taşıma olarak kent içi otobüsü (Autobús: Urbano) ve otopark imkânını işaretliyor; plaj havalimanına en yakın olan.", "Yeşil alan ve sahil": "Plaj, nehrin taşıdığı tortularla oluşmuş. Guadalhorce doğa alanında lagünler, nehir kıyısı ve kumsal var; alan Avrupa–Afrika göç yollarından birinde olduğu için kuş gözlemcilerinin uğrak yeri.", "Gündelik hizmetler": "Plaj sayfasındaki en yakın hastane Hospital General Carlos Haya (Av. Carlos Haya s/n), yaklaşık 9 km. 15 Haziran–15 Eylül arasında tüm plajlarda 10:00–20:00 saatleri arasında ara vermeden cankurtaran hizmeti var."}</t>
        </is>
      </c>
      <c r="Q21" s="29" t="n"/>
      <c r="R21" s="29" t="n"/>
    </row>
    <row r="22" ht="54" customHeight="1">
      <c r="A22" s="29" t="inlineStr">
        <is>
          <t>malaga:cerrado-de-calderon</t>
        </is>
      </c>
      <c r="B22" s="29" t="inlineStr">
        <is>
          <t>malaga</t>
        </is>
      </c>
      <c r="C22" s="29" t="inlineStr">
        <is>
          <t>cerrado-de-calderon</t>
        </is>
      </c>
      <c r="D22" s="29" t="inlineStr">
        <is>
          <t>Cerrado de Calderón</t>
        </is>
      </c>
      <c r="E22" s="29" t="inlineStr">
        <is>
          <t>El Morlaco orman parkını çevreleyen konut semti; denize ve ağaçlara yakın</t>
        </is>
      </c>
      <c r="F22" s="29" t="inlineStr">
        <is>
          <t>Cerrado de Calderón, belediyeye göre El Morlaco orman parkını çevreleyen konut mahallelerinden biridir (diğerleri Parque Clavero ve El Morlaco). Park Doğu ilçesinde (Distrito Nº 2) yaklaşık 160.000 m² büyüklüğünde, yoğun bir çam ormanıdır; alt kısmı denize ve Paseo Marítimo Pablo Ruiz Picasso'ya çok yakındır.</t>
        </is>
      </c>
      <c r="G22" s="29" t="inlineStr">
        <is>
          <t>Cerrado de Calderón, El Morlaco, Parque Clavero, orman parkı, Doğu ilçesi, konut semti</t>
        </is>
      </c>
      <c r="H22" s="29" t="inlineStr">
        <is>
          <t>planning;new;settled</t>
        </is>
      </c>
      <c r="I22" s="29" t="inlineStr">
        <is>
          <t>malaga:kaynak:183;malaga:kaynak:333;malaga:kaynak:346</t>
        </is>
      </c>
      <c r="J22" s="49" t="n">
        <v>46322</v>
      </c>
      <c r="K22" s="51" t="n">
        <v>15</v>
      </c>
      <c r="L22" s="29" t="inlineStr">
        <is>
          <t>Hayır</t>
        </is>
      </c>
      <c r="M22" s="29" t="inlineStr">
        <is>
          <t>Taslak</t>
        </is>
      </c>
      <c r="N22" s="29" t="inlineStr">
        <is>
          <t>Doğu ilçesi (Distrito Nº 2); Cerrado de Calderón, Parque Clavero ve El Morlaco konut bölgeleri arasındaki orman parkı çevresi.</t>
        </is>
      </c>
      <c r="O22" s="29" t="inlineStr">
        <is>
          <t>Konut semti
Orman parkı
Denize yakın
Doğu ilçesi</t>
        </is>
      </c>
      <c r="P22" s="29" t="inlineStr">
        <is>
          <t>{"Konum": "El Morlaco parkı Cerrado de Calderón, Parque Clavero ve El Morlaco konut bölgelerinin arasında; parkın alt kısmı Baños del Carmen'e yakın.", "Ulaşım": "Parkın alt ucu Paseo Marítimo Pablo Ruiz Picasso'ya ve Baños del Carmen'e yakın; orman yolları yürüyüş, bisiklet ve BMX için kullanılıyor.", "Yeşil alan ve sahil": "El Morlaco'da yoğun çam ormanı, kırmızı sincap, bukalemun ve kirpi yaşıyor. Parkta 10 kg'a kadar küçük köpekler için ve büyük köpekler için iki ayrı alan, içme suyu çeşmesi ve çocuk oyun bölümü var.", "Gündelik hizmetler": "Doğu ilçesinin sosyal hizmetler merkezi (CSSC nº2) C/ Dánvila y Collado 4'te, tel. 951 926 072; hafta içi 09:00–14:00 açık."}</t>
        </is>
      </c>
      <c r="Q22" s="29" t="inlineStr">
        <is>
          <t>Park alanı 18. yüzyıldan 20. yüzyıla kadar işletilen eski bir jips madeniydi; galeri ağı İç Savaş'ta sığınak olarak kullanıldı.</t>
        </is>
      </c>
      <c r="R22" s="29" t="n"/>
    </row>
    <row r="23" ht="54" customHeight="1">
      <c r="A23" s="29" t="inlineStr">
        <is>
          <t>malaga:pinares-de-san-anton</t>
        </is>
      </c>
      <c r="B23" s="29" t="inlineStr">
        <is>
          <t>malaga</t>
        </is>
      </c>
      <c r="C23" s="29" t="inlineStr">
        <is>
          <t>pinares-de-san-anton</t>
        </is>
      </c>
      <c r="D23" s="29" t="inlineStr">
        <is>
          <t>Pinares de San Antón</t>
        </is>
      </c>
      <c r="E23" s="29" t="inlineStr">
        <is>
          <t>Lagarillo Blanco orman parkına girişlerden birinin bulunduğu yerleşim</t>
        </is>
      </c>
      <c r="F23" s="29" t="inlineStr">
        <is>
          <t>Pinares de San Antón, belediyenin Lagarillo Blanco orman parkı sayfasında parka girişlerden birinin bulunduğu yerleşim (urbanización) olarak geçiyor. Park Monte San Antón'un eteğinde, El Palo bölgesinde ve 183.500 m² büyüklüğünde; dört dinlenme alanı, piknik masaları, mangal yerleri ve petanque pisti var. Parkta her yıl ocak sonunda San Antón romería'sı kutlanıyor.</t>
        </is>
      </c>
      <c r="G23" s="29" t="inlineStr">
        <is>
          <t>Pinares de San Antón, Monte San Antón, Lagarillo Blanco, orman parkı, piknik, romería</t>
        </is>
      </c>
      <c r="H23" s="29" t="inlineStr">
        <is>
          <t>planning;new;settled</t>
        </is>
      </c>
      <c r="I23" s="29" t="inlineStr">
        <is>
          <t>malaga:kaynak:183;malaga:kaynak:199;malaga:kaynak:305;malaga:kaynak:331;malaga:kaynak:335</t>
        </is>
      </c>
      <c r="J23" s="49" t="n">
        <v>46322</v>
      </c>
      <c r="K23" s="51" t="n">
        <v>16</v>
      </c>
      <c r="L23" s="29" t="inlineStr">
        <is>
          <t>Hayır</t>
        </is>
      </c>
      <c r="M23" s="29" t="inlineStr">
        <is>
          <t>Taslak</t>
        </is>
      </c>
      <c r="N23" s="29" t="inlineStr">
        <is>
          <t>Lagarillo Blanco orman parkı (Monte San Antón eteği, El Palo bölgesi, Distrito Nº 2 Doğu); parka A-7'den ve yerleşimden giriliyor.</t>
        </is>
      </c>
      <c r="O23" s="29" t="inlineStr">
        <is>
          <t>Dağ eteğindeki park
Orman parkı
Piknik ve mangal alanları
Romería de San Antón</t>
        </is>
      </c>
      <c r="P23" s="29" t="inlineStr">
        <is>
          <t>{"Konum": "Lagarillo Blanco parkı Monte San Antón'un eteğinde, El Palo bölgesinde; dağın güneyinde El Palo semti var ve dağ Doğu ilçesinde (Distrito Nº 2).", "Ulaşım": "Lagarillo Blanco parkına A-7 otoyolundan ve doğrudan Pinares de San Antón yerleşiminden girilebiliyor.", "Yeşil alan ve sahil": "Monte San Antón 370 hektar, zirvesi 500 m yükseklikte ve kıyıdan 3 km uzakta; güney yamacında reforestasyonla dikilmiş çam, zeytin ve badem kalıntıları var. Lagarillo Blanco'da çam ve okaliptüs ağaçları, ayrıca 4 dinlenme alanı ve petanque pisti bulunuyor.", "Gündelik hizmetler": "Güneydeki komşu El Palo'da sağlık ocağı (tel. 951 308 432) ve cumartesi sokak pazarı var; Doğu ilçesinin sosyal hizmetler merkezi C/ Dánvila y Collado 4'te (tel. 951 926 072)."}</t>
        </is>
      </c>
      <c r="Q23" s="29" t="n"/>
      <c r="R23" s="29" t="n"/>
    </row>
    <row r="24" ht="54" customHeight="1">
      <c r="A24" s="29" t="n"/>
      <c r="B24" s="29" t="n"/>
      <c r="C24" s="29" t="n"/>
      <c r="D24" s="29" t="n"/>
      <c r="E24" s="29" t="n"/>
      <c r="F24" s="29" t="n"/>
      <c r="G24" s="29" t="n"/>
      <c r="H24" s="29" t="n"/>
      <c r="I24" s="29" t="n"/>
      <c r="J24" s="49" t="n"/>
      <c r="K24" s="51" t="n"/>
      <c r="L24" s="29" t="n"/>
      <c r="M24" s="29" t="n"/>
      <c r="N24" s="29" t="n"/>
      <c r="O24" s="29" t="n"/>
      <c r="P24" s="29" t="n"/>
      <c r="Q24" s="29" t="n"/>
      <c r="R24" s="29" t="n"/>
    </row>
    <row r="25" ht="54" customHeight="1">
      <c r="A25" s="29" t="n"/>
      <c r="B25" s="29" t="n"/>
      <c r="C25" s="29" t="n"/>
      <c r="D25" s="29" t="n"/>
      <c r="E25" s="29" t="n"/>
      <c r="F25" s="29" t="n"/>
      <c r="G25" s="29" t="n"/>
      <c r="H25" s="29" t="n"/>
      <c r="I25" s="29" t="n"/>
      <c r="J25" s="49" t="n"/>
      <c r="K25" s="51" t="n"/>
      <c r="L25" s="29" t="n"/>
      <c r="M25" s="29" t="n"/>
      <c r="N25" s="29" t="n"/>
      <c r="O25" s="29" t="n"/>
      <c r="P25" s="29" t="n"/>
      <c r="Q25" s="29" t="n"/>
      <c r="R25" s="29" t="n"/>
    </row>
    <row r="26" ht="54" customHeight="1">
      <c r="A26" s="29" t="n"/>
      <c r="B26" s="29" t="n"/>
      <c r="C26" s="29" t="n"/>
      <c r="D26" s="29" t="n"/>
      <c r="E26" s="29" t="n"/>
      <c r="F26" s="29" t="n"/>
      <c r="G26" s="29" t="n"/>
      <c r="H26" s="29" t="n"/>
      <c r="I26" s="29" t="n"/>
      <c r="J26" s="49" t="n"/>
      <c r="K26" s="51" t="n"/>
      <c r="L26" s="29" t="n"/>
      <c r="M26" s="29" t="n"/>
      <c r="N26" s="29" t="n"/>
      <c r="O26" s="29" t="n"/>
      <c r="P26" s="29" t="n"/>
      <c r="Q26" s="29" t="n"/>
      <c r="R26" s="29" t="n"/>
    </row>
    <row r="27" ht="54" customHeight="1">
      <c r="A27" s="29" t="n"/>
      <c r="B27" s="29" t="n"/>
      <c r="C27" s="29" t="n"/>
      <c r="D27" s="29" t="n"/>
      <c r="E27" s="29" t="n"/>
      <c r="F27" s="29" t="n"/>
      <c r="G27" s="29" t="n"/>
      <c r="H27" s="29" t="n"/>
      <c r="I27" s="29" t="n"/>
      <c r="J27" s="49" t="n"/>
      <c r="K27" s="51" t="n"/>
      <c r="L27" s="29" t="n"/>
      <c r="M27" s="29" t="n"/>
      <c r="N27" s="29" t="n"/>
      <c r="O27" s="29" t="n"/>
      <c r="P27" s="29" t="n"/>
      <c r="Q27" s="29" t="n"/>
      <c r="R27" s="29" t="n"/>
    </row>
    <row r="28" ht="54" customHeight="1">
      <c r="A28" s="29" t="n"/>
      <c r="B28" s="29" t="n"/>
      <c r="C28" s="29" t="n"/>
      <c r="D28" s="29" t="n"/>
      <c r="E28" s="29" t="n"/>
      <c r="F28" s="29" t="n"/>
      <c r="G28" s="29" t="n"/>
      <c r="H28" s="29" t="n"/>
      <c r="I28" s="29" t="n"/>
      <c r="J28" s="49" t="n"/>
      <c r="K28" s="51" t="n"/>
      <c r="L28" s="29" t="n"/>
      <c r="M28" s="29" t="n"/>
      <c r="N28" s="29" t="n"/>
      <c r="O28" s="29" t="n"/>
      <c r="P28" s="29" t="n"/>
      <c r="Q28" s="29" t="n"/>
      <c r="R28" s="29" t="n"/>
    </row>
    <row r="29" ht="54" customHeight="1">
      <c r="A29" s="29" t="n"/>
      <c r="B29" s="29" t="n"/>
      <c r="C29" s="29" t="n"/>
      <c r="D29" s="29" t="n"/>
      <c r="E29" s="29" t="n"/>
      <c r="F29" s="29" t="n"/>
      <c r="G29" s="29" t="n"/>
      <c r="H29" s="29" t="n"/>
      <c r="I29" s="29" t="n"/>
      <c r="J29" s="49" t="n"/>
      <c r="K29" s="51" t="n"/>
      <c r="L29" s="29" t="n"/>
      <c r="M29" s="29" t="n"/>
      <c r="N29" s="29" t="n"/>
      <c r="O29" s="29" t="n"/>
      <c r="P29" s="29" t="n"/>
      <c r="Q29" s="29" t="n"/>
      <c r="R29" s="29" t="n"/>
    </row>
    <row r="30" ht="54" customHeight="1">
      <c r="A30" s="29" t="n"/>
      <c r="B30" s="29" t="n"/>
      <c r="C30" s="29" t="n"/>
      <c r="D30" s="29" t="n"/>
      <c r="E30" s="29" t="n"/>
      <c r="F30" s="29" t="n"/>
      <c r="G30" s="29" t="n"/>
      <c r="H30" s="29" t="n"/>
      <c r="I30" s="29" t="n"/>
      <c r="J30" s="49" t="n"/>
      <c r="K30" s="51" t="n"/>
      <c r="L30" s="29" t="n"/>
      <c r="M30" s="29" t="n"/>
      <c r="N30" s="29" t="n"/>
      <c r="O30" s="29" t="n"/>
      <c r="P30" s="29" t="n"/>
      <c r="Q30" s="29" t="n"/>
      <c r="R30" s="29" t="n"/>
    </row>
    <row r="31" ht="54" customHeight="1">
      <c r="A31" s="29" t="n"/>
      <c r="B31" s="29" t="n"/>
      <c r="C31" s="29" t="n"/>
      <c r="D31" s="29" t="n"/>
      <c r="E31" s="29" t="n"/>
      <c r="F31" s="29" t="n"/>
      <c r="G31" s="29" t="n"/>
      <c r="H31" s="29" t="n"/>
      <c r="I31" s="29" t="n"/>
      <c r="J31" s="49" t="n"/>
      <c r="K31" s="51" t="n"/>
      <c r="L31" s="29" t="n"/>
      <c r="M31" s="29" t="n"/>
      <c r="N31" s="29" t="n"/>
      <c r="O31" s="29" t="n"/>
      <c r="P31" s="29" t="n"/>
      <c r="Q31" s="29" t="n"/>
      <c r="R31" s="29" t="n"/>
    </row>
    <row r="32" ht="54" customHeight="1">
      <c r="A32" s="29" t="n"/>
      <c r="B32" s="29" t="n"/>
      <c r="C32" s="29" t="n"/>
      <c r="D32" s="29" t="n"/>
      <c r="E32" s="29" t="n"/>
      <c r="F32" s="29" t="n"/>
      <c r="G32" s="29" t="n"/>
      <c r="H32" s="29" t="n"/>
      <c r="I32" s="29" t="n"/>
      <c r="J32" s="49" t="n"/>
      <c r="K32" s="51" t="n"/>
      <c r="L32" s="29" t="n"/>
      <c r="M32" s="29" t="n"/>
      <c r="N32" s="29" t="n"/>
      <c r="O32" s="29" t="n"/>
      <c r="P32" s="29" t="n"/>
      <c r="Q32" s="29" t="n"/>
      <c r="R32" s="29" t="n"/>
    </row>
    <row r="33" ht="54" customHeight="1">
      <c r="A33" s="29" t="n"/>
      <c r="B33" s="29" t="n"/>
      <c r="C33" s="29" t="n"/>
      <c r="D33" s="29" t="n"/>
      <c r="E33" s="29" t="n"/>
      <c r="F33" s="29" t="n"/>
      <c r="G33" s="29" t="n"/>
      <c r="H33" s="29" t="n"/>
      <c r="I33" s="29" t="n"/>
      <c r="J33" s="49" t="n"/>
      <c r="K33" s="51" t="n"/>
      <c r="L33" s="29" t="n"/>
      <c r="M33" s="29" t="n"/>
      <c r="N33" s="29" t="n"/>
      <c r="O33" s="29" t="n"/>
      <c r="P33" s="29" t="n"/>
      <c r="Q33" s="29" t="n"/>
      <c r="R33" s="29" t="n"/>
    </row>
    <row r="34" ht="54" customHeight="1">
      <c r="A34" s="29" t="n"/>
      <c r="B34" s="29" t="n"/>
      <c r="C34" s="29" t="n"/>
      <c r="D34" s="29" t="n"/>
      <c r="E34" s="29" t="n"/>
      <c r="F34" s="29" t="n"/>
      <c r="G34" s="29" t="n"/>
      <c r="H34" s="29" t="n"/>
      <c r="I34" s="29" t="n"/>
      <c r="J34" s="49" t="n"/>
      <c r="K34" s="51" t="n"/>
      <c r="L34" s="29" t="n"/>
      <c r="M34" s="29" t="n"/>
      <c r="N34" s="29" t="n"/>
      <c r="O34" s="29" t="n"/>
      <c r="P34" s="29" t="n"/>
      <c r="Q34" s="29" t="n"/>
      <c r="R34" s="29" t="n"/>
    </row>
    <row r="35" ht="54" customHeight="1">
      <c r="A35" s="29" t="n"/>
      <c r="B35" s="29" t="n"/>
      <c r="C35" s="29" t="n"/>
      <c r="D35" s="29" t="n"/>
      <c r="E35" s="29" t="n"/>
      <c r="F35" s="29" t="n"/>
      <c r="G35" s="29" t="n"/>
      <c r="H35" s="29" t="n"/>
      <c r="I35" s="29" t="n"/>
      <c r="J35" s="49" t="n"/>
      <c r="K35" s="51" t="n"/>
      <c r="L35" s="29" t="n"/>
      <c r="M35" s="29" t="n"/>
      <c r="N35" s="29" t="n"/>
      <c r="O35" s="29" t="n"/>
      <c r="P35" s="29" t="n"/>
      <c r="Q35" s="29" t="n"/>
      <c r="R35" s="29" t="n"/>
    </row>
    <row r="36" ht="54" customHeight="1">
      <c r="A36" s="29" t="n"/>
      <c r="B36" s="29" t="n"/>
      <c r="C36" s="29" t="n"/>
      <c r="D36" s="29" t="n"/>
      <c r="E36" s="29" t="n"/>
      <c r="F36" s="29" t="n"/>
      <c r="G36" s="29" t="n"/>
      <c r="H36" s="29" t="n"/>
      <c r="I36" s="29" t="n"/>
      <c r="J36" s="49" t="n"/>
      <c r="K36" s="51" t="n"/>
      <c r="L36" s="29" t="n"/>
      <c r="M36" s="29" t="n"/>
      <c r="N36" s="29" t="n"/>
      <c r="O36" s="29" t="n"/>
      <c r="P36" s="29" t="n"/>
      <c r="Q36" s="29" t="n"/>
      <c r="R36" s="29" t="n"/>
    </row>
    <row r="37" ht="54" customHeight="1">
      <c r="A37" s="29" t="n"/>
      <c r="B37" s="29" t="n"/>
      <c r="C37" s="29" t="n"/>
      <c r="D37" s="29" t="n"/>
      <c r="E37" s="29" t="n"/>
      <c r="F37" s="29" t="n"/>
      <c r="G37" s="29" t="n"/>
      <c r="H37" s="29" t="n"/>
      <c r="I37" s="29" t="n"/>
      <c r="J37" s="49" t="n"/>
      <c r="K37" s="51" t="n"/>
      <c r="L37" s="29" t="n"/>
      <c r="M37" s="29" t="n"/>
      <c r="N37" s="29" t="n"/>
      <c r="O37" s="29" t="n"/>
      <c r="P37" s="29" t="n"/>
      <c r="Q37" s="29" t="n"/>
      <c r="R37" s="29" t="n"/>
    </row>
    <row r="38" ht="54" customHeight="1">
      <c r="A38" s="29" t="n"/>
      <c r="B38" s="29" t="n"/>
      <c r="C38" s="29" t="n"/>
      <c r="D38" s="29" t="n"/>
      <c r="E38" s="29" t="n"/>
      <c r="F38" s="29" t="n"/>
      <c r="G38" s="29" t="n"/>
      <c r="H38" s="29" t="n"/>
      <c r="I38" s="29" t="n"/>
      <c r="J38" s="49" t="n"/>
      <c r="K38" s="51" t="n"/>
      <c r="L38" s="29" t="n"/>
      <c r="M38" s="29" t="n"/>
      <c r="N38" s="29" t="n"/>
      <c r="O38" s="29" t="n"/>
      <c r="P38" s="29" t="n"/>
      <c r="Q38" s="29" t="n"/>
      <c r="R38" s="29" t="n"/>
    </row>
    <row r="39" ht="54" customHeight="1">
      <c r="A39" s="29" t="n"/>
      <c r="B39" s="29" t="n"/>
      <c r="C39" s="29" t="n"/>
      <c r="D39" s="29" t="n"/>
      <c r="E39" s="29" t="n"/>
      <c r="F39" s="29" t="n"/>
      <c r="G39" s="29" t="n"/>
      <c r="H39" s="29" t="n"/>
      <c r="I39" s="29" t="n"/>
      <c r="J39" s="49" t="n"/>
      <c r="K39" s="51" t="n"/>
      <c r="L39" s="29" t="n"/>
      <c r="M39" s="29" t="n"/>
      <c r="N39" s="29" t="n"/>
      <c r="O39" s="29" t="n"/>
      <c r="P39" s="29" t="n"/>
      <c r="Q39" s="29" t="n"/>
      <c r="R39" s="29" t="n"/>
    </row>
    <row r="40" ht="54" customHeight="1">
      <c r="A40" s="29" t="n"/>
      <c r="B40" s="29" t="n"/>
      <c r="C40" s="29" t="n"/>
      <c r="D40" s="29" t="n"/>
      <c r="E40" s="29" t="n"/>
      <c r="F40" s="29" t="n"/>
      <c r="G40" s="29" t="n"/>
      <c r="H40" s="29" t="n"/>
      <c r="I40" s="29" t="n"/>
      <c r="J40" s="49" t="n"/>
      <c r="K40" s="51" t="n"/>
      <c r="L40" s="29" t="n"/>
      <c r="M40" s="29" t="n"/>
      <c r="N40" s="29" t="n"/>
      <c r="O40" s="29" t="n"/>
      <c r="P40" s="29" t="n"/>
      <c r="Q40" s="29" t="n"/>
      <c r="R40" s="29" t="n"/>
    </row>
    <row r="41" ht="54" customHeight="1">
      <c r="A41" s="29" t="n"/>
      <c r="B41" s="29" t="n"/>
      <c r="C41" s="29" t="n"/>
      <c r="D41" s="29" t="n"/>
      <c r="E41" s="29" t="n"/>
      <c r="F41" s="29" t="n"/>
      <c r="G41" s="29" t="n"/>
      <c r="H41" s="29" t="n"/>
      <c r="I41" s="29" t="n"/>
      <c r="J41" s="49" t="n"/>
      <c r="K41" s="51" t="n"/>
      <c r="L41" s="29" t="n"/>
      <c r="M41" s="29" t="n"/>
      <c r="N41" s="29" t="n"/>
      <c r="O41" s="29" t="n"/>
      <c r="P41" s="29" t="n"/>
      <c r="Q41" s="29" t="n"/>
      <c r="R41" s="29" t="n"/>
    </row>
    <row r="42" ht="54" customHeight="1">
      <c r="A42" s="29" t="n"/>
      <c r="B42" s="29" t="n"/>
      <c r="C42" s="29" t="n"/>
      <c r="D42" s="29" t="n"/>
      <c r="E42" s="29" t="n"/>
      <c r="F42" s="29" t="n"/>
      <c r="G42" s="29" t="n"/>
      <c r="H42" s="29" t="n"/>
      <c r="I42" s="29" t="n"/>
      <c r="J42" s="49" t="n"/>
      <c r="K42" s="51" t="n"/>
      <c r="L42" s="29" t="n"/>
      <c r="M42" s="29" t="n"/>
      <c r="N42" s="29" t="n"/>
      <c r="O42" s="29" t="n"/>
      <c r="P42" s="29" t="n"/>
      <c r="Q42" s="29" t="n"/>
      <c r="R42" s="29" t="n"/>
    </row>
    <row r="43" ht="54" customHeight="1">
      <c r="A43" s="29" t="n"/>
      <c r="B43" s="29" t="n"/>
      <c r="C43" s="29" t="n"/>
      <c r="D43" s="29" t="n"/>
      <c r="E43" s="29" t="n"/>
      <c r="F43" s="29" t="n"/>
      <c r="G43" s="29" t="n"/>
      <c r="H43" s="29" t="n"/>
      <c r="I43" s="29" t="n"/>
      <c r="J43" s="49" t="n"/>
      <c r="K43" s="51" t="n"/>
      <c r="L43" s="29" t="n"/>
      <c r="M43" s="29" t="n"/>
      <c r="N43" s="29" t="n"/>
      <c r="O43" s="29" t="n"/>
      <c r="P43" s="29" t="n"/>
      <c r="Q43" s="29" t="n"/>
      <c r="R43" s="29" t="n"/>
    </row>
    <row r="44" ht="54" customHeight="1">
      <c r="A44" s="29" t="n"/>
      <c r="B44" s="29" t="n"/>
      <c r="C44" s="29" t="n"/>
      <c r="D44" s="29" t="n"/>
      <c r="E44" s="29" t="n"/>
      <c r="F44" s="29" t="n"/>
      <c r="G44" s="29" t="n"/>
      <c r="H44" s="29" t="n"/>
      <c r="I44" s="29" t="n"/>
      <c r="J44" s="49" t="n"/>
      <c r="K44" s="51" t="n"/>
      <c r="L44" s="29" t="n"/>
      <c r="M44" s="29" t="n"/>
      <c r="N44" s="29" t="n"/>
      <c r="O44" s="29" t="n"/>
      <c r="P44" s="29" t="n"/>
      <c r="Q44" s="29" t="n"/>
      <c r="R44" s="29" t="n"/>
    </row>
    <row r="45" ht="54" customHeight="1">
      <c r="A45" s="29" t="n"/>
      <c r="B45" s="29" t="n"/>
      <c r="C45" s="29" t="n"/>
      <c r="D45" s="29" t="n"/>
      <c r="E45" s="29" t="n"/>
      <c r="F45" s="29" t="n"/>
      <c r="G45" s="29" t="n"/>
      <c r="H45" s="29" t="n"/>
      <c r="I45" s="29" t="n"/>
      <c r="J45" s="49" t="n"/>
      <c r="K45" s="51" t="n"/>
      <c r="L45" s="29" t="n"/>
      <c r="M45" s="29" t="n"/>
      <c r="N45" s="29" t="n"/>
      <c r="O45" s="29" t="n"/>
      <c r="P45" s="29" t="n"/>
      <c r="Q45" s="29" t="n"/>
      <c r="R45" s="29" t="n"/>
    </row>
    <row r="46" ht="54" customHeight="1">
      <c r="A46" s="29" t="n"/>
      <c r="B46" s="29" t="n"/>
      <c r="C46" s="29" t="n"/>
      <c r="D46" s="29" t="n"/>
      <c r="E46" s="29" t="n"/>
      <c r="F46" s="29" t="n"/>
      <c r="G46" s="29" t="n"/>
      <c r="H46" s="29" t="n"/>
      <c r="I46" s="29" t="n"/>
      <c r="J46" s="49" t="n"/>
      <c r="K46" s="51" t="n"/>
      <c r="L46" s="29" t="n"/>
      <c r="M46" s="29" t="n"/>
      <c r="N46" s="29" t="n"/>
      <c r="O46" s="29" t="n"/>
      <c r="P46" s="29" t="n"/>
      <c r="Q46" s="29" t="n"/>
      <c r="R46" s="29" t="n"/>
    </row>
    <row r="47" ht="54" customHeight="1">
      <c r="A47" s="29" t="n"/>
      <c r="B47" s="29" t="n"/>
      <c r="C47" s="29" t="n"/>
      <c r="D47" s="29" t="n"/>
      <c r="E47" s="29" t="n"/>
      <c r="F47" s="29" t="n"/>
      <c r="G47" s="29" t="n"/>
      <c r="H47" s="29" t="n"/>
      <c r="I47" s="29" t="n"/>
      <c r="J47" s="49" t="n"/>
      <c r="K47" s="51" t="n"/>
      <c r="L47" s="29" t="n"/>
      <c r="M47" s="29" t="n"/>
      <c r="N47" s="29" t="n"/>
      <c r="O47" s="29" t="n"/>
      <c r="P47" s="29" t="n"/>
      <c r="Q47" s="29" t="n"/>
      <c r="R47" s="29" t="n"/>
    </row>
  </sheetData>
  <mergeCells count="1">
    <mergeCell ref="A3:H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F8:F47">
    <cfRule type="expression" priority="5" dxfId="1">
      <formula>AND($A8&lt;&gt;"",ISBLANK(F8))</formula>
    </cfRule>
  </conditionalFormatting>
  <conditionalFormatting sqref="I8:I47">
    <cfRule type="expression" priority="6" dxfId="1">
      <formula>AND($A8&lt;&gt;"",ISBLANK(I8))</formula>
    </cfRule>
  </conditionalFormatting>
  <conditionalFormatting sqref="J8:J47">
    <cfRule type="expression" priority="7" dxfId="1">
      <formula>AND($A8&lt;&gt;"",ISBLANK(J8))</formula>
    </cfRule>
  </conditionalFormatting>
  <conditionalFormatting sqref="K8:K47">
    <cfRule type="expression" priority="8" dxfId="1">
      <formula>AND($A8&lt;&gt;"",ISBLANK(K8))</formula>
    </cfRule>
  </conditionalFormatting>
  <conditionalFormatting sqref="L8:L47">
    <cfRule type="expression" priority="9" dxfId="1">
      <formula>AND($A8&lt;&gt;"",ISBLANK(L8))</formula>
    </cfRule>
  </conditionalFormatting>
  <conditionalFormatting sqref="M8:M47">
    <cfRule type="expression" priority="10" dxfId="1">
      <formula>AND($A8&lt;&gt;"",ISBLANK(M8))</formula>
    </cfRule>
  </conditionalFormatting>
  <conditionalFormatting sqref="N8:N47">
    <cfRule type="expression" priority="11" dxfId="1">
      <formula>AND($A8&lt;&gt;"",ISBLANK(N8))</formula>
    </cfRule>
  </conditionalFormatting>
  <dataValidations count="2">
    <dataValidation sqref="L8:L47" showDropDown="0" showInputMessage="0" showErrorMessage="0" allowBlank="0" type="list">
      <formula1>"Evet,Hayır"</formula1>
    </dataValidation>
    <dataValidation sqref="M8:M4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8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48" customWidth="1" min="5" max="5"/>
    <col width="20" customWidth="1" min="6" max="6"/>
    <col width="28" customWidth="1" min="7" max="7"/>
  </cols>
  <sheetData>
    <row r="1" ht="30" customHeight="1">
      <c r="A1" s="2" t="n"/>
      <c r="B1" s="2" t="n"/>
      <c r="C1" s="2" t="n"/>
      <c r="D1" s="2" t="n"/>
      <c r="E1" s="2" t="n"/>
      <c r="F1" s="2" t="n"/>
      <c r="G1" s="2" t="n"/>
    </row>
    <row r="2" ht="30" customHeight="1">
      <c r="A2" s="19" t="inlineStr">
        <is>
          <t>Corteqs · Doğrudan kurum ve işlem bağlantıları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Zorunlu</t>
        </is>
      </c>
    </row>
    <row r="6" ht="44" customHeight="1">
      <c r="A6" s="25" t="inlineStr">
        <is>
          <t>Bağlantı kimliği</t>
        </is>
      </c>
      <c r="B6" s="25" t="inlineStr">
        <is>
          <t>Şehir kimliği</t>
        </is>
      </c>
      <c r="C6" s="25" t="inlineStr">
        <is>
          <t>İçerik kimliği</t>
        </is>
      </c>
      <c r="D6" s="25" t="inlineStr">
        <is>
          <t>Bağlantı metni</t>
        </is>
      </c>
      <c r="E6" s="25" t="inlineStr">
        <is>
          <t>Doğrudan bağlantı</t>
        </is>
      </c>
      <c r="F6" s="25" t="inlineStr">
        <is>
          <t>Bağlantı kontrol tarihi</t>
        </is>
      </c>
      <c r="G6" s="25" t="inlineStr">
        <is>
          <t>Sıra</t>
        </is>
      </c>
    </row>
    <row r="7" ht="32" customHeight="1">
      <c r="A7" s="28" t="inlineStr">
        <is>
          <t>action_id</t>
        </is>
      </c>
      <c r="B7" s="28" t="inlineStr">
        <is>
          <t>city_id</t>
        </is>
      </c>
      <c r="C7" s="28" t="inlineStr">
        <is>
          <t>entry_id</t>
        </is>
      </c>
      <c r="D7" s="28" t="inlineStr">
        <is>
          <t>label</t>
        </is>
      </c>
      <c r="E7" s="28" t="inlineStr">
        <is>
          <t>url</t>
        </is>
      </c>
      <c r="F7" s="28" t="inlineStr">
        <is>
          <t>checked_on</t>
        </is>
      </c>
      <c r="G7" s="28" t="inlineStr">
        <is>
          <t>order</t>
        </is>
      </c>
    </row>
    <row r="8" ht="54" customHeight="1">
      <c r="A8" s="29" t="inlineStr">
        <is>
          <t>malaga:action:egitim-sistemi-zorunlu-egitim-ve-okul-turleri-1</t>
        </is>
      </c>
      <c r="B8" s="29" t="inlineStr">
        <is>
          <t>malaga</t>
        </is>
      </c>
      <c r="C8" s="29" t="inlineStr">
        <is>
          <t>malaga:egitim-sistemi-zorunlu-egitim-ve-okul-turleri</t>
        </is>
      </c>
      <c r="D8" s="29" t="inlineStr">
        <is>
          <t>Bilgi al</t>
        </is>
      </c>
      <c r="E8" s="29" t="inlineStr">
        <is>
          <t>https://www.boe.es/buscar/act.php?id=BOE-A-2006-7899</t>
        </is>
      </c>
      <c r="F8" s="49" t="n">
        <v>46319</v>
      </c>
      <c r="G8" s="51" t="n">
        <v>1</v>
      </c>
    </row>
    <row r="9" ht="54" customHeight="1">
      <c r="A9" s="29" t="inlineStr">
        <is>
          <t>malaga:action:yabanci-lise-diplomasi-ile-universiteye-giris-1</t>
        </is>
      </c>
      <c r="B9" s="29" t="inlineStr">
        <is>
          <t>malaga</t>
        </is>
      </c>
      <c r="C9" s="29" t="inlineStr">
        <is>
          <t>malaga:yabanci-lise-diplomasi-ile-universiteye-giris</t>
        </is>
      </c>
      <c r="D9" s="29" t="inlineStr">
        <is>
          <t>Bilgi al</t>
        </is>
      </c>
      <c r="E9" s="29" t="inlineStr">
        <is>
          <t>https://unedasiss.uned.es/publico_destino</t>
        </is>
      </c>
      <c r="F9" s="49" t="n">
        <v>46319</v>
      </c>
      <c r="G9" s="51" t="n">
        <v>1</v>
      </c>
    </row>
    <row r="10" ht="54" customHeight="1">
      <c r="A10" s="29" t="inlineStr">
        <is>
          <t>malaga:action:yabanci-lise-diplomasi-ile-universiteye-giris-2</t>
        </is>
      </c>
      <c r="B10" s="29" t="inlineStr">
        <is>
          <t>malaga</t>
        </is>
      </c>
      <c r="C10" s="29" t="inlineStr">
        <is>
          <t>malaga:yabanci-lise-diplomasi-ile-universiteye-giris</t>
        </is>
      </c>
      <c r="D10" s="29" t="inlineStr">
        <is>
          <t>Bilgi al</t>
        </is>
      </c>
      <c r="E10" s="29" t="inlineStr">
        <is>
          <t>https://www.boe.es/buscar/act.php?id=BOE-A-2024-11858</t>
        </is>
      </c>
      <c r="F10" s="49" t="n">
        <v>46319</v>
      </c>
      <c r="G10" s="51" t="n">
        <v>2</v>
      </c>
    </row>
    <row r="11" ht="54" customHeight="1">
      <c r="A11" s="29" t="inlineStr">
        <is>
          <t>malaga:action:ingreso-minimo-vital-ve-cocuk-destegi-1</t>
        </is>
      </c>
      <c r="B11" s="29" t="inlineStr">
        <is>
          <t>malaga</t>
        </is>
      </c>
      <c r="C11" s="29" t="inlineStr">
        <is>
          <t>malaga:ingreso-minimo-vital-ve-cocuk-destegi</t>
        </is>
      </c>
      <c r="D11" s="29" t="inlineStr">
        <is>
          <t>Bilgi al</t>
        </is>
      </c>
      <c r="E11" s="29" t="inlineStr">
        <is>
          <t>https://www.seg-social.es/wps/portal/wss/internet/Trabajadores/PrestacionesPensionesTrabajadores/65850d68-8d06-4645-bde7-05374ee42ac7</t>
        </is>
      </c>
      <c r="F11" s="49" t="n">
        <v>46319</v>
      </c>
      <c r="G11" s="51" t="n">
        <v>1</v>
      </c>
    </row>
    <row r="12" ht="54" customHeight="1">
      <c r="A12" s="29" t="inlineStr">
        <is>
          <t>malaga:action:ingreso-minimo-vital-ve-cocuk-destegi-2</t>
        </is>
      </c>
      <c r="B12" s="29" t="inlineStr">
        <is>
          <t>malaga</t>
        </is>
      </c>
      <c r="C12" s="29" t="inlineStr">
        <is>
          <t>malaga:ingreso-minimo-vital-ve-cocuk-destegi</t>
        </is>
      </c>
      <c r="D12" s="29" t="inlineStr">
        <is>
          <t>Bilgi al</t>
        </is>
      </c>
      <c r="E12" s="29" t="inlineStr">
        <is>
          <t>https://www.boe.es/buscar/act.php?id=BOE-A-2021-21007</t>
        </is>
      </c>
      <c r="F12" s="49" t="n">
        <v>46319</v>
      </c>
      <c r="G12" s="51" t="n">
        <v>2</v>
      </c>
    </row>
    <row r="13" ht="54" customHeight="1">
      <c r="A13" s="29" t="inlineStr">
        <is>
          <t>malaga:action:mec-burslari-ab-disi-sart-ve-basvuru-donemi-1</t>
        </is>
      </c>
      <c r="B13" s="29" t="inlineStr">
        <is>
          <t>malaga</t>
        </is>
      </c>
      <c r="C13" s="29" t="inlineStr">
        <is>
          <t>malaga:mec-burslari-ab-disi-sart-ve-basvuru-donemi</t>
        </is>
      </c>
      <c r="D13" s="29" t="inlineStr">
        <is>
          <t>Bilgi al</t>
        </is>
      </c>
      <c r="E13" s="29" t="inlineStr">
        <is>
          <t>https://www.becaseducacion.gob.es/becas-y-ayudas/universidad-grado-master/que-necesitas.html</t>
        </is>
      </c>
      <c r="F13" s="49" t="n">
        <v>46319</v>
      </c>
      <c r="G13" s="51" t="n">
        <v>1</v>
      </c>
    </row>
    <row r="14" ht="54" customHeight="1">
      <c r="A14" s="29" t="inlineStr">
        <is>
          <t>malaga:action:mec-burslari-ab-disi-sart-ve-basvuru-donemi-2</t>
        </is>
      </c>
      <c r="B14" s="29" t="inlineStr">
        <is>
          <t>malaga</t>
        </is>
      </c>
      <c r="C14" s="29" t="inlineStr">
        <is>
          <t>malaga:mec-burslari-ab-disi-sart-ve-basvuru-donemi</t>
        </is>
      </c>
      <c r="D14" s="29" t="inlineStr">
        <is>
          <t>Bilgi al</t>
        </is>
      </c>
      <c r="E14" s="29" t="inlineStr">
        <is>
          <t>https://www.becaseducacion.gob.es/becas-y-ayudas/fp-bachillerato-otros/como-solicitarla.html</t>
        </is>
      </c>
      <c r="F14" s="49" t="n">
        <v>46319</v>
      </c>
      <c r="G14" s="51" t="n">
        <v>2</v>
      </c>
    </row>
    <row r="15" ht="54" customHeight="1">
      <c r="A15" s="29" t="inlineStr">
        <is>
          <t>malaga:action:endulus-okul-kaydi-basvuru-donemi-ve-gec-gelen-ogrenci-1</t>
        </is>
      </c>
      <c r="B15" s="29" t="inlineStr">
        <is>
          <t>malaga</t>
        </is>
      </c>
      <c r="C15" s="29" t="inlineStr">
        <is>
          <t>malaga:endulus-okul-kaydi-basvuru-donemi-ve-gec-gelen-ogrenci</t>
        </is>
      </c>
      <c r="D15" s="29" t="inlineStr">
        <is>
          <t>Bilgi al</t>
        </is>
      </c>
      <c r="E15" s="29" t="inlineStr">
        <is>
          <t>https://www.juntadeandalucia.es/educacion/portales/web/escolarizacion/infantil-a-bachillerato/preguntas-frecuentes</t>
        </is>
      </c>
      <c r="F15" s="49" t="n">
        <v>46319</v>
      </c>
      <c r="G15" s="51" t="n">
        <v>1</v>
      </c>
    </row>
    <row r="16" ht="54" customHeight="1">
      <c r="A16" s="29" t="inlineStr">
        <is>
          <t>malaga:action:endulus-okul-kaydi-basvuru-donemi-ve-gec-gelen-ogrenci-2</t>
        </is>
      </c>
      <c r="B16" s="29" t="inlineStr">
        <is>
          <t>malaga</t>
        </is>
      </c>
      <c r="C16" s="29" t="inlineStr">
        <is>
          <t>malaga:endulus-okul-kaydi-basvuru-donemi-ve-gec-gelen-ogrenci</t>
        </is>
      </c>
      <c r="D16" s="29" t="inlineStr">
        <is>
          <t>Bilgi al</t>
        </is>
      </c>
      <c r="E16" s="29" t="inlineStr">
        <is>
          <t>https://www.juntadeandalucia.es/boja/2020/34/1</t>
        </is>
      </c>
      <c r="F16" s="49" t="n">
        <v>46319</v>
      </c>
      <c r="G16" s="51" t="n">
        <v>2</v>
      </c>
    </row>
    <row r="17" ht="54" customHeight="1">
      <c r="A17" s="29" t="inlineStr">
        <is>
          <t>malaga:action:okul-basvurusu-sonrasi-puanlama-kura-ve-kesin-kayit-1</t>
        </is>
      </c>
      <c r="B17" s="29" t="inlineStr">
        <is>
          <t>malaga</t>
        </is>
      </c>
      <c r="C17" s="29" t="inlineStr">
        <is>
          <t>malaga:okul-basvurusu-sonrasi-puanlama-kura-ve-kesin-kayit</t>
        </is>
      </c>
      <c r="D17" s="29" t="inlineStr">
        <is>
          <t>Bilgi al</t>
        </is>
      </c>
      <c r="E17" s="29" t="inlineStr">
        <is>
          <t>https://www.juntadeandalucia.es/educacion/portales/web/escolarizacion/infantil-a-bachillerato/calendario</t>
        </is>
      </c>
      <c r="F17" s="49" t="n">
        <v>46322</v>
      </c>
      <c r="G17" s="51" t="n">
        <v>1</v>
      </c>
    </row>
    <row r="18" ht="54" customHeight="1">
      <c r="A18" s="29" t="inlineStr">
        <is>
          <t>malaga:action:okul-basvurusu-sonrasi-puanlama-kura-ve-kesin-kayit-2</t>
        </is>
      </c>
      <c r="B18" s="29" t="inlineStr">
        <is>
          <t>malaga</t>
        </is>
      </c>
      <c r="C18" s="29" t="inlineStr">
        <is>
          <t>malaga:okul-basvurusu-sonrasi-puanlama-kura-ve-kesin-kayit</t>
        </is>
      </c>
      <c r="D18" s="29" t="inlineStr">
        <is>
          <t>Bilgi al</t>
        </is>
      </c>
      <c r="E18" s="29" t="inlineStr">
        <is>
          <t>https://www.juntadeandalucia.es/educacion/portales/web/escolarizacion/infantil-a-bachillerato/preguntas-frecuentes</t>
        </is>
      </c>
      <c r="F18" s="49" t="n">
        <v>46322</v>
      </c>
      <c r="G18" s="51" t="n">
        <v>2</v>
      </c>
    </row>
    <row r="19" ht="54" customHeight="1">
      <c r="A19" s="29" t="inlineStr">
        <is>
          <t>malaga:action:okul-bulma-iescolariza-ve-etki-alani-1</t>
        </is>
      </c>
      <c r="B19" s="29" t="inlineStr">
        <is>
          <t>malaga</t>
        </is>
      </c>
      <c r="C19" s="29" t="inlineStr">
        <is>
          <t>malaga:okul-bulma-iescolariza-ve-etki-alani</t>
        </is>
      </c>
      <c r="D19" s="29" t="inlineStr">
        <is>
          <t>Bilgi al</t>
        </is>
      </c>
      <c r="E19" s="29" t="inlineStr">
        <is>
          <t>https://www.juntadeandalucia.es/educacion/portales/web/escolarizacion/infantil-a-bachillerato</t>
        </is>
      </c>
      <c r="F19" s="49" t="n">
        <v>46322</v>
      </c>
      <c r="G19" s="51" t="n">
        <v>1</v>
      </c>
    </row>
    <row r="20" ht="54" customHeight="1">
      <c r="A20" s="29" t="inlineStr">
        <is>
          <t>malaga:action:okul-bulma-iescolariza-ve-etki-alani-2</t>
        </is>
      </c>
      <c r="B20" s="29" t="inlineStr">
        <is>
          <t>malaga</t>
        </is>
      </c>
      <c r="C20" s="29" t="inlineStr">
        <is>
          <t>malaga:okul-bulma-iescolariza-ve-etki-alani</t>
        </is>
      </c>
      <c r="D20" s="29" t="inlineStr">
        <is>
          <t>Bilgi al</t>
        </is>
      </c>
      <c r="E20" s="29" t="inlineStr">
        <is>
          <t>https://www.juntadeandalucia.es/educacion/portales/web/escolarizacion/infantil-a-bachillerato/preguntas-frecuentes</t>
        </is>
      </c>
      <c r="F20" s="49" t="n">
        <v>46322</v>
      </c>
      <c r="G20" s="51" t="n">
        <v>2</v>
      </c>
    </row>
    <row r="21" ht="54" customHeight="1">
      <c r="A21" s="29" t="inlineStr">
        <is>
          <t>malaga:action:okul-puanlama-olcutleri-kardes-adres-engel-ve-belgeler-1</t>
        </is>
      </c>
      <c r="B21" s="29" t="inlineStr">
        <is>
          <t>malaga</t>
        </is>
      </c>
      <c r="C21" s="29" t="inlineStr">
        <is>
          <t>malaga:okul-puanlama-olcutleri-kardes-adres-engel-ve-belgeler</t>
        </is>
      </c>
      <c r="D21" s="29" t="inlineStr">
        <is>
          <t>Bilgi al</t>
        </is>
      </c>
      <c r="E21" s="29" t="inlineStr">
        <is>
          <t>https://www.juntadeandalucia.es/educacion/portales/web/escolarizacion/infantil-a-bachillerato/preguntas-frecuentes</t>
        </is>
      </c>
      <c r="F21" s="49" t="n">
        <v>46322</v>
      </c>
      <c r="G21" s="51" t="n">
        <v>1</v>
      </c>
    </row>
    <row r="22" ht="54" customHeight="1">
      <c r="A22" s="29" t="inlineStr">
        <is>
          <t>malaga:action:kres-0-3-yas-basvuru-takvimi-ve-ucretsiz-yer-1</t>
        </is>
      </c>
      <c r="B22" s="29" t="inlineStr">
        <is>
          <t>malaga</t>
        </is>
      </c>
      <c r="C22" s="29" t="inlineStr">
        <is>
          <t>malaga:kres-0-3-yas-basvuru-takvimi-ve-ucretsiz-yer</t>
        </is>
      </c>
      <c r="D22" s="29" t="inlineStr">
        <is>
          <t>Bilgi al</t>
        </is>
      </c>
      <c r="E22" s="29" t="inlineStr">
        <is>
          <t>https://www.juntadeandalucia.es/educacion/portales/web/escolarizacion/0-a-3-anos</t>
        </is>
      </c>
      <c r="F22" s="49" t="n">
        <v>46322</v>
      </c>
      <c r="G22" s="51" t="n">
        <v>1</v>
      </c>
    </row>
    <row r="23" ht="54" customHeight="1">
      <c r="A23" s="29" t="inlineStr">
        <is>
          <t>malaga:action:kres-0-3-yas-basvuru-takvimi-ve-ucretsiz-yer-2</t>
        </is>
      </c>
      <c r="B23" s="29" t="inlineStr">
        <is>
          <t>malaga</t>
        </is>
      </c>
      <c r="C23" s="29" t="inlineStr">
        <is>
          <t>malaga:kres-0-3-yas-basvuru-takvimi-ve-ucretsiz-yer</t>
        </is>
      </c>
      <c r="D23" s="29" t="inlineStr">
        <is>
          <t>Bilgi al</t>
        </is>
      </c>
      <c r="E23" s="29" t="inlineStr">
        <is>
          <t>https://www.juntadeandalucia.es/educacion/portales/web/escolarizacion/0-a-3-anos/calendario</t>
        </is>
      </c>
      <c r="F23" s="49" t="n">
        <v>46322</v>
      </c>
      <c r="G23" s="51" t="n">
        <v>2</v>
      </c>
    </row>
    <row r="24" ht="54" customHeight="1">
      <c r="A24" s="29" t="inlineStr">
        <is>
          <t>malaga:action:ispanyolca-bilmeyen-cocuga-okulda-dil-destegi-atal-1</t>
        </is>
      </c>
      <c r="B24" s="29" t="inlineStr">
        <is>
          <t>malaga</t>
        </is>
      </c>
      <c r="C24" s="29" t="inlineStr">
        <is>
          <t>malaga:ispanyolca-bilmeyen-cocuga-okulda-dil-destegi-atal</t>
        </is>
      </c>
      <c r="D24" s="29" t="inlineStr">
        <is>
          <t>Bilgi al</t>
        </is>
      </c>
      <c r="E24" s="29" t="inlineStr">
        <is>
          <t>https://www.juntadeandalucia.es/temas/estudiar/primaria-eso/integracion.html</t>
        </is>
      </c>
      <c r="F24" s="49" t="n">
        <v>46322</v>
      </c>
      <c r="G24" s="51" t="n">
        <v>1</v>
      </c>
    </row>
    <row r="25" ht="54" customHeight="1">
      <c r="A25" s="29" t="inlineStr">
        <is>
          <t>malaga:action:ucretsiz-ders-kitabi-cheque-libro-ve-ipasen-1</t>
        </is>
      </c>
      <c r="B25" s="29" t="inlineStr">
        <is>
          <t>malaga</t>
        </is>
      </c>
      <c r="C25" s="29" t="inlineStr">
        <is>
          <t>malaga:ucretsiz-ders-kitabi-cheque-libro-ve-ipasen</t>
        </is>
      </c>
      <c r="D25" s="29" t="inlineStr">
        <is>
          <t>Bilgi al</t>
        </is>
      </c>
      <c r="E25" s="29" t="inlineStr">
        <is>
          <t>https://www.juntadeandalucia.es/temas/estudiar/becas/libros-texto.html</t>
        </is>
      </c>
      <c r="F25" s="49" t="n">
        <v>46322</v>
      </c>
      <c r="G25" s="51" t="n">
        <v>1</v>
      </c>
    </row>
    <row r="26" ht="54" customHeight="1">
      <c r="A26" s="29" t="inlineStr">
        <is>
          <t>malaga:action:ucretsiz-ders-kitabi-cheque-libro-ve-ipasen-2</t>
        </is>
      </c>
      <c r="B26" s="29" t="inlineStr">
        <is>
          <t>malaga</t>
        </is>
      </c>
      <c r="C26" s="29" t="inlineStr">
        <is>
          <t>malaga:ucretsiz-ders-kitabi-cheque-libro-ve-ipasen</t>
        </is>
      </c>
      <c r="D26" s="29" t="inlineStr">
        <is>
          <t>Bilgi al</t>
        </is>
      </c>
      <c r="E26" s="29" t="inlineStr">
        <is>
          <t>https://www.juntadeandalucia.es/educacion/portales/malaga/contacto</t>
        </is>
      </c>
      <c r="F26" s="49" t="n">
        <v>46322</v>
      </c>
      <c r="G26" s="51" t="n">
        <v>2</v>
      </c>
    </row>
    <row r="27" ht="54" customHeight="1">
      <c r="A27" s="29" t="inlineStr">
        <is>
          <t>malaga:action:okul-yemegi-aula-matinal-ve-etkinlik-basvurusu-ve-bonificacion-1</t>
        </is>
      </c>
      <c r="B27" s="29" t="inlineStr">
        <is>
          <t>malaga</t>
        </is>
      </c>
      <c r="C27" s="29" t="inlineStr">
        <is>
          <t>malaga:okul-yemegi-aula-matinal-ve-etkinlik-basvurusu-ve-bonificacion</t>
        </is>
      </c>
      <c r="D27" s="29" t="inlineStr">
        <is>
          <t>Bilgi al</t>
        </is>
      </c>
      <c r="E27" s="29" t="inlineStr">
        <is>
          <t>https://www.juntadeandalucia.es/educacion/portales/web/escolarizacion/infantil-a-bachillerato/preguntas-frecuentes</t>
        </is>
      </c>
      <c r="F27" s="49" t="n">
        <v>46322</v>
      </c>
      <c r="G27" s="51" t="n">
        <v>1</v>
      </c>
    </row>
    <row r="28" ht="54" customHeight="1">
      <c r="A28" s="29" t="inlineStr">
        <is>
          <t>malaga:action:dogan-bebegin-registro-civil-kaydi-sure-belge-ve-ucret-1</t>
        </is>
      </c>
      <c r="B28" s="29" t="inlineStr">
        <is>
          <t>malaga</t>
        </is>
      </c>
      <c r="C28" s="29" t="inlineStr">
        <is>
          <t>malaga:dogan-bebegin-registro-civil-kaydi-sure-belge-ve-ucret</t>
        </is>
      </c>
      <c r="D28" s="29" t="inlineStr">
        <is>
          <t>Bilgi al</t>
        </is>
      </c>
      <c r="E28" s="29" t="inlineStr">
        <is>
          <t>https://administracion.gob.es/tu-espacio-europeo/derechos-obligaciones/ciudadanos/familia/menores/nacimiento</t>
        </is>
      </c>
      <c r="F28" s="49" t="n">
        <v>46322</v>
      </c>
      <c r="G28" s="51" t="n">
        <v>1</v>
      </c>
    </row>
    <row r="29" ht="54" customHeight="1">
      <c r="A29" s="29" t="inlineStr">
        <is>
          <t>malaga:action:dogan-bebegin-registro-civil-kaydi-sure-belge-ve-ucret-2</t>
        </is>
      </c>
      <c r="B29" s="29" t="inlineStr">
        <is>
          <t>malaga</t>
        </is>
      </c>
      <c r="C29" s="29" t="inlineStr">
        <is>
          <t>malaga:dogan-bebegin-registro-civil-kaydi-sure-belge-ve-ucret</t>
        </is>
      </c>
      <c r="D29" s="29" t="inlineStr">
        <is>
          <t>Bilgi al</t>
        </is>
      </c>
      <c r="E29" s="29" t="inlineStr">
        <is>
          <t>https://www.juntadeandalucia.es/organismos/justiciaadministracionlocalyfuncionpublica/areas/justicia/atencion-ciudadania/tramites-registro-civil/inscripcion-recien-nacido.html</t>
        </is>
      </c>
      <c r="F29" s="49" t="n">
        <v>46322</v>
      </c>
      <c r="G29" s="51" t="n">
        <v>2</v>
      </c>
    </row>
    <row r="30" ht="54" customHeight="1">
      <c r="A30" s="29" t="inlineStr">
        <is>
          <t>malaga:action:malaga-registro-civil-ofisi-ve-bebegin-padron-kaydi-1</t>
        </is>
      </c>
      <c r="B30" s="29" t="inlineStr">
        <is>
          <t>malaga</t>
        </is>
      </c>
      <c r="C30" s="29" t="inlineStr">
        <is>
          <t>malaga:malaga-registro-civil-ofisi-ve-bebegin-padron-kaydi</t>
        </is>
      </c>
      <c r="D30" s="29" t="inlineStr">
        <is>
          <t>Bilgi al</t>
        </is>
      </c>
      <c r="E30" s="29" t="inlineStr">
        <is>
          <t>https://www.mjusticia.gob.es/BUSCADIR/ServletControlador?apartado=buscadorMunicipios&amp;municipio=29067&amp;lang=es_es&amp;tipo=RC</t>
        </is>
      </c>
      <c r="F30" s="49" t="n">
        <v>46322</v>
      </c>
      <c r="G30" s="51" t="n">
        <v>1</v>
      </c>
    </row>
    <row r="31" ht="54" customHeight="1">
      <c r="A31" s="29" t="inlineStr">
        <is>
          <t>malaga:action:malaga-registro-civil-ofisi-ve-bebegin-padron-kaydi-2</t>
        </is>
      </c>
      <c r="B31" s="29" t="inlineStr">
        <is>
          <t>malaga</t>
        </is>
      </c>
      <c r="C31" s="29" t="inlineStr">
        <is>
          <t>malaga:malaga-registro-civil-ofisi-ve-bebegin-padron-kaydi</t>
        </is>
      </c>
      <c r="D31" s="29" t="inlineStr">
        <is>
          <t>Bilgi al</t>
        </is>
      </c>
      <c r="E31" s="29" t="inlineStr">
        <is>
          <t>https://gestrisam.malaga.eu/atencion-a-la-ciudadania/padron-de-habitantes/</t>
        </is>
      </c>
      <c r="F31" s="49" t="n">
        <v>46322</v>
      </c>
      <c r="G31" s="51" t="n">
        <v>2</v>
      </c>
    </row>
    <row r="32" ht="54" customHeight="1">
      <c r="A32" s="29" t="inlineStr">
        <is>
          <t>malaga:action:3-yas-alti-cocuk-anne-vergi-indirimi-deduccion-por-maternidad-1</t>
        </is>
      </c>
      <c r="B32" s="29" t="inlineStr">
        <is>
          <t>malaga</t>
        </is>
      </c>
      <c r="C32" s="29" t="inlineStr">
        <is>
          <t>malaga:3-yas-alti-cocuk-anne-vergi-indirimi-deduccion-por-maternidad</t>
        </is>
      </c>
      <c r="D32" s="29" t="inlineStr">
        <is>
          <t>Bilgi al</t>
        </is>
      </c>
      <c r="E32" s="29" t="inlineStr">
        <is>
          <t>https://sede.agenciatributaria.gob.es/Sede/ciudadanos-familias-personas-discapacidad/deducciones-relacionadas-hijos-descendientes/deduccion-maternidad/importe-deduccion.html</t>
        </is>
      </c>
      <c r="F32" s="49" t="n">
        <v>46322</v>
      </c>
      <c r="G32" s="51" t="n">
        <v>1</v>
      </c>
    </row>
    <row r="33" ht="54" customHeight="1">
      <c r="A33" s="29" t="inlineStr">
        <is>
          <t>malaga:action:endulus-cocuklu-aileler-icin-yardim-ve-destek-listesi-1</t>
        </is>
      </c>
      <c r="B33" s="29" t="inlineStr">
        <is>
          <t>malaga</t>
        </is>
      </c>
      <c r="C33" s="29" t="inlineStr">
        <is>
          <t>malaga:endulus-cocuklu-aileler-icin-yardim-ve-destek-listesi</t>
        </is>
      </c>
      <c r="D33" s="29" t="inlineStr">
        <is>
          <t>Bilgi al</t>
        </is>
      </c>
      <c r="E33" s="29" t="inlineStr">
        <is>
          <t>https://www.juntadeandalucia.es/organismos/sanidadpresidenciayemergencias/areas/sanidad/salud-vida/adulta/paginas/ive-maternidad.html</t>
        </is>
      </c>
      <c r="F33" s="49" t="n">
        <v>46322</v>
      </c>
      <c r="G33" s="51" t="n">
        <v>1</v>
      </c>
    </row>
    <row r="34" ht="54" customHeight="1">
      <c r="A34" s="29" t="inlineStr">
        <is>
          <t>malaga:action:malaga-sosyal-hizmetler-merkezi-cssc-ve-aile-ekonomik-yardimi-1</t>
        </is>
      </c>
      <c r="B34" s="29" t="inlineStr">
        <is>
          <t>malaga</t>
        </is>
      </c>
      <c r="C34" s="29" t="inlineStr">
        <is>
          <t>malaga:malaga-sosyal-hizmetler-merkezi-cssc-ve-aile-ekonomik-yardimi</t>
        </is>
      </c>
      <c r="D34" s="29" t="inlineStr">
        <is>
          <t>Bilgi al</t>
        </is>
      </c>
      <c r="E34" s="29" t="inlineStr">
        <is>
          <t>https://derechossociales.malaga.eu/servicios-sociales-comunitarios/centros/</t>
        </is>
      </c>
      <c r="F34" s="49" t="n">
        <v>46322</v>
      </c>
      <c r="G34" s="51" t="n">
        <v>1</v>
      </c>
    </row>
    <row r="35" ht="54" customHeight="1">
      <c r="A35" s="29" t="inlineStr">
        <is>
          <t>malaga:action:malaga-sosyal-hizmetler-merkezi-cssc-ve-aile-ekonomik-yardimi-2</t>
        </is>
      </c>
      <c r="B35" s="29" t="inlineStr">
        <is>
          <t>malaga</t>
        </is>
      </c>
      <c r="C35" s="29" t="inlineStr">
        <is>
          <t>malaga:malaga-sosyal-hizmetler-merkezi-cssc-ve-aile-ekonomik-yardimi</t>
        </is>
      </c>
      <c r="D35" s="29" t="inlineStr">
        <is>
          <t>Bilgi al</t>
        </is>
      </c>
      <c r="E35" s="29" t="inlineStr">
        <is>
          <t>https://derechossociales.malaga.eu/servicios-sociales-comunitarios/prestaciones/</t>
        </is>
      </c>
      <c r="F35" s="49" t="n">
        <v>46322</v>
      </c>
      <c r="G35" s="51" t="n">
        <v>2</v>
      </c>
    </row>
    <row r="36" ht="54" customHeight="1">
      <c r="A36" s="29" t="inlineStr">
        <is>
          <t>malaga:action:egitim-delegasyonu-malaga-konulara-gore-iletisim-adresleri-1</t>
        </is>
      </c>
      <c r="B36" s="29" t="inlineStr">
        <is>
          <t>malaga</t>
        </is>
      </c>
      <c r="C36" s="29" t="inlineStr">
        <is>
          <t>malaga:egitim-delegasyonu-malaga-konulara-gore-iletisim-adresleri</t>
        </is>
      </c>
      <c r="D36" s="29" t="inlineStr">
        <is>
          <t>Bilgi al</t>
        </is>
      </c>
      <c r="E36" s="29" t="inlineStr">
        <is>
          <t>https://www.juntadeandalucia.es/educacion/portales/malaga/contacto</t>
        </is>
      </c>
      <c r="F36" s="49" t="n">
        <v>46322</v>
      </c>
      <c r="G36" s="51" t="n">
        <v>1</v>
      </c>
    </row>
    <row r="37" ht="54" customHeight="1">
      <c r="A37" s="29" t="inlineStr">
        <is>
          <t>malaga:action:egitim-delegasyonu-malaga-konulara-gore-iletisim-adresleri-2</t>
        </is>
      </c>
      <c r="B37" s="29" t="inlineStr">
        <is>
          <t>malaga</t>
        </is>
      </c>
      <c r="C37" s="29" t="inlineStr">
        <is>
          <t>malaga:egitim-delegasyonu-malaga-konulara-gore-iletisim-adresleri</t>
        </is>
      </c>
      <c r="D37" s="29" t="inlineStr">
        <is>
          <t>Bilgi al</t>
        </is>
      </c>
      <c r="E37" s="29" t="inlineStr">
        <is>
          <t>https://www.juntadeandalucia.es/educacion/portales/web/escolarizacion/infantil-a-bachillerato</t>
        </is>
      </c>
      <c r="F37" s="49" t="n">
        <v>46322</v>
      </c>
      <c r="G37" s="51" t="n">
        <v>2</v>
      </c>
    </row>
    <row r="38" ht="54" customHeight="1">
      <c r="A38" s="29" t="inlineStr">
        <is>
          <t>malaga:action:3-yas-alti-cocuk-anne-vergi-indirimi-deduccion-por-maternidad-2</t>
        </is>
      </c>
      <c r="B38" s="29" t="inlineStr">
        <is>
          <t>malaga</t>
        </is>
      </c>
      <c r="C38" s="29" t="inlineStr">
        <is>
          <t>malaga:3-yas-alti-cocuk-anne-vergi-indirimi-deduccion-por-maternidad</t>
        </is>
      </c>
      <c r="D38" s="29" t="inlineStr">
        <is>
          <t>Bilgi al</t>
        </is>
      </c>
      <c r="E38" s="29" t="inlineStr">
        <is>
          <t>https://sede.agenciatributaria.gob.es/Sede/ciudadanos-familias-personas-discapacidad/deducciones-relacionadas-hijos-descendientes/deduccion-maternidad/quien-corresponde-deduccion.html</t>
        </is>
      </c>
      <c r="F38" s="49" t="n">
        <v>46322</v>
      </c>
      <c r="G38" s="51" t="n">
        <v>2</v>
      </c>
    </row>
    <row r="39" ht="54" customHeight="1">
      <c r="A39" s="29" t="inlineStr">
        <is>
          <t>malaga:action:kira-sozlesmesi-suresi-ve-uzama-1</t>
        </is>
      </c>
      <c r="B39" s="29" t="inlineStr">
        <is>
          <t>malaga</t>
        </is>
      </c>
      <c r="C39" s="29" t="inlineStr">
        <is>
          <t>malaga:kira-sozlesmesi-suresi-ve-uzama</t>
        </is>
      </c>
      <c r="D39" s="29" t="inlineStr">
        <is>
          <t>Bilgi al</t>
        </is>
      </c>
      <c r="E39" s="29" t="inlineStr">
        <is>
          <t>https://www.boe.es/buscar/act.php?id=BOE-A-1994-26003</t>
        </is>
      </c>
      <c r="F39" s="49" t="n">
        <v>46319</v>
      </c>
      <c r="G39" s="51" t="n">
        <v>1</v>
      </c>
    </row>
    <row r="40" ht="54" customHeight="1">
      <c r="A40" s="29" t="inlineStr">
        <is>
          <t>malaga:action:kira-depozitosu-fianza-ve-iade-1</t>
        </is>
      </c>
      <c r="B40" s="29" t="inlineStr">
        <is>
          <t>malaga</t>
        </is>
      </c>
      <c r="C40" s="29" t="inlineStr">
        <is>
          <t>malaga:kira-depozitosu-fianza-ve-iade</t>
        </is>
      </c>
      <c r="D40" s="29" t="inlineStr">
        <is>
          <t>Bilgi al</t>
        </is>
      </c>
      <c r="E40" s="29" t="inlineStr">
        <is>
          <t>https://www.boe.es/buscar/act.php?id=BOE-A-1994-26003</t>
        </is>
      </c>
      <c r="F40" s="49" t="n">
        <v>46319</v>
      </c>
      <c r="G40" s="51" t="n">
        <v>1</v>
      </c>
    </row>
    <row r="41" ht="54" customHeight="1">
      <c r="A41" s="29" t="inlineStr">
        <is>
          <t>malaga:action:kira-artisi-siniri-irav-1</t>
        </is>
      </c>
      <c r="B41" s="29" t="inlineStr">
        <is>
          <t>malaga</t>
        </is>
      </c>
      <c r="C41" s="29" t="inlineStr">
        <is>
          <t>malaga:kira-artisi-siniri-irav</t>
        </is>
      </c>
      <c r="D41" s="29" t="inlineStr">
        <is>
          <t>Bilgi al</t>
        </is>
      </c>
      <c r="E41" s="29" t="inlineStr">
        <is>
          <t>https://ine.es/dyngs/INEbase/operacion.htm?c=Estadistica_C&amp;cid=1254736177110&amp;idp=1254735976607&amp;menu=ultiDatos</t>
        </is>
      </c>
      <c r="F41" s="49" t="n">
        <v>46319</v>
      </c>
      <c r="G41" s="51" t="n">
        <v>1</v>
      </c>
    </row>
    <row r="42" ht="54" customHeight="1">
      <c r="A42" s="29" t="inlineStr">
        <is>
          <t>malaga:action:kira-artisi-siniri-irav-2</t>
        </is>
      </c>
      <c r="B42" s="29" t="inlineStr">
        <is>
          <t>malaga</t>
        </is>
      </c>
      <c r="C42" s="29" t="inlineStr">
        <is>
          <t>malaga:kira-artisi-siniri-irav</t>
        </is>
      </c>
      <c r="D42" s="29" t="inlineStr">
        <is>
          <t>Bilgi al</t>
        </is>
      </c>
      <c r="E42" s="29" t="inlineStr">
        <is>
          <t>https://www.boe.es/buscar/act.php?id=BOE-A-1994-26003</t>
        </is>
      </c>
      <c r="F42" s="49" t="n">
        <v>46319</v>
      </c>
      <c r="G42" s="51" t="n">
        <v>2</v>
      </c>
    </row>
    <row r="43" ht="54" customHeight="1">
      <c r="A43" s="29" t="inlineStr">
        <is>
          <t>malaga:action:kirada-onarim-ve-hasar-sorumlulugu-1</t>
        </is>
      </c>
      <c r="B43" s="29" t="inlineStr">
        <is>
          <t>malaga</t>
        </is>
      </c>
      <c r="C43" s="29" t="inlineStr">
        <is>
          <t>malaga:kirada-onarim-ve-hasar-sorumlulugu</t>
        </is>
      </c>
      <c r="D43" s="29" t="inlineStr">
        <is>
          <t>Bilgi al</t>
        </is>
      </c>
      <c r="E43" s="29" t="inlineStr">
        <is>
          <t>https://www.boe.es/buscar/act.php?id=BOE-A-1994-26003</t>
        </is>
      </c>
      <c r="F43" s="49" t="n">
        <v>46319</v>
      </c>
      <c r="G43" s="51" t="n">
        <v>1</v>
      </c>
    </row>
    <row r="44" ht="54" customHeight="1">
      <c r="A44" s="29" t="inlineStr">
        <is>
          <t>malaga:action:kiralik-evden-cikis-ve-ihbar-suresi-1</t>
        </is>
      </c>
      <c r="B44" s="29" t="inlineStr">
        <is>
          <t>malaga</t>
        </is>
      </c>
      <c r="C44" s="29" t="inlineStr">
        <is>
          <t>malaga:kiralik-evden-cikis-ve-ihbar-suresi</t>
        </is>
      </c>
      <c r="D44" s="29" t="inlineStr">
        <is>
          <t>Bilgi al</t>
        </is>
      </c>
      <c r="E44" s="29" t="inlineStr">
        <is>
          <t>https://www.boe.es/buscar/act.php?id=BOE-A-1994-26003</t>
        </is>
      </c>
      <c r="F44" s="49" t="n">
        <v>46319</v>
      </c>
      <c r="G44" s="51" t="n">
        <v>1</v>
      </c>
    </row>
    <row r="45" ht="54" customHeight="1">
      <c r="A45" s="29" t="inlineStr">
        <is>
          <t>malaga:action:kiralik-ilan-dolandiriciligini-tanima-1</t>
        </is>
      </c>
      <c r="B45" s="29" t="inlineStr">
        <is>
          <t>malaga</t>
        </is>
      </c>
      <c r="C45" s="29" t="inlineStr">
        <is>
          <t>malaga:kiralik-ilan-dolandiriciligini-tanima</t>
        </is>
      </c>
      <c r="D45" s="29" t="inlineStr">
        <is>
          <t>Bilgi al</t>
        </is>
      </c>
      <c r="E45" s="29" t="inlineStr">
        <is>
          <t>https://www.incibe.es/ciudadania/estafas-alquileres</t>
        </is>
      </c>
      <c r="F45" s="49" t="n">
        <v>46319</v>
      </c>
      <c r="G45" s="51" t="n">
        <v>1</v>
      </c>
    </row>
    <row r="46" ht="54" customHeight="1">
      <c r="A46" s="29" t="inlineStr">
        <is>
          <t>malaga:action:kiralik-ilan-dolandiriciligini-tanima-2</t>
        </is>
      </c>
      <c r="B46" s="29" t="inlineStr">
        <is>
          <t>malaga</t>
        </is>
      </c>
      <c r="C46" s="29" t="inlineStr">
        <is>
          <t>malaga:kiralik-ilan-dolandiriciligini-tanima</t>
        </is>
      </c>
      <c r="D46" s="29" t="inlineStr">
        <is>
          <t>Bilgi al</t>
        </is>
      </c>
      <c r="E46" s="29" t="inlineStr">
        <is>
          <t>https://www.boe.es/buscar/act.php?id=BOE-A-1994-26003</t>
        </is>
      </c>
      <c r="F46" s="49" t="n">
        <v>46319</v>
      </c>
      <c r="G46" s="51" t="n">
        <v>2</v>
      </c>
    </row>
    <row r="47" ht="54" customHeight="1">
      <c r="A47" s="29" t="inlineStr">
        <is>
          <t>malaga:action:endulus-kira-depozitosu-fianza-avra-yatirma-zorunlulugu-1</t>
        </is>
      </c>
      <c r="B47" s="29" t="inlineStr">
        <is>
          <t>malaga</t>
        </is>
      </c>
      <c r="C47" s="29" t="inlineStr">
        <is>
          <t>malaga:endulus-kira-depozitosu-fianza-avra-yatirma-zorunlulugu</t>
        </is>
      </c>
      <c r="D47" s="29" t="inlineStr">
        <is>
          <t>Bilgi al</t>
        </is>
      </c>
      <c r="E47" s="29" t="inlineStr">
        <is>
          <t>https://www.juntadeandalucia.es/organismos/avra/areas/fianzas/notas-ley-vivienda-andalucia-2025.html</t>
        </is>
      </c>
      <c r="F47" s="49" t="n">
        <v>46319</v>
      </c>
      <c r="G47" s="51" t="n">
        <v>1</v>
      </c>
    </row>
    <row r="48" ht="54" customHeight="1">
      <c r="A48" s="29" t="inlineStr">
        <is>
          <t>malaga:action:konut-hakki-ofisi-imv-kira-ipotek-sorunu-1</t>
        </is>
      </c>
      <c r="B48" s="29" t="inlineStr">
        <is>
          <t>malaga</t>
        </is>
      </c>
      <c r="C48" s="29" t="inlineStr">
        <is>
          <t>malaga:konut-hakki-ofisi-imv-kira-ipotek-sorunu</t>
        </is>
      </c>
      <c r="D48" s="29" t="inlineStr">
        <is>
          <t>Randevu al</t>
        </is>
      </c>
      <c r="E48" s="29" t="inlineStr">
        <is>
          <t>https://imv.malaga.eu/es/ofi-info/index.html</t>
        </is>
      </c>
      <c r="F48" s="49" t="n">
        <v>46322</v>
      </c>
      <c r="G48" s="51" t="n">
        <v>1</v>
      </c>
    </row>
    <row r="49" ht="54" customHeight="1">
      <c r="A49" s="29" t="inlineStr">
        <is>
          <t>malaga:action:konut-hakki-ofisi-imv-kira-ipotek-sorunu-2</t>
        </is>
      </c>
      <c r="B49" s="29" t="inlineStr">
        <is>
          <t>malaga</t>
        </is>
      </c>
      <c r="C49" s="29" t="inlineStr">
        <is>
          <t>malaga:konut-hakki-ofisi-imv-kira-ipotek-sorunu</t>
        </is>
      </c>
      <c r="D49" s="29" t="inlineStr">
        <is>
          <t>Bilgi al</t>
        </is>
      </c>
      <c r="E49" s="29" t="inlineStr">
        <is>
          <t>https://imv.malaga.eu/es/oficina-del-derecho-a-la-vivienda/</t>
        </is>
      </c>
      <c r="F49" s="49" t="n">
        <v>46322</v>
      </c>
      <c r="G49" s="51" t="n">
        <v>2</v>
      </c>
    </row>
    <row r="50" ht="54" customHeight="1">
      <c r="A50" s="29" t="inlineStr">
        <is>
          <t>malaga:action:imv-randevu-telefon-ve-evrak-kayit-noktalari-1</t>
        </is>
      </c>
      <c r="B50" s="29" t="inlineStr">
        <is>
          <t>malaga</t>
        </is>
      </c>
      <c r="C50" s="29" t="inlineStr">
        <is>
          <t>malaga:imv-randevu-telefon-ve-evrak-kayit-noktalari</t>
        </is>
      </c>
      <c r="D50" s="29" t="inlineStr">
        <is>
          <t>Randevu al</t>
        </is>
      </c>
      <c r="E50" s="29" t="inlineStr">
        <is>
          <t>https://imv.malaga.eu/es/ofi-info/index.html</t>
        </is>
      </c>
      <c r="F50" s="49" t="n">
        <v>46322</v>
      </c>
      <c r="G50" s="51" t="n">
        <v>1</v>
      </c>
    </row>
    <row r="51" ht="54" customHeight="1">
      <c r="A51" s="29" t="inlineStr">
        <is>
          <t>malaga:action:korumali-konut-talep-sicili-registro-demandantes-1</t>
        </is>
      </c>
      <c r="B51" s="29" t="inlineStr">
        <is>
          <t>malaga</t>
        </is>
      </c>
      <c r="C51" s="29" t="inlineStr">
        <is>
          <t>malaga:korumali-konut-talep-sicili-registro-demandantes</t>
        </is>
      </c>
      <c r="D51" s="29" t="inlineStr">
        <is>
          <t>Başvur</t>
        </is>
      </c>
      <c r="E51" s="29" t="inlineStr">
        <is>
          <t>https://imv.malaga.eu/es/registro-municipal-demandantes/tramitacion-telematica/</t>
        </is>
      </c>
      <c r="F51" s="49" t="n">
        <v>46322</v>
      </c>
      <c r="G51" s="51" t="n">
        <v>1</v>
      </c>
    </row>
    <row r="52" ht="54" customHeight="1">
      <c r="A52" s="29" t="inlineStr">
        <is>
          <t>malaga:action:korumali-konut-talep-sicili-registro-demandantes-2</t>
        </is>
      </c>
      <c r="B52" s="29" t="inlineStr">
        <is>
          <t>malaga</t>
        </is>
      </c>
      <c r="C52" s="29" t="inlineStr">
        <is>
          <t>malaga:korumali-konut-talep-sicili-registro-demandantes</t>
        </is>
      </c>
      <c r="D52" s="29" t="inlineStr">
        <is>
          <t>Bilgi al</t>
        </is>
      </c>
      <c r="E52" s="29" t="inlineStr">
        <is>
          <t>https://imv.malaga.eu/es/promociones-venta-alquiler/index.html</t>
        </is>
      </c>
      <c r="F52" s="49" t="n">
        <v>46322</v>
      </c>
      <c r="G52" s="51" t="n">
        <v>2</v>
      </c>
    </row>
    <row r="53" ht="54" customHeight="1">
      <c r="A53" s="29" t="inlineStr">
        <is>
          <t>malaga:action:r12-universidad-202-kiralik-vpo-kira-ve-sartlar-1</t>
        </is>
      </c>
      <c r="B53" s="29" t="inlineStr">
        <is>
          <t>malaga</t>
        </is>
      </c>
      <c r="C53" s="29" t="inlineStr">
        <is>
          <t>malaga:r12-universidad-202-kiralik-vpo-kira-ve-sartlar</t>
        </is>
      </c>
      <c r="D53" s="29" t="inlineStr">
        <is>
          <t>Bilgi al</t>
        </is>
      </c>
      <c r="E53" s="29" t="inlineStr">
        <is>
          <t>https://imv.malaga.eu/es/promociones-venta-alquiler/index.html</t>
        </is>
      </c>
      <c r="F53" s="49" t="n">
        <v>46322</v>
      </c>
      <c r="G53" s="51" t="n">
        <v>1</v>
      </c>
    </row>
    <row r="54" ht="54" customHeight="1">
      <c r="A54" s="29" t="inlineStr">
        <is>
          <t>malaga:action:r12-universidad-202-kiralik-vpo-kira-ve-sartlar-2</t>
        </is>
      </c>
      <c r="B54" s="29" t="inlineStr">
        <is>
          <t>malaga</t>
        </is>
      </c>
      <c r="C54" s="29" t="inlineStr">
        <is>
          <t>malaga:r12-universidad-202-kiralik-vpo-kira-ve-sartlar</t>
        </is>
      </c>
      <c r="D54" s="29" t="inlineStr">
        <is>
          <t>Başvur</t>
        </is>
      </c>
      <c r="E54" s="29" t="inlineStr">
        <is>
          <t>https://imv.malaga.eu/es/registro-municipal-demandantes/</t>
        </is>
      </c>
      <c r="F54" s="49" t="n">
        <v>46322</v>
      </c>
      <c r="G54" s="51" t="n">
        <v>2</v>
      </c>
    </row>
    <row r="55" ht="54" customHeight="1">
      <c r="A55" s="29" t="inlineStr">
        <is>
          <t>malaga:action:korumali-konut-cagrilari-sira-mi-kura-mi-1</t>
        </is>
      </c>
      <c r="B55" s="29" t="inlineStr">
        <is>
          <t>malaga</t>
        </is>
      </c>
      <c r="C55" s="29" t="inlineStr">
        <is>
          <t>malaga:korumali-konut-cagrilari-sira-mi-kura-mi</t>
        </is>
      </c>
      <c r="D55" s="29" t="inlineStr">
        <is>
          <t>Bilgi al</t>
        </is>
      </c>
      <c r="E55" s="29" t="inlineStr">
        <is>
          <t>https://imv.malaga.eu/es/registro-municipal-demandantes/</t>
        </is>
      </c>
      <c r="F55" s="49" t="n">
        <v>46322</v>
      </c>
      <c r="G55" s="51" t="n">
        <v>1</v>
      </c>
    </row>
    <row r="56" ht="54" customHeight="1">
      <c r="A56" s="29" t="inlineStr">
        <is>
          <t>malaga:action:bono-alquiler-joven-endulus-2026-kimler-alir-1</t>
        </is>
      </c>
      <c r="B56" s="29" t="inlineStr">
        <is>
          <t>malaga</t>
        </is>
      </c>
      <c r="C56" s="29" t="inlineStr">
        <is>
          <t>malaga:bono-alquiler-joven-endulus-2026-kimler-alir</t>
        </is>
      </c>
      <c r="D56" s="29" t="inlineStr">
        <is>
          <t>Bilgi al</t>
        </is>
      </c>
      <c r="E56" s="29" t="inlineStr">
        <is>
          <t>https://www.juntadeandalucia.es/organismos/fomentoarticulaciondelterritorioyvivienda/areas/vivienda-rehabilitacion/fomento-alquiler/bono-alquiler-joven/paginas/convocatoria-2025.html</t>
        </is>
      </c>
      <c r="F56" s="49" t="n">
        <v>46322</v>
      </c>
      <c r="G56" s="51" t="n">
        <v>1</v>
      </c>
    </row>
    <row r="57" ht="54" customHeight="1">
      <c r="A57" s="29" t="inlineStr">
        <is>
          <t>malaga:action:yeni-turistik-daire-yasagi-43-mahalle-1</t>
        </is>
      </c>
      <c r="B57" s="29" t="inlineStr">
        <is>
          <t>malaga</t>
        </is>
      </c>
      <c r="C57" s="29" t="inlineStr">
        <is>
          <t>malaga:yeni-turistik-daire-yasagi-43-mahalle</t>
        </is>
      </c>
      <c r="D57" s="29" t="inlineStr">
        <is>
          <t>Bilgi al</t>
        </is>
      </c>
      <c r="E57" s="29" t="inlineStr">
        <is>
          <t>https://www.malaga.eu/el-ayuntamiento/notas-de-prensa/detalle-de-la-nota-de-prensa/index.html?id=174441</t>
        </is>
      </c>
      <c r="F57" s="49" t="n">
        <v>46322</v>
      </c>
      <c r="G57" s="51" t="n">
        <v>1</v>
      </c>
    </row>
    <row r="58" ht="54" customHeight="1">
      <c r="A58" s="29" t="inlineStr">
        <is>
          <t>malaga:action:kiraladigin-daire-turistik-mi-konut-kirasi-mi-1</t>
        </is>
      </c>
      <c r="B58" s="29" t="inlineStr">
        <is>
          <t>malaga</t>
        </is>
      </c>
      <c r="C58" s="29" t="inlineStr">
        <is>
          <t>malaga:kiraladigin-daire-turistik-mi-konut-kirasi-mi</t>
        </is>
      </c>
      <c r="D58" s="29" t="inlineStr">
        <is>
          <t>Bilgi al</t>
        </is>
      </c>
      <c r="E58" s="29" t="inlineStr">
        <is>
          <t>https://www.juntadeandalucia.es/organismos/turismoyandaluciaexterior/areas/registro-turismo/establecimientos-servicios/paginas/faq-viviendas-turismo.html</t>
        </is>
      </c>
      <c r="F58" s="49" t="n">
        <v>46322</v>
      </c>
      <c r="G58" s="51" t="n">
        <v>1</v>
      </c>
    </row>
    <row r="59" ht="54" customHeight="1">
      <c r="A59" s="29" t="inlineStr">
        <is>
          <t>malaga:action:kiraci-giderleri-aidat-ibi-cop-ve-faturalar-1</t>
        </is>
      </c>
      <c r="B59" s="29" t="inlineStr">
        <is>
          <t>malaga</t>
        </is>
      </c>
      <c r="C59" s="29" t="inlineStr">
        <is>
          <t>malaga:kiraci-giderleri-aidat-ibi-cop-ve-faturalar</t>
        </is>
      </c>
      <c r="D59" s="29" t="inlineStr">
        <is>
          <t>Bilgi al</t>
        </is>
      </c>
      <c r="E59" s="29" t="inlineStr">
        <is>
          <t>https://www.juntadeandalucia.es/temas/vivienda-consumo/alquiler/informacion/paginas/derechos-obligaciones.html</t>
        </is>
      </c>
      <c r="F59" s="49" t="n">
        <v>46322</v>
      </c>
      <c r="G59" s="51" t="n">
        <v>1</v>
      </c>
    </row>
    <row r="60" ht="54" customHeight="1">
      <c r="A60" s="29" t="inlineStr">
        <is>
          <t>malaga:action:ibi-emlak-vergisi-malaga-kim-oder-takvim-1</t>
        </is>
      </c>
      <c r="B60" s="29" t="inlineStr">
        <is>
          <t>malaga</t>
        </is>
      </c>
      <c r="C60" s="29" t="inlineStr">
        <is>
          <t>malaga:ibi-emlak-vergisi-malaga-kim-oder-takvim</t>
        </is>
      </c>
      <c r="D60" s="29" t="inlineStr">
        <is>
          <t>Bilgi al</t>
        </is>
      </c>
      <c r="E60" s="29" t="inlineStr">
        <is>
          <t>https://gestrisam.malaga.eu/tributos/tributos-destacados/i.b.i./</t>
        </is>
      </c>
      <c r="F60" s="49" t="n">
        <v>46322</v>
      </c>
      <c r="G60" s="51" t="n">
        <v>1</v>
      </c>
    </row>
    <row r="61" ht="54" customHeight="1">
      <c r="A61" s="29" t="inlineStr">
        <is>
          <t>malaga:action:ibi-emlak-vergisi-malaga-kim-oder-takvim-2</t>
        </is>
      </c>
      <c r="B61" s="29" t="inlineStr">
        <is>
          <t>malaga</t>
        </is>
      </c>
      <c r="C61" s="29" t="inlineStr">
        <is>
          <t>malaga:ibi-emlak-vergisi-malaga-kim-oder-takvim</t>
        </is>
      </c>
      <c r="D61" s="29" t="inlineStr">
        <is>
          <t>Tarifeyi gör</t>
        </is>
      </c>
      <c r="E61" s="29" t="inlineStr">
        <is>
          <t>https://gestrisam.malaga.eu/tributos/calendario-fiscal-y-de-pagos/</t>
        </is>
      </c>
      <c r="F61" s="49" t="n">
        <v>46322</v>
      </c>
      <c r="G61" s="51" t="n">
        <v>2</v>
      </c>
    </row>
    <row r="62" ht="54" customHeight="1">
      <c r="A62" s="29" t="inlineStr">
        <is>
          <t>malaga:action:konteyner-renkleri-ev-cop-ayirma-limasam-1</t>
        </is>
      </c>
      <c r="B62" s="29" t="inlineStr">
        <is>
          <t>malaga</t>
        </is>
      </c>
      <c r="C62" s="29" t="inlineStr">
        <is>
          <t>malaga:konteyner-renkleri-ev-cop-ayirma-limasam</t>
        </is>
      </c>
      <c r="D62" s="29" t="inlineStr">
        <is>
          <t>Bilgi al</t>
        </is>
      </c>
      <c r="E62" s="29" t="inlineStr">
        <is>
          <t>https://limpiezademalaga.es/gestion-y-desarrollo-sostenible/reciclaje/</t>
        </is>
      </c>
      <c r="F62" s="49" t="n">
        <v>46322</v>
      </c>
      <c r="G62" s="51" t="n">
        <v>1</v>
      </c>
    </row>
    <row r="63" ht="54" customHeight="1">
      <c r="A63" s="29" t="inlineStr">
        <is>
          <t>malaga:action:eski-mobilya-atma-gunu-ve-saati-malaga-1</t>
        </is>
      </c>
      <c r="B63" s="29" t="inlineStr">
        <is>
          <t>malaga</t>
        </is>
      </c>
      <c r="C63" s="29" t="inlineStr">
        <is>
          <t>malaga:eski-mobilya-atma-gunu-ve-saati-malaga</t>
        </is>
      </c>
      <c r="D63" s="29" t="inlineStr">
        <is>
          <t>Bilgi al</t>
        </is>
      </c>
      <c r="E63" s="29" t="inlineStr">
        <is>
          <t>https://limpiezademalaga.es/recogida-de-muebles/</t>
        </is>
      </c>
      <c r="F63" s="49" t="n">
        <v>46322</v>
      </c>
      <c r="G63" s="51" t="n">
        <v>1</v>
      </c>
    </row>
    <row r="64" ht="54" customHeight="1">
      <c r="A64" s="29" t="inlineStr">
        <is>
          <t>malaga:action:punto-limpio-malaga-adresler-ve-kabul-edilenler-1</t>
        </is>
      </c>
      <c r="B64" s="29" t="inlineStr">
        <is>
          <t>malaga</t>
        </is>
      </c>
      <c r="C64" s="29" t="inlineStr">
        <is>
          <t>malaga:punto-limpio-malaga-adresler-ve-kabul-edilenler</t>
        </is>
      </c>
      <c r="D64" s="29" t="inlineStr">
        <is>
          <t>Ziyaret bilgisi</t>
        </is>
      </c>
      <c r="E64" s="29" t="inlineStr">
        <is>
          <t>https://limpiezademalaga.es/punto-limpio/</t>
        </is>
      </c>
      <c r="F64" s="49" t="n">
        <v>46322</v>
      </c>
      <c r="G64" s="51" t="n">
        <v>1</v>
      </c>
    </row>
    <row r="65" ht="54" customHeight="1">
      <c r="A65" s="29" t="inlineStr">
        <is>
          <t>malaga:action:punto-limpio-malaga-adresler-ve-kabul-edilenler-2</t>
        </is>
      </c>
      <c r="B65" s="29" t="inlineStr">
        <is>
          <t>malaga</t>
        </is>
      </c>
      <c r="C65" s="29" t="inlineStr">
        <is>
          <t>malaga:punto-limpio-malaga-adresler-ve-kabul-edilenler</t>
        </is>
      </c>
      <c r="D65" s="29" t="inlineStr">
        <is>
          <t>Bilgi al</t>
        </is>
      </c>
      <c r="E65" s="29" t="inlineStr">
        <is>
          <t>https://limpiezademalaga.es/recogida-de-muebles/</t>
        </is>
      </c>
      <c r="F65" s="49" t="n">
        <v>46322</v>
      </c>
      <c r="G65" s="51" t="n">
        <v>2</v>
      </c>
    </row>
    <row r="66" ht="54" customHeight="1">
      <c r="A66" s="29" t="inlineStr">
        <is>
          <t>malaga:action:belediye-makbuzu-banka-atm-kart-bizum-odeme-malaga-1</t>
        </is>
      </c>
      <c r="B66" s="29" t="inlineStr">
        <is>
          <t>malaga</t>
        </is>
      </c>
      <c r="C66" s="29" t="inlineStr">
        <is>
          <t>malaga:belediye-makbuzu-banka-atm-kart-bizum-odeme-malaga</t>
        </is>
      </c>
      <c r="D66" s="29" t="inlineStr">
        <is>
          <t>Bilgi al</t>
        </is>
      </c>
      <c r="E66" s="29" t="inlineStr">
        <is>
          <t>https://gestrisam.malaga.eu/gestiones_tramites/pagos/</t>
        </is>
      </c>
      <c r="F66" s="49" t="n">
        <v>46322</v>
      </c>
      <c r="G66" s="51" t="n">
        <v>1</v>
      </c>
    </row>
    <row r="67" ht="54" customHeight="1">
      <c r="A67" s="29" t="inlineStr">
        <is>
          <t>malaga:action:elektrik-aboneligi-serbest-piyasa-pvpc-1</t>
        </is>
      </c>
      <c r="B67" s="29" t="inlineStr">
        <is>
          <t>malaga</t>
        </is>
      </c>
      <c r="C67" s="29" t="inlineStr">
        <is>
          <t>malaga:elektrik-aboneligi-serbest-piyasa-pvpc</t>
        </is>
      </c>
      <c r="D67" s="29" t="inlineStr">
        <is>
          <t>Bilgi al</t>
        </is>
      </c>
      <c r="E67" s="29" t="inlineStr">
        <is>
          <t>https://www.miteco.gob.es/es/energia/energia-electrica/electricidad/contratacion-suministro.html</t>
        </is>
      </c>
      <c r="F67" s="49" t="n">
        <v>46319</v>
      </c>
      <c r="G67" s="51" t="n">
        <v>1</v>
      </c>
    </row>
    <row r="68" ht="54" customHeight="1">
      <c r="A68" s="29" t="inlineStr">
        <is>
          <t>malaga:action:elektrik-aboneligi-serbest-piyasa-pvpc-2</t>
        </is>
      </c>
      <c r="B68" s="29" t="inlineStr">
        <is>
          <t>malaga</t>
        </is>
      </c>
      <c r="C68" s="29" t="inlineStr">
        <is>
          <t>malaga:elektrik-aboneligi-serbest-piyasa-pvpc</t>
        </is>
      </c>
      <c r="D68" s="29" t="inlineStr">
        <is>
          <t>Bilgi al</t>
        </is>
      </c>
      <c r="E68" s="29" t="inlineStr">
        <is>
          <t>https://www.cnmc.es/facil-para-ti/que-hace-la-cnmc-para-consumidores/comercializacion-y-suministro-electrico</t>
        </is>
      </c>
      <c r="F68" s="49" t="n">
        <v>46319</v>
      </c>
      <c r="G68" s="51" t="n">
        <v>2</v>
      </c>
    </row>
    <row r="69" ht="54" customHeight="1">
      <c r="A69" s="29" t="inlineStr">
        <is>
          <t>malaga:action:elektrik-faturasi-nasil-okunur-1</t>
        </is>
      </c>
      <c r="B69" s="29" t="inlineStr">
        <is>
          <t>malaga</t>
        </is>
      </c>
      <c r="C69" s="29" t="inlineStr">
        <is>
          <t>malaga:elektrik-faturasi-nasil-okunur</t>
        </is>
      </c>
      <c r="D69" s="29" t="inlineStr">
        <is>
          <t>Bilgi al</t>
        </is>
      </c>
      <c r="E69" s="29" t="inlineStr">
        <is>
          <t>https://www.cnmc.es/facil-para-ti/que-hace-la-cnmc-para-consumidores/comercializacion-y-suministro-electrico</t>
        </is>
      </c>
      <c r="F69" s="49" t="n">
        <v>46319</v>
      </c>
      <c r="G69" s="51" t="n">
        <v>1</v>
      </c>
    </row>
    <row r="70" ht="54" customHeight="1">
      <c r="A70" s="29" t="inlineStr">
        <is>
          <t>malaga:action:elektrik-faturasi-nasil-okunur-2</t>
        </is>
      </c>
      <c r="B70" s="29" t="inlineStr">
        <is>
          <t>malaga</t>
        </is>
      </c>
      <c r="C70" s="29" t="inlineStr">
        <is>
          <t>malaga:elektrik-faturasi-nasil-okunur</t>
        </is>
      </c>
      <c r="D70" s="29" t="inlineStr">
        <is>
          <t>Bilgi al</t>
        </is>
      </c>
      <c r="E70" s="29" t="inlineStr">
        <is>
          <t>https://www.miteco.gob.es/es/energia/energia-electrica/electricidad/contratacion-suministro/precio-voluntario.html</t>
        </is>
      </c>
      <c r="F70" s="49" t="n">
        <v>46319</v>
      </c>
      <c r="G70" s="51" t="n">
        <v>2</v>
      </c>
    </row>
    <row r="71" ht="54" customHeight="1">
      <c r="A71" s="29" t="inlineStr">
        <is>
          <t>malaga:action:sozlesmeli-elektrik-gucu-nasil-secilir-1</t>
        </is>
      </c>
      <c r="B71" s="29" t="inlineStr">
        <is>
          <t>malaga</t>
        </is>
      </c>
      <c r="C71" s="29" t="inlineStr">
        <is>
          <t>malaga:sozlesmeli-elektrik-gucu-nasil-secilir</t>
        </is>
      </c>
      <c r="D71" s="29" t="inlineStr">
        <is>
          <t>Bilgi al</t>
        </is>
      </c>
      <c r="E71" s="29" t="inlineStr">
        <is>
          <t>https://www.cnmc.es/facil-para-ti/que-hace-la-cnmc-para-consumidores/comercializacion-y-suministro-electrico</t>
        </is>
      </c>
      <c r="F71" s="49" t="n">
        <v>46319</v>
      </c>
      <c r="G71" s="51" t="n">
        <v>1</v>
      </c>
    </row>
    <row r="72" ht="54" customHeight="1">
      <c r="A72" s="29" t="inlineStr">
        <is>
          <t>malaga:action:sozlesmeli-elektrik-gucu-nasil-secilir-2</t>
        </is>
      </c>
      <c r="B72" s="29" t="inlineStr">
        <is>
          <t>malaga</t>
        </is>
      </c>
      <c r="C72" s="29" t="inlineStr">
        <is>
          <t>malaga:sozlesmeli-elektrik-gucu-nasil-secilir</t>
        </is>
      </c>
      <c r="D72" s="29" t="inlineStr">
        <is>
          <t>Bilgi al</t>
        </is>
      </c>
      <c r="E72" s="29" t="inlineStr">
        <is>
          <t>https://www.miteco.gob.es/es/energia/energia-electrica/electricidad/contratacion-suministro.html</t>
        </is>
      </c>
      <c r="F72" s="49" t="n">
        <v>46319</v>
      </c>
      <c r="G72" s="51" t="n">
        <v>2</v>
      </c>
    </row>
    <row r="73" ht="54" customHeight="1">
      <c r="A73" s="29" t="inlineStr">
        <is>
          <t>malaga:action:dogalgaz-aboneligi-tur-ve-fatura-1</t>
        </is>
      </c>
      <c r="B73" s="29" t="inlineStr">
        <is>
          <t>malaga</t>
        </is>
      </c>
      <c r="C73" s="29" t="inlineStr">
        <is>
          <t>malaga:dogalgaz-aboneligi-tur-ve-fatura</t>
        </is>
      </c>
      <c r="D73" s="29" t="inlineStr">
        <is>
          <t>Bilgi al</t>
        </is>
      </c>
      <c r="E73" s="29" t="inlineStr">
        <is>
          <t>https://www.cnmc.es/facil-para-ti/que-hace-la-cnmc-para-consumidores/consumidores-gas</t>
        </is>
      </c>
      <c r="F73" s="49" t="n">
        <v>46319</v>
      </c>
      <c r="G73" s="51" t="n">
        <v>1</v>
      </c>
    </row>
    <row r="74" ht="54" customHeight="1">
      <c r="A74" s="29" t="inlineStr">
        <is>
          <t>malaga:action:bono-social-elektrik-kimler-alir-1</t>
        </is>
      </c>
      <c r="B74" s="29" t="inlineStr">
        <is>
          <t>malaga</t>
        </is>
      </c>
      <c r="C74" s="29" t="inlineStr">
        <is>
          <t>malaga:bono-social-elektrik-kimler-alir</t>
        </is>
      </c>
      <c r="D74" s="29" t="inlineStr">
        <is>
          <t>Bilgi al</t>
        </is>
      </c>
      <c r="E74" s="29" t="inlineStr">
        <is>
          <t>https://www.miteco.gob.es/es/energia/pobreza-energetica/pe-001/requisitos.html</t>
        </is>
      </c>
      <c r="F74" s="49" t="n">
        <v>46319</v>
      </c>
      <c r="G74" s="51" t="n">
        <v>1</v>
      </c>
    </row>
    <row r="75" ht="54" customHeight="1">
      <c r="A75" s="29" t="inlineStr">
        <is>
          <t>malaga:action:bono-social-elektrik-kimler-alir-2</t>
        </is>
      </c>
      <c r="B75" s="29" t="inlineStr">
        <is>
          <t>malaga</t>
        </is>
      </c>
      <c r="C75" s="29" t="inlineStr">
        <is>
          <t>malaga:bono-social-elektrik-kimler-alir</t>
        </is>
      </c>
      <c r="D75" s="29" t="inlineStr">
        <is>
          <t>Bilgi al</t>
        </is>
      </c>
      <c r="E75" s="29" t="inlineStr">
        <is>
          <t>https://www.boe.es/buscar/act.php?id=BOE-A-2017-11505</t>
        </is>
      </c>
      <c r="F75" s="49" t="n">
        <v>46319</v>
      </c>
      <c r="G75" s="51" t="n">
        <v>2</v>
      </c>
    </row>
    <row r="76" ht="54" customHeight="1">
      <c r="A76" s="29" t="inlineStr">
        <is>
          <t>malaga:action:internet-mobil-hat-sozlesmesi-taahhut-cayma-1</t>
        </is>
      </c>
      <c r="B76" s="29" t="inlineStr">
        <is>
          <t>malaga</t>
        </is>
      </c>
      <c r="C76" s="29" t="inlineStr">
        <is>
          <t>malaga:internet-mobil-hat-sozlesmesi-taahhut-cayma</t>
        </is>
      </c>
      <c r="D76" s="29" t="inlineStr">
        <is>
          <t>Bilgi al</t>
        </is>
      </c>
      <c r="E76" s="29" t="inlineStr">
        <is>
          <t>https://www.boe.es/buscar/act.php?id=BOE-A-2022-10757</t>
        </is>
      </c>
      <c r="F76" s="49" t="n">
        <v>46319</v>
      </c>
      <c r="G76" s="51" t="n">
        <v>1</v>
      </c>
    </row>
    <row r="77" ht="54" customHeight="1">
      <c r="A77" s="29" t="inlineStr">
        <is>
          <t>malaga:action:internet-mobil-hat-sozlesmesi-taahhut-cayma-2</t>
        </is>
      </c>
      <c r="B77" s="29" t="inlineStr">
        <is>
          <t>malaga</t>
        </is>
      </c>
      <c r="C77" s="29" t="inlineStr">
        <is>
          <t>malaga:internet-mobil-hat-sozlesmesi-taahhut-cayma</t>
        </is>
      </c>
      <c r="D77" s="29" t="inlineStr">
        <is>
          <t>Bilgi al</t>
        </is>
      </c>
      <c r="E77" s="29" t="inlineStr">
        <is>
          <t>https://www.boe.es/buscar/act.php?id=BOE-A-2007-20555</t>
        </is>
      </c>
      <c r="F77" s="49" t="n">
        <v>46319</v>
      </c>
      <c r="G77" s="51" t="n">
        <v>2</v>
      </c>
    </row>
    <row r="78" ht="54" customHeight="1">
      <c r="A78" s="29" t="inlineStr">
        <is>
          <t>malaga:action:cnmc-teklif-karsilastirma-araci-1</t>
        </is>
      </c>
      <c r="B78" s="29" t="inlineStr">
        <is>
          <t>malaga</t>
        </is>
      </c>
      <c r="C78" s="29" t="inlineStr">
        <is>
          <t>malaga:cnmc-teklif-karsilastirma-araci</t>
        </is>
      </c>
      <c r="D78" s="29" t="inlineStr">
        <is>
          <t>Hesapla</t>
        </is>
      </c>
      <c r="E78" s="29" t="inlineStr">
        <is>
          <t>https://www.cnmc.es/facil-para-ti/herramientas-utiles/energia</t>
        </is>
      </c>
      <c r="F78" s="49" t="n">
        <v>46319</v>
      </c>
      <c r="G78" s="51" t="n">
        <v>1</v>
      </c>
    </row>
    <row r="79" ht="54" customHeight="1">
      <c r="A79" s="29" t="inlineStr">
        <is>
          <t>malaga:action:cnmc-teklif-karsilastirma-araci-2</t>
        </is>
      </c>
      <c r="B79" s="29" t="inlineStr">
        <is>
          <t>malaga</t>
        </is>
      </c>
      <c r="C79" s="29" t="inlineStr">
        <is>
          <t>malaga:cnmc-teklif-karsilastirma-araci</t>
        </is>
      </c>
      <c r="D79" s="29" t="inlineStr">
        <is>
          <t>Bilgi al</t>
        </is>
      </c>
      <c r="E79" s="29" t="inlineStr">
        <is>
          <t>https://www.cnmc.es/facil-para-ti/que-hace-la-cnmc-para-consumidores/consumidores-gas</t>
        </is>
      </c>
      <c r="F79" s="49" t="n">
        <v>46319</v>
      </c>
      <c r="G79" s="51" t="n">
        <v>2</v>
      </c>
    </row>
    <row r="80" ht="54" customHeight="1">
      <c r="A80" s="29" t="inlineStr">
        <is>
          <t>malaga:action:elektrik-ve-telekom-sikayet-yollari-1</t>
        </is>
      </c>
      <c r="B80" s="29" t="inlineStr">
        <is>
          <t>malaga</t>
        </is>
      </c>
      <c r="C80" s="29" t="inlineStr">
        <is>
          <t>malaga:elektrik-ve-telekom-sikayet-yollari</t>
        </is>
      </c>
      <c r="D80" s="29" t="inlineStr">
        <is>
          <t>Bilgi al</t>
        </is>
      </c>
      <c r="E80" s="29" t="inlineStr">
        <is>
          <t>https://www.miteco.gob.es/es/energia/energia-electrica/electricidad/contratacion-suministro/reclamaciones.html</t>
        </is>
      </c>
      <c r="F80" s="49" t="n">
        <v>46319</v>
      </c>
      <c r="G80" s="51" t="n">
        <v>1</v>
      </c>
    </row>
    <row r="81" ht="54" customHeight="1">
      <c r="A81" s="29" t="inlineStr">
        <is>
          <t>malaga:action:elektrik-ve-telekom-sikayet-yollari-2</t>
        </is>
      </c>
      <c r="B81" s="29" t="inlineStr">
        <is>
          <t>malaga</t>
        </is>
      </c>
      <c r="C81" s="29" t="inlineStr">
        <is>
          <t>malaga:elektrik-ve-telekom-sikayet-yollari</t>
        </is>
      </c>
      <c r="D81" s="29" t="inlineStr">
        <is>
          <t>Formu doldur</t>
        </is>
      </c>
      <c r="E81" s="29" t="inlineStr">
        <is>
          <t>https://usuariosteleco.digital.gob.es/reclamaciones/telefonia-e-internet</t>
        </is>
      </c>
      <c r="F81" s="49" t="n">
        <v>46319</v>
      </c>
      <c r="G81" s="51" t="n">
        <v>2</v>
      </c>
    </row>
    <row r="82" ht="54" customHeight="1">
      <c r="A82" s="29" t="inlineStr">
        <is>
          <t>malaga:action:apartman-yonetimi-comunidad-de-vecinos-1</t>
        </is>
      </c>
      <c r="B82" s="29" t="inlineStr">
        <is>
          <t>malaga</t>
        </is>
      </c>
      <c r="C82" s="29" t="inlineStr">
        <is>
          <t>malaga:apartman-yonetimi-comunidad-de-vecinos</t>
        </is>
      </c>
      <c r="D82" s="29" t="inlineStr">
        <is>
          <t>Bilgi al</t>
        </is>
      </c>
      <c r="E82" s="29" t="inlineStr">
        <is>
          <t>https://www.boe.es/buscar/act.php?id=BOE-A-1960-10906</t>
        </is>
      </c>
      <c r="F82" s="49" t="n">
        <v>46319</v>
      </c>
      <c r="G82" s="51" t="n">
        <v>1</v>
      </c>
    </row>
    <row r="83" ht="54" customHeight="1">
      <c r="A83" s="29" t="inlineStr">
        <is>
          <t>malaga:action:apartman-yonetimi-comunidad-de-vecinos-2</t>
        </is>
      </c>
      <c r="B83" s="29" t="inlineStr">
        <is>
          <t>malaga</t>
        </is>
      </c>
      <c r="C83" s="29" t="inlineStr">
        <is>
          <t>malaga:apartman-yonetimi-comunidad-de-vecinos</t>
        </is>
      </c>
      <c r="D83" s="29" t="inlineStr">
        <is>
          <t>Bilgi al</t>
        </is>
      </c>
      <c r="E83" s="29" t="inlineStr">
        <is>
          <t>https://www.boe.es/buscar/act.php?id=BOE-A-2006-11130</t>
        </is>
      </c>
      <c r="F83" s="49" t="n">
        <v>46319</v>
      </c>
      <c r="G83" s="51" t="n">
        <v>2</v>
      </c>
    </row>
    <row r="84" ht="54" customHeight="1">
      <c r="A84" s="29" t="inlineStr">
        <is>
          <t>malaga:action:emasa-su-aboneligi-acma-kapatma-devir-1</t>
        </is>
      </c>
      <c r="B84" s="29" t="inlineStr">
        <is>
          <t>malaga</t>
        </is>
      </c>
      <c r="C84" s="29" t="inlineStr">
        <is>
          <t>malaga:emasa-su-aboneligi-acma-kapatma-devir</t>
        </is>
      </c>
      <c r="D84" s="29" t="inlineStr">
        <is>
          <t>Formu doldur</t>
        </is>
      </c>
      <c r="E84" s="29" t="inlineStr">
        <is>
          <t>https://www.emasa.es/formularios/</t>
        </is>
      </c>
      <c r="F84" s="49" t="n">
        <v>46322</v>
      </c>
      <c r="G84" s="51" t="n">
        <v>1</v>
      </c>
    </row>
    <row r="85" ht="54" customHeight="1">
      <c r="A85" s="29" t="inlineStr">
        <is>
          <t>malaga:action:emasa-su-aboneligi-acma-kapatma-devir-2</t>
        </is>
      </c>
      <c r="B85" s="29" t="inlineStr">
        <is>
          <t>malaga</t>
        </is>
      </c>
      <c r="C85" s="29" t="inlineStr">
        <is>
          <t>malaga:emasa-su-aboneligi-acma-kapatma-devir</t>
        </is>
      </c>
      <c r="D85" s="29" t="inlineStr">
        <is>
          <t>Başvur</t>
        </is>
      </c>
      <c r="E85" s="29" t="inlineStr">
        <is>
          <t>https://www.emasa.es/ov/</t>
        </is>
      </c>
      <c r="F85" s="49" t="n">
        <v>46322</v>
      </c>
      <c r="G85" s="51" t="n">
        <v>2</v>
      </c>
    </row>
    <row r="86" ht="54" customHeight="1">
      <c r="A86" s="29" t="inlineStr">
        <is>
          <t>malaga:action:emasa-su-arizasi-ve-basinc-sorunu-bildirme-1</t>
        </is>
      </c>
      <c r="B86" s="29" t="inlineStr">
        <is>
          <t>malaga</t>
        </is>
      </c>
      <c r="C86" s="29" t="inlineStr">
        <is>
          <t>malaga:emasa-su-arizasi-ve-basinc-sorunu-bildirme</t>
        </is>
      </c>
      <c r="D86" s="29" t="inlineStr">
        <is>
          <t>Bilgi al</t>
        </is>
      </c>
      <c r="E86" s="29" t="inlineStr">
        <is>
          <t>https://www.emasa.es/contacto/</t>
        </is>
      </c>
      <c r="F86" s="49" t="n">
        <v>46322</v>
      </c>
      <c r="G86" s="51" t="n">
        <v>1</v>
      </c>
    </row>
    <row r="87" ht="54" customHeight="1">
      <c r="A87" s="29" t="inlineStr">
        <is>
          <t>malaga:action:emasa-su-arizasi-ve-basinc-sorunu-bildirme-2</t>
        </is>
      </c>
      <c r="B87" s="29" t="inlineStr">
        <is>
          <t>malaga</t>
        </is>
      </c>
      <c r="C87" s="29" t="inlineStr">
        <is>
          <t>malaga:emasa-su-arizasi-ve-basinc-sorunu-bildirme</t>
        </is>
      </c>
      <c r="D87" s="29" t="inlineStr">
        <is>
          <t>Bilgi al</t>
        </is>
      </c>
      <c r="E87" s="29" t="inlineStr">
        <is>
          <t>https://www.emasa.es/atencion-al-cliente/</t>
        </is>
      </c>
      <c r="F87" s="49" t="n">
        <v>46322</v>
      </c>
      <c r="G87" s="51" t="n">
        <v>2</v>
      </c>
    </row>
    <row r="88" ht="54" customHeight="1">
      <c r="A88" s="29" t="inlineStr">
        <is>
          <t>malaga:action:emasa-su-faturasi-odeme-itiraz-ve-otomatik-odeme-1</t>
        </is>
      </c>
      <c r="B88" s="29" t="inlineStr">
        <is>
          <t>malaga</t>
        </is>
      </c>
      <c r="C88" s="29" t="inlineStr">
        <is>
          <t>malaga:emasa-su-faturasi-odeme-itiraz-ve-otomatik-odeme</t>
        </is>
      </c>
      <c r="D88" s="29" t="inlineStr">
        <is>
          <t>Formu doldur</t>
        </is>
      </c>
      <c r="E88" s="29" t="inlineStr">
        <is>
          <t>https://www.emasa.es/formularios/</t>
        </is>
      </c>
      <c r="F88" s="49" t="n">
        <v>46322</v>
      </c>
      <c r="G88" s="51" t="n">
        <v>1</v>
      </c>
    </row>
    <row r="89" ht="54" customHeight="1">
      <c r="A89" s="29" t="inlineStr">
        <is>
          <t>malaga:action:emasa-su-faturasi-odeme-itiraz-ve-otomatik-odeme-2</t>
        </is>
      </c>
      <c r="B89" s="29" t="inlineStr">
        <is>
          <t>malaga</t>
        </is>
      </c>
      <c r="C89" s="29" t="inlineStr">
        <is>
          <t>malaga:emasa-su-faturasi-odeme-itiraz-ve-otomatik-odeme</t>
        </is>
      </c>
      <c r="D89" s="29" t="inlineStr">
        <is>
          <t>Bilgi al</t>
        </is>
      </c>
      <c r="E89" s="29" t="inlineStr">
        <is>
          <t>https://www.emasa.es/ov/</t>
        </is>
      </c>
      <c r="F89" s="49" t="n">
        <v>46322</v>
      </c>
      <c r="G89" s="51" t="n">
        <v>2</v>
      </c>
    </row>
    <row r="90" ht="54" customHeight="1">
      <c r="A90" s="29" t="inlineStr">
        <is>
          <t>malaga:action:emasa-fondo-social-su-faturasi-yardimi-1</t>
        </is>
      </c>
      <c r="B90" s="29" t="inlineStr">
        <is>
          <t>malaga</t>
        </is>
      </c>
      <c r="C90" s="29" t="inlineStr">
        <is>
          <t>malaga:emasa-fondo-social-su-faturasi-yardimi</t>
        </is>
      </c>
      <c r="D90" s="29" t="inlineStr">
        <is>
          <t>Başvur</t>
        </is>
      </c>
      <c r="E90" s="29" t="inlineStr">
        <is>
          <t>https://www.emasa.es/fondosocial/index.html</t>
        </is>
      </c>
      <c r="F90" s="49" t="n">
        <v>46322</v>
      </c>
      <c r="G90" s="51" t="n">
        <v>1</v>
      </c>
    </row>
    <row r="91" ht="54" customHeight="1">
      <c r="A91" s="29" t="inlineStr">
        <is>
          <t>malaga:action:emasa-fondo-social-su-faturasi-yardimi-2</t>
        </is>
      </c>
      <c r="B91" s="29" t="inlineStr">
        <is>
          <t>malaga</t>
        </is>
      </c>
      <c r="C91" s="29" t="inlineStr">
        <is>
          <t>malaga:emasa-fondo-social-su-faturasi-yardimi</t>
        </is>
      </c>
      <c r="D91" s="29" t="inlineStr">
        <is>
          <t>Formu doldur</t>
        </is>
      </c>
      <c r="E91" s="29" t="inlineStr">
        <is>
          <t>https://www.emasa.es/formularios/</t>
        </is>
      </c>
      <c r="F91" s="49" t="n">
        <v>46322</v>
      </c>
      <c r="G91" s="51" t="n">
        <v>2</v>
      </c>
    </row>
    <row r="92" ht="54" customHeight="1">
      <c r="A92" s="29" t="inlineStr">
        <is>
          <t>malaga:action:emasa-tarifeleri-2024-guncellemesi-bes-yil-1</t>
        </is>
      </c>
      <c r="B92" s="29" t="inlineStr">
        <is>
          <t>malaga</t>
        </is>
      </c>
      <c r="C92" s="29" t="inlineStr">
        <is>
          <t>malaga:emasa-tarifeleri-2024-guncellemesi-bes-yil</t>
        </is>
      </c>
      <c r="D92" s="29" t="inlineStr">
        <is>
          <t>Bilgi al</t>
        </is>
      </c>
      <c r="E92" s="29" t="inlineStr">
        <is>
          <t>https://www.emasa.es/el-pleno-aprueba-de-forma-definitiva-las-nuevas-tarifas-de-emasa-tras-ocho-anos-de-congelacion/</t>
        </is>
      </c>
      <c r="F92" s="49" t="n">
        <v>46322</v>
      </c>
      <c r="G92" s="51" t="n">
        <v>1</v>
      </c>
    </row>
    <row r="93" ht="54" customHeight="1">
      <c r="A93" s="29" t="inlineStr">
        <is>
          <t>malaga:action:emasa-tarifeleri-2024-guncellemesi-bes-yil-2</t>
        </is>
      </c>
      <c r="B93" s="29" t="inlineStr">
        <is>
          <t>malaga</t>
        </is>
      </c>
      <c r="C93" s="29" t="inlineStr">
        <is>
          <t>malaga:emasa-tarifeleri-2024-guncellemesi-bes-yil</t>
        </is>
      </c>
      <c r="D93" s="29" t="inlineStr">
        <is>
          <t>Bilgi al</t>
        </is>
      </c>
      <c r="E93" s="29" t="inlineStr">
        <is>
          <t>https://www.emasa.es/el-boja-publica-las-nuevas-tarifas-de-abastecimiento-de-agua-tras-ocho-anos-de-congelacion/</t>
        </is>
      </c>
      <c r="F93" s="49" t="n">
        <v>46322</v>
      </c>
      <c r="G93" s="51" t="n">
        <v>2</v>
      </c>
    </row>
    <row r="94" ht="54" customHeight="1">
      <c r="A94" s="29" t="inlineStr">
        <is>
          <t>malaga:action:cop-toplama-odemesi-pppnt-isyeri-ve-turistik-konut-1</t>
        </is>
      </c>
      <c r="B94" s="29" t="inlineStr">
        <is>
          <t>malaga</t>
        </is>
      </c>
      <c r="C94" s="29" t="inlineStr">
        <is>
          <t>malaga:cop-toplama-odemesi-pppnt-isyeri-ve-turistik-konut</t>
        </is>
      </c>
      <c r="D94" s="29" t="inlineStr">
        <is>
          <t>Bilgi al</t>
        </is>
      </c>
      <c r="E94" s="29" t="inlineStr">
        <is>
          <t>https://gestrisam.malaga.eu/tributos/tributos-destacados/prestacion-patrimonial-de-caracter-publico-no-tributario-por-los-servicios-y-actividades-relacionadas-con-la-recogida-de-residuos-solidos-urbanos-generados-por-la-realizacion-de-actividades-economicas.-pppnt/</t>
        </is>
      </c>
      <c r="F94" s="49" t="n">
        <v>46322</v>
      </c>
      <c r="G94" s="51" t="n">
        <v>1</v>
      </c>
    </row>
    <row r="95" ht="54" customHeight="1">
      <c r="A95" s="29" t="inlineStr">
        <is>
          <t>malaga:action:cop-toplama-odemesi-pppnt-isyeri-ve-turistik-konut-2</t>
        </is>
      </c>
      <c r="B95" s="29" t="inlineStr">
        <is>
          <t>malaga</t>
        </is>
      </c>
      <c r="C95" s="29" t="inlineStr">
        <is>
          <t>malaga:cop-toplama-odemesi-pppnt-isyeri-ve-turistik-konut</t>
        </is>
      </c>
      <c r="D95" s="29" t="inlineStr">
        <is>
          <t>Bilgi al</t>
        </is>
      </c>
      <c r="E95" s="29" t="inlineStr">
        <is>
          <t>https://gestrisam.malaga.eu/tributos/calendario-fiscal-y-de-pagos/</t>
        </is>
      </c>
      <c r="F95" s="49" t="n">
        <v>46322</v>
      </c>
      <c r="G95" s="51" t="n">
        <v>2</v>
      </c>
    </row>
    <row r="96" ht="54" customHeight="1">
      <c r="A96" s="29" t="inlineStr">
        <is>
          <t>malaga:action:malaga-tuketici-ofisi-fatura-ve-hizmet-sikayeti-1</t>
        </is>
      </c>
      <c r="B96" s="29" t="inlineStr">
        <is>
          <t>malaga</t>
        </is>
      </c>
      <c r="C96" s="29" t="inlineStr">
        <is>
          <t>malaga:malaga-tuketici-ofisi-fatura-ve-hizmet-sikayeti</t>
        </is>
      </c>
      <c r="D96" s="29" t="inlineStr">
        <is>
          <t>Bilgi al</t>
        </is>
      </c>
      <c r="E96" s="29" t="inlineStr">
        <is>
          <t>https://sanidadyconsumo.malaga.eu/sanidad-y-consumo/consumo/oficina-municipal-de-atencion-al-consumidor/</t>
        </is>
      </c>
      <c r="F96" s="49" t="n">
        <v>46322</v>
      </c>
      <c r="G96" s="51" t="n">
        <v>1</v>
      </c>
    </row>
    <row r="97" ht="54" customHeight="1">
      <c r="A97" s="29" t="inlineStr">
        <is>
          <t>malaga:action:hoja-de-reclamaciones-nasil-istenir-ve-verilir-1</t>
        </is>
      </c>
      <c r="B97" s="29" t="inlineStr">
        <is>
          <t>malaga</t>
        </is>
      </c>
      <c r="C97" s="29" t="inlineStr">
        <is>
          <t>malaga:hoja-de-reclamaciones-nasil-istenir-ve-verilir</t>
        </is>
      </c>
      <c r="D97" s="29" t="inlineStr">
        <is>
          <t>Formu doldur</t>
        </is>
      </c>
      <c r="E97" s="29" t="inlineStr">
        <is>
          <t>https://www.juntadeandalucia.es/temas/vivienda-consumo/consumo/reclamaciones.html</t>
        </is>
      </c>
      <c r="F97" s="49" t="n">
        <v>46322</v>
      </c>
      <c r="G97" s="51" t="n">
        <v>1</v>
      </c>
    </row>
    <row r="98" ht="54" customHeight="1">
      <c r="A98" s="29" t="inlineStr">
        <is>
          <t>malaga:action:hoja-de-reclamaciones-nasil-istenir-ve-verilir-2</t>
        </is>
      </c>
      <c r="B98" s="29" t="inlineStr">
        <is>
          <t>malaga</t>
        </is>
      </c>
      <c r="C98" s="29" t="inlineStr">
        <is>
          <t>malaga:hoja-de-reclamaciones-nasil-istenir-ve-verilir</t>
        </is>
      </c>
      <c r="D98" s="29" t="inlineStr">
        <is>
          <t>Bilgi al</t>
        </is>
      </c>
      <c r="E98" s="29" t="inlineStr">
        <is>
          <t>https://sanidadyconsumo.malaga.eu/sanidad-y-consumo/consumo/oficina-municipal-de-atencion-al-consumidor/</t>
        </is>
      </c>
      <c r="F98" s="49" t="n">
        <v>46322</v>
      </c>
      <c r="G98" s="51" t="n">
        <v>2</v>
      </c>
    </row>
    <row r="99" ht="54" customHeight="1">
      <c r="A99" s="29" t="inlineStr">
        <is>
          <t>malaga:action:malaga-tuketici-ofisi-fatura-ve-hizmet-sikayeti-2</t>
        </is>
      </c>
      <c r="B99" s="29" t="inlineStr">
        <is>
          <t>malaga</t>
        </is>
      </c>
      <c r="C99" s="29" t="inlineStr">
        <is>
          <t>malaga:malaga-tuketici-ofisi-fatura-ve-hizmet-sikayeti</t>
        </is>
      </c>
      <c r="D99" s="29" t="inlineStr">
        <is>
          <t>Formu doldur</t>
        </is>
      </c>
      <c r="E99" s="29" t="inlineStr">
        <is>
          <t>https://www.juntadeandalucia.es/temas/vivienda-consumo/consumo/reclamaciones.html</t>
        </is>
      </c>
      <c r="F99" s="49" t="n">
        <v>46322</v>
      </c>
      <c r="G99" s="51" t="n">
        <v>2</v>
      </c>
    </row>
    <row r="100" ht="54" customHeight="1">
      <c r="A100" s="29" t="inlineStr">
        <is>
          <t>malaga:action:telekom-sozlesmesi-asgari-icerik-ve-sozlesme-oncesi-kosullar-1</t>
        </is>
      </c>
      <c r="B100" s="29" t="inlineStr">
        <is>
          <t>malaga</t>
        </is>
      </c>
      <c r="C100" s="29" t="inlineStr">
        <is>
          <t>malaga:telekom-sozlesmesi-asgari-icerik-ve-sozlesme-oncesi-kosullar</t>
        </is>
      </c>
      <c r="D100" s="29" t="inlineStr">
        <is>
          <t>Bilgi al</t>
        </is>
      </c>
      <c r="E100" s="29" t="inlineStr">
        <is>
          <t>https://usuariosteleco.digital.gob.es/te-interesa/consejos-practicos/celebracion-de-contrato</t>
        </is>
      </c>
      <c r="F100" s="49" t="n">
        <v>46322</v>
      </c>
      <c r="G100" s="51" t="n">
        <v>1</v>
      </c>
    </row>
    <row r="101" ht="54" customHeight="1">
      <c r="A101" s="29" t="inlineStr">
        <is>
          <t>malaga:action:telekom-sozlesmesi-asgari-icerik-ve-sozlesme-oncesi-kosullar-2</t>
        </is>
      </c>
      <c r="B101" s="29" t="inlineStr">
        <is>
          <t>malaga</t>
        </is>
      </c>
      <c r="C101" s="29" t="inlineStr">
        <is>
          <t>malaga:telekom-sozlesmesi-asgari-icerik-ve-sozlesme-oncesi-kosullar</t>
        </is>
      </c>
      <c r="D101" s="29" t="inlineStr">
        <is>
          <t>Başvur</t>
        </is>
      </c>
      <c r="E101" s="29" t="inlineStr">
        <is>
          <t>https://usuariosteleco.digital.gob.es/reclamaciones/telefonia-e-internet</t>
        </is>
      </c>
      <c r="F101" s="49" t="n">
        <v>46322</v>
      </c>
      <c r="G101" s="51" t="n">
        <v>2</v>
      </c>
    </row>
    <row r="102" ht="54" customHeight="1">
      <c r="A102" s="29" t="inlineStr">
        <is>
          <t>malaga:action:resmi-tatiller-2027-1</t>
        </is>
      </c>
      <c r="B102" s="29" t="inlineStr">
        <is>
          <t>malaga</t>
        </is>
      </c>
      <c r="C102" s="29" t="inlineStr">
        <is>
          <t>malaga:resmi-tatiller-2027</t>
        </is>
      </c>
      <c r="D102" s="29" t="inlineStr">
        <is>
          <t>Bilgi al</t>
        </is>
      </c>
      <c r="E102" s="29" t="inlineStr">
        <is>
          <t>https://www.boe.es/buscar/doc.php?id=BOE-A-2026-21254</t>
        </is>
      </c>
      <c r="F102" s="49" t="n">
        <v>46319</v>
      </c>
      <c r="G102" s="51" t="n">
        <v>1</v>
      </c>
    </row>
    <row r="103" ht="54" customHeight="1">
      <c r="A103" s="29" t="inlineStr">
        <is>
          <t>malaga:action:magaza-acilis-saatleri-cercevesi-1</t>
        </is>
      </c>
      <c r="B103" s="29" t="inlineStr">
        <is>
          <t>malaga</t>
        </is>
      </c>
      <c r="C103" s="29" t="inlineStr">
        <is>
          <t>malaga:magaza-acilis-saatleri-cercevesi</t>
        </is>
      </c>
      <c r="D103" s="29" t="inlineStr">
        <is>
          <t>Bilgi al</t>
        </is>
      </c>
      <c r="E103" s="29" t="inlineStr">
        <is>
          <t>https://www.boe.es/buscar/act.php?id=BOE-A-2004-21421</t>
        </is>
      </c>
      <c r="F103" s="49" t="n">
        <v>46319</v>
      </c>
      <c r="G103" s="51" t="n">
        <v>1</v>
      </c>
    </row>
    <row r="104" ht="54" customHeight="1">
      <c r="A104" s="29" t="inlineStr">
        <is>
          <t>malaga:action:ab-disi-paket-gumruk-iva-1</t>
        </is>
      </c>
      <c r="B104" s="29" t="inlineStr">
        <is>
          <t>malaga</t>
        </is>
      </c>
      <c r="C104" s="29" t="inlineStr">
        <is>
          <t>malaga:ab-disi-paket-gumruk-iva</t>
        </is>
      </c>
      <c r="D104" s="29" t="inlineStr">
        <is>
          <t>Bilgi al</t>
        </is>
      </c>
      <c r="E104" s="29" t="inlineStr">
        <is>
          <t>https://sede.agenciatributaria.gob.es/Sede/aduanas/comercio-electronico-pipe-envios-particulares/compras-internet-envios-particulares/envios-valor-hasta-150-euros.html</t>
        </is>
      </c>
      <c r="F104" s="49" t="n">
        <v>46319</v>
      </c>
      <c r="G104" s="51" t="n">
        <v>1</v>
      </c>
    </row>
    <row r="105" ht="54" customHeight="1">
      <c r="A105" s="29" t="inlineStr">
        <is>
          <t>malaga:action:ab-disi-paket-gumruk-iva-2</t>
        </is>
      </c>
      <c r="B105" s="29" t="inlineStr">
        <is>
          <t>malaga</t>
        </is>
      </c>
      <c r="C105" s="29" t="inlineStr">
        <is>
          <t>malaga:ab-disi-paket-gumruk-iva</t>
        </is>
      </c>
      <c r="D105" s="29" t="inlineStr">
        <is>
          <t>Bilgi al</t>
        </is>
      </c>
      <c r="E105" s="29" t="inlineStr">
        <is>
          <t>https://www.correos.es/es/es/atencion-al-cliente/informacion-aduanera</t>
        </is>
      </c>
      <c r="F105" s="49" t="n">
        <v>46319</v>
      </c>
      <c r="G105" s="51" t="n">
        <v>2</v>
      </c>
    </row>
    <row r="106" ht="54" customHeight="1">
      <c r="A106" s="29" t="inlineStr">
        <is>
          <t>malaga:action:diger-resmi-yardim-hatlari-1</t>
        </is>
      </c>
      <c r="B106" s="29" t="inlineStr">
        <is>
          <t>malaga</t>
        </is>
      </c>
      <c r="C106" s="29" t="inlineStr">
        <is>
          <t>malaga:diger-resmi-yardim-hatlari</t>
        </is>
      </c>
      <c r="D106" s="29" t="inlineStr">
        <is>
          <t>Bilgi al</t>
        </is>
      </c>
      <c r="E106" s="29" t="inlineStr">
        <is>
          <t>https://www.igualdad.gob.es/accede-a-lineas-telefonicas-especializadas-para-atencion-apoyo-y-proteccion-en-casos-de-violencia-de-genero-lgtbifobia-o-discriminacion-racial/</t>
        </is>
      </c>
      <c r="F106" s="49" t="n">
        <v>46319</v>
      </c>
      <c r="G106" s="51" t="n">
        <v>1</v>
      </c>
    </row>
    <row r="107" ht="54" customHeight="1">
      <c r="A107" s="29" t="inlineStr">
        <is>
          <t>malaga:action:diger-resmi-yardim-hatlari-2</t>
        </is>
      </c>
      <c r="B107" s="29" t="inlineStr">
        <is>
          <t>malaga</t>
        </is>
      </c>
      <c r="C107" s="29" t="inlineStr">
        <is>
          <t>malaga:diger-resmi-yardim-hatlari</t>
        </is>
      </c>
      <c r="D107" s="29" t="inlineStr">
        <is>
          <t>Bilgi al</t>
        </is>
      </c>
      <c r="E107" s="29" t="inlineStr">
        <is>
          <t>https://www.sanidad.gob.es/linea024/home.htm</t>
        </is>
      </c>
      <c r="F107" s="49" t="n">
        <v>46319</v>
      </c>
      <c r="G107" s="51" t="n">
        <v>2</v>
      </c>
    </row>
    <row r="108" ht="54" customHeight="1">
      <c r="A108" s="29" t="inlineStr">
        <is>
          <t>malaga:action:bahsis-ve-odeme-aliskanliklari-1</t>
        </is>
      </c>
      <c r="B108" s="29" t="inlineStr">
        <is>
          <t>malaga</t>
        </is>
      </c>
      <c r="C108" s="29" t="inlineStr">
        <is>
          <t>malaga:bahsis-ve-odeme-aliskanliklari</t>
        </is>
      </c>
      <c r="D108" s="29" t="inlineStr">
        <is>
          <t>Bilgi al</t>
        </is>
      </c>
      <c r="E108" s="29" t="inlineStr">
        <is>
          <t>https://www.spain.info/es/consejos-viaje/moneda-billetes/</t>
        </is>
      </c>
      <c r="F108" s="49" t="n">
        <v>46319</v>
      </c>
      <c r="G108" s="51" t="n">
        <v>1</v>
      </c>
    </row>
    <row r="109" ht="54" customHeight="1">
      <c r="A109" s="29" t="inlineStr">
        <is>
          <t>malaga:action:endulus-2027-resmi-tatilleri-1</t>
        </is>
      </c>
      <c r="B109" s="29" t="inlineStr">
        <is>
          <t>malaga</t>
        </is>
      </c>
      <c r="C109" s="29" t="inlineStr">
        <is>
          <t>malaga:endulus-2027-resmi-tatilleri</t>
        </is>
      </c>
      <c r="D109" s="29" t="inlineStr">
        <is>
          <t>Bilgi al</t>
        </is>
      </c>
      <c r="E109" s="29" t="inlineStr">
        <is>
          <t>https://www.juntadeandalucia.es/boja/2026/84/1</t>
        </is>
      </c>
      <c r="F109" s="49" t="n">
        <v>46319</v>
      </c>
      <c r="G109" s="51" t="n">
        <v>1</v>
      </c>
    </row>
    <row r="110" ht="54" customHeight="1">
      <c r="A110" s="29" t="inlineStr">
        <is>
          <t>malaga:action:malaga-acil-durumda-112-061-ve-urgencias-numarasi-1</t>
        </is>
      </c>
      <c r="B110" s="29" t="inlineStr">
        <is>
          <t>malaga</t>
        </is>
      </c>
      <c r="C110" s="29" t="inlineStr">
        <is>
          <t>malaga:malaga-acil-durumda-112-061-ve-urgencias-numarasi</t>
        </is>
      </c>
      <c r="D110" s="29" t="inlineStr">
        <is>
          <t>Bilgi al</t>
        </is>
      </c>
      <c r="E110" s="29" t="inlineStr">
        <is>
          <t>https://www.juntadeandalucia.es/organismos/ema/areas/emergencias-112/cecem-112-andalucia.html</t>
        </is>
      </c>
      <c r="F110" s="49" t="n">
        <v>46322</v>
      </c>
      <c r="G110" s="51" t="n">
        <v>1</v>
      </c>
    </row>
    <row r="111" ht="54" customHeight="1">
      <c r="A111" s="29" t="inlineStr">
        <is>
          <t>malaga:action:malaga-acil-durumda-112-061-ve-urgencias-numarasi-2</t>
        </is>
      </c>
      <c r="B111" s="29" t="inlineStr">
        <is>
          <t>malaga</t>
        </is>
      </c>
      <c r="C111" s="29" t="inlineStr">
        <is>
          <t>malaga:malaga-acil-durumda-112-061-ve-urgencias-numarasi</t>
        </is>
      </c>
      <c r="D111" s="29" t="inlineStr">
        <is>
          <t>Bilgi al</t>
        </is>
      </c>
      <c r="E111" s="29" t="inlineStr">
        <is>
          <t>https://www.sspa.juntadeandalucia.es/servicioandaluzdesalud/emergencias061/ciudadania/atencion-a-la-ciudadania</t>
        </is>
      </c>
      <c r="F111" s="49" t="n">
        <v>46322</v>
      </c>
      <c r="G111" s="51" t="n">
        <v>2</v>
      </c>
    </row>
    <row r="112" ht="54" customHeight="1">
      <c r="A112" s="29" t="inlineStr">
        <is>
          <t>malaga:action:malaga-polise-suc-duyurusu-denuncia-ve-denuncia-ofisleri-1</t>
        </is>
      </c>
      <c r="B112" s="29" t="inlineStr">
        <is>
          <t>malaga</t>
        </is>
      </c>
      <c r="C112" s="29" t="inlineStr">
        <is>
          <t>malaga:malaga-polise-suc-duyurusu-denuncia-ve-denuncia-ofisleri</t>
        </is>
      </c>
      <c r="D112" s="29" t="inlineStr">
        <is>
          <t>Bilgi al</t>
        </is>
      </c>
      <c r="E112" s="29" t="inlineStr">
        <is>
          <t>https://denuncias.policia.es/OVD/</t>
        </is>
      </c>
      <c r="F112" s="49" t="n">
        <v>46322</v>
      </c>
      <c r="G112" s="51" t="n">
        <v>1</v>
      </c>
    </row>
    <row r="113" ht="54" customHeight="1">
      <c r="A113" s="29" t="inlineStr">
        <is>
          <t>malaga:action:malaga-polise-suc-duyurusu-denuncia-ve-denuncia-ofisleri-2</t>
        </is>
      </c>
      <c r="B113" s="29" t="inlineStr">
        <is>
          <t>malaga</t>
        </is>
      </c>
      <c r="C113" s="29" t="inlineStr">
        <is>
          <t>malaga:malaga-polise-suc-duyurusu-denuncia-ve-denuncia-ofisleri</t>
        </is>
      </c>
      <c r="D113" s="29" t="inlineStr">
        <is>
          <t>Bilgi al</t>
        </is>
      </c>
      <c r="E113" s="29" t="inlineStr">
        <is>
          <t>https://denuncias.policia.es/OVD/Oficinas.dgp?id_prov=29</t>
        </is>
      </c>
      <c r="F113" s="49" t="n">
        <v>46322</v>
      </c>
      <c r="G113" s="51" t="n">
        <v>2</v>
      </c>
    </row>
    <row r="114" ht="54" customHeight="1">
      <c r="A114" s="29" t="inlineStr">
        <is>
          <t>malaga:action:malaga-geri-donusum-konteyner-renkleri-ve-atik-turleri-1</t>
        </is>
      </c>
      <c r="B114" s="29" t="inlineStr">
        <is>
          <t>malaga</t>
        </is>
      </c>
      <c r="C114" s="29" t="inlineStr">
        <is>
          <t>malaga:malaga-geri-donusum-konteyner-renkleri-ve-atik-turleri</t>
        </is>
      </c>
      <c r="D114" s="29" t="inlineStr">
        <is>
          <t>Bilgi al</t>
        </is>
      </c>
      <c r="E114" s="29" t="inlineStr">
        <is>
          <t>https://limpiezademalaga.es/gestion-y-desarrollo-sostenible/reciclaje/</t>
        </is>
      </c>
      <c r="F114" s="49" t="n">
        <v>46322</v>
      </c>
      <c r="G114" s="51" t="n">
        <v>1</v>
      </c>
    </row>
    <row r="115" ht="54" customHeight="1">
      <c r="A115" s="29" t="inlineStr">
        <is>
          <t>malaga:action:malaga-eski-mobilya-ve-buyuk-esya-toplama-gunu-ve-saati-1</t>
        </is>
      </c>
      <c r="B115" s="29" t="inlineStr">
        <is>
          <t>malaga</t>
        </is>
      </c>
      <c r="C115" s="29" t="inlineStr">
        <is>
          <t>malaga:malaga-eski-mobilya-ve-buyuk-esya-toplama-gunu-ve-saati</t>
        </is>
      </c>
      <c r="D115" s="29" t="inlineStr">
        <is>
          <t>Bilgi al</t>
        </is>
      </c>
      <c r="E115" s="29" t="inlineStr">
        <is>
          <t>https://limpiezademalaga.es/recogida-de-muebles/</t>
        </is>
      </c>
      <c r="F115" s="49" t="n">
        <v>46322</v>
      </c>
      <c r="G115" s="51" t="n">
        <v>1</v>
      </c>
    </row>
    <row r="116" ht="54" customHeight="1">
      <c r="A116" s="29" t="inlineStr">
        <is>
          <t>malaga:action:malaga-punto-limpio-atik-merkezi-adres-ve-saatler-1</t>
        </is>
      </c>
      <c r="B116" s="29" t="inlineStr">
        <is>
          <t>malaga</t>
        </is>
      </c>
      <c r="C116" s="29" t="inlineStr">
        <is>
          <t>malaga:malaga-punto-limpio-atik-merkezi-adres-ve-saatler</t>
        </is>
      </c>
      <c r="D116" s="29" t="inlineStr">
        <is>
          <t>Bilgi al</t>
        </is>
      </c>
      <c r="E116" s="29" t="inlineStr">
        <is>
          <t>https://limpiezademalaga.es/punto-limpio/</t>
        </is>
      </c>
      <c r="F116" s="49" t="n">
        <v>46322</v>
      </c>
      <c r="G116" s="51" t="n">
        <v>1</v>
      </c>
    </row>
    <row r="117" ht="54" customHeight="1">
      <c r="A117" s="29" t="inlineStr">
        <is>
          <t>malaga:action:malaga-yerel-tatilleri-19-agustos-ve-8-eylul-ve-yilin-kalan-tatilleri-1</t>
        </is>
      </c>
      <c r="B117" s="29" t="inlineStr">
        <is>
          <t>malaga</t>
        </is>
      </c>
      <c r="C117" s="29" t="inlineStr">
        <is>
          <t>malaga:malaga-yerel-tatilleri-19-agustos-ve-8-eylul-ve-yilin-kalan-tatilleri</t>
        </is>
      </c>
      <c r="D117" s="29" t="inlineStr">
        <is>
          <t>Bilgi al</t>
        </is>
      </c>
      <c r="E117" s="29" t="inlineStr">
        <is>
          <t>https://www.malaga.eu/la-ciudad/dias-festivos/</t>
        </is>
      </c>
      <c r="F117" s="49" t="n">
        <v>46322</v>
      </c>
      <c r="G117" s="51" t="n">
        <v>1</v>
      </c>
    </row>
    <row r="118" ht="54" customHeight="1">
      <c r="A118" s="29" t="inlineStr">
        <is>
          <t>malaga:action:malaga-yerel-tatilleri-19-agustos-ve-8-eylul-ve-yilin-kalan-tatilleri-2</t>
        </is>
      </c>
      <c r="B118" s="29" t="inlineStr">
        <is>
          <t>malaga</t>
        </is>
      </c>
      <c r="C118" s="29" t="inlineStr">
        <is>
          <t>malaga:malaga-yerel-tatilleri-19-agustos-ve-8-eylul-ve-yilin-kalan-tatilleri</t>
        </is>
      </c>
      <c r="D118" s="29" t="inlineStr">
        <is>
          <t>Bilgi al</t>
        </is>
      </c>
      <c r="E118" s="29" t="inlineStr">
        <is>
          <t>https://juntadeandalucia.es/temas/trabajar/relaciones/calendario.html</t>
        </is>
      </c>
      <c r="F118" s="49" t="n">
        <v>46322</v>
      </c>
      <c r="G118" s="51" t="n">
        <v>2</v>
      </c>
    </row>
    <row r="119" ht="54" customHeight="1">
      <c r="A119" s="29" t="inlineStr">
        <is>
          <t>malaga:action:malaga-plajlarda-cankurtaran-saatleri-ambulans-ve-sorun-bildirme-1</t>
        </is>
      </c>
      <c r="B119" s="29" t="inlineStr">
        <is>
          <t>malaga</t>
        </is>
      </c>
      <c r="C119" s="29" t="inlineStr">
        <is>
          <t>malaga:malaga-plajlarda-cankurtaran-saatleri-ambulans-ve-sorun-bildirme</t>
        </is>
      </c>
      <c r="D119" s="29" t="inlineStr">
        <is>
          <t>Bilgi al</t>
        </is>
      </c>
      <c r="E119" s="29" t="inlineStr">
        <is>
          <t>https://www.malaga.eu/la-ciudad/playas/servicios-generales/</t>
        </is>
      </c>
      <c r="F119" s="49" t="n">
        <v>46322</v>
      </c>
      <c r="G119" s="51" t="n">
        <v>1</v>
      </c>
    </row>
    <row r="120" ht="54" customHeight="1">
      <c r="A120" s="29" t="inlineStr">
        <is>
          <t>malaga:action:malaga-plajlarda-cankurtaran-saatleri-ambulans-ve-sorun-bildirme-2</t>
        </is>
      </c>
      <c r="B120" s="29" t="inlineStr">
        <is>
          <t>malaga</t>
        </is>
      </c>
      <c r="C120" s="29" t="inlineStr">
        <is>
          <t>malaga:malaga-plajlarda-cankurtaran-saatleri-ambulans-ve-sorun-bildirme</t>
        </is>
      </c>
      <c r="D120" s="29" t="inlineStr">
        <is>
          <t>Bilgi al</t>
        </is>
      </c>
      <c r="E120" s="29" t="inlineStr">
        <is>
          <t>https://www.malaga.eu/la-ciudad/playas/consejos-de-salud/</t>
        </is>
      </c>
      <c r="F120" s="49" t="n">
        <v>46322</v>
      </c>
      <c r="G120" s="51" t="n">
        <v>2</v>
      </c>
    </row>
    <row r="121" ht="54" customHeight="1">
      <c r="A121" s="29" t="inlineStr">
        <is>
          <t>malaga:action:malaga-feria-de-agosto-takvimi-19-agustos-ve-centro-historico-saat-siniri-1</t>
        </is>
      </c>
      <c r="B121" s="29" t="inlineStr">
        <is>
          <t>malaga</t>
        </is>
      </c>
      <c r="C121" s="29" t="inlineStr">
        <is>
          <t>malaga:malaga-feria-de-agosto-takvimi-19-agustos-ve-centro-historico-saat-siniri</t>
        </is>
      </c>
      <c r="D121" s="29" t="inlineStr">
        <is>
          <t>Bilgi al</t>
        </is>
      </c>
      <c r="E121" s="29" t="inlineStr">
        <is>
          <t>https://www.malaga.eu/el-ayuntamiento/notas-de-prensa/detalle-de-la-nota-de-prensa/index.html?id=177530</t>
        </is>
      </c>
      <c r="F121" s="49" t="n">
        <v>46322</v>
      </c>
      <c r="G121" s="51" t="n">
        <v>1</v>
      </c>
    </row>
    <row r="122" ht="54" customHeight="1">
      <c r="A122" s="29" t="inlineStr">
        <is>
          <t>malaga:action:malaga-feria-de-agosto-takvimi-19-agustos-ve-centro-historico-saat-siniri-2</t>
        </is>
      </c>
      <c r="B122" s="29" t="inlineStr">
        <is>
          <t>malaga</t>
        </is>
      </c>
      <c r="C122" s="29" t="inlineStr">
        <is>
          <t>malaga:malaga-feria-de-agosto-takvimi-19-agustos-ve-centro-historico-saat-siniri</t>
        </is>
      </c>
      <c r="D122" s="29" t="inlineStr">
        <is>
          <t>Bilgi al</t>
        </is>
      </c>
      <c r="E122" s="29" t="inlineStr">
        <is>
          <t>https://www.malaga.eu/la-ciudad/dias-festivos/</t>
        </is>
      </c>
      <c r="F122" s="49" t="n">
        <v>46322</v>
      </c>
      <c r="G122" s="51" t="n">
        <v>2</v>
      </c>
    </row>
    <row r="123" ht="54" customHeight="1">
      <c r="A123" s="29" t="inlineStr">
        <is>
          <t>malaga:action:malaga-plaj-kurallari-yasaklar-ve-kopek-plaji-playa-de-la-arana-1</t>
        </is>
      </c>
      <c r="B123" s="29" t="inlineStr">
        <is>
          <t>malaga</t>
        </is>
      </c>
      <c r="C123" s="29" t="inlineStr">
        <is>
          <t>malaga:malaga-plaj-kurallari-yasaklar-ve-kopek-plaji-playa-de-la-arana</t>
        </is>
      </c>
      <c r="D123" s="29" t="inlineStr">
        <is>
          <t>Bilgi al</t>
        </is>
      </c>
      <c r="E123" s="29" t="inlineStr">
        <is>
          <t>https://www.malaga.eu/la-ciudad/playas/playa-canina/</t>
        </is>
      </c>
      <c r="F123" s="49" t="n">
        <v>46322</v>
      </c>
      <c r="G123" s="51" t="n">
        <v>1</v>
      </c>
    </row>
    <row r="124" ht="54" customHeight="1">
      <c r="A124" s="29" t="inlineStr">
        <is>
          <t>malaga:action:malaga-plaj-kurallari-yasaklar-ve-kopek-plaji-playa-de-la-arana-2</t>
        </is>
      </c>
      <c r="B124" s="29" t="inlineStr">
        <is>
          <t>malaga</t>
        </is>
      </c>
      <c r="C124" s="29" t="inlineStr">
        <is>
          <t>malaga:malaga-plaj-kurallari-yasaklar-ve-kopek-plaji-playa-de-la-arana</t>
        </is>
      </c>
      <c r="D124" s="29" t="inlineStr">
        <is>
          <t>Bilgi al</t>
        </is>
      </c>
      <c r="E124" s="29" t="inlineStr">
        <is>
          <t>https://www.malaga.eu/la-ciudad/playas/recomendaciones/</t>
        </is>
      </c>
      <c r="F124" s="49" t="n">
        <v>46322</v>
      </c>
      <c r="G124" s="51" t="n">
        <v>2</v>
      </c>
    </row>
    <row r="125" ht="54" customHeight="1">
      <c r="A125" s="29" t="inlineStr">
        <is>
          <t>malaga:action:malaga-omac-belediye-hizmet-ofisleri-isler-ve-randevu-1</t>
        </is>
      </c>
      <c r="B125" s="29" t="inlineStr">
        <is>
          <t>malaga</t>
        </is>
      </c>
      <c r="C125" s="29" t="inlineStr">
        <is>
          <t>malaga:malaga-omac-belediye-hizmet-ofisleri-isler-ve-randevu</t>
        </is>
      </c>
      <c r="D125" s="29" t="inlineStr">
        <is>
          <t>Bilgi al</t>
        </is>
      </c>
      <c r="E125" s="29" t="inlineStr">
        <is>
          <t>https://saic.malaga.eu/oficinas-o.m.a.c./</t>
        </is>
      </c>
      <c r="F125" s="49" t="n">
        <v>46322</v>
      </c>
      <c r="G125" s="51" t="n">
        <v>1</v>
      </c>
    </row>
    <row r="126" ht="54" customHeight="1">
      <c r="A126" s="29" t="inlineStr">
        <is>
          <t>malaga:action:malaga-belediye-spor-tesisleri-acik-saatler-ve-online-hizmet-kaydi-1</t>
        </is>
      </c>
      <c r="B126" s="29" t="inlineStr">
        <is>
          <t>malaga</t>
        </is>
      </c>
      <c r="C126" s="29" t="inlineStr">
        <is>
          <t>malaga:malaga-belediye-spor-tesisleri-acik-saatler-ve-online-hizmet-kaydi</t>
        </is>
      </c>
      <c r="D126" s="29" t="inlineStr">
        <is>
          <t>Bilgi al</t>
        </is>
      </c>
      <c r="E126" s="29" t="inlineStr">
        <is>
          <t>https://deporte.malaga.eu/espacios-deportivos/instalaciones/</t>
        </is>
      </c>
      <c r="F126" s="49" t="n">
        <v>46322</v>
      </c>
      <c r="G126" s="51" t="n">
        <v>1</v>
      </c>
    </row>
    <row r="127" ht="54" customHeight="1">
      <c r="A127" s="29" t="inlineStr">
        <is>
          <t>malaga:action:malaga-belediye-spor-tesisleri-acik-saatler-ve-online-hizmet-kaydi-2</t>
        </is>
      </c>
      <c r="B127" s="29" t="inlineStr">
        <is>
          <t>malaga</t>
        </is>
      </c>
      <c r="C127" s="29" t="inlineStr">
        <is>
          <t>malaga:malaga-belediye-spor-tesisleri-acik-saatler-ve-online-hizmet-kaydi</t>
        </is>
      </c>
      <c r="D127" s="29" t="inlineStr">
        <is>
          <t>Başvur</t>
        </is>
      </c>
      <c r="E127" s="29" t="inlineStr">
        <is>
          <t>https://deporte.malaga.eu/espacios-deportivos/instalaciones/Alta-de-servicios-por-internet/</t>
        </is>
      </c>
      <c r="F127" s="49" t="n">
        <v>46322</v>
      </c>
      <c r="G127" s="51" t="n">
        <v>2</v>
      </c>
    </row>
    <row r="128" ht="54" customHeight="1">
      <c r="A128" s="29" t="inlineStr">
        <is>
          <t>malaga:action:malaga-belediye-spor-tesisleri-acik-saatler-ve-online-hizmet-kaydi-3</t>
        </is>
      </c>
      <c r="B128" s="29" t="inlineStr">
        <is>
          <t>malaga</t>
        </is>
      </c>
      <c r="C128" s="29" t="inlineStr">
        <is>
          <t>malaga:malaga-belediye-spor-tesisleri-acik-saatler-ve-online-hizmet-kaydi</t>
        </is>
      </c>
      <c r="D128" s="29" t="inlineStr">
        <is>
          <t>Ziyaret bilgisi</t>
        </is>
      </c>
      <c r="E128" s="29" t="inlineStr">
        <is>
          <t>https://saic.malaga.eu/oficinas-o.m.a.c./</t>
        </is>
      </c>
      <c r="F128" s="49" t="n">
        <v>46322</v>
      </c>
      <c r="G128" s="51" t="n">
        <v>3</v>
      </c>
    </row>
    <row r="129" ht="54" customHeight="1">
      <c r="A129" s="29" t="inlineStr">
        <is>
          <t>malaga:action:malaga-acik-hava-pazarlari-mercadillo-gunleri-ve-saatleri-1</t>
        </is>
      </c>
      <c r="B129" s="29" t="inlineStr">
        <is>
          <t>malaga</t>
        </is>
      </c>
      <c r="C129" s="29" t="inlineStr">
        <is>
          <t>malaga:malaga-acik-hava-pazarlari-mercadillo-gunleri-ve-saatleri</t>
        </is>
      </c>
      <c r="D129" s="29" t="inlineStr">
        <is>
          <t>Bilgi al</t>
        </is>
      </c>
      <c r="E129" s="29" t="inlineStr">
        <is>
          <t>https://mercadillos.malaga.eu/mercadillos/</t>
        </is>
      </c>
      <c r="F129" s="49" t="n">
        <v>46322</v>
      </c>
      <c r="G129" s="51" t="n">
        <v>1</v>
      </c>
    </row>
    <row r="130" ht="54" customHeight="1">
      <c r="A130" s="29" t="inlineStr">
        <is>
          <t>malaga:action:malaga-omac-belediye-hizmet-ofisleri-isler-ve-randevu-2</t>
        </is>
      </c>
      <c r="B130" s="29" t="inlineStr">
        <is>
          <t>malaga</t>
        </is>
      </c>
      <c r="C130" s="29" t="inlineStr">
        <is>
          <t>malaga:malaga-omac-belediye-hizmet-ofisleri-isler-ve-randevu</t>
        </is>
      </c>
      <c r="D130" s="29" t="inlineStr">
        <is>
          <t>Ziyaret bilgisi</t>
        </is>
      </c>
      <c r="E130" s="29" t="inlineStr">
        <is>
          <t>https://www.malaga.eu/la-ciudad/instalaciones-y-espacios/index.html?idCtEsp=CT51&amp;idDistrito=&amp;texto=OMAC&amp;param1=0</t>
        </is>
      </c>
      <c r="F130" s="49" t="n">
        <v>46322</v>
      </c>
      <c r="G130" s="51" t="n">
        <v>2</v>
      </c>
    </row>
    <row r="131" ht="54" customHeight="1">
      <c r="A131" s="29" t="inlineStr">
        <is>
          <t>malaga:action:is-sozlesmesi-turleri-1</t>
        </is>
      </c>
      <c r="B131" s="29" t="inlineStr">
        <is>
          <t>malaga</t>
        </is>
      </c>
      <c r="C131" s="29" t="inlineStr">
        <is>
          <t>malaga:is-sozlesmesi-turleri</t>
        </is>
      </c>
      <c r="D131" s="29" t="inlineStr">
        <is>
          <t>Bilgi al</t>
        </is>
      </c>
      <c r="E131" s="29" t="inlineStr">
        <is>
          <t>https://www.boe.es/buscar/act.php?id=BOE-A-2015-11430</t>
        </is>
      </c>
      <c r="F131" s="49" t="n">
        <v>46319</v>
      </c>
      <c r="G131" s="51" t="n">
        <v>1</v>
      </c>
    </row>
    <row r="132" ht="54" customHeight="1">
      <c r="A132" s="29" t="inlineStr">
        <is>
          <t>malaga:action:asgari-ucret-smi-2026-calisma-saatleri-1</t>
        </is>
      </c>
      <c r="B132" s="29" t="inlineStr">
        <is>
          <t>malaga</t>
        </is>
      </c>
      <c r="C132" s="29" t="inlineStr">
        <is>
          <t>malaga:asgari-ucret-smi-2026-calisma-saatleri</t>
        </is>
      </c>
      <c r="D132" s="29" t="inlineStr">
        <is>
          <t>Bilgi al</t>
        </is>
      </c>
      <c r="E132" s="29" t="inlineStr">
        <is>
          <t>https://www.boe.es/eli/es/rd/2026/02/18/126/con</t>
        </is>
      </c>
      <c r="F132" s="49" t="n">
        <v>46319</v>
      </c>
      <c r="G132" s="51" t="n">
        <v>1</v>
      </c>
    </row>
    <row r="133" ht="54" customHeight="1">
      <c r="A133" s="29" t="inlineStr">
        <is>
          <t>malaga:action:asgari-ucret-smi-2026-calisma-saatleri-2</t>
        </is>
      </c>
      <c r="B133" s="29" t="inlineStr">
        <is>
          <t>malaga</t>
        </is>
      </c>
      <c r="C133" s="29" t="inlineStr">
        <is>
          <t>malaga:asgari-ucret-smi-2026-calisma-saatleri</t>
        </is>
      </c>
      <c r="D133" s="29" t="inlineStr">
        <is>
          <t>Bilgi al</t>
        </is>
      </c>
      <c r="E133" s="29" t="inlineStr">
        <is>
          <t>https://www.boe.es/buscar/act.php?id=BOE-A-2015-11430</t>
        </is>
      </c>
      <c r="F133" s="49" t="n">
        <v>46319</v>
      </c>
      <c r="G133" s="51" t="n">
        <v>2</v>
      </c>
    </row>
    <row r="134" ht="54" customHeight="1">
      <c r="A134" s="29" t="inlineStr">
        <is>
          <t>malaga:action:yillik-izin-ve-resmi-tatiller-2026-1</t>
        </is>
      </c>
      <c r="B134" s="29" t="inlineStr">
        <is>
          <t>malaga</t>
        </is>
      </c>
      <c r="C134" s="29" t="inlineStr">
        <is>
          <t>malaga:yillik-izin-ve-resmi-tatiller-2026</t>
        </is>
      </c>
      <c r="D134" s="29" t="inlineStr">
        <is>
          <t>Bilgi al</t>
        </is>
      </c>
      <c r="E134" s="29" t="inlineStr">
        <is>
          <t>https://www.boe.es/diario_boe/txt.php?id=BOE-A-2025-21667</t>
        </is>
      </c>
      <c r="F134" s="49" t="n">
        <v>46319</v>
      </c>
      <c r="G134" s="51" t="n">
        <v>1</v>
      </c>
    </row>
    <row r="135" ht="54" customHeight="1">
      <c r="A135" s="29" t="inlineStr">
        <is>
          <t>malaga:action:yillik-izin-ve-resmi-tatiller-2026-2</t>
        </is>
      </c>
      <c r="B135" s="29" t="inlineStr">
        <is>
          <t>malaga</t>
        </is>
      </c>
      <c r="C135" s="29" t="inlineStr">
        <is>
          <t>malaga:yillik-izin-ve-resmi-tatiller-2026</t>
        </is>
      </c>
      <c r="D135" s="29" t="inlineStr">
        <is>
          <t>Bilgi al</t>
        </is>
      </c>
      <c r="E135" s="29" t="inlineStr">
        <is>
          <t>https://www.boe.es/buscar/act.php?id=BOE-A-2015-11430</t>
        </is>
      </c>
      <c r="F135" s="49" t="n">
        <v>46319</v>
      </c>
      <c r="G135" s="51" t="n">
        <v>2</v>
      </c>
    </row>
    <row r="136" ht="54" customHeight="1">
      <c r="A136" s="29" t="inlineStr">
        <is>
          <t>malaga:action:maas-bordrosu-nomina-icerigi-1</t>
        </is>
      </c>
      <c r="B136" s="29" t="inlineStr">
        <is>
          <t>malaga</t>
        </is>
      </c>
      <c r="C136" s="29" t="inlineStr">
        <is>
          <t>malaga:maas-bordrosu-nomina-icerigi</t>
        </is>
      </c>
      <c r="D136" s="29" t="inlineStr">
        <is>
          <t>Bilgi al</t>
        </is>
      </c>
      <c r="E136" s="29" t="inlineStr">
        <is>
          <t>https://www.boe.es/buscar/act.php?id=BOE-A-1995-912</t>
        </is>
      </c>
      <c r="F136" s="49" t="n">
        <v>46319</v>
      </c>
      <c r="G136" s="51" t="n">
        <v>1</v>
      </c>
    </row>
    <row r="137" ht="54" customHeight="1">
      <c r="A137" s="29" t="inlineStr">
        <is>
          <t>malaga:action:maas-bordrosu-nomina-icerigi-2</t>
        </is>
      </c>
      <c r="B137" s="29" t="inlineStr">
        <is>
          <t>malaga</t>
        </is>
      </c>
      <c r="C137" s="29" t="inlineStr">
        <is>
          <t>malaga:maas-bordrosu-nomina-icerigi</t>
        </is>
      </c>
      <c r="D137" s="29" t="inlineStr">
        <is>
          <t>Bilgi al</t>
        </is>
      </c>
      <c r="E137" s="29" t="inlineStr">
        <is>
          <t>https://www.boe.es/diario_boe/txt.php?id=BOE-A-2026-7296</t>
        </is>
      </c>
      <c r="F137" s="49" t="n">
        <v>46319</v>
      </c>
      <c r="G137" s="51" t="n">
        <v>2</v>
      </c>
    </row>
    <row r="138" ht="54" customHeight="1">
      <c r="A138" s="29" t="inlineStr">
        <is>
          <t>malaga:action:finiquito-isten-ayrilirken-tasfiye-belgesi-1</t>
        </is>
      </c>
      <c r="B138" s="29" t="inlineStr">
        <is>
          <t>malaga</t>
        </is>
      </c>
      <c r="C138" s="29" t="inlineStr">
        <is>
          <t>malaga:finiquito-isten-ayrilirken-tasfiye-belgesi</t>
        </is>
      </c>
      <c r="D138" s="29" t="inlineStr">
        <is>
          <t>Bilgi al</t>
        </is>
      </c>
      <c r="E138" s="29" t="inlineStr">
        <is>
          <t>https://www.boe.es/buscar/act.php?id=BOE-A-2015-11430</t>
        </is>
      </c>
      <c r="F138" s="49" t="n">
        <v>46319</v>
      </c>
      <c r="G138" s="51" t="n">
        <v>1</v>
      </c>
    </row>
    <row r="139" ht="54" customHeight="1">
      <c r="A139" s="29" t="inlineStr">
        <is>
          <t>malaga:action:isten-cikarilma-despido-turleri-ve-tazminat-1</t>
        </is>
      </c>
      <c r="B139" s="29" t="inlineStr">
        <is>
          <t>malaga</t>
        </is>
      </c>
      <c r="C139" s="29" t="inlineStr">
        <is>
          <t>malaga:isten-cikarilma-despido-turleri-ve-tazminat</t>
        </is>
      </c>
      <c r="D139" s="29" t="inlineStr">
        <is>
          <t>Bilgi al</t>
        </is>
      </c>
      <c r="E139" s="29" t="inlineStr">
        <is>
          <t>https://www.boe.es/buscar/act.php?id=BOE-A-2015-11430</t>
        </is>
      </c>
      <c r="F139" s="49" t="n">
        <v>46319</v>
      </c>
      <c r="G139" s="51" t="n">
        <v>1</v>
      </c>
    </row>
    <row r="140" ht="54" customHeight="1">
      <c r="A140" s="29" t="inlineStr">
        <is>
          <t>malaga:action:issizlik-maasi-paro-sepe-basvurusu-1</t>
        </is>
      </c>
      <c r="B140" s="29" t="inlineStr">
        <is>
          <t>malaga</t>
        </is>
      </c>
      <c r="C140" s="29" t="inlineStr">
        <is>
          <t>malaga:issizlik-maasi-paro-sepe-basvurusu</t>
        </is>
      </c>
      <c r="D140" s="29" t="inlineStr">
        <is>
          <t>Bilgi al</t>
        </is>
      </c>
      <c r="E140" s="29" t="inlineStr">
        <is>
          <t>https://www.sepe.es/HomeSepe/prestaciones-desempleo/prestacion-contributiva/prestacion-contributiva-mas-de-un-anyo.html</t>
        </is>
      </c>
      <c r="F140" s="49" t="n">
        <v>46319</v>
      </c>
      <c r="G140" s="51" t="n">
        <v>1</v>
      </c>
    </row>
    <row r="141" ht="54" customHeight="1">
      <c r="A141" s="29" t="inlineStr">
        <is>
          <t>malaga:action:issizlik-maasi-paro-sepe-basvurusu-2</t>
        </is>
      </c>
      <c r="B141" s="29" t="inlineStr">
        <is>
          <t>malaga</t>
        </is>
      </c>
      <c r="C141" s="29" t="inlineStr">
        <is>
          <t>malaga:issizlik-maasi-paro-sepe-basvurusu</t>
        </is>
      </c>
      <c r="D141" s="29" t="inlineStr">
        <is>
          <t>Tarifeyi gör</t>
        </is>
      </c>
      <c r="E141" s="29" t="inlineStr">
        <is>
          <t>https://www.sepe.es/HomeSepe/prestaciones-desempleo/duracion-prestacion-contributiva.html</t>
        </is>
      </c>
      <c r="F141" s="49" t="n">
        <v>46319</v>
      </c>
      <c r="G141" s="51" t="n">
        <v>2</v>
      </c>
    </row>
    <row r="142" ht="54" customHeight="1">
      <c r="A142" s="29" t="inlineStr">
        <is>
          <t>malaga:action:is-kazasi-ve-meslek-hastaligi-tanimi-1</t>
        </is>
      </c>
      <c r="B142" s="29" t="inlineStr">
        <is>
          <t>malaga</t>
        </is>
      </c>
      <c r="C142" s="29" t="inlineStr">
        <is>
          <t>malaga:is-kazasi-ve-meslek-hastaligi-tanimi</t>
        </is>
      </c>
      <c r="D142" s="29" t="inlineStr">
        <is>
          <t>Bilgi al</t>
        </is>
      </c>
      <c r="E142" s="29" t="inlineStr">
        <is>
          <t>https://www.boe.es/buscar/act.php?id=BOE-A-2015-11724</t>
        </is>
      </c>
      <c r="F142" s="49" t="n">
        <v>46319</v>
      </c>
      <c r="G142" s="51" t="n">
        <v>1</v>
      </c>
    </row>
    <row r="143" ht="54" customHeight="1">
      <c r="A143" s="29" t="inlineStr">
        <is>
          <t>malaga:action:serbest-calisan-autonomo-kayit-ve-prim-tablosu-1</t>
        </is>
      </c>
      <c r="B143" s="29" t="inlineStr">
        <is>
          <t>malaga</t>
        </is>
      </c>
      <c r="C143" s="29" t="inlineStr">
        <is>
          <t>malaga:serbest-calisan-autonomo-kayit-ve-prim-tablosu</t>
        </is>
      </c>
      <c r="D143" s="29" t="inlineStr">
        <is>
          <t>Bilgi al</t>
        </is>
      </c>
      <c r="E143" s="29" t="inlineStr">
        <is>
          <t>https://revista.seg-social.es/-/guia-para-darte-de-alta-en-la-seguridad-social-como-trabajador-autonomo</t>
        </is>
      </c>
      <c r="F143" s="49" t="n">
        <v>46319</v>
      </c>
      <c r="G143" s="51" t="n">
        <v>1</v>
      </c>
    </row>
    <row r="144" ht="54" customHeight="1">
      <c r="A144" s="29" t="inlineStr">
        <is>
          <t>malaga:action:serbest-calisan-autonomo-kayit-ve-prim-tablosu-2</t>
        </is>
      </c>
      <c r="B144" s="29" t="inlineStr">
        <is>
          <t>malaga</t>
        </is>
      </c>
      <c r="C144" s="29" t="inlineStr">
        <is>
          <t>malaga:serbest-calisan-autonomo-kayit-ve-prim-tablosu</t>
        </is>
      </c>
      <c r="D144" s="29" t="inlineStr">
        <is>
          <t>Bilgi al</t>
        </is>
      </c>
      <c r="E144" s="29" t="inlineStr">
        <is>
          <t>https://www.boe.es/diario_boe/txt.php?id=BOE-A-2026-7296</t>
        </is>
      </c>
      <c r="F144" s="49" t="n">
        <v>46319</v>
      </c>
      <c r="G144" s="51" t="n">
        <v>2</v>
      </c>
    </row>
    <row r="145" ht="54" customHeight="1">
      <c r="A145" s="29" t="inlineStr">
        <is>
          <t>malaga:action:dogum-ve-babalik-izni-sureleri-1</t>
        </is>
      </c>
      <c r="B145" s="29" t="inlineStr">
        <is>
          <t>malaga</t>
        </is>
      </c>
      <c r="C145" s="29" t="inlineStr">
        <is>
          <t>malaga:dogum-ve-babalik-izni-sureleri</t>
        </is>
      </c>
      <c r="D145" s="29" t="inlineStr">
        <is>
          <t>Bilgi al</t>
        </is>
      </c>
      <c r="E145" s="29" t="inlineStr">
        <is>
          <t>https://www.boe.es/buscar/act.php?id=BOE-A-2015-11430</t>
        </is>
      </c>
      <c r="F145" s="49" t="n">
        <v>46319</v>
      </c>
      <c r="G145" s="51" t="n">
        <v>1</v>
      </c>
    </row>
    <row r="146" ht="54" customHeight="1">
      <c r="A146" s="29" t="inlineStr">
        <is>
          <t>malaga:action:dogum-ve-babalik-izni-sureleri-2</t>
        </is>
      </c>
      <c r="B146" s="29" t="inlineStr">
        <is>
          <t>malaga</t>
        </is>
      </c>
      <c r="C146" s="29" t="inlineStr">
        <is>
          <t>malaga:dogum-ve-babalik-izni-sureleri</t>
        </is>
      </c>
      <c r="D146" s="29" t="inlineStr">
        <is>
          <t>Bilgi al</t>
        </is>
      </c>
      <c r="E146" s="29" t="inlineStr">
        <is>
          <t>https://www.boe.es/buscar/act.php?id=BOE-A-2015-11724</t>
        </is>
      </c>
      <c r="F146" s="49" t="n">
        <v>46319</v>
      </c>
      <c r="G146" s="51" t="n">
        <v>2</v>
      </c>
    </row>
    <row r="147" ht="54" customHeight="1">
      <c r="A147" s="29" t="inlineStr">
        <is>
          <t>malaga:action:yabanci-diploma-denklik-okul-ve-universite-1</t>
        </is>
      </c>
      <c r="B147" s="29" t="inlineStr">
        <is>
          <t>malaga</t>
        </is>
      </c>
      <c r="C147" s="29" t="inlineStr">
        <is>
          <t>malaga:yabanci-diploma-denklik-okul-ve-universite</t>
        </is>
      </c>
      <c r="D147" s="29" t="inlineStr">
        <is>
          <t>Bilgi al</t>
        </is>
      </c>
      <c r="E147" s="29" t="inlineStr">
        <is>
          <t>https://www.educacionfpydeportes.gob.es/mc/convalidacion-homologacion/convalidacion-no-universitaria/homologar-convalidar.html</t>
        </is>
      </c>
      <c r="F147" s="49" t="n">
        <v>46319</v>
      </c>
      <c r="G147" s="51" t="n">
        <v>1</v>
      </c>
    </row>
    <row r="148" ht="54" customHeight="1">
      <c r="A148" s="29" t="inlineStr">
        <is>
          <t>malaga:action:yabanci-diploma-denklik-okul-ve-universite-2</t>
        </is>
      </c>
      <c r="B148" s="29" t="inlineStr">
        <is>
          <t>malaga</t>
        </is>
      </c>
      <c r="C148" s="29" t="inlineStr">
        <is>
          <t>malaga:yabanci-diploma-denklik-okul-ve-universite</t>
        </is>
      </c>
      <c r="D148" s="29" t="inlineStr">
        <is>
          <t>Bilgi al</t>
        </is>
      </c>
      <c r="E148" s="29" t="inlineStr">
        <is>
          <t>https://www.boe.es/buscar/doc.php?id=BOE-A-2022-17045</t>
        </is>
      </c>
      <c r="F148" s="49" t="n">
        <v>46319</v>
      </c>
      <c r="G148" s="51" t="n">
        <v>2</v>
      </c>
    </row>
    <row r="149" ht="54" customHeight="1">
      <c r="A149" s="29" t="inlineStr">
        <is>
          <t>malaga:action:endulus-sae-is-arayan-kaydi-demandante-de-empleo-1</t>
        </is>
      </c>
      <c r="B149" s="29" t="inlineStr">
        <is>
          <t>malaga</t>
        </is>
      </c>
      <c r="C149" s="29" t="inlineStr">
        <is>
          <t>malaga:endulus-sae-is-arayan-kaydi-demandante-de-empleo</t>
        </is>
      </c>
      <c r="D149" s="29" t="inlineStr">
        <is>
          <t>Kayıt ol</t>
        </is>
      </c>
      <c r="E149" s="29" t="inlineStr">
        <is>
          <t>https://ws054.juntadeandalucia.es/portalsae/quiero-trabajar/inscribirme-como-demandante-empleo</t>
        </is>
      </c>
      <c r="F149" s="49" t="n">
        <v>46319</v>
      </c>
      <c r="G149" s="51" t="n">
        <v>1</v>
      </c>
    </row>
    <row r="150" ht="54" customHeight="1">
      <c r="A150" s="29" t="inlineStr">
        <is>
          <t>malaga:action:endulus-sae-is-arayan-kaydi-demandante-de-empleo-2</t>
        </is>
      </c>
      <c r="B150" s="29" t="inlineStr">
        <is>
          <t>malaga</t>
        </is>
      </c>
      <c r="C150" s="29" t="inlineStr">
        <is>
          <t>malaga:endulus-sae-is-arayan-kaydi-demandante-de-empleo</t>
        </is>
      </c>
      <c r="D150" s="29" t="inlineStr">
        <is>
          <t>Bilgi al</t>
        </is>
      </c>
      <c r="E150" s="29" t="inlineStr">
        <is>
          <t>https://ws054.juntadeandalucia.es/portalsae/quiero-trabajar/trabajar-en-andalucia-extranjero-ue</t>
        </is>
      </c>
      <c r="F150" s="49" t="n">
        <v>46319</v>
      </c>
      <c r="G150" s="51" t="n">
        <v>2</v>
      </c>
    </row>
    <row r="151" ht="54" customHeight="1">
      <c r="A151" s="29" t="inlineStr">
        <is>
          <t>malaga:action:sepe-malaga-teatinos-ofisi-1</t>
        </is>
      </c>
      <c r="B151" s="29" t="inlineStr">
        <is>
          <t>malaga</t>
        </is>
      </c>
      <c r="C151" s="29" t="inlineStr">
        <is>
          <t>malaga:sepe-malaga-teatinos-ofisi</t>
        </is>
      </c>
      <c r="D151" s="29" t="inlineStr">
        <is>
          <t>Bilgi al</t>
        </is>
      </c>
      <c r="E151" s="29" t="inlineStr">
        <is>
          <t>https://www.sepe.es/HomeSepe/en/que-es-el-sepe/comunicacion-institucional/noticias/detalle-noticia.html?folder=%2F2022%2FAgosto%2F&amp;detail=El-SEPE-ofrece-al-ciudadano-un-telefono-oficial-de-cita-previa-</t>
        </is>
      </c>
      <c r="F151" s="49" t="n">
        <v>46322</v>
      </c>
      <c r="G151" s="51" t="n">
        <v>1</v>
      </c>
    </row>
    <row r="152" ht="54" customHeight="1">
      <c r="A152" s="29" t="inlineStr">
        <is>
          <t>malaga:action:sepe-malaga-teatinos-ofisi-2</t>
        </is>
      </c>
      <c r="B152" s="29" t="inlineStr">
        <is>
          <t>malaga</t>
        </is>
      </c>
      <c r="C152" s="29" t="inlineStr">
        <is>
          <t>malaga:sepe-malaga-teatinos-ofisi</t>
        </is>
      </c>
      <c r="D152" s="29" t="inlineStr">
        <is>
          <t>Ziyaret bilgisi</t>
        </is>
      </c>
      <c r="E152" s="29" t="inlineStr">
        <is>
          <t>https://www.sepe.es/HomeSepe/en/que-es-el-sepe/que-es-el-sepe/Red-de-oficinas/DetalleOficina.html?idOficina=1922c2e0-f157-4252-bf6a-778db57792a7</t>
        </is>
      </c>
      <c r="F152" s="49" t="n">
        <v>46322</v>
      </c>
      <c r="G152" s="51" t="n">
        <v>2</v>
      </c>
    </row>
    <row r="153" ht="54" customHeight="1">
      <c r="A153" s="29" t="inlineStr">
        <is>
          <t>malaga:action:andalucia-orienta-imfe-teatinos-1</t>
        </is>
      </c>
      <c r="B153" s="29" t="inlineStr">
        <is>
          <t>malaga</t>
        </is>
      </c>
      <c r="C153" s="29" t="inlineStr">
        <is>
          <t>malaga:andalucia-orienta-imfe-teatinos</t>
        </is>
      </c>
      <c r="D153" s="29" t="inlineStr">
        <is>
          <t>Kayıt ol</t>
        </is>
      </c>
      <c r="E153" s="29" t="inlineStr">
        <is>
          <t>https://www.juntadeandalucia.es/organismos/sae/areas/demanda-empleo/inscripcion-demandante.html</t>
        </is>
      </c>
      <c r="F153" s="49" t="n">
        <v>46322</v>
      </c>
      <c r="G153" s="51" t="n">
        <v>1</v>
      </c>
    </row>
    <row r="154" ht="54" customHeight="1">
      <c r="A154" s="29" t="inlineStr">
        <is>
          <t>malaga:action:andalucia-orienta-imfe-teatinos-2</t>
        </is>
      </c>
      <c r="B154" s="29" t="inlineStr">
        <is>
          <t>malaga</t>
        </is>
      </c>
      <c r="C154" s="29" t="inlineStr">
        <is>
          <t>malaga:andalucia-orienta-imfe-teatinos</t>
        </is>
      </c>
      <c r="D154" s="29" t="inlineStr">
        <is>
          <t>Bilgi al</t>
        </is>
      </c>
      <c r="E154" s="29" t="inlineStr">
        <is>
          <t>https://imfe.malaga.eu/empleo/programa-andalucia-orienta/</t>
        </is>
      </c>
      <c r="F154" s="49" t="n">
        <v>46322</v>
      </c>
      <c r="G154" s="51" t="n">
        <v>2</v>
      </c>
    </row>
    <row r="155" ht="54" customHeight="1">
      <c r="A155" s="29" t="inlineStr">
        <is>
          <t>malaga:action:imfe-belediye-istihdam-ofisi-1</t>
        </is>
      </c>
      <c r="B155" s="29" t="inlineStr">
        <is>
          <t>malaga</t>
        </is>
      </c>
      <c r="C155" s="29" t="inlineStr">
        <is>
          <t>malaga:imfe-belediye-istihdam-ofisi</t>
        </is>
      </c>
      <c r="D155" s="29" t="inlineStr">
        <is>
          <t>Bilgi al</t>
        </is>
      </c>
      <c r="E155" s="29" t="inlineStr">
        <is>
          <t>https://imfe.malaga.eu/empleo/index.html</t>
        </is>
      </c>
      <c r="F155" s="49" t="n">
        <v>46322</v>
      </c>
      <c r="G155" s="51" t="n">
        <v>1</v>
      </c>
    </row>
    <row r="156" ht="54" customHeight="1">
      <c r="A156" s="29" t="inlineStr">
        <is>
          <t>malaga:action:promalaga-sirket-kurma-pae-1</t>
        </is>
      </c>
      <c r="B156" s="29" t="inlineStr">
        <is>
          <t>malaga</t>
        </is>
      </c>
      <c r="C156" s="29" t="inlineStr">
        <is>
          <t>malaga:promalaga-sirket-kurma-pae</t>
        </is>
      </c>
      <c r="D156" s="29" t="inlineStr">
        <is>
          <t>Randevu al</t>
        </is>
      </c>
      <c r="E156" s="29" t="inlineStr">
        <is>
          <t>https://www.promalaga.es/promalaga-amplia-sus-servicios-a-emprendedores-y-tramitara-de-forma-gratuita-la-constitucion-de-empresas/</t>
        </is>
      </c>
      <c r="F156" s="49" t="n">
        <v>46322</v>
      </c>
      <c r="G156" s="51" t="n">
        <v>1</v>
      </c>
    </row>
    <row r="157" ht="54" customHeight="1">
      <c r="A157" s="29" t="inlineStr">
        <is>
          <t>malaga:action:promalaga-sirket-kurma-pae-2</t>
        </is>
      </c>
      <c r="B157" s="29" t="inlineStr">
        <is>
          <t>malaga</t>
        </is>
      </c>
      <c r="C157" s="29" t="inlineStr">
        <is>
          <t>malaga:promalaga-sirket-kurma-pae</t>
        </is>
      </c>
      <c r="D157" s="29" t="inlineStr">
        <is>
          <t>Bilgi al</t>
        </is>
      </c>
      <c r="E157" s="29" t="inlineStr">
        <is>
          <t>https://www.promalaga.es/malaga-emprende/</t>
        </is>
      </c>
      <c r="F157" s="49" t="n">
        <v>46322</v>
      </c>
      <c r="G157" s="51" t="n">
        <v>2</v>
      </c>
    </row>
    <row r="158" ht="54" customHeight="1">
      <c r="A158" s="29" t="inlineStr">
        <is>
          <t>malaga:action:cade-malaga-andalucia-emprende-1</t>
        </is>
      </c>
      <c r="B158" s="29" t="inlineStr">
        <is>
          <t>malaga</t>
        </is>
      </c>
      <c r="C158" s="29" t="inlineStr">
        <is>
          <t>malaga:cade-malaga-andalucia-emprende</t>
        </is>
      </c>
      <c r="D158" s="29" t="inlineStr">
        <is>
          <t>Randevu al</t>
        </is>
      </c>
      <c r="E158" s="29" t="inlineStr">
        <is>
          <t>https://www.andaluciaemprende.es/CADE/cade-malaga-pta/</t>
        </is>
      </c>
      <c r="F158" s="49" t="n">
        <v>46322</v>
      </c>
      <c r="G158" s="51" t="n">
        <v>1</v>
      </c>
    </row>
    <row r="159" ht="54" customHeight="1">
      <c r="A159" s="29" t="inlineStr">
        <is>
          <t>malaga:action:cade-malaga-andalucia-emprende-2</t>
        </is>
      </c>
      <c r="B159" s="29" t="inlineStr">
        <is>
          <t>malaga</t>
        </is>
      </c>
      <c r="C159" s="29" t="inlineStr">
        <is>
          <t>malaga:cade-malaga-andalucia-emprende</t>
        </is>
      </c>
      <c r="D159" s="29" t="inlineStr">
        <is>
          <t>Bilgi al</t>
        </is>
      </c>
      <c r="E159" s="29" t="inlineStr">
        <is>
          <t>https://www.juntadeandalucia.es/organismos/ae/estructura/estructura-territorial/cpmalaga.html</t>
        </is>
      </c>
      <c r="F159" s="49" t="n">
        <v>46322</v>
      </c>
      <c r="G159" s="51" t="n">
        <v>2</v>
      </c>
    </row>
    <row r="160" ht="54" customHeight="1">
      <c r="A160" s="29" t="inlineStr">
        <is>
          <t>malaga:action:ayuda-al-empleo-issizler-icin-ulasim-karti-1</t>
        </is>
      </c>
      <c r="B160" s="29" t="inlineStr">
        <is>
          <t>malaga</t>
        </is>
      </c>
      <c r="C160" s="29" t="inlineStr">
        <is>
          <t>malaga:ayuda-al-empleo-issizler-icin-ulasim-karti</t>
        </is>
      </c>
      <c r="D160" s="29" t="inlineStr">
        <is>
          <t>Bilgi al</t>
        </is>
      </c>
      <c r="E160" s="29" t="inlineStr">
        <is>
          <t>https://imfe.malaga.eu/empleo/tarjeta-de-transporte-de-ayuda-al-empleo/</t>
        </is>
      </c>
      <c r="F160" s="49" t="n">
        <v>46322</v>
      </c>
      <c r="G160" s="51" t="n">
        <v>1</v>
      </c>
    </row>
    <row r="161" ht="54" customHeight="1">
      <c r="A161" s="29" t="inlineStr">
        <is>
          <t>malaga:action:imfe-t-acompanamos-uzun-sureli-issizler-1</t>
        </is>
      </c>
      <c r="B161" s="29" t="inlineStr">
        <is>
          <t>malaga</t>
        </is>
      </c>
      <c r="C161" s="29" t="inlineStr">
        <is>
          <t>malaga:imfe-t-acompanamos-uzun-sureli-issizler</t>
        </is>
      </c>
      <c r="D161" s="29" t="inlineStr">
        <is>
          <t>Formu doldur</t>
        </is>
      </c>
      <c r="E161" s="29" t="inlineStr">
        <is>
          <t>https://imfe.malaga.eu/empleo/programa-te-acompanamos/</t>
        </is>
      </c>
      <c r="F161" s="49" t="n">
        <v>46322</v>
      </c>
      <c r="G161" s="51" t="n">
        <v>1</v>
      </c>
    </row>
    <row r="162" ht="54" customHeight="1">
      <c r="A162" s="29" t="inlineStr">
        <is>
          <t>malaga:action:imfe-sirkette-3-aylik-staj-experiencias-profesionales-1</t>
        </is>
      </c>
      <c r="B162" s="29" t="inlineStr">
        <is>
          <t>malaga</t>
        </is>
      </c>
      <c r="C162" s="29" t="inlineStr">
        <is>
          <t>malaga:imfe-sirkette-3-aylik-staj-experiencias-profesionales</t>
        </is>
      </c>
      <c r="D162" s="29" t="inlineStr">
        <is>
          <t>Bilgi al</t>
        </is>
      </c>
      <c r="E162" s="29" t="inlineStr">
        <is>
          <t>https://imfe.malaga.eu/empleo/programa-de-experiencias-profesionales-para-el-empleo/</t>
        </is>
      </c>
      <c r="F162" s="49" t="n">
        <v>46322</v>
      </c>
      <c r="G162" s="51" t="n">
        <v>1</v>
      </c>
    </row>
    <row r="163" ht="54" customHeight="1">
      <c r="A163" s="29" t="inlineStr">
        <is>
          <t>malaga:action:zona-empleo-conecta-malaga-mahalle-istihdam-merkezleri-1</t>
        </is>
      </c>
      <c r="B163" s="29" t="inlineStr">
        <is>
          <t>malaga</t>
        </is>
      </c>
      <c r="C163" s="29" t="inlineStr">
        <is>
          <t>malaga:zona-empleo-conecta-malaga-mahalle-istihdam-merkezleri</t>
        </is>
      </c>
      <c r="D163" s="29" t="inlineStr">
        <is>
          <t>Formu doldur</t>
        </is>
      </c>
      <c r="E163" s="29" t="inlineStr">
        <is>
          <t>https://imfe.malaga.eu/empleo/zona-empleo-conecta_malaga/</t>
        </is>
      </c>
      <c r="F163" s="49" t="n">
        <v>46322</v>
      </c>
      <c r="G163" s="51" t="n">
        <v>1</v>
      </c>
    </row>
    <row r="164" ht="54" customHeight="1">
      <c r="A164" s="29" t="inlineStr">
        <is>
          <t>malaga:action:seguridad-social-randevu-inss-tgss-1</t>
        </is>
      </c>
      <c r="B164" s="29" t="inlineStr">
        <is>
          <t>malaga</t>
        </is>
      </c>
      <c r="C164" s="29" t="inlineStr">
        <is>
          <t>malaga:seguridad-social-randevu-inss-tgss</t>
        </is>
      </c>
      <c r="D164" s="29" t="inlineStr">
        <is>
          <t>Bilgi al</t>
        </is>
      </c>
      <c r="E164" s="29" t="inlineStr">
        <is>
          <t>https://revista.seg-social.es/-/c%C3%B3mo-solicitar-cita-previa-para-pensiones-y-otras-prestaciones-de-la-seguridad-social</t>
        </is>
      </c>
      <c r="F164" s="49" t="n">
        <v>46322</v>
      </c>
      <c r="G164" s="51" t="n">
        <v>1</v>
      </c>
    </row>
    <row r="165" ht="54" customHeight="1">
      <c r="A165" s="29" t="inlineStr">
        <is>
          <t>malaga:action:picasso-muzeleri-ucretsiz-giris-gunleri-1</t>
        </is>
      </c>
      <c r="B165" s="29" t="inlineStr">
        <is>
          <t>malaga</t>
        </is>
      </c>
      <c r="C165" s="29" t="inlineStr">
        <is>
          <t>malaga:picasso-muzeleri-ucretsiz-giris-gunleri</t>
        </is>
      </c>
      <c r="D165" s="29" t="inlineStr">
        <is>
          <t>Tarifeyi gör</t>
        </is>
      </c>
      <c r="E165" s="29" t="inlineStr">
        <is>
          <t>https://www.museopicassomalaga.org/es/visita</t>
        </is>
      </c>
      <c r="F165" s="49" t="n">
        <v>46322</v>
      </c>
      <c r="G165" s="51" t="n">
        <v>1</v>
      </c>
    </row>
    <row r="166" ht="54" customHeight="1">
      <c r="A166" s="29" t="inlineStr">
        <is>
          <t>malaga:action:picasso-muzeleri-ucretsiz-giris-gunleri-2</t>
        </is>
      </c>
      <c r="B166" s="29" t="inlineStr">
        <is>
          <t>malaga</t>
        </is>
      </c>
      <c r="C166" s="29" t="inlineStr">
        <is>
          <t>malaga:picasso-muzeleri-ucretsiz-giris-gunleri</t>
        </is>
      </c>
      <c r="D166" s="29" t="inlineStr">
        <is>
          <t>Tarifeyi gör</t>
        </is>
      </c>
      <c r="E166" s="29" t="inlineStr">
        <is>
          <t>https://museocasanatalpicasso.malaga.eu/Visita/horarios-y-tarifas/</t>
        </is>
      </c>
      <c r="F166" s="49" t="n">
        <v>46322</v>
      </c>
      <c r="G166" s="51" t="n">
        <v>2</v>
      </c>
    </row>
    <row r="167" ht="54" customHeight="1">
      <c r="A167" s="29" t="inlineStr">
        <is>
          <t>malaga:action:pompidou-ve-thyssen-ucretsiz-giris-gunleri-1</t>
        </is>
      </c>
      <c r="B167" s="29" t="inlineStr">
        <is>
          <t>malaga</t>
        </is>
      </c>
      <c r="C167" s="29" t="inlineStr">
        <is>
          <t>malaga:pompidou-ve-thyssen-ucretsiz-giris-gunleri</t>
        </is>
      </c>
      <c r="D167" s="29" t="inlineStr">
        <is>
          <t>Tarifeyi gör</t>
        </is>
      </c>
      <c r="E167" s="29" t="inlineStr">
        <is>
          <t>https://centrepompidou-malaga.eu/visita/</t>
        </is>
      </c>
      <c r="F167" s="49" t="n">
        <v>46322</v>
      </c>
      <c r="G167" s="51" t="n">
        <v>1</v>
      </c>
    </row>
    <row r="168" ht="54" customHeight="1">
      <c r="A168" s="29" t="inlineStr">
        <is>
          <t>malaga:action:pompidou-ve-thyssen-ucretsiz-giris-gunleri-2</t>
        </is>
      </c>
      <c r="B168" s="29" t="inlineStr">
        <is>
          <t>malaga</t>
        </is>
      </c>
      <c r="C168" s="29" t="inlineStr">
        <is>
          <t>malaga:pompidou-ve-thyssen-ucretsiz-giris-gunleri</t>
        </is>
      </c>
      <c r="D168" s="29" t="inlineStr">
        <is>
          <t>Bilgi al</t>
        </is>
      </c>
      <c r="E168" s="29" t="inlineStr">
        <is>
          <t>https://www.carmenthyssenmalaga.org/faqs</t>
        </is>
      </c>
      <c r="F168" s="49" t="n">
        <v>46322</v>
      </c>
      <c r="G168" s="51" t="n">
        <v>2</v>
      </c>
    </row>
    <row r="169" ht="54" customHeight="1">
      <c r="A169" s="29" t="inlineStr">
        <is>
          <t>malaga:action:picasso-ve-thyssen-bilet-fiyati-indirim-ve-ucretsiz-kategoriler-1</t>
        </is>
      </c>
      <c r="B169" s="29" t="inlineStr">
        <is>
          <t>malaga</t>
        </is>
      </c>
      <c r="C169" s="29" t="inlineStr">
        <is>
          <t>malaga:picasso-ve-thyssen-bilet-fiyati-indirim-ve-ucretsiz-kategoriler</t>
        </is>
      </c>
      <c r="D169" s="29" t="inlineStr">
        <is>
          <t>Bilgi al</t>
        </is>
      </c>
      <c r="E169" s="29" t="inlineStr">
        <is>
          <t>https://www.museopicassomalaga.org/es/visita</t>
        </is>
      </c>
      <c r="F169" s="49" t="n">
        <v>46322</v>
      </c>
      <c r="G169" s="51" t="n">
        <v>1</v>
      </c>
    </row>
    <row r="170" ht="54" customHeight="1">
      <c r="A170" s="29" t="inlineStr">
        <is>
          <t>malaga:action:picasso-ve-thyssen-bilet-fiyati-indirim-ve-ucretsiz-kategoriler-2</t>
        </is>
      </c>
      <c r="B170" s="29" t="inlineStr">
        <is>
          <t>malaga</t>
        </is>
      </c>
      <c r="C170" s="29" t="inlineStr">
        <is>
          <t>malaga:picasso-ve-thyssen-bilet-fiyati-indirim-ve-ucretsiz-kategoriler</t>
        </is>
      </c>
      <c r="D170" s="29" t="inlineStr">
        <is>
          <t>Tarifeyi gör</t>
        </is>
      </c>
      <c r="E170" s="29" t="inlineStr">
        <is>
          <t>https://www.carmenthyssenmalaga.org/horarios-tarifas-ubicacion</t>
        </is>
      </c>
      <c r="F170" s="49" t="n">
        <v>46322</v>
      </c>
      <c r="G170" s="51" t="n">
        <v>2</v>
      </c>
    </row>
    <row r="171" ht="54" customHeight="1">
      <c r="A171" s="29" t="inlineStr">
        <is>
          <t>malaga:action:pompidou-ve-casa-natal-bilet-fiyati-ortak-bilet-ve-ucretsiz-kategoriler-1</t>
        </is>
      </c>
      <c r="B171" s="29" t="inlineStr">
        <is>
          <t>malaga</t>
        </is>
      </c>
      <c r="C171" s="29" t="inlineStr">
        <is>
          <t>malaga:pompidou-ve-casa-natal-bilet-fiyati-ortak-bilet-ve-ucretsiz-kategoriler</t>
        </is>
      </c>
      <c r="D171" s="29" t="inlineStr">
        <is>
          <t>Tarifeyi gör</t>
        </is>
      </c>
      <c r="E171" s="29" t="inlineStr">
        <is>
          <t>https://centrepompidou-malaga.eu/visita/</t>
        </is>
      </c>
      <c r="F171" s="49" t="n">
        <v>46322</v>
      </c>
      <c r="G171" s="51" t="n">
        <v>1</v>
      </c>
    </row>
    <row r="172" ht="54" customHeight="1">
      <c r="A172" s="29" t="inlineStr">
        <is>
          <t>malaga:action:pompidou-ve-casa-natal-bilet-fiyati-ortak-bilet-ve-ucretsiz-kategoriler-2</t>
        </is>
      </c>
      <c r="B172" s="29" t="inlineStr">
        <is>
          <t>malaga</t>
        </is>
      </c>
      <c r="C172" s="29" t="inlineStr">
        <is>
          <t>malaga:pompidou-ve-casa-natal-bilet-fiyati-ortak-bilet-ve-ucretsiz-kategoriler</t>
        </is>
      </c>
      <c r="D172" s="29" t="inlineStr">
        <is>
          <t>Tarifeyi gör</t>
        </is>
      </c>
      <c r="E172" s="29" t="inlineStr">
        <is>
          <t>https://museocasanatalpicasso.malaga.eu/Visita/horarios-y-tarifas/</t>
        </is>
      </c>
      <c r="F172" s="49" t="n">
        <v>46322</v>
      </c>
      <c r="G172" s="51" t="n">
        <v>2</v>
      </c>
    </row>
    <row r="173" ht="54" customHeight="1">
      <c r="A173" s="29" t="inlineStr">
        <is>
          <t>malaga:action:alcazaba-ve-gibralfaro-bilet-fiyati-indirim-ve-pazar-ucretsiz-giris-1</t>
        </is>
      </c>
      <c r="B173" s="29" t="inlineStr">
        <is>
          <t>malaga</t>
        </is>
      </c>
      <c r="C173" s="29" t="inlineStr">
        <is>
          <t>malaga:alcazaba-ve-gibralfaro-bilet-fiyati-indirim-ve-pazar-ucretsiz-giris</t>
        </is>
      </c>
      <c r="D173" s="29" t="inlineStr">
        <is>
          <t>Tarifeyi gör</t>
        </is>
      </c>
      <c r="E173" s="29" t="inlineStr">
        <is>
          <t>https://alcazabaygibralfaro.malaga.eu/es/visitas/horarios-y-tarifas/</t>
        </is>
      </c>
      <c r="F173" s="49" t="n">
        <v>46322</v>
      </c>
      <c r="G173" s="51" t="n">
        <v>1</v>
      </c>
    </row>
    <row r="174" ht="54" customHeight="1">
      <c r="A174" s="29" t="inlineStr">
        <is>
          <t>malaga:action:museo-de-malaga-ve-teatro-romano-ab-vatandasi-ucretsiz-giris-ve-ab-disi-ucret-1</t>
        </is>
      </c>
      <c r="B174" s="29" t="inlineStr">
        <is>
          <t>malaga</t>
        </is>
      </c>
      <c r="C174" s="29" t="inlineStr">
        <is>
          <t>malaga:museo-de-malaga-ve-teatro-romano-ab-vatandasi-ucretsiz-giris-ve-ab-disi-ucret</t>
        </is>
      </c>
      <c r="D174" s="29" t="inlineStr">
        <is>
          <t>Bilgi al</t>
        </is>
      </c>
      <c r="E174" s="29" t="inlineStr">
        <is>
          <t>https://www.museosdeandalucia.es/web/museodemalaga/informacion-general</t>
        </is>
      </c>
      <c r="F174" s="49" t="n">
        <v>46322</v>
      </c>
      <c r="G174" s="51" t="n">
        <v>1</v>
      </c>
    </row>
    <row r="175" ht="54" customHeight="1">
      <c r="A175" s="29" t="inlineStr">
        <is>
          <t>malaga:action:museo-de-malaga-ve-teatro-romano-ab-vatandasi-ucretsiz-giris-ve-ab-disi-ucret-2</t>
        </is>
      </c>
      <c r="B175" s="29" t="inlineStr">
        <is>
          <t>malaga</t>
        </is>
      </c>
      <c r="C175" s="29" t="inlineStr">
        <is>
          <t>malaga:museo-de-malaga-ve-teatro-romano-ab-vatandasi-ucretsiz-giris-ve-ab-disi-ucret</t>
        </is>
      </c>
      <c r="D175" s="29" t="inlineStr">
        <is>
          <t>Bilgi al</t>
        </is>
      </c>
      <c r="E175" s="29" t="inlineStr">
        <is>
          <t>https://www.juntadeandalucia.es/aaiicc/enclaves/enclave-arqueologico-teatro-romano-de-malaga</t>
        </is>
      </c>
      <c r="F175" s="49" t="n">
        <v>46322</v>
      </c>
      <c r="G175" s="51" t="n">
        <v>2</v>
      </c>
    </row>
    <row r="176" ht="54" customHeight="1">
      <c r="A176" s="29" t="inlineStr">
        <is>
          <t>malaga:action:malaga-katedrali-bilet-turleri-malagali-ucretsiz-giris-ve-saatler-1</t>
        </is>
      </c>
      <c r="B176" s="29" t="inlineStr">
        <is>
          <t>malaga</t>
        </is>
      </c>
      <c r="C176" s="29" t="inlineStr">
        <is>
          <t>malaga:malaga-katedrali-bilet-turleri-malagali-ucretsiz-giris-ve-saatler</t>
        </is>
      </c>
      <c r="D176" s="29" t="inlineStr">
        <is>
          <t>Bilet al</t>
        </is>
      </c>
      <c r="E176" s="29" t="inlineStr">
        <is>
          <t>https://malagacatedral.com/visita-cultural/tarifas-y-horarios/</t>
        </is>
      </c>
      <c r="F176" s="49" t="n">
        <v>46322</v>
      </c>
      <c r="G176" s="51" t="n">
        <v>1</v>
      </c>
    </row>
    <row r="177" ht="54" customHeight="1">
      <c r="A177" s="29" t="inlineStr">
        <is>
          <t>malaga:action:la-concepcion-botanik-bahcesi-pazar-ucretsiz-saatleri-ve-indirimli-bilet-1</t>
        </is>
      </c>
      <c r="B177" s="29" t="inlineStr">
        <is>
          <t>malaga</t>
        </is>
      </c>
      <c r="C177" s="29" t="inlineStr">
        <is>
          <t>malaga:la-concepcion-botanik-bahcesi-pazar-ucretsiz-saatleri-ve-indirimli-bilet</t>
        </is>
      </c>
      <c r="D177" s="29" t="inlineStr">
        <is>
          <t>Bilgi al</t>
        </is>
      </c>
      <c r="E177" s="29" t="inlineStr">
        <is>
          <t>https://laconcepcion.malaga.eu/es/visitas/</t>
        </is>
      </c>
      <c r="F177" s="49" t="n">
        <v>46322</v>
      </c>
      <c r="G177" s="51" t="n">
        <v>1</v>
      </c>
    </row>
    <row r="178" ht="54" customHeight="1">
      <c r="A178" s="29" t="inlineStr">
        <is>
          <t>malaga:action:montes-de-malaga-doga-yuruyusu-isaretli-patikalar-ve-kurallar-1</t>
        </is>
      </c>
      <c r="B178" s="29" t="inlineStr">
        <is>
          <t>malaga</t>
        </is>
      </c>
      <c r="C178" s="29" t="inlineStr">
        <is>
          <t>malaga:montes-de-malaga-doga-yuruyusu-isaretli-patikalar-ve-kurallar</t>
        </is>
      </c>
      <c r="D178" s="29" t="inlineStr">
        <is>
          <t>Bilgi al</t>
        </is>
      </c>
      <c r="E178" s="29" t="inlineStr">
        <is>
          <t>https://www.juntadeandalucia.es/medioambiente/portal/web/ventanadelvisitante/detalle-buscador-mapa/-/asset_publisher/Jlbxh2qB3NwR/content/montes-de-malaga-2</t>
        </is>
      </c>
      <c r="F178" s="49" t="n">
        <v>46322</v>
      </c>
      <c r="G178" s="51" t="n">
        <v>1</v>
      </c>
    </row>
    <row r="179" ht="54" customHeight="1">
      <c r="A179" s="29" t="inlineStr">
        <is>
          <t>malaga:action:caminito-del-rey-bilet-rezervasyonu-yas-siniri-servis-ve-otopark-1</t>
        </is>
      </c>
      <c r="B179" s="29" t="inlineStr">
        <is>
          <t>malaga</t>
        </is>
      </c>
      <c r="C179" s="29" t="inlineStr">
        <is>
          <t>malaga:caminito-del-rey-bilet-rezervasyonu-yas-siniri-servis-ve-otopark</t>
        </is>
      </c>
      <c r="D179" s="29" t="inlineStr">
        <is>
          <t>Bilet al</t>
        </is>
      </c>
      <c r="E179" s="29" t="inlineStr">
        <is>
          <t>https://www.caminitodelrey.info/</t>
        </is>
      </c>
      <c r="F179" s="49" t="n">
        <v>46322</v>
      </c>
      <c r="G179" s="51" t="n">
        <v>1</v>
      </c>
    </row>
    <row r="180" ht="54" customHeight="1">
      <c r="A180" s="29" t="inlineStr">
        <is>
          <t>malaga:action:belediye-spor-tesisleri-online-hizmet-kaydi-alta-de-servicios-1</t>
        </is>
      </c>
      <c r="B180" s="29" t="inlineStr">
        <is>
          <t>malaga</t>
        </is>
      </c>
      <c r="C180" s="29" t="inlineStr">
        <is>
          <t>malaga:belediye-spor-tesisleri-online-hizmet-kaydi-alta-de-servicios</t>
        </is>
      </c>
      <c r="D180" s="29" t="inlineStr">
        <is>
          <t>Başvur</t>
        </is>
      </c>
      <c r="E180" s="29" t="inlineStr">
        <is>
          <t>https://deporte.malaga.eu/espacios-deportivos/instalaciones/Alta-de-servicios-por-internet/</t>
        </is>
      </c>
      <c r="F180" s="49" t="n">
        <v>46322</v>
      </c>
      <c r="G180" s="51" t="n">
        <v>1</v>
      </c>
    </row>
    <row r="181" ht="54" customHeight="1">
      <c r="A181" s="29" t="inlineStr">
        <is>
          <t>malaga:action:belediye-spor-tesisleri-online-hizmet-kaydi-alta-de-servicios-2</t>
        </is>
      </c>
      <c r="B181" s="29" t="inlineStr">
        <is>
          <t>malaga</t>
        </is>
      </c>
      <c r="C181" s="29" t="inlineStr">
        <is>
          <t>malaga:belediye-spor-tesisleri-online-hizmet-kaydi-alta-de-servicios</t>
        </is>
      </c>
      <c r="D181" s="29" t="inlineStr">
        <is>
          <t>Bilgi al</t>
        </is>
      </c>
      <c r="E181" s="29" t="inlineStr">
        <is>
          <t>https://www.malaga.eu/la-ciudad/instalaciones-y-espacios/index.html?idCtEsp=CT51&amp;idDistrito=&amp;texto=OMAC&amp;param1=0</t>
        </is>
      </c>
      <c r="F181" s="49" t="n">
        <v>46322</v>
      </c>
      <c r="G181" s="51" t="n">
        <v>2</v>
      </c>
    </row>
    <row r="182" ht="54" customHeight="1">
      <c r="A182" s="29" t="inlineStr">
        <is>
          <t>malaga:action:belediye-spor-tesisleri-acilis-saatleri-ve-musaitlik-sorgulama-1</t>
        </is>
      </c>
      <c r="B182" s="29" t="inlineStr">
        <is>
          <t>malaga</t>
        </is>
      </c>
      <c r="C182" s="29" t="inlineStr">
        <is>
          <t>malaga:belediye-spor-tesisleri-acilis-saatleri-ve-musaitlik-sorgulama</t>
        </is>
      </c>
      <c r="D182" s="29" t="inlineStr">
        <is>
          <t>Bilgi al</t>
        </is>
      </c>
      <c r="E182" s="29" t="inlineStr">
        <is>
          <t>https://deporte.malaga.eu/espacios-deportivos/instalaciones/</t>
        </is>
      </c>
      <c r="F182" s="49" t="n">
        <v>46322</v>
      </c>
      <c r="G182" s="51" t="n">
        <v>1</v>
      </c>
    </row>
    <row r="183" ht="54" customHeight="1">
      <c r="A183" s="29" t="inlineStr">
        <is>
          <t>malaga:action:montes-de-malaga-cevresinde-verdiales-ve-yerel-senlik-takvimi-1</t>
        </is>
      </c>
      <c r="B183" s="29" t="inlineStr">
        <is>
          <t>malaga</t>
        </is>
      </c>
      <c r="C183" s="29" t="inlineStr">
        <is>
          <t>malaga:montes-de-malaga-cevresinde-verdiales-ve-yerel-senlik-takvimi</t>
        </is>
      </c>
      <c r="D183" s="29" t="inlineStr">
        <is>
          <t>Bilgi al</t>
        </is>
      </c>
      <c r="E183" s="29" t="inlineStr">
        <is>
          <t>https://www.juntadeandalucia.es/medioambiente/portal/web/ventanadelvisitante/detalle-buscador-mapa/-/asset_publisher/Jlbxh2qB3NwR/content/montes-de-malaga-2</t>
        </is>
      </c>
      <c r="F183" s="49" t="n">
        <v>46322</v>
      </c>
      <c r="G183" s="51" t="n">
        <v>1</v>
      </c>
    </row>
    <row r="184" ht="54" customHeight="1">
      <c r="A184" s="29" t="inlineStr">
        <is>
          <t>malaga:action:pompidou-ve-thyssen-muzelerine-canta-semsiye-yiyecek-ve-hayvanla-giris-kurallari-1</t>
        </is>
      </c>
      <c r="B184" s="29" t="inlineStr">
        <is>
          <t>malaga</t>
        </is>
      </c>
      <c r="C184" s="29" t="inlineStr">
        <is>
          <t>malaga:pompidou-ve-thyssen-muzelerine-canta-semsiye-yiyecek-ve-hayvanla-giris-kurallari</t>
        </is>
      </c>
      <c r="D184" s="29" t="inlineStr">
        <is>
          <t>Bilgi al</t>
        </is>
      </c>
      <c r="E184" s="29" t="inlineStr">
        <is>
          <t>https://centrepompidou-malaga.eu/visita/</t>
        </is>
      </c>
      <c r="F184" s="49" t="n">
        <v>46322</v>
      </c>
      <c r="G184" s="51" t="n">
        <v>1</v>
      </c>
    </row>
    <row r="185" ht="54" customHeight="1">
      <c r="A185" s="29" t="inlineStr">
        <is>
          <t>malaga:action:pompidou-ve-thyssen-muzelerine-canta-semsiye-yiyecek-ve-hayvanla-giris-kurallari-2</t>
        </is>
      </c>
      <c r="B185" s="29" t="inlineStr">
        <is>
          <t>malaga</t>
        </is>
      </c>
      <c r="C185" s="29" t="inlineStr">
        <is>
          <t>malaga:pompidou-ve-thyssen-muzelerine-canta-semsiye-yiyecek-ve-hayvanla-giris-kurallari</t>
        </is>
      </c>
      <c r="D185" s="29" t="inlineStr">
        <is>
          <t>Bilgi al</t>
        </is>
      </c>
      <c r="E185" s="29" t="inlineStr">
        <is>
          <t>https://www.carmenthyssenmalaga.org/horarios-tarifas-ubicacion</t>
        </is>
      </c>
      <c r="F185" s="49" t="n">
        <v>46322</v>
      </c>
      <c r="G185" s="51" t="n">
        <v>2</v>
      </c>
    </row>
    <row r="186" ht="54" customHeight="1">
      <c r="A186" s="29" t="inlineStr">
        <is>
          <t>malaga:action:gibralfaro-ve-monte-victoria-orman-parklari-sehir-icinde-yuruyus-1</t>
        </is>
      </c>
      <c r="B186" s="29" t="inlineStr">
        <is>
          <t>malaga</t>
        </is>
      </c>
      <c r="C186" s="29" t="inlineStr">
        <is>
          <t>malaga:gibralfaro-ve-monte-victoria-orman-parklari-sehir-icinde-yuruyus</t>
        </is>
      </c>
      <c r="D186" s="29" t="inlineStr">
        <is>
          <t>Bilgi al</t>
        </is>
      </c>
      <c r="E186" s="29" t="inlineStr">
        <is>
          <t>https://medioambiente.malaga.eu/parques-y-jardines/parques-y-jardines-de-malaga/detalle-del-parque/Parque-Forestal-de-Gibralfaro/</t>
        </is>
      </c>
      <c r="F186" s="49" t="n">
        <v>46322</v>
      </c>
      <c r="G186" s="51" t="n">
        <v>1</v>
      </c>
    </row>
    <row r="187" ht="54" customHeight="1">
      <c r="A187" s="29" t="inlineStr">
        <is>
          <t>malaga:action:gibralfaro-ve-monte-victoria-orman-parklari-sehir-icinde-yuruyus-2</t>
        </is>
      </c>
      <c r="B187" s="29" t="inlineStr">
        <is>
          <t>malaga</t>
        </is>
      </c>
      <c r="C187" s="29" t="inlineStr">
        <is>
          <t>malaga:gibralfaro-ve-monte-victoria-orman-parklari-sehir-icinde-yuruyus</t>
        </is>
      </c>
      <c r="D187" s="29" t="inlineStr">
        <is>
          <t>Bilgi al</t>
        </is>
      </c>
      <c r="E187" s="29" t="inlineStr">
        <is>
          <t>https://medioambiente.malaga.eu/parques-y-jardines/parques-y-jardines-de-malaga/zonas-forestales/detalle-del-parque/Parque-Forestal-Monte-Victoria/</t>
        </is>
      </c>
      <c r="F187" s="49" t="n">
        <v>46322</v>
      </c>
      <c r="G187" s="51" t="n">
        <v>2</v>
      </c>
    </row>
    <row r="188" ht="54" customHeight="1">
      <c r="A188" s="29" t="inlineStr">
        <is>
          <t>malaga:action:piknik-ve-barbeku-yapabilecegin-orman-parklari-la-concepcion-ve-lagarillo-blanco-1</t>
        </is>
      </c>
      <c r="B188" s="29" t="inlineStr">
        <is>
          <t>malaga</t>
        </is>
      </c>
      <c r="C188" s="29" t="inlineStr">
        <is>
          <t>malaga:piknik-ve-barbeku-yapabilecegin-orman-parklari-la-concepcion-ve-lagarillo-blanco</t>
        </is>
      </c>
      <c r="D188" s="29" t="inlineStr">
        <is>
          <t>Bilgi al</t>
        </is>
      </c>
      <c r="E188" s="29" t="inlineStr">
        <is>
          <t>https://medioambiente.malaga.eu/parques-y-jardines/parques-y-jardines-de-malaga/zonas-forestales/detalle-del-parque/Parque-Forestal-La-Concepcion/</t>
        </is>
      </c>
      <c r="F188" s="49" t="n">
        <v>46322</v>
      </c>
      <c r="G188" s="51" t="n">
        <v>1</v>
      </c>
    </row>
    <row r="189" ht="54" customHeight="1">
      <c r="A189" s="29" t="inlineStr">
        <is>
          <t>malaga:action:piknik-ve-barbeku-yapabilecegin-orman-parklari-la-concepcion-ve-lagarillo-blanco-2</t>
        </is>
      </c>
      <c r="B189" s="29" t="inlineStr">
        <is>
          <t>malaga</t>
        </is>
      </c>
      <c r="C189" s="29" t="inlineStr">
        <is>
          <t>malaga:piknik-ve-barbeku-yapabilecegin-orman-parklari-la-concepcion-ve-lagarillo-blanco</t>
        </is>
      </c>
      <c r="D189" s="29" t="inlineStr">
        <is>
          <t>Bilgi al</t>
        </is>
      </c>
      <c r="E189" s="29" t="inlineStr">
        <is>
          <t>https://medioambiente.malaga.eu/parques-y-jardines/parques-y-jardines-de-malaga/zonas-forestales/detalle-del-parque/Parque-Forestal-Lagarillo-Blanco/</t>
        </is>
      </c>
      <c r="F189" s="49" t="n">
        <v>46322</v>
      </c>
      <c r="G189" s="51" t="n">
        <v>2</v>
      </c>
    </row>
    <row r="190" ht="54" customHeight="1">
      <c r="A190" s="29" t="inlineStr">
        <is>
          <t>malaga:action:mimma-muzik-muzesi-ve-parque-de-la-alegria-cocuklarla-gidilecek-yerler-1</t>
        </is>
      </c>
      <c r="B190" s="29" t="inlineStr">
        <is>
          <t>malaga</t>
        </is>
      </c>
      <c r="C190" s="29" t="inlineStr">
        <is>
          <t>malaga:mimma-muzik-muzesi-ve-parque-de-la-alegria-cocuklarla-gidilecek-yerler</t>
        </is>
      </c>
      <c r="D190" s="29" t="inlineStr">
        <is>
          <t>Ziyaret bilgisi</t>
        </is>
      </c>
      <c r="E190" s="29" t="inlineStr">
        <is>
          <t>https://www.musicaenaccion.com/mimma-museo/</t>
        </is>
      </c>
      <c r="F190" s="49" t="n">
        <v>46322</v>
      </c>
      <c r="G190" s="51" t="n">
        <v>1</v>
      </c>
    </row>
    <row r="191" ht="54" customHeight="1">
      <c r="A191" s="29" t="inlineStr">
        <is>
          <t>malaga:action:mimma-muzik-muzesi-ve-parque-de-la-alegria-cocuklarla-gidilecek-yerler-2</t>
        </is>
      </c>
      <c r="B191" s="29" t="inlineStr">
        <is>
          <t>malaga</t>
        </is>
      </c>
      <c r="C191" s="29" t="inlineStr">
        <is>
          <t>malaga:mimma-muzik-muzesi-ve-parque-de-la-alegria-cocuklarla-gidilecek-yerler</t>
        </is>
      </c>
      <c r="D191" s="29" t="inlineStr">
        <is>
          <t>Bilgi al</t>
        </is>
      </c>
      <c r="E191" s="29" t="inlineStr">
        <is>
          <t>https://medioambiente.malaga.eu/parques-y-jardines/parques-y-jardines-de-malaga/parques-infantiles-y-biosaludables/detalle-del-parque/Parque-de-La-Alegria/</t>
        </is>
      </c>
      <c r="F191" s="49" t="n">
        <v>46322</v>
      </c>
      <c r="G191" s="51" t="n">
        <v>2</v>
      </c>
    </row>
    <row r="192" ht="54" customHeight="1">
      <c r="A192" s="29" t="inlineStr">
        <is>
          <t>malaga:action:belediye-kapali-pazar-yerleri-mercados-municipales-hangileri-nerede-1</t>
        </is>
      </c>
      <c r="B192" s="29" t="inlineStr">
        <is>
          <t>malaga</t>
        </is>
      </c>
      <c r="C192" s="29" t="inlineStr">
        <is>
          <t>malaga:belediye-kapali-pazar-yerleri-mercados-municipales-hangileri-nerede</t>
        </is>
      </c>
      <c r="D192" s="29" t="inlineStr">
        <is>
          <t>Bilgi al</t>
        </is>
      </c>
      <c r="E192" s="29" t="inlineStr">
        <is>
          <t>https://mercadosmunicipalesyviapublica.malaga.eu/</t>
        </is>
      </c>
      <c r="F192" s="49" t="n">
        <v>46322</v>
      </c>
      <c r="G192" s="51" t="n">
        <v>1</v>
      </c>
    </row>
    <row r="193" ht="54" customHeight="1">
      <c r="A193" s="29" t="inlineStr">
        <is>
          <t>malaga:action:belediye-kapali-pazar-yerleri-mercados-municipales-hangileri-nerede-2</t>
        </is>
      </c>
      <c r="B193" s="29" t="inlineStr">
        <is>
          <t>malaga</t>
        </is>
      </c>
      <c r="C193" s="29" t="inlineStr">
        <is>
          <t>malaga:belediye-kapali-pazar-yerleri-mercados-municipales-hangileri-nerede</t>
        </is>
      </c>
      <c r="D193" s="29" t="inlineStr">
        <is>
          <t>Bilgi al</t>
        </is>
      </c>
      <c r="E193" s="29" t="inlineStr">
        <is>
          <t>https://mercadillos.malaga.eu/mercadillos/</t>
        </is>
      </c>
      <c r="F193" s="49" t="n">
        <v>46322</v>
      </c>
      <c r="G193" s="51" t="n">
        <v>2</v>
      </c>
    </row>
    <row r="194" ht="54" customHeight="1">
      <c r="A194" s="29" t="inlineStr">
        <is>
          <t>malaga:action:parque-de-malaga-ve-pedro-luis-alonso-bahceleri-sehir-merkezinde-tarihi-parklar-1</t>
        </is>
      </c>
      <c r="B194" s="29" t="inlineStr">
        <is>
          <t>malaga</t>
        </is>
      </c>
      <c r="C194" s="29" t="inlineStr">
        <is>
          <t>malaga:parque-de-malaga-ve-pedro-luis-alonso-bahceleri-sehir-merkezinde-tarihi-parklar</t>
        </is>
      </c>
      <c r="D194" s="29" t="inlineStr">
        <is>
          <t>Bilgi al</t>
        </is>
      </c>
      <c r="E194" s="29" t="inlineStr">
        <is>
          <t>https://medioambiente.malaga.eu/parques-y-jardines/parques-y-jardines-de-malaga/detalle-del-parque/El-Parque-de-Malaga-00001/</t>
        </is>
      </c>
      <c r="F194" s="49" t="n">
        <v>46322</v>
      </c>
      <c r="G194" s="51" t="n">
        <v>1</v>
      </c>
    </row>
    <row r="195" ht="54" customHeight="1">
      <c r="A195" s="29" t="inlineStr">
        <is>
          <t>malaga:action:parque-de-malaga-ve-pedro-luis-alonso-bahceleri-sehir-merkezinde-tarihi-parklar-2</t>
        </is>
      </c>
      <c r="B195" s="29" t="inlineStr">
        <is>
          <t>malaga</t>
        </is>
      </c>
      <c r="C195" s="29" t="inlineStr">
        <is>
          <t>malaga:parque-de-malaga-ve-pedro-luis-alonso-bahceleri-sehir-merkezinde-tarihi-parklar</t>
        </is>
      </c>
      <c r="D195" s="29" t="inlineStr">
        <is>
          <t>Bilgi al</t>
        </is>
      </c>
      <c r="E195" s="29" t="inlineStr">
        <is>
          <t>https://medioambiente.malaga.eu/parques-y-jardines/parques-y-jardines-de-malaga/detalle-del-parque/Jardines-Pedro-Luis-Alonso/</t>
        </is>
      </c>
      <c r="F195" s="49" t="n">
        <v>46322</v>
      </c>
      <c r="G195" s="51" t="n">
        <v>2</v>
      </c>
    </row>
    <row r="196" ht="54" customHeight="1">
      <c r="A196" s="29" t="inlineStr">
        <is>
          <t>malaga:action:alcazaba-de-malaga-1</t>
        </is>
      </c>
      <c r="B196" s="29" t="inlineStr">
        <is>
          <t>malaga</t>
        </is>
      </c>
      <c r="C196" s="29" t="inlineStr">
        <is>
          <t>malaga:alcazaba-de-malaga</t>
        </is>
      </c>
      <c r="D196" s="29" t="inlineStr">
        <is>
          <t>Ziyaret bilgisi</t>
        </is>
      </c>
      <c r="E196" s="29" t="inlineStr">
        <is>
          <t>https://alcazabaygibralfaro.malaga.eu/es/visitas/horarios-y-tarifas/</t>
        </is>
      </c>
      <c r="F196" s="49" t="n">
        <v>46322</v>
      </c>
      <c r="G196" s="51" t="n">
        <v>1</v>
      </c>
    </row>
    <row r="197" ht="54" customHeight="1">
      <c r="A197" s="29" t="inlineStr">
        <is>
          <t>malaga:action:alcazaba-de-malaga-2</t>
        </is>
      </c>
      <c r="B197" s="29" t="inlineStr">
        <is>
          <t>malaga</t>
        </is>
      </c>
      <c r="C197" s="29" t="inlineStr">
        <is>
          <t>malaga:alcazaba-de-malaga</t>
        </is>
      </c>
      <c r="D197" s="29" t="inlineStr">
        <is>
          <t>Ulaşımı planla</t>
        </is>
      </c>
      <c r="E197" s="29" t="inlineStr">
        <is>
          <t>https://alcazabaygibralfaro.malaga.eu/es/alcazaba/donde-estamos</t>
        </is>
      </c>
      <c r="F197" s="49" t="n">
        <v>46322</v>
      </c>
      <c r="G197" s="51" t="n">
        <v>2</v>
      </c>
    </row>
    <row r="198" ht="54" customHeight="1">
      <c r="A198" s="29" t="inlineStr">
        <is>
          <t>malaga:action:castillo-de-gibralfaro-1</t>
        </is>
      </c>
      <c r="B198" s="29" t="inlineStr">
        <is>
          <t>malaga</t>
        </is>
      </c>
      <c r="C198" s="29" t="inlineStr">
        <is>
          <t>malaga:castillo-de-gibralfaro</t>
        </is>
      </c>
      <c r="D198" s="29" t="inlineStr">
        <is>
          <t>Ziyaret bilgisi</t>
        </is>
      </c>
      <c r="E198" s="29" t="inlineStr">
        <is>
          <t>https://alcazabaygibralfaro.malaga.eu/es/visitas/horarios-y-tarifas/</t>
        </is>
      </c>
      <c r="F198" s="49" t="n">
        <v>46322</v>
      </c>
      <c r="G198" s="51" t="n">
        <v>1</v>
      </c>
    </row>
    <row r="199" ht="54" customHeight="1">
      <c r="A199" s="29" t="inlineStr">
        <is>
          <t>malaga:action:castillo-de-gibralfaro-2</t>
        </is>
      </c>
      <c r="B199" s="29" t="inlineStr">
        <is>
          <t>malaga</t>
        </is>
      </c>
      <c r="C199" s="29" t="inlineStr">
        <is>
          <t>malaga:castillo-de-gibralfaro</t>
        </is>
      </c>
      <c r="D199" s="29" t="inlineStr">
        <is>
          <t>Ulaşımı planla</t>
        </is>
      </c>
      <c r="E199" s="29" t="inlineStr">
        <is>
          <t>https://alcazabaygibralfaro.malaga.eu/es/castillo-de-gibralfaro/donde-estamos</t>
        </is>
      </c>
      <c r="F199" s="49" t="n">
        <v>46322</v>
      </c>
      <c r="G199" s="51" t="n">
        <v>2</v>
      </c>
    </row>
    <row r="200" ht="54" customHeight="1">
      <c r="A200" s="29" t="inlineStr">
        <is>
          <t>malaga:action:catedral-de-malaga-1</t>
        </is>
      </c>
      <c r="B200" s="29" t="inlineStr">
        <is>
          <t>malaga</t>
        </is>
      </c>
      <c r="C200" s="29" t="inlineStr">
        <is>
          <t>malaga:catedral-de-malaga</t>
        </is>
      </c>
      <c r="D200" s="29" t="inlineStr">
        <is>
          <t>Bilet al</t>
        </is>
      </c>
      <c r="E200" s="29" t="inlineStr">
        <is>
          <t>https://malagacatedral.com/visita-cultural/tarifas-y-horarios/</t>
        </is>
      </c>
      <c r="F200" s="49" t="n">
        <v>46322</v>
      </c>
      <c r="G200" s="51" t="n">
        <v>1</v>
      </c>
    </row>
    <row r="201" ht="54" customHeight="1">
      <c r="A201" s="29" t="inlineStr">
        <is>
          <t>malaga:action:catedral-de-malaga-2</t>
        </is>
      </c>
      <c r="B201" s="29" t="inlineStr">
        <is>
          <t>malaga</t>
        </is>
      </c>
      <c r="C201" s="29" t="inlineStr">
        <is>
          <t>malaga:catedral-de-malaga</t>
        </is>
      </c>
      <c r="D201" s="29" t="inlineStr">
        <is>
          <t>Ziyaret bilgisi</t>
        </is>
      </c>
      <c r="E201" s="29" t="inlineStr">
        <is>
          <t>https://malagacatedral.com/visita-cultural/como-llegar/</t>
        </is>
      </c>
      <c r="F201" s="49" t="n">
        <v>46322</v>
      </c>
      <c r="G201" s="51" t="n">
        <v>2</v>
      </c>
    </row>
    <row r="202" ht="54" customHeight="1">
      <c r="A202" s="29" t="inlineStr">
        <is>
          <t>malaga:action:teatro-romano-de-malaga-1</t>
        </is>
      </c>
      <c r="B202" s="29" t="inlineStr">
        <is>
          <t>malaga</t>
        </is>
      </c>
      <c r="C202" s="29" t="inlineStr">
        <is>
          <t>malaga:teatro-romano-de-malaga</t>
        </is>
      </c>
      <c r="D202" s="29" t="inlineStr">
        <is>
          <t>Ziyaret bilgisi</t>
        </is>
      </c>
      <c r="E202" s="29" t="inlineStr">
        <is>
          <t>https://www.juntadeandalucia.es/aaiicc/enclaves/enclave-arqueologico-teatro-romano-de-malaga</t>
        </is>
      </c>
      <c r="F202" s="49" t="n">
        <v>46322</v>
      </c>
      <c r="G202" s="51" t="n">
        <v>1</v>
      </c>
    </row>
    <row r="203" ht="54" customHeight="1">
      <c r="A203" s="29" t="inlineStr">
        <is>
          <t>malaga:action:ayuntamiento-de-malaga-1</t>
        </is>
      </c>
      <c r="B203" s="29" t="inlineStr">
        <is>
          <t>malaga</t>
        </is>
      </c>
      <c r="C203" s="29" t="inlineStr">
        <is>
          <t>malaga:ayuntamiento-de-malaga</t>
        </is>
      </c>
      <c r="D203" s="29" t="inlineStr">
        <is>
          <t>Bilgi al</t>
        </is>
      </c>
      <c r="E203" s="29" t="inlineStr">
        <is>
          <t>https://www.malaga.eu/informacion-general/donde-estamos/</t>
        </is>
      </c>
      <c r="F203" s="49" t="n">
        <v>46322</v>
      </c>
      <c r="G203" s="51" t="n">
        <v>1</v>
      </c>
    </row>
    <row r="204" ht="54" customHeight="1">
      <c r="A204" s="29" t="inlineStr">
        <is>
          <t>malaga:action:palacio-episcopal-de-malaga-1</t>
        </is>
      </c>
      <c r="B204" s="29" t="inlineStr">
        <is>
          <t>malaga</t>
        </is>
      </c>
      <c r="C204" s="29" t="inlineStr">
        <is>
          <t>malaga:palacio-episcopal-de-malaga</t>
        </is>
      </c>
      <c r="D204" s="29" t="inlineStr">
        <is>
          <t>Bilgi al</t>
        </is>
      </c>
      <c r="E204" s="29" t="inlineStr">
        <is>
          <t>https://malagacatedral.com/visita-cultural/como-llegar/</t>
        </is>
      </c>
      <c r="F204" s="49" t="n">
        <v>46322</v>
      </c>
      <c r="G204" s="51" t="n">
        <v>1</v>
      </c>
    </row>
    <row r="205" ht="54" customHeight="1">
      <c r="A205" s="29" t="inlineStr">
        <is>
          <t>malaga:action:iglesia-santiago-apostol-1</t>
        </is>
      </c>
      <c r="B205" s="29" t="inlineStr">
        <is>
          <t>malaga</t>
        </is>
      </c>
      <c r="C205" s="29" t="inlineStr">
        <is>
          <t>malaga:iglesia-santiago-apostol</t>
        </is>
      </c>
      <c r="D205" s="29" t="inlineStr">
        <is>
          <t>Ziyaret bilgisi</t>
        </is>
      </c>
      <c r="E205" s="29" t="inlineStr">
        <is>
          <t>https://diocesismalaga.es/parroquias/6/santiago-apostol-malaga</t>
        </is>
      </c>
      <c r="F205" s="49" t="n">
        <v>46322</v>
      </c>
      <c r="G205" s="51" t="n">
        <v>1</v>
      </c>
    </row>
    <row r="206" ht="54" customHeight="1">
      <c r="A206" s="29" t="inlineStr">
        <is>
          <t>malaga:action:basilica-santa-maria-de-la-victoria-1</t>
        </is>
      </c>
      <c r="B206" s="29" t="inlineStr">
        <is>
          <t>malaga</t>
        </is>
      </c>
      <c r="C206" s="29" t="inlineStr">
        <is>
          <t>malaga:basilica-santa-maria-de-la-victoria</t>
        </is>
      </c>
      <c r="D206" s="29" t="inlineStr">
        <is>
          <t>Ziyaret bilgisi</t>
        </is>
      </c>
      <c r="E206" s="29" t="inlineStr">
        <is>
          <t>https://diocesismalaga.es/parroquias/1/santa-maria-de-la-victoria-y-la-merced-malaga</t>
        </is>
      </c>
      <c r="F206" s="49" t="n">
        <v>46322</v>
      </c>
      <c r="G206" s="51" t="n">
        <v>1</v>
      </c>
    </row>
    <row r="207" ht="54" customHeight="1">
      <c r="A207" s="29" t="inlineStr">
        <is>
          <t>malaga:action:iglesia-santos-martires-1</t>
        </is>
      </c>
      <c r="B207" s="29" t="inlineStr">
        <is>
          <t>malaga</t>
        </is>
      </c>
      <c r="C207" s="29" t="inlineStr">
        <is>
          <t>malaga:iglesia-santos-martires</t>
        </is>
      </c>
      <c r="D207" s="29" t="inlineStr">
        <is>
          <t>Ziyaret bilgisi</t>
        </is>
      </c>
      <c r="E207" s="29" t="inlineStr">
        <is>
          <t>https://diocesismalaga.es/parroquias/8/santos-martires-ciriaco-y-paula-malaga</t>
        </is>
      </c>
      <c r="F207" s="49" t="n">
        <v>46322</v>
      </c>
      <c r="G207" s="51" t="n">
        <v>1</v>
      </c>
    </row>
    <row r="208" ht="54" customHeight="1">
      <c r="A208" s="29" t="inlineStr">
        <is>
          <t>malaga:action:iglesia-san-juan-bautista-1</t>
        </is>
      </c>
      <c r="B208" s="29" t="inlineStr">
        <is>
          <t>malaga</t>
        </is>
      </c>
      <c r="C208" s="29" t="inlineStr">
        <is>
          <t>malaga:iglesia-san-juan-bautista</t>
        </is>
      </c>
      <c r="D208" s="29" t="inlineStr">
        <is>
          <t>Ziyaret bilgisi</t>
        </is>
      </c>
      <c r="E208" s="29" t="inlineStr">
        <is>
          <t>https://diocesismalaga.es/parroquias/4/san-juan-bautista-malaga</t>
        </is>
      </c>
      <c r="F208" s="49" t="n">
        <v>46322</v>
      </c>
      <c r="G208" s="51" t="n">
        <v>1</v>
      </c>
    </row>
    <row r="209" ht="54" customHeight="1">
      <c r="A209" s="29" t="inlineStr">
        <is>
          <t>malaga:action:iglesia-santo-cristo-de-la-salud-1</t>
        </is>
      </c>
      <c r="B209" s="29" t="inlineStr">
        <is>
          <t>malaga</t>
        </is>
      </c>
      <c r="C209" s="29" t="inlineStr">
        <is>
          <t>malaga:iglesia-santo-cristo-de-la-salud</t>
        </is>
      </c>
      <c r="D209" s="29" t="inlineStr">
        <is>
          <t>Ziyaret bilgisi</t>
        </is>
      </c>
      <c r="E209" s="29" t="inlineStr">
        <is>
          <t>https://diocesismalaga.es/bic/2014061175/iglesia-del-santo-cristo-de-la-salud</t>
        </is>
      </c>
      <c r="F209" s="49" t="n">
        <v>46322</v>
      </c>
      <c r="G209" s="51" t="n">
        <v>1</v>
      </c>
    </row>
    <row r="210" ht="54" customHeight="1">
      <c r="A210" s="29" t="inlineStr">
        <is>
          <t>malaga:action:iglesia-san-felipe-neri-1</t>
        </is>
      </c>
      <c r="B210" s="29" t="inlineStr">
        <is>
          <t>malaga</t>
        </is>
      </c>
      <c r="C210" s="29" t="inlineStr">
        <is>
          <t>malaga:iglesia-san-felipe-neri</t>
        </is>
      </c>
      <c r="D210" s="29" t="inlineStr">
        <is>
          <t>Ziyaret bilgisi</t>
        </is>
      </c>
      <c r="E210" s="29" t="inlineStr">
        <is>
          <t>https://diocesismalaga.es/parroquias/7/santa-cruz-y-san-felipe-neri-malaga</t>
        </is>
      </c>
      <c r="F210" s="49" t="n">
        <v>46322</v>
      </c>
      <c r="G210" s="51" t="n">
        <v>1</v>
      </c>
    </row>
    <row r="211" ht="54" customHeight="1">
      <c r="A211" s="29" t="inlineStr">
        <is>
          <t>malaga:action:iglesia-san-pablo-1</t>
        </is>
      </c>
      <c r="B211" s="29" t="inlineStr">
        <is>
          <t>malaga</t>
        </is>
      </c>
      <c r="C211" s="29" t="inlineStr">
        <is>
          <t>malaga:iglesia-san-pablo</t>
        </is>
      </c>
      <c r="D211" s="29" t="inlineStr">
        <is>
          <t>Ziyaret bilgisi</t>
        </is>
      </c>
      <c r="E211" s="29" t="inlineStr">
        <is>
          <t>https://diocesismalaga.es/parroquias/34/san-pablo-malaga</t>
        </is>
      </c>
      <c r="F211" s="49" t="n">
        <v>46322</v>
      </c>
      <c r="G211" s="51" t="n">
        <v>1</v>
      </c>
    </row>
    <row r="212" ht="54" customHeight="1">
      <c r="A212" s="29" t="inlineStr">
        <is>
          <t>malaga:action:iglesia-san-pedro-1</t>
        </is>
      </c>
      <c r="B212" s="29" t="inlineStr">
        <is>
          <t>malaga</t>
        </is>
      </c>
      <c r="C212" s="29" t="inlineStr">
        <is>
          <t>malaga:iglesia-san-pedro</t>
        </is>
      </c>
      <c r="D212" s="29" t="inlineStr">
        <is>
          <t>Ziyaret bilgisi</t>
        </is>
      </c>
      <c r="E212" s="29" t="inlineStr">
        <is>
          <t>https://diocesismalaga.es/parroquias/24/san-pedro-malaga</t>
        </is>
      </c>
      <c r="F212" s="49" t="n">
        <v>46322</v>
      </c>
      <c r="G212" s="51" t="n">
        <v>1</v>
      </c>
    </row>
    <row r="213" ht="54" customHeight="1">
      <c r="A213" s="29" t="inlineStr">
        <is>
          <t>malaga:action:iglesia-santisima-trinidad-1</t>
        </is>
      </c>
      <c r="B213" s="29" t="inlineStr">
        <is>
          <t>malaga</t>
        </is>
      </c>
      <c r="C213" s="29" t="inlineStr">
        <is>
          <t>malaga:iglesia-santisima-trinidad</t>
        </is>
      </c>
      <c r="D213" s="29" t="inlineStr">
        <is>
          <t>Ziyaret bilgisi</t>
        </is>
      </c>
      <c r="E213" s="29" t="inlineStr">
        <is>
          <t>https://diocesismalaga.es/parroquias/37/santisima-trinidad-malaga</t>
        </is>
      </c>
      <c r="F213" s="49" t="n">
        <v>46322</v>
      </c>
      <c r="G213" s="51" t="n">
        <v>1</v>
      </c>
    </row>
    <row r="214" ht="54" customHeight="1">
      <c r="A214" s="29" t="inlineStr">
        <is>
          <t>malaga:action:iglesia-sagrado-corazon-1</t>
        </is>
      </c>
      <c r="B214" s="29" t="inlineStr">
        <is>
          <t>malaga</t>
        </is>
      </c>
      <c r="C214" s="29" t="inlineStr">
        <is>
          <t>malaga:iglesia-sagrado-corazon</t>
        </is>
      </c>
      <c r="D214" s="29" t="inlineStr">
        <is>
          <t>Ziyaret bilgisi</t>
        </is>
      </c>
      <c r="E214" s="29" t="inlineStr">
        <is>
          <t>https://diocesismalaga.es/parroquias/251/sagrado-corazon-de-jesus-malaga</t>
        </is>
      </c>
      <c r="F214" s="49" t="n">
        <v>46322</v>
      </c>
      <c r="G214" s="51" t="n">
        <v>1</v>
      </c>
    </row>
    <row r="215" ht="54" customHeight="1">
      <c r="A215" s="29" t="inlineStr">
        <is>
          <t>malaga:action:cementerio-historico-san-miguel-1</t>
        </is>
      </c>
      <c r="B215" s="29" t="inlineStr">
        <is>
          <t>malaga</t>
        </is>
      </c>
      <c r="C215" s="29" t="inlineStr">
        <is>
          <t>malaga:cementerio-historico-san-miguel</t>
        </is>
      </c>
      <c r="D215" s="29" t="inlineStr">
        <is>
          <t>Ziyaret bilgisi</t>
        </is>
      </c>
      <c r="E215" s="29" t="inlineStr">
        <is>
          <t>https://parcema.com/cementerio-san-miguel/</t>
        </is>
      </c>
      <c r="F215" s="49" t="n">
        <v>46322</v>
      </c>
      <c r="G215" s="51" t="n">
        <v>1</v>
      </c>
    </row>
    <row r="216" ht="54" customHeight="1">
      <c r="A216" s="29" t="inlineStr">
        <is>
          <t>malaga:action:iglesia-divina-pastora-santa-teresa-1</t>
        </is>
      </c>
      <c r="B216" s="29" t="inlineStr">
        <is>
          <t>malaga</t>
        </is>
      </c>
      <c r="C216" s="29" t="inlineStr">
        <is>
          <t>malaga:iglesia-divina-pastora-santa-teresa</t>
        </is>
      </c>
      <c r="D216" s="29" t="inlineStr">
        <is>
          <t>Ziyaret bilgisi</t>
        </is>
      </c>
      <c r="E216" s="29" t="inlineStr">
        <is>
          <t>https://diocesismalaga.es/parroquias/13/divina-pastora-y-santa-teresa-malaga</t>
        </is>
      </c>
      <c r="F216" s="49" t="n">
        <v>46322</v>
      </c>
      <c r="G216" s="51" t="n">
        <v>1</v>
      </c>
    </row>
    <row r="217" ht="54" customHeight="1">
      <c r="A217" s="29" t="inlineStr">
        <is>
          <t>malaga:action:iglesia-san-patricio-1</t>
        </is>
      </c>
      <c r="B217" s="29" t="inlineStr">
        <is>
          <t>malaga</t>
        </is>
      </c>
      <c r="C217" s="29" t="inlineStr">
        <is>
          <t>malaga:iglesia-san-patricio</t>
        </is>
      </c>
      <c r="D217" s="29" t="inlineStr">
        <is>
          <t>Ziyaret bilgisi</t>
        </is>
      </c>
      <c r="E217" s="29" t="inlineStr">
        <is>
          <t>https://diocesismalaga.es/parroquias/62/san-patricio-malaga</t>
        </is>
      </c>
      <c r="F217" s="49" t="n">
        <v>46322</v>
      </c>
      <c r="G217" s="51" t="n">
        <v>1</v>
      </c>
    </row>
    <row r="218" ht="54" customHeight="1">
      <c r="A218" s="29" t="inlineStr">
        <is>
          <t>malaga:action:iglesia-cristo-rey-1</t>
        </is>
      </c>
      <c r="B218" s="29" t="inlineStr">
        <is>
          <t>malaga</t>
        </is>
      </c>
      <c r="C218" s="29" t="inlineStr">
        <is>
          <t>malaga:iglesia-cristo-rey</t>
        </is>
      </c>
      <c r="D218" s="29" t="inlineStr">
        <is>
          <t>Ziyaret bilgisi</t>
        </is>
      </c>
      <c r="E218" s="29" t="inlineStr">
        <is>
          <t>https://diocesismalaga.es/parroquias/88/cristo-rey-y-nuestra-senora-del-rosario-malaga</t>
        </is>
      </c>
      <c r="F218" s="49" t="n">
        <v>46322</v>
      </c>
      <c r="G218" s="51" t="n">
        <v>1</v>
      </c>
    </row>
    <row r="219" ht="54" customHeight="1">
      <c r="A219" s="29" t="inlineStr">
        <is>
          <t>malaga:action:la-farola-de-malaga-1</t>
        </is>
      </c>
      <c r="B219" s="29" t="inlineStr">
        <is>
          <t>malaga</t>
        </is>
      </c>
      <c r="C219" s="29" t="inlineStr">
        <is>
          <t>malaga:la-farola-de-malaga</t>
        </is>
      </c>
      <c r="D219" s="29" t="inlineStr">
        <is>
          <t>Bilgi al</t>
        </is>
      </c>
      <c r="E219" s="29" t="inlineStr">
        <is>
          <t>https://www.puertomalaga.com/es/la-farola/</t>
        </is>
      </c>
      <c r="F219" s="49" t="n">
        <v>46322</v>
      </c>
      <c r="G219" s="51" t="n">
        <v>1</v>
      </c>
    </row>
    <row r="220" ht="54" customHeight="1">
      <c r="A220" s="29" t="inlineStr">
        <is>
          <t>malaga:action:iglesia-stella-maris-1</t>
        </is>
      </c>
      <c r="B220" s="29" t="inlineStr">
        <is>
          <t>malaga</t>
        </is>
      </c>
      <c r="C220" s="29" t="inlineStr">
        <is>
          <t>malaga:iglesia-stella-maris</t>
        </is>
      </c>
      <c r="D220" s="29" t="inlineStr">
        <is>
          <t>Ziyaret bilgisi</t>
        </is>
      </c>
      <c r="E220" s="29" t="inlineStr">
        <is>
          <t>https://diocesismalaga.es/parroquias/26/stella-maris-malaga</t>
        </is>
      </c>
      <c r="F220" s="49" t="n">
        <v>46322</v>
      </c>
      <c r="G220" s="51" t="n">
        <v>1</v>
      </c>
    </row>
    <row r="221" ht="54" customHeight="1">
      <c r="A221" s="29" t="inlineStr">
        <is>
          <t>malaga:action:iglesia-san-lazaro-1</t>
        </is>
      </c>
      <c r="B221" s="29" t="inlineStr">
        <is>
          <t>malaga</t>
        </is>
      </c>
      <c r="C221" s="29" t="inlineStr">
        <is>
          <t>malaga:iglesia-san-lazaro</t>
        </is>
      </c>
      <c r="D221" s="29" t="inlineStr">
        <is>
          <t>Ziyaret bilgisi</t>
        </is>
      </c>
      <c r="E221" s="29" t="inlineStr">
        <is>
          <t>https://diocesismalaga.es/parroquias/5/san-lazaro-malaga</t>
        </is>
      </c>
      <c r="F221" s="49" t="n">
        <v>46322</v>
      </c>
      <c r="G221" s="51" t="n">
        <v>1</v>
      </c>
    </row>
    <row r="222" ht="54" customHeight="1">
      <c r="A222" s="29" t="inlineStr">
        <is>
          <t>malaga:action:iglesia-santo-domingo-de-guzman-1</t>
        </is>
      </c>
      <c r="B222" s="29" t="inlineStr">
        <is>
          <t>malaga</t>
        </is>
      </c>
      <c r="C222" s="29" t="inlineStr">
        <is>
          <t>malaga:iglesia-santo-domingo-de-guzman</t>
        </is>
      </c>
      <c r="D222" s="29" t="inlineStr">
        <is>
          <t>Ziyaret bilgisi</t>
        </is>
      </c>
      <c r="E222" s="29" t="inlineStr">
        <is>
          <t>https://diocesismalaga.es/parroquias/38/santo-domingo-de-guzman-malaga</t>
        </is>
      </c>
      <c r="F222" s="49" t="n">
        <v>46322</v>
      </c>
      <c r="G222" s="51" t="n">
        <v>1</v>
      </c>
    </row>
    <row r="223" ht="54" customHeight="1">
      <c r="A223" s="29" t="inlineStr">
        <is>
          <t>malaga:action:cementerio-ingles-malaga-1</t>
        </is>
      </c>
      <c r="B223" s="29" t="inlineStr">
        <is>
          <t>malaga</t>
        </is>
      </c>
      <c r="C223" s="29" t="inlineStr">
        <is>
          <t>malaga:cementerio-ingles-malaga</t>
        </is>
      </c>
      <c r="D223" s="29" t="inlineStr">
        <is>
          <t>Ziyaret bilgisi</t>
        </is>
      </c>
      <c r="E223" s="29" t="inlineStr">
        <is>
          <t>https://cementerioinglesmalaga.org/en/visitas/</t>
        </is>
      </c>
      <c r="F223" s="49" t="n">
        <v>46322</v>
      </c>
      <c r="G223" s="51" t="n">
        <v>1</v>
      </c>
    </row>
    <row r="224" ht="54" customHeight="1">
      <c r="A224" s="29" t="inlineStr">
        <is>
          <t>malaga:action:iglesia-nuestra-senora-del-carmen-perchel-1</t>
        </is>
      </c>
      <c r="B224" s="29" t="inlineStr">
        <is>
          <t>malaga</t>
        </is>
      </c>
      <c r="C224" s="29" t="inlineStr">
        <is>
          <t>malaga:iglesia-nuestra-senora-del-carmen-perchel</t>
        </is>
      </c>
      <c r="D224" s="29" t="inlineStr">
        <is>
          <t>Ziyaret bilgisi</t>
        </is>
      </c>
      <c r="E224" s="29" t="inlineStr">
        <is>
          <t>https://diocesismalaga.es/parroquias/21/nuestra-senora-del-carmen-malaga</t>
        </is>
      </c>
      <c r="F224" s="49" t="n">
        <v>46322</v>
      </c>
      <c r="G224" s="51" t="n">
        <v>1</v>
      </c>
    </row>
    <row r="225" ht="54" customHeight="1">
      <c r="A225" s="29" t="inlineStr">
        <is>
          <t>malaga:action:iglesia-nuestra-senora-de-fatima-1</t>
        </is>
      </c>
      <c r="B225" s="29" t="inlineStr">
        <is>
          <t>malaga</t>
        </is>
      </c>
      <c r="C225" s="29" t="inlineStr">
        <is>
          <t>malaga:iglesia-nuestra-senora-de-fatima</t>
        </is>
      </c>
      <c r="D225" s="29" t="inlineStr">
        <is>
          <t>Ziyaret bilgisi</t>
        </is>
      </c>
      <c r="E225" s="29" t="inlineStr">
        <is>
          <t>https://diocesismalaga.es/parroquias/32/nuestra-senora-de-fatima-malaga</t>
        </is>
      </c>
      <c r="F225" s="49" t="n">
        <v>46322</v>
      </c>
      <c r="G225" s="51" t="n">
        <v>1</v>
      </c>
    </row>
    <row r="226" ht="54" customHeight="1">
      <c r="A226" s="29" t="inlineStr">
        <is>
          <t>malaga:action:parque-forestal-la-concepcion-1</t>
        </is>
      </c>
      <c r="B226" s="29" t="inlineStr">
        <is>
          <t>malaga</t>
        </is>
      </c>
      <c r="C226" s="29" t="inlineStr">
        <is>
          <t>malaga:parque-forestal-la-concepcion</t>
        </is>
      </c>
      <c r="D226" s="29" t="inlineStr">
        <is>
          <t>Bilgi al</t>
        </is>
      </c>
      <c r="E226" s="29" t="inlineStr">
        <is>
          <t>https://medioambiente.malaga.eu/parques-y-jardines/parques-y-jardines-de-malaga/zonas-forestales/detalle-del-parque/Parque-Forestal-La-Concepcion/</t>
        </is>
      </c>
      <c r="F226" s="49" t="n">
        <v>46322</v>
      </c>
      <c r="G226" s="51" t="n">
        <v>1</v>
      </c>
    </row>
    <row r="227" ht="54" customHeight="1">
      <c r="A227" s="29" t="inlineStr">
        <is>
          <t>malaga:action:parque-forestal-monte-victoria-1</t>
        </is>
      </c>
      <c r="B227" s="29" t="inlineStr">
        <is>
          <t>malaga</t>
        </is>
      </c>
      <c r="C227" s="29" t="inlineStr">
        <is>
          <t>malaga:parque-forestal-monte-victoria</t>
        </is>
      </c>
      <c r="D227" s="29" t="inlineStr">
        <is>
          <t>Bilgi al</t>
        </is>
      </c>
      <c r="E227" s="29" t="inlineStr">
        <is>
          <t>https://medioambiente.malaga.eu/parques-y-jardines/parques-y-jardines-de-malaga/zonas-forestales/detalle-del-parque/Parque-Forestal-Monte-Victoria/</t>
        </is>
      </c>
      <c r="F227" s="49" t="n">
        <v>46322</v>
      </c>
      <c r="G227" s="51" t="n">
        <v>1</v>
      </c>
    </row>
    <row r="228" ht="54" customHeight="1">
      <c r="A228" s="29" t="inlineStr">
        <is>
          <t>malaga:action:monte-gibralfaro-parque-forestal-1</t>
        </is>
      </c>
      <c r="B228" s="29" t="inlineStr">
        <is>
          <t>malaga</t>
        </is>
      </c>
      <c r="C228" s="29" t="inlineStr">
        <is>
          <t>malaga:monte-gibralfaro-parque-forestal</t>
        </is>
      </c>
      <c r="D228" s="29" t="inlineStr">
        <is>
          <t>Bilgi al</t>
        </is>
      </c>
      <c r="E228" s="29" t="inlineStr">
        <is>
          <t>https://medioambiente.malaga.eu/parques-y-jardines/parques-y-jardines-de-malaga/detalle-del-parque/Parque-Forestal-de-Gibralfaro/</t>
        </is>
      </c>
      <c r="F228" s="49" t="n">
        <v>46322</v>
      </c>
      <c r="G228" s="51" t="n">
        <v>1</v>
      </c>
    </row>
    <row r="229" ht="54" customHeight="1">
      <c r="A229" s="29" t="inlineStr">
        <is>
          <t>malaga:action:parque-de-malaga-1</t>
        </is>
      </c>
      <c r="B229" s="29" t="inlineStr">
        <is>
          <t>malaga</t>
        </is>
      </c>
      <c r="C229" s="29" t="inlineStr">
        <is>
          <t>malaga:parque-de-malaga</t>
        </is>
      </c>
      <c r="D229" s="29" t="inlineStr">
        <is>
          <t>Bilgi al</t>
        </is>
      </c>
      <c r="E229" s="29" t="inlineStr">
        <is>
          <t>https://medioambiente.malaga.eu/parques-y-jardines/parques-y-jardines-de-malaga/detalle-del-parque/El-Parque-de-Malaga-00001/</t>
        </is>
      </c>
      <c r="F229" s="49" t="n">
        <v>46322</v>
      </c>
      <c r="G229" s="51" t="n">
        <v>1</v>
      </c>
    </row>
    <row r="230" ht="54" customHeight="1">
      <c r="A230" s="29" t="inlineStr">
        <is>
          <t>malaga:action:desembocadura-del-guadalhorce-1</t>
        </is>
      </c>
      <c r="B230" s="29" t="inlineStr">
        <is>
          <t>malaga</t>
        </is>
      </c>
      <c r="C230" s="29" t="inlineStr">
        <is>
          <t>malaga:desembocadura-del-guadalhorce</t>
        </is>
      </c>
      <c r="D230" s="29" t="inlineStr">
        <is>
          <t>Bilgi al</t>
        </is>
      </c>
      <c r="E230" s="29" t="inlineStr">
        <is>
          <t>https://medioambiente.malaga.eu/parques-y-jardines/parques-y-jardines-de-malaga/zonas-forestales/detalle-del-parque/Parque-Natural-de-la-Desembocadura-del-Guadalhorce/</t>
        </is>
      </c>
      <c r="F230" s="49" t="n">
        <v>46322</v>
      </c>
      <c r="G230" s="51" t="n">
        <v>1</v>
      </c>
    </row>
    <row r="231" ht="54" customHeight="1">
      <c r="A231" s="29" t="inlineStr">
        <is>
          <t>malaga:action:laguna-de-la-barrera-1</t>
        </is>
      </c>
      <c r="B231" s="29" t="inlineStr">
        <is>
          <t>malaga</t>
        </is>
      </c>
      <c r="C231" s="29" t="inlineStr">
        <is>
          <t>malaga:laguna-de-la-barrera</t>
        </is>
      </c>
      <c r="D231" s="29" t="inlineStr">
        <is>
          <t>Bilgi al</t>
        </is>
      </c>
      <c r="E231" s="29" t="inlineStr">
        <is>
          <t>https://medioambiente.malaga.eu/parques-y-jardines/parques-y-jardines-de-malaga/grandes-parques/detalle-del-parque/Parque-Forestal-de-la-Laguna-de-la-barrera-Maria-Eugenia-Candau-Ramila/</t>
        </is>
      </c>
      <c r="F231" s="49" t="n">
        <v>46322</v>
      </c>
      <c r="G231" s="51" t="n">
        <v>1</v>
      </c>
    </row>
    <row r="232" ht="54" customHeight="1">
      <c r="A232" s="29" t="inlineStr">
        <is>
          <t>malaga:action:parque-forestal-lagarillo-blanco-1</t>
        </is>
      </c>
      <c r="B232" s="29" t="inlineStr">
        <is>
          <t>malaga</t>
        </is>
      </c>
      <c r="C232" s="29" t="inlineStr">
        <is>
          <t>malaga:parque-forestal-lagarillo-blanco</t>
        </is>
      </c>
      <c r="D232" s="29" t="inlineStr">
        <is>
          <t>Bilgi al</t>
        </is>
      </c>
      <c r="E232" s="29" t="inlineStr">
        <is>
          <t>https://medioambiente.malaga.eu/parques-y-jardines/parques-y-jardines-de-malaga/zonas-forestales/detalle-del-parque/Parque-Forestal-Lagarillo-Blanco/</t>
        </is>
      </c>
      <c r="F232" s="49" t="n">
        <v>46322</v>
      </c>
      <c r="G232" s="51" t="n">
        <v>1</v>
      </c>
    </row>
    <row r="233" ht="54" customHeight="1">
      <c r="A233" s="29" t="inlineStr">
        <is>
          <t>malaga:action:parque-forestal-ciudad-de-malaga-1</t>
        </is>
      </c>
      <c r="B233" s="29" t="inlineStr">
        <is>
          <t>malaga</t>
        </is>
      </c>
      <c r="C233" s="29" t="inlineStr">
        <is>
          <t>malaga:parque-forestal-ciudad-de-malaga</t>
        </is>
      </c>
      <c r="D233" s="29" t="inlineStr">
        <is>
          <t>Bilgi al</t>
        </is>
      </c>
      <c r="E233" s="29" t="inlineStr">
        <is>
          <t>https://medioambiente.malaga.eu/parques-y-jardines/parques-y-jardines-de-malaga/zonas-forestales/detalle-del-parque/Parque-Forestal-Ciudad-de-Malaga/</t>
        </is>
      </c>
      <c r="F233" s="49" t="n">
        <v>46322</v>
      </c>
      <c r="G233" s="51" t="n">
        <v>1</v>
      </c>
    </row>
    <row r="234" ht="54" customHeight="1">
      <c r="A234" s="29" t="inlineStr">
        <is>
          <t>malaga:action:parque-forestal-el-morlaco-1</t>
        </is>
      </c>
      <c r="B234" s="29" t="inlineStr">
        <is>
          <t>malaga</t>
        </is>
      </c>
      <c r="C234" s="29" t="inlineStr">
        <is>
          <t>malaga:parque-forestal-el-morlaco</t>
        </is>
      </c>
      <c r="D234" s="29" t="inlineStr">
        <is>
          <t>Bilgi al</t>
        </is>
      </c>
      <c r="E234" s="29" t="inlineStr">
        <is>
          <t>https://medioambiente.malaga.eu/parques-y-jardines/parques-y-jardines-de-malaga/zonas-forestales/detalle-del-parque/Parque-Forestal-de-El-Morlaco/</t>
        </is>
      </c>
      <c r="F234" s="49" t="n">
        <v>46322</v>
      </c>
      <c r="G234" s="51" t="n">
        <v>1</v>
      </c>
    </row>
    <row r="235" ht="54" customHeight="1">
      <c r="A235" s="29" t="inlineStr">
        <is>
          <t>malaga:action:parque-de-san-miguel-1</t>
        </is>
      </c>
      <c r="B235" s="29" t="inlineStr">
        <is>
          <t>malaga</t>
        </is>
      </c>
      <c r="C235" s="29" t="inlineStr">
        <is>
          <t>malaga:parque-de-san-miguel</t>
        </is>
      </c>
      <c r="D235" s="29" t="inlineStr">
        <is>
          <t>Bilgi al</t>
        </is>
      </c>
      <c r="E235" s="29" t="inlineStr">
        <is>
          <t>https://medioambiente.malaga.eu/parques-y-jardines/parques-y-jardines-de-malaga/grandes-parques/detalle-del-parque/Parque-de-San-Miguel</t>
        </is>
      </c>
      <c r="F235" s="49" t="n">
        <v>46322</v>
      </c>
      <c r="G235" s="51" t="n">
        <v>1</v>
      </c>
    </row>
    <row r="236" ht="54" customHeight="1">
      <c r="A236" s="29" t="inlineStr">
        <is>
          <t>malaga:action:parque-forestal-monte-san-anton-1</t>
        </is>
      </c>
      <c r="B236" s="29" t="inlineStr">
        <is>
          <t>malaga</t>
        </is>
      </c>
      <c r="C236" s="29" t="inlineStr">
        <is>
          <t>malaga:parque-forestal-monte-san-anton</t>
        </is>
      </c>
      <c r="D236" s="29" t="inlineStr">
        <is>
          <t>Bilgi al</t>
        </is>
      </c>
      <c r="E236" s="29" t="inlineStr">
        <is>
          <t>https://medioambiente.malaga.eu/parques-y-jardines/parques-y-jardines-de-malaga/zonas-forestales/detalle-del-parque/Parque-Forestal-Monte-San-Anton/</t>
        </is>
      </c>
      <c r="F236" s="49" t="n">
        <v>46322</v>
      </c>
      <c r="G236" s="51" t="n">
        <v>1</v>
      </c>
    </row>
    <row r="237" ht="54" customHeight="1">
      <c r="A237" s="29" t="inlineStr">
        <is>
          <t>malaga:action:jardines-de-pedro-luis-alonso-1</t>
        </is>
      </c>
      <c r="B237" s="29" t="inlineStr">
        <is>
          <t>malaga</t>
        </is>
      </c>
      <c r="C237" s="29" t="inlineStr">
        <is>
          <t>malaga:jardines-de-pedro-luis-alonso</t>
        </is>
      </c>
      <c r="D237" s="29" t="inlineStr">
        <is>
          <t>Bilgi al</t>
        </is>
      </c>
      <c r="E237" s="29" t="inlineStr">
        <is>
          <t>https://medioambiente.malaga.eu/parques-y-jardines/parques-y-jardines-de-malaga/detalle-del-parque/Jardines-Pedro-Luis-Alonso/</t>
        </is>
      </c>
      <c r="F237" s="49" t="n">
        <v>46322</v>
      </c>
      <c r="G237" s="51" t="n">
        <v>1</v>
      </c>
    </row>
    <row r="238" ht="54" customHeight="1">
      <c r="A238" s="29" t="inlineStr">
        <is>
          <t>malaga:action:jardines-de-puerta-oscura-1</t>
        </is>
      </c>
      <c r="B238" s="29" t="inlineStr">
        <is>
          <t>malaga</t>
        </is>
      </c>
      <c r="C238" s="29" t="inlineStr">
        <is>
          <t>malaga:jardines-de-puerta-oscura</t>
        </is>
      </c>
      <c r="D238" s="29" t="inlineStr">
        <is>
          <t>Bilgi al</t>
        </is>
      </c>
      <c r="E238" s="29" t="inlineStr">
        <is>
          <t>https://medioambiente.malaga.eu/parques-y-jardines/parques-y-jardines-de-malaga/parques-historicos/detalle-del-parque/Jardines-Puerta-Oscura-y-Coracha/</t>
        </is>
      </c>
      <c r="F238" s="49" t="n">
        <v>46322</v>
      </c>
      <c r="G238" s="51" t="n">
        <v>1</v>
      </c>
    </row>
    <row r="239" ht="54" customHeight="1">
      <c r="A239" s="29" t="inlineStr">
        <is>
          <t>malaga:action:parque-forestal-cerrado-de-calderon-1</t>
        </is>
      </c>
      <c r="B239" s="29" t="inlineStr">
        <is>
          <t>malaga</t>
        </is>
      </c>
      <c r="C239" s="29" t="inlineStr">
        <is>
          <t>malaga:parque-forestal-cerrado-de-calderon</t>
        </is>
      </c>
      <c r="D239" s="29" t="inlineStr">
        <is>
          <t>Bilgi al</t>
        </is>
      </c>
      <c r="E239" s="29" t="inlineStr">
        <is>
          <t>https://medioambiente.malaga.eu/parques-y-jardines/parques-y-jardines-de-malaga/zonas-forestales/detalle-del-parque/Parque-Forestal-Cerrado-de-Calderon/</t>
        </is>
      </c>
      <c r="F239" s="49" t="n">
        <v>46322</v>
      </c>
      <c r="G239" s="51" t="n">
        <v>1</v>
      </c>
    </row>
    <row r="240" ht="54" customHeight="1">
      <c r="A240" s="29" t="inlineStr">
        <is>
          <t>malaga:action:parque-forestal-la-virreina-1</t>
        </is>
      </c>
      <c r="B240" s="29" t="inlineStr">
        <is>
          <t>malaga</t>
        </is>
      </c>
      <c r="C240" s="29" t="inlineStr">
        <is>
          <t>malaga:parque-forestal-la-virreina</t>
        </is>
      </c>
      <c r="D240" s="29" t="inlineStr">
        <is>
          <t>Bilgi al</t>
        </is>
      </c>
      <c r="E240" s="29" t="inlineStr">
        <is>
          <t>https://medioambiente.malaga.eu/parques-y-jardines/parques-y-jardines-de-malaga/zonas-forestales/detalle-del-parque/Parque-Forestal-La-Virreina/</t>
        </is>
      </c>
      <c r="F240" s="49" t="n">
        <v>46322</v>
      </c>
      <c r="G240" s="51" t="n">
        <v>1</v>
      </c>
    </row>
    <row r="241" ht="54" customHeight="1">
      <c r="A241" s="29" t="inlineStr">
        <is>
          <t>malaga:action:parque-forestal-comandante-benitez-1</t>
        </is>
      </c>
      <c r="B241" s="29" t="inlineStr">
        <is>
          <t>malaga</t>
        </is>
      </c>
      <c r="C241" s="29" t="inlineStr">
        <is>
          <t>malaga:parque-forestal-comandante-benitez</t>
        </is>
      </c>
      <c r="D241" s="29" t="inlineStr">
        <is>
          <t>Bilgi al</t>
        </is>
      </c>
      <c r="E241" s="29" t="inlineStr">
        <is>
          <t>https://medioambiente.malaga.eu/parques-y-jardines/parques-y-jardines-de-malaga/zonas-forestales/detalle-del-parque/Parque-Forestal-Comandante-Benitez/</t>
        </is>
      </c>
      <c r="F241" s="49" t="n">
        <v>46322</v>
      </c>
      <c r="G241" s="51" t="n">
        <v>1</v>
      </c>
    </row>
    <row r="242" ht="54" customHeight="1">
      <c r="A242" s="29" t="inlineStr">
        <is>
          <t>malaga:action:playa-de-la-malagueta-1</t>
        </is>
      </c>
      <c r="B242" s="29" t="inlineStr">
        <is>
          <t>malaga</t>
        </is>
      </c>
      <c r="C242" s="29" t="inlineStr">
        <is>
          <t>malaga:playa-de-la-malagueta</t>
        </is>
      </c>
      <c r="D242" s="29" t="inlineStr">
        <is>
          <t>Bilgi al</t>
        </is>
      </c>
      <c r="E242" s="29" t="inlineStr">
        <is>
          <t>https://www.malaga.eu/la-ciudad/playas/la-malagueta/</t>
        </is>
      </c>
      <c r="F242" s="49" t="n">
        <v>46322</v>
      </c>
      <c r="G242" s="51" t="n">
        <v>1</v>
      </c>
    </row>
    <row r="243" ht="54" customHeight="1">
      <c r="A243" s="29" t="inlineStr">
        <is>
          <t>malaga:action:playa-de-la-caleta-1</t>
        </is>
      </c>
      <c r="B243" s="29" t="inlineStr">
        <is>
          <t>malaga</t>
        </is>
      </c>
      <c r="C243" s="29" t="inlineStr">
        <is>
          <t>malaga:playa-de-la-caleta</t>
        </is>
      </c>
      <c r="D243" s="29" t="inlineStr">
        <is>
          <t>Bilgi al</t>
        </is>
      </c>
      <c r="E243" s="29" t="inlineStr">
        <is>
          <t>https://malaga.eu/la-ciudad/playas/la-caleta/</t>
        </is>
      </c>
      <c r="F243" s="49" t="n">
        <v>46322</v>
      </c>
      <c r="G243" s="51" t="n">
        <v>1</v>
      </c>
    </row>
    <row r="244" ht="54" customHeight="1">
      <c r="A244" s="29" t="inlineStr">
        <is>
          <t>malaga:action:playa-de-pedregalejo-1</t>
        </is>
      </c>
      <c r="B244" s="29" t="inlineStr">
        <is>
          <t>malaga</t>
        </is>
      </c>
      <c r="C244" s="29" t="inlineStr">
        <is>
          <t>malaga:playa-de-pedregalejo</t>
        </is>
      </c>
      <c r="D244" s="29" t="inlineStr">
        <is>
          <t>Bilgi al</t>
        </is>
      </c>
      <c r="E244" s="29" t="inlineStr">
        <is>
          <t>https://malaga.eu/la-ciudad/playas/pedregalejo-las-acacias/</t>
        </is>
      </c>
      <c r="F244" s="49" t="n">
        <v>46322</v>
      </c>
      <c r="G244" s="51" t="n">
        <v>1</v>
      </c>
    </row>
    <row r="245" ht="54" customHeight="1">
      <c r="A245" s="29" t="inlineStr">
        <is>
          <t>malaga:action:playa-de-el-palo-1</t>
        </is>
      </c>
      <c r="B245" s="29" t="inlineStr">
        <is>
          <t>malaga</t>
        </is>
      </c>
      <c r="C245" s="29" t="inlineStr">
        <is>
          <t>malaga:playa-de-el-palo</t>
        </is>
      </c>
      <c r="D245" s="29" t="inlineStr">
        <is>
          <t>Bilgi al</t>
        </is>
      </c>
      <c r="E245" s="29" t="inlineStr">
        <is>
          <t>https://malaga.eu/la-ciudad/playas/el-palo/</t>
        </is>
      </c>
      <c r="F245" s="49" t="n">
        <v>46322</v>
      </c>
      <c r="G245" s="51" t="n">
        <v>1</v>
      </c>
    </row>
    <row r="246" ht="54" customHeight="1">
      <c r="A246" s="29" t="inlineStr">
        <is>
          <t>malaga:action:playa-de-los-banos-del-carmen-1</t>
        </is>
      </c>
      <c r="B246" s="29" t="inlineStr">
        <is>
          <t>malaga</t>
        </is>
      </c>
      <c r="C246" s="29" t="inlineStr">
        <is>
          <t>malaga:playa-de-los-banos-del-carmen</t>
        </is>
      </c>
      <c r="D246" s="29" t="inlineStr">
        <is>
          <t>Bilgi al</t>
        </is>
      </c>
      <c r="E246" s="29" t="inlineStr">
        <is>
          <t>https://malaga.eu/la-ciudad/playas/banos-del-carmen/</t>
        </is>
      </c>
      <c r="F246" s="49" t="n">
        <v>46322</v>
      </c>
      <c r="G246" s="51" t="n">
        <v>1</v>
      </c>
    </row>
    <row r="247" ht="54" customHeight="1">
      <c r="A247" s="29" t="inlineStr">
        <is>
          <t>malaga:action:playa-de-la-misericordia-1</t>
        </is>
      </c>
      <c r="B247" s="29" t="inlineStr">
        <is>
          <t>malaga</t>
        </is>
      </c>
      <c r="C247" s="29" t="inlineStr">
        <is>
          <t>malaga:playa-de-la-misericordia</t>
        </is>
      </c>
      <c r="D247" s="29" t="inlineStr">
        <is>
          <t>Bilgi al</t>
        </is>
      </c>
      <c r="E247" s="29" t="inlineStr">
        <is>
          <t>https://malaga.eu/la-ciudad/playas/la-misericordia/</t>
        </is>
      </c>
      <c r="F247" s="49" t="n">
        <v>46322</v>
      </c>
      <c r="G247" s="51" t="n">
        <v>1</v>
      </c>
    </row>
    <row r="248" ht="54" customHeight="1">
      <c r="A248" s="29" t="inlineStr">
        <is>
          <t>malaga:action:playa-de-guadalmar-1</t>
        </is>
      </c>
      <c r="B248" s="29" t="inlineStr">
        <is>
          <t>malaga</t>
        </is>
      </c>
      <c r="C248" s="29" t="inlineStr">
        <is>
          <t>malaga:playa-de-guadalmar</t>
        </is>
      </c>
      <c r="D248" s="29" t="inlineStr">
        <is>
          <t>Bilgi al</t>
        </is>
      </c>
      <c r="E248" s="29" t="inlineStr">
        <is>
          <t>https://malaga.eu/la-ciudad/playas/guadalmar-san-julian/</t>
        </is>
      </c>
      <c r="F248" s="49" t="n">
        <v>46322</v>
      </c>
      <c r="G248" s="51" t="n">
        <v>1</v>
      </c>
    </row>
    <row r="249" ht="54" customHeight="1">
      <c r="A249" s="29" t="inlineStr">
        <is>
          <t>malaga:action:playa-del-penon-del-cuervo-1</t>
        </is>
      </c>
      <c r="B249" s="29" t="inlineStr">
        <is>
          <t>malaga</t>
        </is>
      </c>
      <c r="C249" s="29" t="inlineStr">
        <is>
          <t>malaga:playa-del-penon-del-cuervo</t>
        </is>
      </c>
      <c r="D249" s="29" t="inlineStr">
        <is>
          <t>Bilgi al</t>
        </is>
      </c>
      <c r="E249" s="29" t="inlineStr">
        <is>
          <t>https://malaga.eu/la-ciudad/playas/el-penon-del-cuervo/</t>
        </is>
      </c>
      <c r="F249" s="49" t="n">
        <v>46322</v>
      </c>
      <c r="G249" s="51" t="n">
        <v>1</v>
      </c>
    </row>
    <row r="250" ht="54" customHeight="1">
      <c r="A250" s="29" t="inlineStr">
        <is>
          <t>malaga:action:playa-de-la-arana-1</t>
        </is>
      </c>
      <c r="B250" s="29" t="inlineStr">
        <is>
          <t>malaga</t>
        </is>
      </c>
      <c r="C250" s="29" t="inlineStr">
        <is>
          <t>malaga:playa-de-la-arana</t>
        </is>
      </c>
      <c r="D250" s="29" t="inlineStr">
        <is>
          <t>Bilgi al</t>
        </is>
      </c>
      <c r="E250" s="29" t="inlineStr">
        <is>
          <t>https://malaga.eu/la-ciudad/playas/la-arana/</t>
        </is>
      </c>
      <c r="F250" s="49" t="n">
        <v>46322</v>
      </c>
      <c r="G250" s="51" t="n">
        <v>1</v>
      </c>
    </row>
    <row r="251" ht="54" customHeight="1">
      <c r="A251" s="29" t="inlineStr">
        <is>
          <t>malaga:action:el-pimpi-1</t>
        </is>
      </c>
      <c r="B251" s="29" t="inlineStr">
        <is>
          <t>malaga</t>
        </is>
      </c>
      <c r="C251" s="29" t="inlineStr">
        <is>
          <t>malaga:el-pimpi</t>
        </is>
      </c>
      <c r="D251" s="29" t="inlineStr">
        <is>
          <t>Rezervasyon yap</t>
        </is>
      </c>
      <c r="E251" s="29" t="inlineStr">
        <is>
          <t>https://www.elpimpi.com/reservas/</t>
        </is>
      </c>
      <c r="F251" s="49" t="n">
        <v>46322</v>
      </c>
      <c r="G251" s="51" t="n">
        <v>1</v>
      </c>
    </row>
    <row r="252" ht="54" customHeight="1">
      <c r="A252" s="29" t="inlineStr">
        <is>
          <t>malaga:action:mercado-central-de-atarazanas-1</t>
        </is>
      </c>
      <c r="B252" s="29" t="inlineStr">
        <is>
          <t>malaga</t>
        </is>
      </c>
      <c r="C252" s="29" t="inlineStr">
        <is>
          <t>malaga:mercado-central-de-atarazanas</t>
        </is>
      </c>
      <c r="D252" s="29" t="inlineStr">
        <is>
          <t>Ziyaret bilgisi</t>
        </is>
      </c>
      <c r="E252" s="29" t="inlineStr">
        <is>
          <t>https://mercados.malagacomercio.es/mercados/mercado-de-atarazanas/</t>
        </is>
      </c>
      <c r="F252" s="49" t="n">
        <v>46322</v>
      </c>
      <c r="G252" s="51" t="n">
        <v>1</v>
      </c>
    </row>
    <row r="253" ht="54" customHeight="1">
      <c r="A253" s="29" t="inlineStr">
        <is>
          <t>malaga:action:mercado-de-la-merced-1</t>
        </is>
      </c>
      <c r="B253" s="29" t="inlineStr">
        <is>
          <t>malaga</t>
        </is>
      </c>
      <c r="C253" s="29" t="inlineStr">
        <is>
          <t>malaga:mercado-de-la-merced</t>
        </is>
      </c>
      <c r="D253" s="29" t="inlineStr">
        <is>
          <t>Ziyaret bilgisi</t>
        </is>
      </c>
      <c r="E253" s="29" t="inlineStr">
        <is>
          <t>https://mercados.malagacomercio.es/mercados/mercado-de-la-merced/</t>
        </is>
      </c>
      <c r="F253" s="49" t="n">
        <v>46322</v>
      </c>
      <c r="G253" s="51" t="n">
        <v>1</v>
      </c>
    </row>
    <row r="254" ht="54" customHeight="1">
      <c r="A254" s="29" t="inlineStr">
        <is>
          <t>malaga:action:mercado-de-salamanca-1</t>
        </is>
      </c>
      <c r="B254" s="29" t="inlineStr">
        <is>
          <t>malaga</t>
        </is>
      </c>
      <c r="C254" s="29" t="inlineStr">
        <is>
          <t>malaga:mercado-de-salamanca</t>
        </is>
      </c>
      <c r="D254" s="29" t="inlineStr">
        <is>
          <t>Ziyaret bilgisi</t>
        </is>
      </c>
      <c r="E254" s="29" t="inlineStr">
        <is>
          <t>https://mercados.malagacomercio.es/mercados/mercado-de-salamanca/</t>
        </is>
      </c>
      <c r="F254" s="49" t="n">
        <v>46322</v>
      </c>
      <c r="G254" s="51" t="n">
        <v>1</v>
      </c>
    </row>
    <row r="255" ht="54" customHeight="1">
      <c r="A255" s="29" t="inlineStr">
        <is>
          <t>malaga:action:mercado-de-el-carmen-1</t>
        </is>
      </c>
      <c r="B255" s="29" t="inlineStr">
        <is>
          <t>malaga</t>
        </is>
      </c>
      <c r="C255" s="29" t="inlineStr">
        <is>
          <t>malaga:mercado-de-el-carmen</t>
        </is>
      </c>
      <c r="D255" s="29" t="inlineStr">
        <is>
          <t>Ziyaret bilgisi</t>
        </is>
      </c>
      <c r="E255" s="29" t="inlineStr">
        <is>
          <t>https://mercados.malagacomercio.es/mercados/mercado-del-carmen/</t>
        </is>
      </c>
      <c r="F255" s="49" t="n">
        <v>46322</v>
      </c>
      <c r="G255" s="51" t="n">
        <v>1</v>
      </c>
    </row>
    <row r="256" ht="54" customHeight="1">
      <c r="A256" s="29" t="inlineStr">
        <is>
          <t>malaga:action:mercado-de-huelin-1</t>
        </is>
      </c>
      <c r="B256" s="29" t="inlineStr">
        <is>
          <t>malaga</t>
        </is>
      </c>
      <c r="C256" s="29" t="inlineStr">
        <is>
          <t>malaga:mercado-de-huelin</t>
        </is>
      </c>
      <c r="D256" s="29" t="inlineStr">
        <is>
          <t>Ziyaret bilgisi</t>
        </is>
      </c>
      <c r="E256" s="29" t="inlineStr">
        <is>
          <t>https://mercados.malagacomercio.es/mercados/mercado-de-huelin/</t>
        </is>
      </c>
      <c r="F256" s="49" t="n">
        <v>46322</v>
      </c>
      <c r="G256" s="51" t="n">
        <v>1</v>
      </c>
    </row>
    <row r="257" ht="54" customHeight="1">
      <c r="A257" s="29" t="inlineStr">
        <is>
          <t>malaga:action:mercado-de-bailen-1</t>
        </is>
      </c>
      <c r="B257" s="29" t="inlineStr">
        <is>
          <t>malaga</t>
        </is>
      </c>
      <c r="C257" s="29" t="inlineStr">
        <is>
          <t>malaga:mercado-de-bailen</t>
        </is>
      </c>
      <c r="D257" s="29" t="inlineStr">
        <is>
          <t>Ziyaret bilgisi</t>
        </is>
      </c>
      <c r="E257" s="29" t="inlineStr">
        <is>
          <t>https://mercados.malagacomercio.es/mercados/mercado-de-bailen/</t>
        </is>
      </c>
      <c r="F257" s="49" t="n">
        <v>46322</v>
      </c>
      <c r="G257" s="51" t="n">
        <v>1</v>
      </c>
    </row>
    <row r="258" ht="54" customHeight="1">
      <c r="A258" s="29" t="inlineStr">
        <is>
          <t>malaga:action:mercado-de-ciudad-jardin-1</t>
        </is>
      </c>
      <c r="B258" s="29" t="inlineStr">
        <is>
          <t>malaga</t>
        </is>
      </c>
      <c r="C258" s="29" t="inlineStr">
        <is>
          <t>malaga:mercado-de-ciudad-jardin</t>
        </is>
      </c>
      <c r="D258" s="29" t="inlineStr">
        <is>
          <t>Ziyaret bilgisi</t>
        </is>
      </c>
      <c r="E258" s="29" t="inlineStr">
        <is>
          <t>https://mercados.malagacomercio.es/mercados/mercado-ciudad-jardin/</t>
        </is>
      </c>
      <c r="F258" s="49" t="n">
        <v>46322</v>
      </c>
      <c r="G258" s="51" t="n">
        <v>1</v>
      </c>
    </row>
    <row r="259" ht="54" customHeight="1">
      <c r="A259" s="29" t="inlineStr">
        <is>
          <t>malaga:action:mercado-de-carranque-1</t>
        </is>
      </c>
      <c r="B259" s="29" t="inlineStr">
        <is>
          <t>malaga</t>
        </is>
      </c>
      <c r="C259" s="29" t="inlineStr">
        <is>
          <t>malaga:mercado-de-carranque</t>
        </is>
      </c>
      <c r="D259" s="29" t="inlineStr">
        <is>
          <t>Ziyaret bilgisi</t>
        </is>
      </c>
      <c r="E259" s="29" t="inlineStr">
        <is>
          <t>https://mercados.malagacomercio.es/mercados/mercado-de-carranque/</t>
        </is>
      </c>
      <c r="F259" s="49" t="n">
        <v>46322</v>
      </c>
      <c r="G259" s="51" t="n">
        <v>1</v>
      </c>
    </row>
    <row r="260" ht="54" customHeight="1">
      <c r="A260" s="29" t="inlineStr">
        <is>
          <t>malaga:action:museo-vidrio-cristal-malaga-1</t>
        </is>
      </c>
      <c r="B260" s="29" t="inlineStr">
        <is>
          <t>malaga</t>
        </is>
      </c>
      <c r="C260" s="29" t="inlineStr">
        <is>
          <t>malaga:museo-vidrio-cristal-malaga</t>
        </is>
      </c>
      <c r="D260" s="29" t="inlineStr">
        <is>
          <t>Ziyaret bilgisi</t>
        </is>
      </c>
      <c r="E260" s="29" t="inlineStr">
        <is>
          <t>https://museovidrioycristalmalaga.com/informacion.html</t>
        </is>
      </c>
      <c r="F260" s="49" t="n">
        <v>46322</v>
      </c>
      <c r="G260" s="51" t="n">
        <v>1</v>
      </c>
    </row>
    <row r="261" ht="54" customHeight="1">
      <c r="A261" s="29" t="inlineStr">
        <is>
          <t>malaga:action:museo-aeronautico-malaga-1</t>
        </is>
      </c>
      <c r="B261" s="29" t="inlineStr">
        <is>
          <t>malaga</t>
        </is>
      </c>
      <c r="C261" s="29" t="inlineStr">
        <is>
          <t>malaga:museo-aeronautico-malaga</t>
        </is>
      </c>
      <c r="D261" s="29" t="inlineStr">
        <is>
          <t>Ziyaret bilgisi</t>
        </is>
      </c>
      <c r="E261" s="29" t="inlineStr">
        <is>
          <t>https://aeromuseo.org/como-llegar/</t>
        </is>
      </c>
      <c r="F261" s="49" t="n">
        <v>46322</v>
      </c>
      <c r="G261" s="51" t="n">
        <v>1</v>
      </c>
    </row>
    <row r="262" ht="54" customHeight="1">
      <c r="A262" s="29" t="inlineStr">
        <is>
          <t>malaga:action:museo-revello-de-toro-1</t>
        </is>
      </c>
      <c r="B262" s="29" t="inlineStr">
        <is>
          <t>malaga</t>
        </is>
      </c>
      <c r="C262" s="29" t="inlineStr">
        <is>
          <t>malaga:museo-revello-de-toro</t>
        </is>
      </c>
      <c r="D262" s="29" t="inlineStr">
        <is>
          <t>Ziyaret bilgisi</t>
        </is>
      </c>
      <c r="E262" s="29" t="inlineStr">
        <is>
          <t>https://www.museorevellodetoro.net/informacion-general/</t>
        </is>
      </c>
      <c r="F262" s="49" t="n">
        <v>46322</v>
      </c>
      <c r="G262" s="51" t="n">
        <v>1</v>
      </c>
    </row>
    <row r="263" ht="54" customHeight="1">
      <c r="A263" s="29" t="inlineStr">
        <is>
          <t>malaga:action:oxo-museo-videojuego-1</t>
        </is>
      </c>
      <c r="B263" s="29" t="inlineStr">
        <is>
          <t>malaga</t>
        </is>
      </c>
      <c r="C263" s="29" t="inlineStr">
        <is>
          <t>malaga:oxo-museo-videojuego</t>
        </is>
      </c>
      <c r="D263" s="29" t="inlineStr">
        <is>
          <t>Ziyaret bilgisi</t>
        </is>
      </c>
      <c r="E263" s="29" t="inlineStr">
        <is>
          <t>https://oxomuseomalaga.com/contacto/</t>
        </is>
      </c>
      <c r="F263" s="49" t="n">
        <v>46322</v>
      </c>
      <c r="G263" s="51" t="n">
        <v>1</v>
      </c>
    </row>
    <row r="264" ht="54" customHeight="1">
      <c r="A264" s="29" t="inlineStr">
        <is>
          <t>malaga:action:museo-artes-costumbres-populares-1</t>
        </is>
      </c>
      <c r="B264" s="29" t="inlineStr">
        <is>
          <t>malaga</t>
        </is>
      </c>
      <c r="C264" s="29" t="inlineStr">
        <is>
          <t>malaga:museo-artes-costumbres-populares</t>
        </is>
      </c>
      <c r="D264" s="29" t="inlineStr">
        <is>
          <t>Ziyaret bilgisi</t>
        </is>
      </c>
      <c r="E264" s="29" t="inlineStr">
        <is>
          <t>https://www.fundacionunicaja.com/museoartespopulares/</t>
        </is>
      </c>
      <c r="F264" s="49" t="n">
        <v>46322</v>
      </c>
      <c r="G264" s="51" t="n">
        <v>1</v>
      </c>
    </row>
    <row r="265" ht="54" customHeight="1">
      <c r="A265" s="29" t="inlineStr">
        <is>
          <t>malaga:action:museo-automovilistico-moda-malaga-1</t>
        </is>
      </c>
      <c r="B265" s="29" t="inlineStr">
        <is>
          <t>malaga</t>
        </is>
      </c>
      <c r="C265" s="29" t="inlineStr">
        <is>
          <t>malaga:museo-automovilistico-moda-malaga</t>
        </is>
      </c>
      <c r="D265" s="29" t="inlineStr">
        <is>
          <t>Ziyaret bilgisi</t>
        </is>
      </c>
      <c r="E265" s="29" t="inlineStr">
        <is>
          <t>https://museoautomovilmoda.com/contacto/</t>
        </is>
      </c>
      <c r="F265" s="49" t="n">
        <v>46322</v>
      </c>
      <c r="G265" s="51" t="n">
        <v>1</v>
      </c>
    </row>
    <row r="266" ht="54" customHeight="1">
      <c r="A266" s="29" t="inlineStr">
        <is>
          <t>malaga:action:museo-arte-flamenco-juan-breva-1</t>
        </is>
      </c>
      <c r="B266" s="29" t="inlineStr">
        <is>
          <t>malaga</t>
        </is>
      </c>
      <c r="C266" s="29" t="inlineStr">
        <is>
          <t>malaga:museo-arte-flamenco-juan-breva</t>
        </is>
      </c>
      <c r="D266" s="29" t="inlineStr">
        <is>
          <t>Ziyaret bilgisi</t>
        </is>
      </c>
      <c r="E266" s="29" t="inlineStr">
        <is>
          <t>https://xn--peajuanbreva-bhb.eu/museo-arte-flamenco/</t>
        </is>
      </c>
      <c r="F266" s="49" t="n">
        <v>46322</v>
      </c>
      <c r="G266" s="51" t="n">
        <v>1</v>
      </c>
    </row>
    <row r="267" ht="54" customHeight="1">
      <c r="A267" s="29" t="inlineStr">
        <is>
          <t>malaga:action:museo-de-malaga-palacio-aduana-1</t>
        </is>
      </c>
      <c r="B267" s="29" t="inlineStr">
        <is>
          <t>malaga</t>
        </is>
      </c>
      <c r="C267" s="29" t="inlineStr">
        <is>
          <t>malaga:museo-de-malaga-palacio-aduana</t>
        </is>
      </c>
      <c r="D267" s="29" t="inlineStr">
        <is>
          <t>Ziyaret bilgisi</t>
        </is>
      </c>
      <c r="E267" s="29" t="inlineStr">
        <is>
          <t>https://www.museosdeandalucia.es/web/museodemalaga/informacion-general</t>
        </is>
      </c>
      <c r="F267" s="49" t="n">
        <v>46322</v>
      </c>
      <c r="G267" s="51" t="n">
        <v>1</v>
      </c>
    </row>
    <row r="268" ht="54" customHeight="1">
      <c r="A268" s="29" t="inlineStr">
        <is>
          <t>malaga:action:mimma-museo-interactivo-musica-1</t>
        </is>
      </c>
      <c r="B268" s="29" t="inlineStr">
        <is>
          <t>malaga</t>
        </is>
      </c>
      <c r="C268" s="29" t="inlineStr">
        <is>
          <t>malaga:mimma-museo-interactivo-musica</t>
        </is>
      </c>
      <c r="D268" s="29" t="inlineStr">
        <is>
          <t>Ziyaret bilgisi</t>
        </is>
      </c>
      <c r="E268" s="29" t="inlineStr">
        <is>
          <t>https://www.musicaenaccion.com/project/visita-el-museo/</t>
        </is>
      </c>
      <c r="F268" s="49" t="n">
        <v>46322</v>
      </c>
      <c r="G268" s="51" t="n">
        <v>1</v>
      </c>
    </row>
    <row r="269" ht="54" customHeight="1">
      <c r="A269" s="29" t="inlineStr">
        <is>
          <t>malaga:action:casa-gerald-brenan-1</t>
        </is>
      </c>
      <c r="B269" s="29" t="inlineStr">
        <is>
          <t>malaga</t>
        </is>
      </c>
      <c r="C269" s="29" t="inlineStr">
        <is>
          <t>malaga:casa-gerald-brenan</t>
        </is>
      </c>
      <c r="D269" s="29" t="inlineStr">
        <is>
          <t>Ziyaret bilgisi</t>
        </is>
      </c>
      <c r="E269" s="29" t="inlineStr">
        <is>
          <t>https://www.malaga.eu/la-ciudad/instalaciones-y-espacios/detalle-de-la-instalacion/?id=7448</t>
        </is>
      </c>
      <c r="F269" s="49" t="n">
        <v>46322</v>
      </c>
      <c r="G269" s="51" t="n">
        <v>1</v>
      </c>
    </row>
    <row r="270" ht="54" customHeight="1">
      <c r="A270" s="29" t="inlineStr">
        <is>
          <t>malaga:action:museum-jorge-rando-1</t>
        </is>
      </c>
      <c r="B270" s="29" t="inlineStr">
        <is>
          <t>malaga</t>
        </is>
      </c>
      <c r="C270" s="29" t="inlineStr">
        <is>
          <t>malaga:museum-jorge-rando</t>
        </is>
      </c>
      <c r="D270" s="29" t="inlineStr">
        <is>
          <t>Ziyaret bilgisi</t>
        </is>
      </c>
      <c r="E270" s="29" t="inlineStr">
        <is>
          <t>https://museojorgerando.org/es/visita</t>
        </is>
      </c>
      <c r="F270" s="49" t="n">
        <v>46322</v>
      </c>
      <c r="G270" s="51" t="n">
        <v>1</v>
      </c>
    </row>
    <row r="271" ht="54" customHeight="1">
      <c r="A271" s="29" t="inlineStr">
        <is>
          <t>malaga:action:museo-picasso-malaga-1</t>
        </is>
      </c>
      <c r="B271" s="29" t="inlineStr">
        <is>
          <t>malaga</t>
        </is>
      </c>
      <c r="C271" s="29" t="inlineStr">
        <is>
          <t>malaga:museo-picasso-malaga</t>
        </is>
      </c>
      <c r="D271" s="29" t="inlineStr">
        <is>
          <t>Ziyaret bilgisi</t>
        </is>
      </c>
      <c r="E271" s="29" t="inlineStr">
        <is>
          <t>https://www.museopicassomalaga.org/visita</t>
        </is>
      </c>
      <c r="F271" s="49" t="n">
        <v>46322</v>
      </c>
      <c r="G271" s="51" t="n">
        <v>1</v>
      </c>
    </row>
    <row r="272" ht="54" customHeight="1">
      <c r="A272" s="29" t="inlineStr">
        <is>
          <t>malaga:action:museo-carmen-thyssen-malaga-1</t>
        </is>
      </c>
      <c r="B272" s="29" t="inlineStr">
        <is>
          <t>malaga</t>
        </is>
      </c>
      <c r="C272" s="29" t="inlineStr">
        <is>
          <t>malaga:museo-carmen-thyssen-malaga</t>
        </is>
      </c>
      <c r="D272" s="29" t="inlineStr">
        <is>
          <t>Ziyaret bilgisi</t>
        </is>
      </c>
      <c r="E272" s="29" t="inlineStr">
        <is>
          <t>https://www.carmenthyssenmalaga.org/visita</t>
        </is>
      </c>
      <c r="F272" s="49" t="n">
        <v>46322</v>
      </c>
      <c r="G272" s="51" t="n">
        <v>1</v>
      </c>
    </row>
    <row r="273" ht="54" customHeight="1">
      <c r="A273" s="29" t="inlineStr">
        <is>
          <t>malaga:action:centre-pompidou-malaga-1</t>
        </is>
      </c>
      <c r="B273" s="29" t="inlineStr">
        <is>
          <t>malaga</t>
        </is>
      </c>
      <c r="C273" s="29" t="inlineStr">
        <is>
          <t>malaga:centre-pompidou-malaga</t>
        </is>
      </c>
      <c r="D273" s="29" t="inlineStr">
        <is>
          <t>Ziyaret bilgisi</t>
        </is>
      </c>
      <c r="E273" s="29" t="inlineStr">
        <is>
          <t>https://centrepompidou-malaga.eu/visita/</t>
        </is>
      </c>
      <c r="F273" s="49" t="n">
        <v>46322</v>
      </c>
      <c r="G273" s="51" t="n">
        <v>1</v>
      </c>
    </row>
    <row r="274" ht="54" customHeight="1">
      <c r="A274" s="29" t="inlineStr">
        <is>
          <t>malaga:action:coleccion-museo-ruso-malaga-1</t>
        </is>
      </c>
      <c r="B274" s="29" t="inlineStr">
        <is>
          <t>malaga</t>
        </is>
      </c>
      <c r="C274" s="29" t="inlineStr">
        <is>
          <t>malaga:coleccion-museo-ruso-malaga</t>
        </is>
      </c>
      <c r="D274" s="29" t="inlineStr">
        <is>
          <t>Ziyaret bilgisi</t>
        </is>
      </c>
      <c r="E274" s="29" t="inlineStr">
        <is>
          <t>https://www.coleccionmuseoruso.es/visita/</t>
        </is>
      </c>
      <c r="F274" s="49" t="n">
        <v>46322</v>
      </c>
      <c r="G274" s="51" t="n">
        <v>1</v>
      </c>
    </row>
    <row r="275" ht="54" customHeight="1">
      <c r="A275" s="29" t="inlineStr">
        <is>
          <t>malaga:action:la-termica-1</t>
        </is>
      </c>
      <c r="B275" s="29" t="inlineStr">
        <is>
          <t>malaga</t>
        </is>
      </c>
      <c r="C275" s="29" t="inlineStr">
        <is>
          <t>malaga:la-termica</t>
        </is>
      </c>
      <c r="D275" s="29" t="inlineStr">
        <is>
          <t>Ziyaret bilgisi</t>
        </is>
      </c>
      <c r="E275" s="29" t="inlineStr">
        <is>
          <t>https://latermicamalaga.com/localizacion-y-horarios/</t>
        </is>
      </c>
      <c r="F275" s="49" t="n">
        <v>46322</v>
      </c>
      <c r="G275" s="51" t="n">
        <v>1</v>
      </c>
    </row>
    <row r="276" ht="54" customHeight="1">
      <c r="A276" s="29" t="inlineStr">
        <is>
          <t>malaga:action:centro-cultural-la-malagueta-1</t>
        </is>
      </c>
      <c r="B276" s="29" t="inlineStr">
        <is>
          <t>malaga</t>
        </is>
      </c>
      <c r="C276" s="29" t="inlineStr">
        <is>
          <t>malaga:centro-cultural-la-malagueta</t>
        </is>
      </c>
      <c r="D276" s="29" t="inlineStr">
        <is>
          <t>Ziyaret bilgisi</t>
        </is>
      </c>
      <c r="E276" s="29" t="inlineStr">
        <is>
          <t>https://cclamalagueta.com/horario_y_salas/</t>
        </is>
      </c>
      <c r="F276" s="49" t="n">
        <v>46322</v>
      </c>
      <c r="G276" s="51" t="n">
        <v>1</v>
      </c>
    </row>
    <row r="277" ht="54" customHeight="1">
      <c r="A277" s="29" t="inlineStr">
        <is>
          <t>malaga:action:centro-fundacion-unicaja-malaga-1</t>
        </is>
      </c>
      <c r="B277" s="29" t="inlineStr">
        <is>
          <t>malaga</t>
        </is>
      </c>
      <c r="C277" s="29" t="inlineStr">
        <is>
          <t>malaga:centro-fundacion-unicaja-malaga</t>
        </is>
      </c>
      <c r="D277" s="29" t="inlineStr">
        <is>
          <t>Ziyaret bilgisi</t>
        </is>
      </c>
      <c r="E277" s="29" t="inlineStr">
        <is>
          <t>https://www.fundacionunicaja.com/event/exposicion-y-sono-la-musica-iconografia-musical-en-el-arte/</t>
        </is>
      </c>
      <c r="F277" s="49" t="n">
        <v>46322</v>
      </c>
      <c r="G277" s="51" t="n">
        <v>1</v>
      </c>
    </row>
    <row r="278" ht="54" customHeight="1">
      <c r="A278" s="29" t="inlineStr">
        <is>
          <t>malaga:action:museo-del-vino-malaga-1</t>
        </is>
      </c>
      <c r="B278" s="29" t="inlineStr">
        <is>
          <t>malaga</t>
        </is>
      </c>
      <c r="C278" s="29" t="inlineStr">
        <is>
          <t>malaga:museo-del-vino-malaga</t>
        </is>
      </c>
      <c r="D278" s="29" t="inlineStr">
        <is>
          <t>Ziyaret bilgisi</t>
        </is>
      </c>
      <c r="E278" s="29" t="inlineStr">
        <is>
          <t>https://museovinomalaga.com/museo/informacion/</t>
        </is>
      </c>
      <c r="F278" s="49" t="n">
        <v>46322</v>
      </c>
      <c r="G278" s="51" t="n">
        <v>1</v>
      </c>
    </row>
    <row r="279" ht="54" customHeight="1">
      <c r="A279" s="29" t="inlineStr">
        <is>
          <t>malaga:action:museo-historia-militar-malaga-1</t>
        </is>
      </c>
      <c r="B279" s="29" t="inlineStr">
        <is>
          <t>malaga</t>
        </is>
      </c>
      <c r="C279" s="29" t="inlineStr">
        <is>
          <t>malaga:museo-historia-militar-malaga</t>
        </is>
      </c>
      <c r="D279" s="29" t="inlineStr">
        <is>
          <t>Bilgi al</t>
        </is>
      </c>
      <c r="E279" s="29" t="inlineStr">
        <is>
          <t>https://museohistoriamilitar.com/contacto</t>
        </is>
      </c>
      <c r="F279" s="49" t="n">
        <v>46322</v>
      </c>
      <c r="G279" s="51" t="n">
        <v>1</v>
      </c>
    </row>
    <row r="280" ht="54" customHeight="1">
      <c r="A280" s="29" t="inlineStr">
        <is>
          <t>malaga:action:museo-semana-santa-malaga-1</t>
        </is>
      </c>
      <c r="B280" s="29" t="inlineStr">
        <is>
          <t>malaga</t>
        </is>
      </c>
      <c r="C280" s="29" t="inlineStr">
        <is>
          <t>malaga:museo-semana-santa-malaga</t>
        </is>
      </c>
      <c r="D280" s="29" t="inlineStr">
        <is>
          <t>Bilgi al</t>
        </is>
      </c>
      <c r="E280" s="29" t="inlineStr">
        <is>
          <t>https://agrupaciondecofradias.com/contacto/</t>
        </is>
      </c>
      <c r="F280" s="49" t="n">
        <v>46322</v>
      </c>
      <c r="G280" s="51" t="n">
        <v>1</v>
      </c>
    </row>
    <row r="281" ht="54" customHeight="1">
      <c r="A281" s="29" t="inlineStr">
        <is>
          <t>malaga:action:museo-casa-natal-picasso-1</t>
        </is>
      </c>
      <c r="B281" s="29" t="inlineStr">
        <is>
          <t>malaga</t>
        </is>
      </c>
      <c r="C281" s="29" t="inlineStr">
        <is>
          <t>malaga:museo-casa-natal-picasso</t>
        </is>
      </c>
      <c r="D281" s="29" t="inlineStr">
        <is>
          <t>Ziyaret bilgisi</t>
        </is>
      </c>
      <c r="E281" s="29" t="inlineStr">
        <is>
          <t>https://museocasanatalpicasso.malaga.eu/Visita/horarios-y-tarifas/</t>
        </is>
      </c>
      <c r="F281" s="49" t="n">
        <v>46322</v>
      </c>
      <c r="G281" s="51" t="n">
        <v>1</v>
      </c>
    </row>
    <row r="282" ht="54" customHeight="1">
      <c r="A282" s="29" t="inlineStr">
        <is>
          <t>malaga:action:museo-del-cautivo-y-la-trinidad-1</t>
        </is>
      </c>
      <c r="B282" s="29" t="inlineStr">
        <is>
          <t>malaga</t>
        </is>
      </c>
      <c r="C282" s="29" t="inlineStr">
        <is>
          <t>malaga:museo-del-cautivo-y-la-trinidad</t>
        </is>
      </c>
      <c r="D282" s="29" t="inlineStr">
        <is>
          <t>Bilgi al</t>
        </is>
      </c>
      <c r="E282" s="29" t="inlineStr">
        <is>
          <t>https://cautivotrinidad.com/museo/</t>
        </is>
      </c>
      <c r="F282" s="49" t="n">
        <v>46322</v>
      </c>
      <c r="G282" s="51" t="n">
        <v>1</v>
      </c>
    </row>
    <row r="283" ht="54" customHeight="1">
      <c r="A283" s="29" t="inlineStr">
        <is>
          <t>malaga:action:museo-del-santo-sepulcro-1</t>
        </is>
      </c>
      <c r="B283" s="29" t="inlineStr">
        <is>
          <t>malaga</t>
        </is>
      </c>
      <c r="C283" s="29" t="inlineStr">
        <is>
          <t>malaga:museo-del-santo-sepulcro</t>
        </is>
      </c>
      <c r="D283" s="29" t="inlineStr">
        <is>
          <t>Bilgi al</t>
        </is>
      </c>
      <c r="E283" s="29" t="inlineStr">
        <is>
          <t>https://www.malaga.eu/la-ciudad/instalaciones-y-espacios/detalle-de-la-instalacion/?id=1889</t>
        </is>
      </c>
      <c r="F283" s="49" t="n">
        <v>46322</v>
      </c>
      <c r="G283" s="51" t="n">
        <v>1</v>
      </c>
    </row>
    <row r="284" ht="54" customHeight="1">
      <c r="A284" s="29" t="inlineStr">
        <is>
          <t>malaga:action:museo-cofradia-estudiantes-1</t>
        </is>
      </c>
      <c r="B284" s="29" t="inlineStr">
        <is>
          <t>malaga</t>
        </is>
      </c>
      <c r="C284" s="29" t="inlineStr">
        <is>
          <t>malaga:museo-cofradia-estudiantes</t>
        </is>
      </c>
      <c r="D284" s="29" t="inlineStr">
        <is>
          <t>Bilgi al</t>
        </is>
      </c>
      <c r="E284" s="29" t="inlineStr">
        <is>
          <t>https://www.malaga.eu/la-ciudad/instalaciones-y-espacios/detalle-de-la-instalacion/?id=1932</t>
        </is>
      </c>
      <c r="F284" s="49" t="n">
        <v>46322</v>
      </c>
      <c r="G284" s="51" t="n">
        <v>1</v>
      </c>
    </row>
    <row r="285" ht="54" customHeight="1">
      <c r="A285" s="29" t="inlineStr">
        <is>
          <t>malaga:action:mucac-malaga-la-coracha-1</t>
        </is>
      </c>
      <c r="B285" s="29" t="inlineStr">
        <is>
          <t>malaga</t>
        </is>
      </c>
      <c r="C285" s="29" t="inlineStr">
        <is>
          <t>malaga:mucac-malaga-la-coracha</t>
        </is>
      </c>
      <c r="D285" s="29" t="inlineStr">
        <is>
          <t>Ziyaret bilgisi</t>
        </is>
      </c>
      <c r="E285" s="29" t="inlineStr">
        <is>
          <t>https://mucacmalaga.eu/</t>
        </is>
      </c>
      <c r="F285" s="49" t="n">
        <v>46322</v>
      </c>
      <c r="G285" s="51" t="n">
        <v>1</v>
      </c>
    </row>
    <row r="286" ht="54" customHeight="1">
      <c r="A286" s="29" t="inlineStr">
        <is>
          <t>malaga:action:sala-exposiciones-rectorado-uma-1</t>
        </is>
      </c>
      <c r="B286" s="29" t="inlineStr">
        <is>
          <t>malaga</t>
        </is>
      </c>
      <c r="C286" s="29" t="inlineStr">
        <is>
          <t>malaga:sala-exposiciones-rectorado-uma</t>
        </is>
      </c>
      <c r="D286" s="29" t="inlineStr">
        <is>
          <t>Ziyaret bilgisi</t>
        </is>
      </c>
      <c r="E286" s="29" t="inlineStr">
        <is>
          <t>https://www.uma.es/cultura/</t>
        </is>
      </c>
      <c r="F286" s="49" t="n">
        <v>46322</v>
      </c>
      <c r="G286" s="51" t="n">
        <v>1</v>
      </c>
    </row>
    <row r="287" ht="54" customHeight="1">
      <c r="A287" s="29" t="inlineStr">
        <is>
          <t>malaga:action:museo-revello-de-toro-2</t>
        </is>
      </c>
      <c r="B287" s="29" t="inlineStr">
        <is>
          <t>malaga</t>
        </is>
      </c>
      <c r="C287" s="29" t="inlineStr">
        <is>
          <t>malaga:museo-revello-de-toro</t>
        </is>
      </c>
      <c r="D287" s="29" t="inlineStr">
        <is>
          <t>Bilgi al</t>
        </is>
      </c>
      <c r="E287" s="29" t="inlineStr">
        <is>
          <t>https://www.museorevellodetoro.net/localizacion-y-contacto/</t>
        </is>
      </c>
      <c r="F287" s="49" t="n">
        <v>46322</v>
      </c>
      <c r="G287" s="51" t="n">
        <v>2</v>
      </c>
    </row>
    <row r="288" ht="54" customHeight="1">
      <c r="A288" s="29" t="inlineStr">
        <is>
          <t>malaga:action:museo-del-vino-malaga-2</t>
        </is>
      </c>
      <c r="B288" s="29" t="inlineStr">
        <is>
          <t>malaga</t>
        </is>
      </c>
      <c r="C288" s="29" t="inlineStr">
        <is>
          <t>malaga:museo-del-vino-malaga</t>
        </is>
      </c>
      <c r="D288" s="29" t="inlineStr">
        <is>
          <t>Bilgi al</t>
        </is>
      </c>
      <c r="E288" s="29" t="inlineStr">
        <is>
          <t>https://museovinomalaga.com/contacta-con-nosotros/</t>
        </is>
      </c>
      <c r="F288" s="49" t="n">
        <v>46322</v>
      </c>
      <c r="G288" s="51" t="n">
        <v>2</v>
      </c>
    </row>
    <row r="289" ht="54" customHeight="1">
      <c r="A289" s="29" t="inlineStr">
        <is>
          <t>malaga:action:museo-arte-flamenco-juan-breva-2</t>
        </is>
      </c>
      <c r="B289" s="29" t="inlineStr">
        <is>
          <t>malaga</t>
        </is>
      </c>
      <c r="C289" s="29" t="inlineStr">
        <is>
          <t>malaga:museo-arte-flamenco-juan-breva</t>
        </is>
      </c>
      <c r="D289" s="29" t="inlineStr">
        <is>
          <t>Bilgi al</t>
        </is>
      </c>
      <c r="E289" s="29" t="inlineStr">
        <is>
          <t>https://xn--peajuanbreva-bhb.eu/contacto/</t>
        </is>
      </c>
      <c r="F289" s="49" t="n">
        <v>46322</v>
      </c>
      <c r="G289" s="51" t="n">
        <v>2</v>
      </c>
    </row>
    <row r="290" ht="54" customHeight="1">
      <c r="A290" s="29" t="inlineStr">
        <is>
          <t>malaga:action:museo-casa-natal-picasso-2</t>
        </is>
      </c>
      <c r="B290" s="29" t="inlineStr">
        <is>
          <t>malaga</t>
        </is>
      </c>
      <c r="C290" s="29" t="inlineStr">
        <is>
          <t>malaga:museo-casa-natal-picasso</t>
        </is>
      </c>
      <c r="D290" s="29" t="inlineStr">
        <is>
          <t>Bilgi al</t>
        </is>
      </c>
      <c r="E290" s="29" t="inlineStr">
        <is>
          <t>https://museocasanatalpicasso.malaga.eu/Visita/localizacion-y-contacto/</t>
        </is>
      </c>
      <c r="F290" s="49" t="n">
        <v>46322</v>
      </c>
      <c r="G290" s="51" t="n">
        <v>2</v>
      </c>
    </row>
    <row r="291" ht="54" customHeight="1">
      <c r="A291" s="29" t="inlineStr">
        <is>
          <t>malaga:action:teatro-cervantes-1</t>
        </is>
      </c>
      <c r="B291" s="29" t="inlineStr">
        <is>
          <t>malaga</t>
        </is>
      </c>
      <c r="C291" s="29" t="inlineStr">
        <is>
          <t>malaga:teatro-cervantes</t>
        </is>
      </c>
      <c r="D291" s="29" t="inlineStr">
        <is>
          <t>Ziyaret bilgisi</t>
        </is>
      </c>
      <c r="E291" s="29" t="inlineStr">
        <is>
          <t>https://www.malagaprocultura.com/es/seccion/donde-estamos-y-atencion-al-publico/</t>
        </is>
      </c>
      <c r="F291" s="49" t="n">
        <v>46322</v>
      </c>
      <c r="G291" s="51" t="n">
        <v>1</v>
      </c>
    </row>
    <row r="292" ht="54" customHeight="1">
      <c r="A292" s="29" t="inlineStr">
        <is>
          <t>malaga:action:teatro-echegaray-1</t>
        </is>
      </c>
      <c r="B292" s="29" t="inlineStr">
        <is>
          <t>malaga</t>
        </is>
      </c>
      <c r="C292" s="29" t="inlineStr">
        <is>
          <t>malaga:teatro-echegaray</t>
        </is>
      </c>
      <c r="D292" s="29" t="inlineStr">
        <is>
          <t>Ziyaret bilgisi</t>
        </is>
      </c>
      <c r="E292" s="29" t="inlineStr">
        <is>
          <t>https://www.malaga.eu/la-ciudad/instalaciones-y-espacios/detalle-de-la-instalacion/?id=2890</t>
        </is>
      </c>
      <c r="F292" s="49" t="n">
        <v>46322</v>
      </c>
      <c r="G292" s="51" t="n">
        <v>1</v>
      </c>
    </row>
    <row r="293" ht="54" customHeight="1">
      <c r="A293" s="29" t="inlineStr">
        <is>
          <t>malaga:action:teatro-echegaray-2</t>
        </is>
      </c>
      <c r="B293" s="29" t="inlineStr">
        <is>
          <t>malaga</t>
        </is>
      </c>
      <c r="C293" s="29" t="inlineStr">
        <is>
          <t>malaga:teatro-echegaray</t>
        </is>
      </c>
      <c r="D293" s="29" t="inlineStr">
        <is>
          <t>Bilgi al</t>
        </is>
      </c>
      <c r="E293" s="29" t="inlineStr">
        <is>
          <t>https://www.malagaprocultura.com/es/seccion/donde-estamos-y-atencion-al-publico/</t>
        </is>
      </c>
      <c r="F293" s="49" t="n">
        <v>46322</v>
      </c>
      <c r="G293" s="51" t="n">
        <v>2</v>
      </c>
    </row>
    <row r="294" ht="54" customHeight="1">
      <c r="A294" s="29" t="inlineStr">
        <is>
          <t>malaga:action:sala-maria-cristina-1</t>
        </is>
      </c>
      <c r="B294" s="29" t="inlineStr">
        <is>
          <t>malaga</t>
        </is>
      </c>
      <c r="C294" s="29" t="inlineStr">
        <is>
          <t>malaga:sala-maria-cristina</t>
        </is>
      </c>
      <c r="D294" s="29" t="inlineStr">
        <is>
          <t>Bilgi al</t>
        </is>
      </c>
      <c r="E294" s="29" t="inlineStr">
        <is>
          <t>https://www.fundacionunicaja.com/event/visitas-teatralizadas-8216personajes-de-la-sala-unicaja-de-conciertos-mara-cristina8217/</t>
        </is>
      </c>
      <c r="F294" s="49" t="n">
        <v>46322</v>
      </c>
      <c r="G294" s="51" t="n">
        <v>1</v>
      </c>
    </row>
    <row r="295" ht="54" customHeight="1">
      <c r="A295" s="29" t="inlineStr">
        <is>
          <t>malaga:action:teatro-del-soho-caixabank-1</t>
        </is>
      </c>
      <c r="B295" s="29" t="inlineStr">
        <is>
          <t>malaga</t>
        </is>
      </c>
      <c r="C295" s="29" t="inlineStr">
        <is>
          <t>malaga:teatro-del-soho-caixabank</t>
        </is>
      </c>
      <c r="D295" s="29" t="inlineStr">
        <is>
          <t>Bilgi al</t>
        </is>
      </c>
      <c r="E295" s="29" t="inlineStr">
        <is>
          <t>https://www.juntadeandalucia.es/cultura/agendaculturaldeandalucia/espacios/teatro-del-soho-caixabank</t>
        </is>
      </c>
      <c r="F295" s="49" t="n">
        <v>46322</v>
      </c>
      <c r="G295" s="51" t="n">
        <v>1</v>
      </c>
    </row>
    <row r="296" ht="54" customHeight="1">
      <c r="A296" s="29" t="inlineStr">
        <is>
          <t>malaga:action:teatro-canovas-1</t>
        </is>
      </c>
      <c r="B296" s="29" t="inlineStr">
        <is>
          <t>malaga</t>
        </is>
      </c>
      <c r="C296" s="29" t="inlineStr">
        <is>
          <t>malaga:teatro-canovas</t>
        </is>
      </c>
      <c r="D296" s="29" t="inlineStr">
        <is>
          <t>Bilgi al</t>
        </is>
      </c>
      <c r="E296" s="29" t="inlineStr">
        <is>
          <t>https://www.juntadeandalucia.es/aaiicc/teatros/teatro-canovas/contacto</t>
        </is>
      </c>
      <c r="F296" s="49" t="n">
        <v>46322</v>
      </c>
      <c r="G296" s="51" t="n">
        <v>1</v>
      </c>
    </row>
    <row r="297" ht="54" customHeight="1">
      <c r="A297" s="29" t="inlineStr">
        <is>
          <t>malaga:action:auditorio-edgar-neville-1</t>
        </is>
      </c>
      <c r="B297" s="29" t="inlineStr">
        <is>
          <t>malaga</t>
        </is>
      </c>
      <c r="C297" s="29" t="inlineStr">
        <is>
          <t>malaga:auditorio-edgar-neville</t>
        </is>
      </c>
      <c r="D297" s="29" t="inlineStr">
        <is>
          <t>Bilgi al</t>
        </is>
      </c>
      <c r="E297" s="29" t="inlineStr">
        <is>
          <t>https://www.juntadeandalucia.es/cultura/agendaculturaldeandalucia/evento/auditorio-edgar-neville</t>
        </is>
      </c>
      <c r="F297" s="49" t="n">
        <v>46322</v>
      </c>
      <c r="G297" s="51" t="n">
        <v>1</v>
      </c>
    </row>
    <row r="298" ht="54" customHeight="1">
      <c r="A298" s="29" t="inlineStr">
        <is>
          <t>malaga:action:auditorio-curro-roman-1</t>
        </is>
      </c>
      <c r="B298" s="29" t="inlineStr">
        <is>
          <t>malaga</t>
        </is>
      </c>
      <c r="C298" s="29" t="inlineStr">
        <is>
          <t>malaga:auditorio-curro-roman</t>
        </is>
      </c>
      <c r="D298" s="29" t="inlineStr">
        <is>
          <t>Bilgi al</t>
        </is>
      </c>
      <c r="E298" s="29" t="inlineStr">
        <is>
          <t>https://www.juntadeandalucia.es/cultura/agendaculturaldeandalucia/espacios/auditorio-curro-roman</t>
        </is>
      </c>
      <c r="F298" s="49" t="n">
        <v>46322</v>
      </c>
      <c r="G298" s="51" t="n">
        <v>1</v>
      </c>
    </row>
    <row r="299" ht="54" customHeight="1">
      <c r="A299" s="29" t="inlineStr">
        <is>
          <t>malaga:action:recinto-eduardo-ocon-1</t>
        </is>
      </c>
      <c r="B299" s="29" t="inlineStr">
        <is>
          <t>malaga</t>
        </is>
      </c>
      <c r="C299" s="29" t="inlineStr">
        <is>
          <t>malaga:recinto-eduardo-ocon</t>
        </is>
      </c>
      <c r="D299" s="29" t="inlineStr">
        <is>
          <t>Bilgi al</t>
        </is>
      </c>
      <c r="E299" s="29" t="inlineStr">
        <is>
          <t>https://cultura.malaga.eu/es/espacios-culturales-00001/recinto-musical-eduardo-ocon/</t>
        </is>
      </c>
      <c r="F299" s="49" t="n">
        <v>46322</v>
      </c>
      <c r="G299" s="51" t="n">
        <v>1</v>
      </c>
    </row>
    <row r="300" ht="54" customHeight="1">
      <c r="A300" s="29" t="inlineStr">
        <is>
          <t>malaga:action:estadio-la-rosaleda-1</t>
        </is>
      </c>
      <c r="B300" s="29" t="inlineStr">
        <is>
          <t>malaga</t>
        </is>
      </c>
      <c r="C300" s="29" t="inlineStr">
        <is>
          <t>malaga:estadio-la-rosaleda</t>
        </is>
      </c>
      <c r="D300" s="29" t="inlineStr">
        <is>
          <t>Ziyaret bilgisi</t>
        </is>
      </c>
      <c r="E300" s="29" t="inlineStr">
        <is>
          <t>https://www.malagacf.com/museo</t>
        </is>
      </c>
      <c r="F300" s="49" t="n">
        <v>46322</v>
      </c>
      <c r="G300" s="51" t="n">
        <v>1</v>
      </c>
    </row>
    <row r="301" ht="54" customHeight="1">
      <c r="A301" s="29" t="inlineStr">
        <is>
          <t>malaga:action:polideportivo-ciudad-jardin-1</t>
        </is>
      </c>
      <c r="B301" s="29" t="inlineStr">
        <is>
          <t>malaga</t>
        </is>
      </c>
      <c r="C301" s="29" t="inlineStr">
        <is>
          <t>malaga:polideportivo-ciudad-jardin</t>
        </is>
      </c>
      <c r="D301" s="29" t="inlineStr">
        <is>
          <t>Ziyaret bilgisi</t>
        </is>
      </c>
      <c r="E301" s="29" t="inlineStr">
        <is>
          <t>https://deporte.malaga.eu/espacios-deportivos/instalaciones/polideportivo-ciudad-jardin/</t>
        </is>
      </c>
      <c r="F301" s="49" t="n">
        <v>46322</v>
      </c>
      <c r="G301" s="51" t="n">
        <v>1</v>
      </c>
    </row>
    <row r="302" ht="54" customHeight="1">
      <c r="A302" s="29" t="inlineStr">
        <is>
          <t>malaga:action:real-club-mediterraneo-1</t>
        </is>
      </c>
      <c r="B302" s="29" t="inlineStr">
        <is>
          <t>malaga</t>
        </is>
      </c>
      <c r="C302" s="29" t="inlineStr">
        <is>
          <t>malaga:real-club-mediterraneo</t>
        </is>
      </c>
      <c r="D302" s="29" t="inlineStr">
        <is>
          <t>Bilgi al</t>
        </is>
      </c>
      <c r="E302" s="29" t="inlineStr">
        <is>
          <t>https://realclubmediterraneo.com/contacto-rcm/</t>
        </is>
      </c>
      <c r="F302" s="49" t="n">
        <v>46322</v>
      </c>
      <c r="G302" s="51" t="n">
        <v>1</v>
      </c>
    </row>
    <row r="303" ht="54" customHeight="1">
      <c r="A303" s="29" t="inlineStr">
        <is>
          <t>malaga:action:complejo-deportivo-universitario-1</t>
        </is>
      </c>
      <c r="B303" s="29" t="inlineStr">
        <is>
          <t>malaga</t>
        </is>
      </c>
      <c r="C303" s="29" t="inlineStr">
        <is>
          <t>malaga:complejo-deportivo-universitario</t>
        </is>
      </c>
      <c r="D303" s="29" t="inlineStr">
        <is>
          <t>Bilgi al</t>
        </is>
      </c>
      <c r="E303" s="29" t="inlineStr">
        <is>
          <t>https://www.uma.es/micrositios/uma-deportes/cms/base/ver/base/basecontent/103348/localizacion-dep/</t>
        </is>
      </c>
      <c r="F303" s="49" t="n">
        <v>46322</v>
      </c>
      <c r="G303" s="51" t="n">
        <v>1</v>
      </c>
    </row>
    <row r="304" ht="54" customHeight="1">
      <c r="A304" s="29" t="inlineStr">
        <is>
          <t>malaga:action:igy-malaga-marina-1</t>
        </is>
      </c>
      <c r="B304" s="29" t="inlineStr">
        <is>
          <t>malaga</t>
        </is>
      </c>
      <c r="C304" s="29" t="inlineStr">
        <is>
          <t>malaga:igy-malaga-marina</t>
        </is>
      </c>
      <c r="D304" s="29" t="inlineStr">
        <is>
          <t>Bilgi al</t>
        </is>
      </c>
      <c r="E304" s="29" t="inlineStr">
        <is>
          <t>https://www.igymarinas.com/es/marinas/igy-malaga-marina</t>
        </is>
      </c>
      <c r="F304" s="49" t="n">
        <v>46322</v>
      </c>
      <c r="G304" s="51" t="n">
        <v>1</v>
      </c>
    </row>
    <row r="305" ht="54" customHeight="1">
      <c r="A305" s="29" t="inlineStr">
        <is>
          <t>malaga:action:real-guadalhorce-club-de-golf-1</t>
        </is>
      </c>
      <c r="B305" s="29" t="inlineStr">
        <is>
          <t>malaga</t>
        </is>
      </c>
      <c r="C305" s="29" t="inlineStr">
        <is>
          <t>malaga:real-guadalhorce-club-de-golf</t>
        </is>
      </c>
      <c r="D305" s="29" t="inlineStr">
        <is>
          <t>Bilgi al</t>
        </is>
      </c>
      <c r="E305" s="29" t="inlineStr">
        <is>
          <t>https://guadalhorce.com/en/formulario-e-informacion-de-contacto-ingles/</t>
        </is>
      </c>
      <c r="F305" s="49" t="n">
        <v>46322</v>
      </c>
      <c r="G305" s="51" t="n">
        <v>1</v>
      </c>
    </row>
    <row r="306" ht="54" customHeight="1">
      <c r="A306" s="29" t="inlineStr">
        <is>
          <t>malaga:action:jardin-botanico-historico-la-concepcion-1</t>
        </is>
      </c>
      <c r="B306" s="29" t="inlineStr">
        <is>
          <t>malaga</t>
        </is>
      </c>
      <c r="C306" s="29" t="inlineStr">
        <is>
          <t>malaga:jardin-botanico-historico-la-concepcion</t>
        </is>
      </c>
      <c r="D306" s="29" t="inlineStr">
        <is>
          <t>Ziyaret bilgisi</t>
        </is>
      </c>
      <c r="E306" s="29" t="inlineStr">
        <is>
          <t>https://laconcepcion.malaga.eu/es/visitas/</t>
        </is>
      </c>
      <c r="F306" s="49" t="n">
        <v>46322</v>
      </c>
      <c r="G306" s="51" t="n">
        <v>1</v>
      </c>
    </row>
    <row r="307" ht="54" customHeight="1">
      <c r="A307" s="29" t="inlineStr">
        <is>
          <t>malaga:action:centro-de-ciencia-principia-1</t>
        </is>
      </c>
      <c r="B307" s="29" t="inlineStr">
        <is>
          <t>malaga</t>
        </is>
      </c>
      <c r="C307" s="29" t="inlineStr">
        <is>
          <t>malaga:centro-de-ciencia-principia</t>
        </is>
      </c>
      <c r="D307" s="29" t="inlineStr">
        <is>
          <t>Bilgi al</t>
        </is>
      </c>
      <c r="E307" s="29" t="inlineStr">
        <is>
          <t>https://www.principia-malaga.com/p/</t>
        </is>
      </c>
      <c r="F307" s="49" t="n">
        <v>46322</v>
      </c>
      <c r="G307" s="51" t="n">
        <v>1</v>
      </c>
    </row>
    <row r="308" ht="54" customHeight="1">
      <c r="A308" s="29" t="inlineStr">
        <is>
          <t>malaga:action:parque-de-la-alegria-1</t>
        </is>
      </c>
      <c r="B308" s="29" t="inlineStr">
        <is>
          <t>malaga</t>
        </is>
      </c>
      <c r="C308" s="29" t="inlineStr">
        <is>
          <t>malaga:parque-de-la-alegria</t>
        </is>
      </c>
      <c r="D308" s="29" t="inlineStr">
        <is>
          <t>Bilgi al</t>
        </is>
      </c>
      <c r="E308" s="29" t="inlineStr">
        <is>
          <t>https://medioambiente.malaga.eu/parques-y-jardines/parques-y-jardines-de-malaga/parques-infantiles-y-biosaludables/detalle-del-parque/Parque-de-La-Alegria/</t>
        </is>
      </c>
      <c r="F308" s="49" t="n">
        <v>46322</v>
      </c>
      <c r="G308" s="51" t="n">
        <v>1</v>
      </c>
    </row>
    <row r="309" ht="54" customHeight="1">
      <c r="A309" s="29" t="inlineStr">
        <is>
          <t>malaga:action:parque-del-norte-1</t>
        </is>
      </c>
      <c r="B309" s="29" t="inlineStr">
        <is>
          <t>malaga</t>
        </is>
      </c>
      <c r="C309" s="29" t="inlineStr">
        <is>
          <t>malaga:parque-del-norte</t>
        </is>
      </c>
      <c r="D309" s="29" t="inlineStr">
        <is>
          <t>Bilgi al</t>
        </is>
      </c>
      <c r="E309" s="29" t="inlineStr">
        <is>
          <t>https://medioambiente.malaga.eu/parques-y-jardines/parques-y-jardines-de-malaga/parques-infantiles-y-biosaludables/detalle-del-parque/Parque-Infantil-Parque-del-Norte/</t>
        </is>
      </c>
      <c r="F309" s="49" t="n">
        <v>46322</v>
      </c>
      <c r="G309" s="51" t="n">
        <v>1</v>
      </c>
    </row>
    <row r="310" ht="54" customHeight="1">
      <c r="A310" s="29" t="inlineStr">
        <is>
          <t>malaga:action:parque-litoral-1</t>
        </is>
      </c>
      <c r="B310" s="29" t="inlineStr">
        <is>
          <t>malaga</t>
        </is>
      </c>
      <c r="C310" s="29" t="inlineStr">
        <is>
          <t>malaga:parque-litoral</t>
        </is>
      </c>
      <c r="D310" s="29" t="inlineStr">
        <is>
          <t>Ziyaret bilgisi</t>
        </is>
      </c>
      <c r="E310" s="29" t="inlineStr">
        <is>
          <t>https://medioambiente.malaga.eu/parques-y-jardines/parques-y-jardines-de-malaga/parques-infantiles-y-biosaludables/detalle-del-parque/Parque-Infantil-Litoral/</t>
        </is>
      </c>
      <c r="F310" s="49" t="n">
        <v>46322</v>
      </c>
      <c r="G310" s="51" t="n">
        <v>1</v>
      </c>
    </row>
    <row r="311" ht="54" customHeight="1">
      <c r="A311" s="29" t="inlineStr">
        <is>
          <t>malaga:action:parque-del-cine-1</t>
        </is>
      </c>
      <c r="B311" s="29" t="inlineStr">
        <is>
          <t>malaga</t>
        </is>
      </c>
      <c r="C311" s="29" t="inlineStr">
        <is>
          <t>malaga:parque-del-cine</t>
        </is>
      </c>
      <c r="D311" s="29" t="inlineStr">
        <is>
          <t>Bilgi al</t>
        </is>
      </c>
      <c r="E311" s="29" t="inlineStr">
        <is>
          <t>https://medioambiente.malaga.eu/parques-y-jardines/parques-y-jardines-de-malaga/grandes-parques/detalle-del-parque/Parque-del-Cine/</t>
        </is>
      </c>
      <c r="F311" s="49" t="n">
        <v>46322</v>
      </c>
      <c r="G311" s="51" t="n">
        <v>1</v>
      </c>
    </row>
    <row r="312" ht="54" customHeight="1">
      <c r="A312" s="29" t="inlineStr">
        <is>
          <t>malaga:action:parque-de-huelin-1</t>
        </is>
      </c>
      <c r="B312" s="29" t="inlineStr">
        <is>
          <t>malaga</t>
        </is>
      </c>
      <c r="C312" s="29" t="inlineStr">
        <is>
          <t>malaga:parque-de-huelin</t>
        </is>
      </c>
      <c r="D312" s="29" t="inlineStr">
        <is>
          <t>Bilgi al</t>
        </is>
      </c>
      <c r="E312" s="29" t="inlineStr">
        <is>
          <t>https://medioambiente.malaga.eu/parques-y-jardines/parques-y-jardines-de-malaga/grandes-parques/detalle-del-parque/Parque-Infantil-Huelin/</t>
        </is>
      </c>
      <c r="F312" s="49" t="n">
        <v>46322</v>
      </c>
      <c r="G312" s="51" t="n">
        <v>1</v>
      </c>
    </row>
    <row r="313" ht="54" customHeight="1">
      <c r="A313" s="29" t="inlineStr">
        <is>
          <t>malaga:action:parque-infantil-playa-virginia-1</t>
        </is>
      </c>
      <c r="B313" s="29" t="inlineStr">
        <is>
          <t>malaga</t>
        </is>
      </c>
      <c r="C313" s="29" t="inlineStr">
        <is>
          <t>malaga:parque-infantil-playa-virginia</t>
        </is>
      </c>
      <c r="D313" s="29" t="inlineStr">
        <is>
          <t>Bilgi al</t>
        </is>
      </c>
      <c r="E313" s="29" t="inlineStr">
        <is>
          <t>https://medioambiente.malaga.eu/parques-y-jardines/parques-y-jardines-de-malaga/parques-infantiles-y-biosaludables/detalle-del-parque/Parque-Infantil-Playa-Virginia/</t>
        </is>
      </c>
      <c r="F313" s="49" t="n">
        <v>46322</v>
      </c>
      <c r="G313" s="51" t="n">
        <v>1</v>
      </c>
    </row>
    <row r="314" ht="54" customHeight="1">
      <c r="A314" s="29" t="inlineStr">
        <is>
          <t>malaga:action:mimma-museo-interactivo-de-la-musica-1</t>
        </is>
      </c>
      <c r="B314" s="29" t="inlineStr">
        <is>
          <t>malaga</t>
        </is>
      </c>
      <c r="C314" s="29" t="inlineStr">
        <is>
          <t>malaga:mimma-museo-interactivo-de-la-musica</t>
        </is>
      </c>
      <c r="D314" s="29" t="inlineStr">
        <is>
          <t>Ziyaret bilgisi</t>
        </is>
      </c>
      <c r="E314" s="29" t="inlineStr">
        <is>
          <t>https://www.musicaenaccion.com/mimma-museo/</t>
        </is>
      </c>
      <c r="F314" s="49" t="n">
        <v>46322</v>
      </c>
      <c r="G314" s="51" t="n">
        <v>1</v>
      </c>
    </row>
    <row r="315" ht="54" customHeight="1">
      <c r="A315" s="29" t="inlineStr">
        <is>
          <t>malaga:action:parque-la-isla-del-tesoro-1</t>
        </is>
      </c>
      <c r="B315" s="29" t="inlineStr">
        <is>
          <t>malaga</t>
        </is>
      </c>
      <c r="C315" s="29" t="inlineStr">
        <is>
          <t>malaga:parque-la-isla-del-tesoro</t>
        </is>
      </c>
      <c r="D315" s="29" t="inlineStr">
        <is>
          <t>Bilgi al</t>
        </is>
      </c>
      <c r="E315" s="29" t="inlineStr">
        <is>
          <t>https://medioambiente.malaga.eu/parques-y-jardines/parques-y-jardines-de-malaga/parques-infantiles-y-biosaludables/detalle-del-parque/Parque-La-Isla-del-Tesoro/</t>
        </is>
      </c>
      <c r="F315" s="49" t="n">
        <v>46322</v>
      </c>
      <c r="G315" s="51" t="n">
        <v>1</v>
      </c>
    </row>
    <row r="316" ht="54" customHeight="1">
      <c r="A316" s="29" t="inlineStr">
        <is>
          <t>malaga:action:parque-de-manuel-navarrete-1</t>
        </is>
      </c>
      <c r="B316" s="29" t="inlineStr">
        <is>
          <t>malaga</t>
        </is>
      </c>
      <c r="C316" s="29" t="inlineStr">
        <is>
          <t>malaga:parque-de-manuel-navarrete</t>
        </is>
      </c>
      <c r="D316" s="29" t="inlineStr">
        <is>
          <t>Bilgi al</t>
        </is>
      </c>
      <c r="E316" s="29" t="inlineStr">
        <is>
          <t>https://medioambiente.malaga.eu/parques-y-jardines/parques-y-jardines-de-malaga/parques-infantiles-y-biosaludables/detalle-del-parque/Parque-de-Manuel-Navarrete/</t>
        </is>
      </c>
      <c r="F316" s="49" t="n">
        <v>46322</v>
      </c>
      <c r="G316" s="51" t="n">
        <v>1</v>
      </c>
    </row>
    <row r="317" ht="54" customHeight="1">
      <c r="A317" s="29" t="inlineStr">
        <is>
          <t>malaga:action:plaza-de-toros-la-malagueta-1</t>
        </is>
      </c>
      <c r="B317" s="29" t="inlineStr">
        <is>
          <t>malaga</t>
        </is>
      </c>
      <c r="C317" s="29" t="inlineStr">
        <is>
          <t>malaga:plaza-de-toros-la-malagueta</t>
        </is>
      </c>
      <c r="D317" s="29" t="inlineStr">
        <is>
          <t>Bilgi al</t>
        </is>
      </c>
      <c r="E317" s="29" t="inlineStr">
        <is>
          <t>https://plazadetoroslamalagueta.com/contacto/</t>
        </is>
      </c>
      <c r="F317" s="49" t="n">
        <v>46322</v>
      </c>
      <c r="G317" s="51" t="n">
        <v>1</v>
      </c>
    </row>
    <row r="318" ht="54" customHeight="1">
      <c r="A318" s="29" t="inlineStr">
        <is>
          <t>malaga:action:estadio-de-atletismo-ciudad-de-malaga-1</t>
        </is>
      </c>
      <c r="B318" s="29" t="inlineStr">
        <is>
          <t>malaga</t>
        </is>
      </c>
      <c r="C318" s="29" t="inlineStr">
        <is>
          <t>malaga:estadio-de-atletismo-ciudad-de-malaga</t>
        </is>
      </c>
      <c r="D318" s="29" t="inlineStr">
        <is>
          <t>Ziyaret bilgisi</t>
        </is>
      </c>
      <c r="E318" s="29" t="inlineStr">
        <is>
          <t>https://deporte.malaga.eu/espacios-deportivos/instalaciones/estadio-de-atletismo-ciudad-de-malaga/</t>
        </is>
      </c>
      <c r="F318" s="49" t="n">
        <v>46322</v>
      </c>
      <c r="G318" s="51" t="n">
        <v>1</v>
      </c>
    </row>
    <row r="319" ht="54" customHeight="1">
      <c r="A319" s="29" t="inlineStr">
        <is>
          <t>malaga:action:palacio-de-deportes-martin-carpena-1</t>
        </is>
      </c>
      <c r="B319" s="29" t="inlineStr">
        <is>
          <t>malaga</t>
        </is>
      </c>
      <c r="C319" s="29" t="inlineStr">
        <is>
          <t>malaga:palacio-de-deportes-martin-carpena</t>
        </is>
      </c>
      <c r="D319" s="29" t="inlineStr">
        <is>
          <t>Bilgi al</t>
        </is>
      </c>
      <c r="E319" s="29" t="inlineStr">
        <is>
          <t>https://www.malagadeporteyeventos.com/instalaciones/palacio-de-deportes-jose-ma-martin-carpena/</t>
        </is>
      </c>
      <c r="F319" s="49" t="n">
        <v>46322</v>
      </c>
      <c r="G319" s="51" t="n">
        <v>1</v>
      </c>
    </row>
    <row r="320" ht="54" customHeight="1">
      <c r="A320" s="29" t="inlineStr">
        <is>
          <t>malaga:action:auditorio-municipal-cortijo-de-torres-1</t>
        </is>
      </c>
      <c r="B320" s="29" t="inlineStr">
        <is>
          <t>malaga</t>
        </is>
      </c>
      <c r="C320" s="29" t="inlineStr">
        <is>
          <t>malaga:auditorio-municipal-cortijo-de-torres</t>
        </is>
      </c>
      <c r="D320" s="29" t="inlineStr">
        <is>
          <t>Bilgi al</t>
        </is>
      </c>
      <c r="E320" s="29" t="inlineStr">
        <is>
          <t>https://www.malagadeporteyeventos.com/instalaciones/auditorio-municipal-cortijo-de-torres/</t>
        </is>
      </c>
      <c r="F320" s="49" t="n">
        <v>46322</v>
      </c>
      <c r="G320" s="51" t="n">
        <v>1</v>
      </c>
    </row>
    <row r="321" ht="54" customHeight="1">
      <c r="A321" s="29" t="inlineStr">
        <is>
          <t>malaga:action:centro-acuatico-de-malaga-1</t>
        </is>
      </c>
      <c r="B321" s="29" t="inlineStr">
        <is>
          <t>malaga</t>
        </is>
      </c>
      <c r="C321" s="29" t="inlineStr">
        <is>
          <t>malaga:centro-acuatico-de-malaga</t>
        </is>
      </c>
      <c r="D321" s="29" t="inlineStr">
        <is>
          <t>Bilgi al</t>
        </is>
      </c>
      <c r="E321" s="29" t="inlineStr">
        <is>
          <t>https://www.inacua.com/malaga/contacto</t>
        </is>
      </c>
      <c r="F321" s="49" t="n">
        <v>46322</v>
      </c>
      <c r="G321" s="51" t="n">
        <v>1</v>
      </c>
    </row>
    <row r="322" ht="54" customHeight="1">
      <c r="A322" s="29" t="inlineStr">
        <is>
          <t>malaga:action:palacio-de-ferias-y-congresos-de-malaga-1</t>
        </is>
      </c>
      <c r="B322" s="29" t="inlineStr">
        <is>
          <t>malaga</t>
        </is>
      </c>
      <c r="C322" s="29" t="inlineStr">
        <is>
          <t>malaga:palacio-de-ferias-y-congresos-de-malaga</t>
        </is>
      </c>
      <c r="D322" s="29" t="inlineStr">
        <is>
          <t>Bilgi al</t>
        </is>
      </c>
      <c r="E322" s="29" t="inlineStr">
        <is>
          <t>https://www.fycma.com/contacto/</t>
        </is>
      </c>
      <c r="F322" s="49" t="n">
        <v>46322</v>
      </c>
      <c r="G322" s="51" t="n">
        <v>1</v>
      </c>
    </row>
    <row r="323" ht="54" customHeight="1">
      <c r="A323" s="29" t="inlineStr">
        <is>
          <t>malaga:action:conservatorio-superior-de-musica-de-malaga-1</t>
        </is>
      </c>
      <c r="B323" s="29" t="inlineStr">
        <is>
          <t>malaga</t>
        </is>
      </c>
      <c r="C323" s="29" t="inlineStr">
        <is>
          <t>malaga:conservatorio-superior-de-musica-de-malaga</t>
        </is>
      </c>
      <c r="D323" s="29" t="inlineStr">
        <is>
          <t>Bilgi al</t>
        </is>
      </c>
      <c r="E323" s="29" t="inlineStr">
        <is>
          <t>https://www.conservatoriosuperiormalaga.com/</t>
        </is>
      </c>
      <c r="F323" s="49" t="n">
        <v>46322</v>
      </c>
      <c r="G323" s="51" t="n">
        <v>1</v>
      </c>
    </row>
    <row r="324" ht="54" customHeight="1">
      <c r="A324" s="29" t="inlineStr">
        <is>
          <t>malaga:action:la-merced-1</t>
        </is>
      </c>
      <c r="B324" s="29" t="inlineStr">
        <is>
          <t>malaga</t>
        </is>
      </c>
      <c r="C324" s="29" t="inlineStr">
        <is>
          <t>malaga:la-merced</t>
        </is>
      </c>
      <c r="D324" s="29" t="inlineStr">
        <is>
          <t>Ziyaret bilgisi</t>
        </is>
      </c>
      <c r="E324" s="29" t="inlineStr">
        <is>
          <t>https://mercados.malagacomercio.es/mercados/mercado-de-la-merced/</t>
        </is>
      </c>
      <c r="F324" s="49" t="n">
        <v>46322</v>
      </c>
      <c r="G324" s="51" t="n">
        <v>1</v>
      </c>
    </row>
    <row r="325" ht="54" customHeight="1">
      <c r="A325" s="29" t="inlineStr">
        <is>
          <t>malaga:action:la-merced-2</t>
        </is>
      </c>
      <c r="B325" s="29" t="inlineStr">
        <is>
          <t>malaga</t>
        </is>
      </c>
      <c r="C325" s="29" t="inlineStr">
        <is>
          <t>malaga:la-merced</t>
        </is>
      </c>
      <c r="D325" s="29" t="inlineStr">
        <is>
          <t>Bilgi al</t>
        </is>
      </c>
      <c r="E325" s="29" t="inlineStr">
        <is>
          <t>https://medioambiente.malaga.eu/parques-y-jardines/parques-y-jardines-de-malaga/parques-historicos/detalle-del-parque/Jardines-Puerta-Oscura-y-Coracha/</t>
        </is>
      </c>
      <c r="F325" s="49" t="n">
        <v>46322</v>
      </c>
      <c r="G325" s="51" t="n">
        <v>2</v>
      </c>
    </row>
    <row r="326" ht="54" customHeight="1">
      <c r="A326" s="29" t="inlineStr">
        <is>
          <t>malaga:action:la-merced-3</t>
        </is>
      </c>
      <c r="B326" s="29" t="inlineStr">
        <is>
          <t>malaga</t>
        </is>
      </c>
      <c r="C326" s="29" t="inlineStr">
        <is>
          <t>malaga:la-merced</t>
        </is>
      </c>
      <c r="D326" s="29" t="inlineStr">
        <is>
          <t>Bilgi al</t>
        </is>
      </c>
      <c r="E326" s="29" t="inlineStr">
        <is>
          <t>https://mercadillos.malaga.eu/mercadillos/</t>
        </is>
      </c>
      <c r="F326" s="49" t="n">
        <v>46322</v>
      </c>
      <c r="G326" s="51" t="n">
        <v>3</v>
      </c>
    </row>
    <row r="327" ht="54" customHeight="1">
      <c r="A327" s="29" t="inlineStr">
        <is>
          <t>malaga:action:la-malagueta-1</t>
        </is>
      </c>
      <c r="B327" s="29" t="inlineStr">
        <is>
          <t>malaga</t>
        </is>
      </c>
      <c r="C327" s="29" t="inlineStr">
        <is>
          <t>malaga:la-malagueta</t>
        </is>
      </c>
      <c r="D327" s="29" t="inlineStr">
        <is>
          <t>Bilgi al</t>
        </is>
      </c>
      <c r="E327" s="29" t="inlineStr">
        <is>
          <t>https://www.malaga.eu/la-ciudad/playas/la-malagueta/</t>
        </is>
      </c>
      <c r="F327" s="49" t="n">
        <v>46322</v>
      </c>
      <c r="G327" s="51" t="n">
        <v>1</v>
      </c>
    </row>
    <row r="328" ht="54" customHeight="1">
      <c r="A328" s="29" t="inlineStr">
        <is>
          <t>malaga:action:la-malagueta-2</t>
        </is>
      </c>
      <c r="B328" s="29" t="inlineStr">
        <is>
          <t>malaga</t>
        </is>
      </c>
      <c r="C328" s="29" t="inlineStr">
        <is>
          <t>malaga:la-malagueta</t>
        </is>
      </c>
      <c r="D328" s="29" t="inlineStr">
        <is>
          <t>Ziyaret bilgisi</t>
        </is>
      </c>
      <c r="E328" s="29" t="inlineStr">
        <is>
          <t>https://cclamalagueta.com/horario_y_salas/</t>
        </is>
      </c>
      <c r="F328" s="49" t="n">
        <v>46322</v>
      </c>
      <c r="G328" s="51" t="n">
        <v>2</v>
      </c>
    </row>
    <row r="329" ht="54" customHeight="1">
      <c r="A329" s="29" t="inlineStr">
        <is>
          <t>malaga:action:la-malagueta-3</t>
        </is>
      </c>
      <c r="B329" s="29" t="inlineStr">
        <is>
          <t>malaga</t>
        </is>
      </c>
      <c r="C329" s="29" t="inlineStr">
        <is>
          <t>malaga:la-malagueta</t>
        </is>
      </c>
      <c r="D329" s="29" t="inlineStr">
        <is>
          <t>Ziyaret bilgisi</t>
        </is>
      </c>
      <c r="E329" s="29" t="inlineStr">
        <is>
          <t>https://plazadetoroslamalagueta.com/contacto/</t>
        </is>
      </c>
      <c r="F329" s="49" t="n">
        <v>46322</v>
      </c>
      <c r="G329" s="51" t="n">
        <v>3</v>
      </c>
    </row>
    <row r="330" ht="54" customHeight="1">
      <c r="A330" s="29" t="inlineStr">
        <is>
          <t>malaga:action:ensanche-centro-1</t>
        </is>
      </c>
      <c r="B330" s="29" t="inlineStr">
        <is>
          <t>malaga</t>
        </is>
      </c>
      <c r="C330" s="29" t="inlineStr">
        <is>
          <t>malaga:ensanche-centro</t>
        </is>
      </c>
      <c r="D330" s="29" t="inlineStr">
        <is>
          <t>Ziyaret bilgisi</t>
        </is>
      </c>
      <c r="E330" s="29" t="inlineStr">
        <is>
          <t>https://mercados.malagacomercio.es/mercados/mercado-de-atarazanas/</t>
        </is>
      </c>
      <c r="F330" s="49" t="n">
        <v>46322</v>
      </c>
      <c r="G330" s="51" t="n">
        <v>1</v>
      </c>
    </row>
    <row r="331" ht="54" customHeight="1">
      <c r="A331" s="29" t="inlineStr">
        <is>
          <t>malaga:action:ensanche-centro-2</t>
        </is>
      </c>
      <c r="B331" s="29" t="inlineStr">
        <is>
          <t>malaga</t>
        </is>
      </c>
      <c r="C331" s="29" t="inlineStr">
        <is>
          <t>malaga:ensanche-centro</t>
        </is>
      </c>
      <c r="D331" s="29" t="inlineStr">
        <is>
          <t>Tarifeyi gör</t>
        </is>
      </c>
      <c r="E331" s="29" t="inlineStr">
        <is>
          <t>https://www.emtmalaga.es/linea-express-aeropuerto</t>
        </is>
      </c>
      <c r="F331" s="49" t="n">
        <v>46322</v>
      </c>
      <c r="G331" s="51" t="n">
        <v>2</v>
      </c>
    </row>
    <row r="332" ht="54" customHeight="1">
      <c r="A332" s="29" t="inlineStr">
        <is>
          <t>malaga:action:ensanche-centro-3</t>
        </is>
      </c>
      <c r="B332" s="29" t="inlineStr">
        <is>
          <t>malaga</t>
        </is>
      </c>
      <c r="C332" s="29" t="inlineStr">
        <is>
          <t>malaga:ensanche-centro</t>
        </is>
      </c>
      <c r="D332" s="29" t="inlineStr">
        <is>
          <t>Bilgi al</t>
        </is>
      </c>
      <c r="E332" s="29" t="inlineStr">
        <is>
          <t>https://medioambiente.malaga.eu/parques-y-jardines/parques-y-jardines-de-malaga/detalle-del-parque/El-Parque-de-Malaga-00001/</t>
        </is>
      </c>
      <c r="F332" s="49" t="n">
        <v>46322</v>
      </c>
      <c r="G332" s="51" t="n">
        <v>3</v>
      </c>
    </row>
    <row r="333" ht="54" customHeight="1">
      <c r="A333" s="29" t="inlineStr">
        <is>
          <t>malaga:action:la-victoria-1</t>
        </is>
      </c>
      <c r="B333" s="29" t="inlineStr">
        <is>
          <t>malaga</t>
        </is>
      </c>
      <c r="C333" s="29" t="inlineStr">
        <is>
          <t>malaga:la-victoria</t>
        </is>
      </c>
      <c r="D333" s="29" t="inlineStr">
        <is>
          <t>Bilgi al</t>
        </is>
      </c>
      <c r="E333" s="29" t="inlineStr">
        <is>
          <t>https://medioambiente.malaga.eu/parques-y-jardines/parques-y-jardines-de-malaga/zonas-forestales/detalle-del-parque/Parque-Forestal-Monte-Victoria/</t>
        </is>
      </c>
      <c r="F333" s="49" t="n">
        <v>46322</v>
      </c>
      <c r="G333" s="51" t="n">
        <v>1</v>
      </c>
    </row>
    <row r="334" ht="54" customHeight="1">
      <c r="A334" s="29" t="inlineStr">
        <is>
          <t>malaga:action:la-victoria-2</t>
        </is>
      </c>
      <c r="B334" s="29" t="inlineStr">
        <is>
          <t>malaga</t>
        </is>
      </c>
      <c r="C334" s="29" t="inlineStr">
        <is>
          <t>malaga:la-victoria</t>
        </is>
      </c>
      <c r="D334" s="29" t="inlineStr">
        <is>
          <t>Bilgi al</t>
        </is>
      </c>
      <c r="E334" s="29" t="inlineStr">
        <is>
          <t>https://medioambiente.malaga.eu/parques-y-jardines/parques-y-jardines-de-malaga/detalle-del-parque/Parque-Forestal-de-Gibralfaro/</t>
        </is>
      </c>
      <c r="F334" s="49" t="n">
        <v>46322</v>
      </c>
      <c r="G334" s="51" t="n">
        <v>2</v>
      </c>
    </row>
    <row r="335" ht="54" customHeight="1">
      <c r="A335" s="29" t="inlineStr">
        <is>
          <t>malaga:action:la-victoria-3</t>
        </is>
      </c>
      <c r="B335" s="29" t="inlineStr">
        <is>
          <t>malaga</t>
        </is>
      </c>
      <c r="C335" s="29" t="inlineStr">
        <is>
          <t>malaga:la-victoria</t>
        </is>
      </c>
      <c r="D335" s="29" t="inlineStr">
        <is>
          <t>Ziyaret bilgisi</t>
        </is>
      </c>
      <c r="E335" s="29" t="inlineStr">
        <is>
          <t>https://diocesismalaga.es/parroquias/1/santa-maria-de-la-victoria-y-la-merced-malaga</t>
        </is>
      </c>
      <c r="F335" s="49" t="n">
        <v>46322</v>
      </c>
      <c r="G335" s="51" t="n">
        <v>3</v>
      </c>
    </row>
    <row r="336" ht="54" customHeight="1">
      <c r="A336" s="29" t="inlineStr">
        <is>
          <t>malaga:action:la-caleta-1</t>
        </is>
      </c>
      <c r="B336" s="29" t="inlineStr">
        <is>
          <t>malaga</t>
        </is>
      </c>
      <c r="C336" s="29" t="inlineStr">
        <is>
          <t>malaga:la-caleta</t>
        </is>
      </c>
      <c r="D336" s="29" t="inlineStr">
        <is>
          <t>Bilgi al</t>
        </is>
      </c>
      <c r="E336" s="29" t="inlineStr">
        <is>
          <t>https://malaga.eu/la-ciudad/playas/la-caleta/</t>
        </is>
      </c>
      <c r="F336" s="49" t="n">
        <v>46322</v>
      </c>
      <c r="G336" s="51" t="n">
        <v>1</v>
      </c>
    </row>
    <row r="337" ht="54" customHeight="1">
      <c r="A337" s="29" t="inlineStr">
        <is>
          <t>malaga:action:la-caleta-2</t>
        </is>
      </c>
      <c r="B337" s="29" t="inlineStr">
        <is>
          <t>malaga</t>
        </is>
      </c>
      <c r="C337" s="29" t="inlineStr">
        <is>
          <t>malaga:la-caleta</t>
        </is>
      </c>
      <c r="D337" s="29" t="inlineStr">
        <is>
          <t>Bilgi al</t>
        </is>
      </c>
      <c r="E337" s="29" t="inlineStr">
        <is>
          <t>https://malaga.eu/la-ciudad/playas/banos-del-carmen/</t>
        </is>
      </c>
      <c r="F337" s="49" t="n">
        <v>46322</v>
      </c>
      <c r="G337" s="51" t="n">
        <v>2</v>
      </c>
    </row>
    <row r="338" ht="54" customHeight="1">
      <c r="A338" s="29" t="inlineStr">
        <is>
          <t>malaga:action:la-caleta-3</t>
        </is>
      </c>
      <c r="B338" s="29" t="inlineStr">
        <is>
          <t>malaga</t>
        </is>
      </c>
      <c r="C338" s="29" t="inlineStr">
        <is>
          <t>malaga:la-caleta</t>
        </is>
      </c>
      <c r="D338" s="29" t="inlineStr">
        <is>
          <t>Bilgi al</t>
        </is>
      </c>
      <c r="E338" s="29" t="inlineStr">
        <is>
          <t>https://www.malaga.eu/la-ciudad/playas/servicios-generales/</t>
        </is>
      </c>
      <c r="F338" s="49" t="n">
        <v>46322</v>
      </c>
      <c r="G338" s="51" t="n">
        <v>3</v>
      </c>
    </row>
    <row r="339" ht="54" customHeight="1">
      <c r="A339" s="29" t="inlineStr">
        <is>
          <t>malaga:action:pedregalejo-1</t>
        </is>
      </c>
      <c r="B339" s="29" t="inlineStr">
        <is>
          <t>malaga</t>
        </is>
      </c>
      <c r="C339" s="29" t="inlineStr">
        <is>
          <t>malaga:pedregalejo</t>
        </is>
      </c>
      <c r="D339" s="29" t="inlineStr">
        <is>
          <t>Bilgi al</t>
        </is>
      </c>
      <c r="E339" s="29" t="inlineStr">
        <is>
          <t>https://malaga.eu/la-ciudad/playas/pedregalejo-las-acacias/</t>
        </is>
      </c>
      <c r="F339" s="49" t="n">
        <v>46322</v>
      </c>
      <c r="G339" s="51" t="n">
        <v>1</v>
      </c>
    </row>
    <row r="340" ht="54" customHeight="1">
      <c r="A340" s="29" t="inlineStr">
        <is>
          <t>malaga:action:pedregalejo-2</t>
        </is>
      </c>
      <c r="B340" s="29" t="inlineStr">
        <is>
          <t>malaga</t>
        </is>
      </c>
      <c r="C340" s="29" t="inlineStr">
        <is>
          <t>malaga:pedregalejo</t>
        </is>
      </c>
      <c r="D340" s="29" t="inlineStr">
        <is>
          <t>Bilgi al</t>
        </is>
      </c>
      <c r="E340" s="29" t="inlineStr">
        <is>
          <t>https://mercadillos.malaga.eu/mercadillos/</t>
        </is>
      </c>
      <c r="F340" s="49" t="n">
        <v>46322</v>
      </c>
      <c r="G340" s="51" t="n">
        <v>2</v>
      </c>
    </row>
    <row r="341" ht="54" customHeight="1">
      <c r="A341" s="29" t="inlineStr">
        <is>
          <t>malaga:action:pedregalejo-3</t>
        </is>
      </c>
      <c r="B341" s="29" t="inlineStr">
        <is>
          <t>malaga</t>
        </is>
      </c>
      <c r="C341" s="29" t="inlineStr">
        <is>
          <t>malaga:pedregalejo</t>
        </is>
      </c>
      <c r="D341" s="29" t="inlineStr">
        <is>
          <t>Bilgi al</t>
        </is>
      </c>
      <c r="E341" s="29" t="inlineStr">
        <is>
          <t>https://www.malaga.eu/la-ciudad/playas/servicios-generales/</t>
        </is>
      </c>
      <c r="F341" s="49" t="n">
        <v>46322</v>
      </c>
      <c r="G341" s="51" t="n">
        <v>3</v>
      </c>
    </row>
    <row r="342" ht="54" customHeight="1">
      <c r="A342" s="29" t="inlineStr">
        <is>
          <t>malaga:action:el-palo-1</t>
        </is>
      </c>
      <c r="B342" s="29" t="inlineStr">
        <is>
          <t>malaga</t>
        </is>
      </c>
      <c r="C342" s="29" t="inlineStr">
        <is>
          <t>malaga:el-palo</t>
        </is>
      </c>
      <c r="D342" s="29" t="inlineStr">
        <is>
          <t>Bilgi al</t>
        </is>
      </c>
      <c r="E342" s="29" t="inlineStr">
        <is>
          <t>https://malaga.eu/la-ciudad/playas/el-palo/</t>
        </is>
      </c>
      <c r="F342" s="49" t="n">
        <v>46322</v>
      </c>
      <c r="G342" s="51" t="n">
        <v>1</v>
      </c>
    </row>
    <row r="343" ht="54" customHeight="1">
      <c r="A343" s="29" t="inlineStr">
        <is>
          <t>malaga:action:el-palo-2</t>
        </is>
      </c>
      <c r="B343" s="29" t="inlineStr">
        <is>
          <t>malaga</t>
        </is>
      </c>
      <c r="C343" s="29" t="inlineStr">
        <is>
          <t>malaga:el-palo</t>
        </is>
      </c>
      <c r="D343" s="29" t="inlineStr">
        <is>
          <t>Bilgi al</t>
        </is>
      </c>
      <c r="E343" s="29" t="inlineStr">
        <is>
          <t>https://medioambiente.malaga.eu/parques-y-jardines/parques-y-jardines-de-malaga/parques-infantiles-y-biosaludables/detalle-del-parque/Parque-Infantil-Playa-Virginia/</t>
        </is>
      </c>
      <c r="F343" s="49" t="n">
        <v>46322</v>
      </c>
      <c r="G343" s="51" t="n">
        <v>2</v>
      </c>
    </row>
    <row r="344" ht="54" customHeight="1">
      <c r="A344" s="29" t="inlineStr">
        <is>
          <t>malaga:action:el-palo-3</t>
        </is>
      </c>
      <c r="B344" s="29" t="inlineStr">
        <is>
          <t>malaga</t>
        </is>
      </c>
      <c r="C344" s="29" t="inlineStr">
        <is>
          <t>malaga:el-palo</t>
        </is>
      </c>
      <c r="D344" s="29" t="inlineStr">
        <is>
          <t>Bilgi al</t>
        </is>
      </c>
      <c r="E344" s="29" t="inlineStr">
        <is>
          <t>https://medioambiente.malaga.eu/parques-y-jardines/parques-y-jardines-de-malaga/zonas-forestales/detalle-del-parque/Parque-Forestal-Monte-San-Anton/</t>
        </is>
      </c>
      <c r="F344" s="49" t="n">
        <v>46322</v>
      </c>
      <c r="G344" s="51" t="n">
        <v>3</v>
      </c>
    </row>
    <row r="345" ht="54" customHeight="1">
      <c r="A345" s="29" t="inlineStr">
        <is>
          <t>malaga:action:la-arana-1</t>
        </is>
      </c>
      <c r="B345" s="29" t="inlineStr">
        <is>
          <t>malaga</t>
        </is>
      </c>
      <c r="C345" s="29" t="inlineStr">
        <is>
          <t>malaga:la-arana</t>
        </is>
      </c>
      <c r="D345" s="29" t="inlineStr">
        <is>
          <t>Bilgi al</t>
        </is>
      </c>
      <c r="E345" s="29" t="inlineStr">
        <is>
          <t>https://malaga.eu/la-ciudad/playas/la-arana/</t>
        </is>
      </c>
      <c r="F345" s="49" t="n">
        <v>46322</v>
      </c>
      <c r="G345" s="51" t="n">
        <v>1</v>
      </c>
    </row>
    <row r="346" ht="54" customHeight="1">
      <c r="A346" s="29" t="inlineStr">
        <is>
          <t>malaga:action:la-arana-2</t>
        </is>
      </c>
      <c r="B346" s="29" t="inlineStr">
        <is>
          <t>malaga</t>
        </is>
      </c>
      <c r="C346" s="29" t="inlineStr">
        <is>
          <t>malaga:la-arana</t>
        </is>
      </c>
      <c r="D346" s="29" t="inlineStr">
        <is>
          <t>Bilgi al</t>
        </is>
      </c>
      <c r="E346" s="29" t="inlineStr">
        <is>
          <t>https://www.malaga.eu/la-ciudad/playas/playa-canina/</t>
        </is>
      </c>
      <c r="F346" s="49" t="n">
        <v>46322</v>
      </c>
      <c r="G346" s="51" t="n">
        <v>2</v>
      </c>
    </row>
    <row r="347" ht="54" customHeight="1">
      <c r="A347" s="29" t="inlineStr">
        <is>
          <t>malaga:action:la-arana-3</t>
        </is>
      </c>
      <c r="B347" s="29" t="inlineStr">
        <is>
          <t>malaga</t>
        </is>
      </c>
      <c r="C347" s="29" t="inlineStr">
        <is>
          <t>malaga:la-arana</t>
        </is>
      </c>
      <c r="D347" s="29" t="inlineStr">
        <is>
          <t>Bilgi al</t>
        </is>
      </c>
      <c r="E347" s="29" t="inlineStr">
        <is>
          <t>https://www.malaga.eu/la-ciudad/playas/servicios-generales/</t>
        </is>
      </c>
      <c r="F347" s="49" t="n">
        <v>46322</v>
      </c>
      <c r="G347" s="51" t="n">
        <v>3</v>
      </c>
    </row>
    <row r="348" ht="54" customHeight="1">
      <c r="A348" s="29" t="inlineStr">
        <is>
          <t>malaga:action:huelin-1</t>
        </is>
      </c>
      <c r="B348" s="29" t="inlineStr">
        <is>
          <t>malaga</t>
        </is>
      </c>
      <c r="C348" s="29" t="inlineStr">
        <is>
          <t>malaga:huelin</t>
        </is>
      </c>
      <c r="D348" s="29" t="inlineStr">
        <is>
          <t>Ziyaret bilgisi</t>
        </is>
      </c>
      <c r="E348" s="29" t="inlineStr">
        <is>
          <t>https://mercados.malagacomercio.es/mercados/mercado-de-huelin/</t>
        </is>
      </c>
      <c r="F348" s="49" t="n">
        <v>46322</v>
      </c>
      <c r="G348" s="51" t="n">
        <v>1</v>
      </c>
    </row>
    <row r="349" ht="54" customHeight="1">
      <c r="A349" s="29" t="inlineStr">
        <is>
          <t>malaga:action:huelin-2</t>
        </is>
      </c>
      <c r="B349" s="29" t="inlineStr">
        <is>
          <t>malaga</t>
        </is>
      </c>
      <c r="C349" s="29" t="inlineStr">
        <is>
          <t>malaga:huelin</t>
        </is>
      </c>
      <c r="D349" s="29" t="inlineStr">
        <is>
          <t>Bilgi al</t>
        </is>
      </c>
      <c r="E349" s="29" t="inlineStr">
        <is>
          <t>https://medioambiente.malaga.eu/parques-y-jardines/parques-y-jardines-de-malaga/grandes-parques/detalle-del-parque/Parque-Infantil-Huelin/</t>
        </is>
      </c>
      <c r="F349" s="49" t="n">
        <v>46322</v>
      </c>
      <c r="G349" s="51" t="n">
        <v>2</v>
      </c>
    </row>
    <row r="350" ht="54" customHeight="1">
      <c r="A350" s="29" t="inlineStr">
        <is>
          <t>malaga:action:huelin-3</t>
        </is>
      </c>
      <c r="B350" s="29" t="inlineStr">
        <is>
          <t>malaga</t>
        </is>
      </c>
      <c r="C350" s="29" t="inlineStr">
        <is>
          <t>malaga:huelin</t>
        </is>
      </c>
      <c r="D350" s="29" t="inlineStr">
        <is>
          <t>Bilgi al</t>
        </is>
      </c>
      <c r="E350" s="29" t="inlineStr">
        <is>
          <t>https://derechossociales.malaga.eu/servicios-sociales-comunitarios/centros/</t>
        </is>
      </c>
      <c r="F350" s="49" t="n">
        <v>46322</v>
      </c>
      <c r="G350" s="51" t="n">
        <v>3</v>
      </c>
    </row>
    <row r="351" ht="54" customHeight="1">
      <c r="A351" s="29" t="inlineStr">
        <is>
          <t>malaga:action:ciudad-jardin-1</t>
        </is>
      </c>
      <c r="B351" s="29" t="inlineStr">
        <is>
          <t>malaga</t>
        </is>
      </c>
      <c r="C351" s="29" t="inlineStr">
        <is>
          <t>malaga:ciudad-jardin</t>
        </is>
      </c>
      <c r="D351" s="29" t="inlineStr">
        <is>
          <t>Ziyaret bilgisi</t>
        </is>
      </c>
      <c r="E351" s="29" t="inlineStr">
        <is>
          <t>https://mercados.malagacomercio.es/mercados/mercado-ciudad-jardin/</t>
        </is>
      </c>
      <c r="F351" s="49" t="n">
        <v>46322</v>
      </c>
      <c r="G351" s="51" t="n">
        <v>1</v>
      </c>
    </row>
    <row r="352" ht="54" customHeight="1">
      <c r="A352" s="29" t="inlineStr">
        <is>
          <t>malaga:action:ciudad-jardin-2</t>
        </is>
      </c>
      <c r="B352" s="29" t="inlineStr">
        <is>
          <t>malaga</t>
        </is>
      </c>
      <c r="C352" s="29" t="inlineStr">
        <is>
          <t>malaga:ciudad-jardin</t>
        </is>
      </c>
      <c r="D352" s="29" t="inlineStr">
        <is>
          <t>Ziyaret bilgisi</t>
        </is>
      </c>
      <c r="E352" s="29" t="inlineStr">
        <is>
          <t>https://deporte.malaga.eu/espacios-deportivos/instalaciones/polideportivo-ciudad-jardin/</t>
        </is>
      </c>
      <c r="F352" s="49" t="n">
        <v>46322</v>
      </c>
      <c r="G352" s="51" t="n">
        <v>2</v>
      </c>
    </row>
    <row r="353" ht="54" customHeight="1">
      <c r="A353" s="29" t="inlineStr">
        <is>
          <t>malaga:action:ciudad-jardin-3</t>
        </is>
      </c>
      <c r="B353" s="29" t="inlineStr">
        <is>
          <t>malaga</t>
        </is>
      </c>
      <c r="C353" s="29" t="inlineStr">
        <is>
          <t>malaga:ciudad-jardin</t>
        </is>
      </c>
      <c r="D353" s="29" t="inlineStr">
        <is>
          <t>Bilgi al</t>
        </is>
      </c>
      <c r="E353" s="29" t="inlineStr">
        <is>
          <t>https://medioambiente.malaga.eu/parques-y-jardines/parques-y-jardines-de-malaga/parques-infantiles-y-biosaludables/detalle-del-parque/Parque-de-La-Alegria/</t>
        </is>
      </c>
      <c r="F353" s="49" t="n">
        <v>46322</v>
      </c>
      <c r="G353" s="51" t="n">
        <v>3</v>
      </c>
    </row>
    <row r="354" ht="54" customHeight="1">
      <c r="A354" s="29" t="inlineStr">
        <is>
          <t>malaga:action:teatinos-1</t>
        </is>
      </c>
      <c r="B354" s="29" t="inlineStr">
        <is>
          <t>malaga</t>
        </is>
      </c>
      <c r="C354" s="29" t="inlineStr">
        <is>
          <t>malaga:teatinos</t>
        </is>
      </c>
      <c r="D354" s="29" t="inlineStr">
        <is>
          <t>Bilgi al</t>
        </is>
      </c>
      <c r="E354" s="29" t="inlineStr">
        <is>
          <t>https://medioambiente.malaga.eu/parques-y-jardines/parques-y-jardines-de-malaga/grandes-parques/detalle-del-parque/Parque-del-Cine/</t>
        </is>
      </c>
      <c r="F354" s="49" t="n">
        <v>46322</v>
      </c>
      <c r="G354" s="51" t="n">
        <v>1</v>
      </c>
    </row>
    <row r="355" ht="54" customHeight="1">
      <c r="A355" s="29" t="inlineStr">
        <is>
          <t>malaga:action:teatinos-2</t>
        </is>
      </c>
      <c r="B355" s="29" t="inlineStr">
        <is>
          <t>malaga</t>
        </is>
      </c>
      <c r="C355" s="29" t="inlineStr">
        <is>
          <t>malaga:teatinos</t>
        </is>
      </c>
      <c r="D355" s="29" t="inlineStr">
        <is>
          <t>Ziyaret bilgisi</t>
        </is>
      </c>
      <c r="E355" s="29" t="inlineStr">
        <is>
          <t>https://www.uma.es/micrositios/uma-deportes/cms/base/ver/base/basecontent/103348/localizacion-dep/</t>
        </is>
      </c>
      <c r="F355" s="49" t="n">
        <v>46322</v>
      </c>
      <c r="G355" s="51" t="n">
        <v>2</v>
      </c>
    </row>
    <row r="356" ht="54" customHeight="1">
      <c r="A356" s="29" t="inlineStr">
        <is>
          <t>malaga:action:teatinos-3</t>
        </is>
      </c>
      <c r="B356" s="29" t="inlineStr">
        <is>
          <t>malaga</t>
        </is>
      </c>
      <c r="C356" s="29" t="inlineStr">
        <is>
          <t>malaga:teatinos</t>
        </is>
      </c>
      <c r="D356" s="29" t="inlineStr">
        <is>
          <t>Tarifeyi gör</t>
        </is>
      </c>
      <c r="E356" s="29" t="inlineStr">
        <is>
          <t>https://www.emtmalaga.es/tarifas</t>
        </is>
      </c>
      <c r="F356" s="49" t="n">
        <v>46322</v>
      </c>
      <c r="G356" s="51" t="n">
        <v>3</v>
      </c>
    </row>
    <row r="357" ht="54" customHeight="1">
      <c r="A357" s="29" t="inlineStr">
        <is>
          <t>malaga:action:palma-palmilla-1</t>
        </is>
      </c>
      <c r="B357" s="29" t="inlineStr">
        <is>
          <t>malaga</t>
        </is>
      </c>
      <c r="C357" s="29" t="inlineStr">
        <is>
          <t>malaga:palma-palmilla</t>
        </is>
      </c>
      <c r="D357" s="29" t="inlineStr">
        <is>
          <t>Bilgi al</t>
        </is>
      </c>
      <c r="E357" s="29" t="inlineStr">
        <is>
          <t>https://medioambiente.malaga.eu/parques-y-jardines/parques-y-jardines-de-malaga/zonas-forestales/detalle-del-parque/Parque-Forestal-La-Virreina/</t>
        </is>
      </c>
      <c r="F357" s="49" t="n">
        <v>46322</v>
      </c>
      <c r="G357" s="51" t="n">
        <v>1</v>
      </c>
    </row>
    <row r="358" ht="54" customHeight="1">
      <c r="A358" s="29" t="inlineStr">
        <is>
          <t>malaga:action:palma-palmilla-2</t>
        </is>
      </c>
      <c r="B358" s="29" t="inlineStr">
        <is>
          <t>malaga</t>
        </is>
      </c>
      <c r="C358" s="29" t="inlineStr">
        <is>
          <t>malaga:palma-palmilla</t>
        </is>
      </c>
      <c r="D358" s="29" t="inlineStr">
        <is>
          <t>Bilgi al</t>
        </is>
      </c>
      <c r="E358" s="29" t="inlineStr">
        <is>
          <t>https://medioambiente.malaga.eu/parques-y-jardines/parques-y-jardines-de-malaga/parques-infantiles-y-biosaludables/detalle-del-parque/Parque-de-Manuel-Navarrete/</t>
        </is>
      </c>
      <c r="F358" s="49" t="n">
        <v>46322</v>
      </c>
      <c r="G358" s="51" t="n">
        <v>2</v>
      </c>
    </row>
    <row r="359" ht="54" customHeight="1">
      <c r="A359" s="29" t="inlineStr">
        <is>
          <t>malaga:action:palma-palmilla-3</t>
        </is>
      </c>
      <c r="B359" s="29" t="inlineStr">
        <is>
          <t>malaga</t>
        </is>
      </c>
      <c r="C359" s="29" t="inlineStr">
        <is>
          <t>malaga:palma-palmilla</t>
        </is>
      </c>
      <c r="D359" s="29" t="inlineStr">
        <is>
          <t>Bilgi al</t>
        </is>
      </c>
      <c r="E359" s="29" t="inlineStr">
        <is>
          <t>https://derechossociales.malaga.eu/servicios-sociales-comunitarios/centros/</t>
        </is>
      </c>
      <c r="F359" s="49" t="n">
        <v>46322</v>
      </c>
      <c r="G359" s="51" t="n">
        <v>3</v>
      </c>
    </row>
    <row r="360" ht="54" customHeight="1">
      <c r="A360" s="29" t="inlineStr">
        <is>
          <t>malaga:action:churriana-1</t>
        </is>
      </c>
      <c r="B360" s="29" t="inlineStr">
        <is>
          <t>malaga</t>
        </is>
      </c>
      <c r="C360" s="29" t="inlineStr">
        <is>
          <t>malaga:churriana</t>
        </is>
      </c>
      <c r="D360" s="29" t="inlineStr">
        <is>
          <t>Bilgi al</t>
        </is>
      </c>
      <c r="E360" s="29" t="inlineStr">
        <is>
          <t>https://medioambiente.malaga.eu/parques-y-jardines/parques-y-jardines-de-malaga/zonas-forestales/detalle-del-parque/Parque-Forestal-Comandante-Benitez/</t>
        </is>
      </c>
      <c r="F360" s="49" t="n">
        <v>46322</v>
      </c>
      <c r="G360" s="51" t="n">
        <v>1</v>
      </c>
    </row>
    <row r="361" ht="54" customHeight="1">
      <c r="A361" s="29" t="inlineStr">
        <is>
          <t>malaga:action:churriana-3</t>
        </is>
      </c>
      <c r="B361" s="29" t="inlineStr">
        <is>
          <t>malaga</t>
        </is>
      </c>
      <c r="C361" s="29" t="inlineStr">
        <is>
          <t>malaga:churriana</t>
        </is>
      </c>
      <c r="D361" s="29" t="inlineStr">
        <is>
          <t>Bilgi al</t>
        </is>
      </c>
      <c r="E361" s="29" t="inlineStr">
        <is>
          <t>https://derechossociales.malaga.eu/servicios-sociales-comunitarios/centros/</t>
        </is>
      </c>
      <c r="F361" s="49" t="n">
        <v>46322</v>
      </c>
      <c r="G361" s="51" t="n">
        <v>2</v>
      </c>
    </row>
    <row r="362" ht="54" customHeight="1">
      <c r="A362" s="29" t="inlineStr">
        <is>
          <t>malaga:action:guadalmar-1</t>
        </is>
      </c>
      <c r="B362" s="29" t="inlineStr">
        <is>
          <t>malaga</t>
        </is>
      </c>
      <c r="C362" s="29" t="inlineStr">
        <is>
          <t>malaga:guadalmar</t>
        </is>
      </c>
      <c r="D362" s="29" t="inlineStr">
        <is>
          <t>Bilgi al</t>
        </is>
      </c>
      <c r="E362" s="29" t="inlineStr">
        <is>
          <t>https://malaga.eu/la-ciudad/playas/guadalmar-san-julian/</t>
        </is>
      </c>
      <c r="F362" s="49" t="n">
        <v>46322</v>
      </c>
      <c r="G362" s="51" t="n">
        <v>1</v>
      </c>
    </row>
    <row r="363" ht="54" customHeight="1">
      <c r="A363" s="29" t="inlineStr">
        <is>
          <t>malaga:action:guadalmar-2</t>
        </is>
      </c>
      <c r="B363" s="29" t="inlineStr">
        <is>
          <t>malaga</t>
        </is>
      </c>
      <c r="C363" s="29" t="inlineStr">
        <is>
          <t>malaga:guadalmar</t>
        </is>
      </c>
      <c r="D363" s="29" t="inlineStr">
        <is>
          <t>Bilgi al</t>
        </is>
      </c>
      <c r="E363" s="29" t="inlineStr">
        <is>
          <t>https://medioambiente.malaga.eu/parques-y-jardines/parques-y-jardines-de-malaga/zonas-forestales/detalle-del-parque/Parque-Natural-de-la-Desembocadura-del-Guadalhorce/</t>
        </is>
      </c>
      <c r="F363" s="49" t="n">
        <v>46322</v>
      </c>
      <c r="G363" s="51" t="n">
        <v>2</v>
      </c>
    </row>
    <row r="364" ht="54" customHeight="1">
      <c r="A364" s="29" t="inlineStr">
        <is>
          <t>malaga:action:guadalmar-3</t>
        </is>
      </c>
      <c r="B364" s="29" t="inlineStr">
        <is>
          <t>malaga</t>
        </is>
      </c>
      <c r="C364" s="29" t="inlineStr">
        <is>
          <t>malaga:guadalmar</t>
        </is>
      </c>
      <c r="D364" s="29" t="inlineStr">
        <is>
          <t>Bilgi al</t>
        </is>
      </c>
      <c r="E364" s="29" t="inlineStr">
        <is>
          <t>https://www.malaga.eu/la-ciudad/playas/servicios-generales/</t>
        </is>
      </c>
      <c r="F364" s="49" t="n">
        <v>46322</v>
      </c>
      <c r="G364" s="51" t="n">
        <v>3</v>
      </c>
    </row>
    <row r="365" ht="54" customHeight="1">
      <c r="A365" s="29" t="inlineStr">
        <is>
          <t>malaga:action:cerrado-de-calderon-1</t>
        </is>
      </c>
      <c r="B365" s="29" t="inlineStr">
        <is>
          <t>malaga</t>
        </is>
      </c>
      <c r="C365" s="29" t="inlineStr">
        <is>
          <t>malaga:cerrado-de-calderon</t>
        </is>
      </c>
      <c r="D365" s="29" t="inlineStr">
        <is>
          <t>Bilgi al</t>
        </is>
      </c>
      <c r="E365" s="29" t="inlineStr">
        <is>
          <t>https://medioambiente.malaga.eu/parques-y-jardines/parques-y-jardines-de-malaga/zonas-forestales/detalle-del-parque/Parque-Forestal-de-El-Morlaco/</t>
        </is>
      </c>
      <c r="F365" s="49" t="n">
        <v>46322</v>
      </c>
      <c r="G365" s="51" t="n">
        <v>1</v>
      </c>
    </row>
    <row r="366" ht="54" customHeight="1">
      <c r="A366" s="29" t="inlineStr">
        <is>
          <t>malaga:action:cerrado-de-calderon-2</t>
        </is>
      </c>
      <c r="B366" s="29" t="inlineStr">
        <is>
          <t>malaga</t>
        </is>
      </c>
      <c r="C366" s="29" t="inlineStr">
        <is>
          <t>malaga:cerrado-de-calderon</t>
        </is>
      </c>
      <c r="D366" s="29" t="inlineStr">
        <is>
          <t>Bilgi al</t>
        </is>
      </c>
      <c r="E366" s="29" t="inlineStr">
        <is>
          <t>https://medioambiente.malaga.eu/parques-y-jardines/parques-y-jardines-de-malaga/zonas-forestales/detalle-del-parque/Parque-Forestal-Cerrado-de-Calderon/</t>
        </is>
      </c>
      <c r="F366" s="49" t="n">
        <v>46322</v>
      </c>
      <c r="G366" s="51" t="n">
        <v>2</v>
      </c>
    </row>
    <row r="367" ht="54" customHeight="1">
      <c r="A367" s="29" t="inlineStr">
        <is>
          <t>malaga:action:cerrado-de-calderon-3</t>
        </is>
      </c>
      <c r="B367" s="29" t="inlineStr">
        <is>
          <t>malaga</t>
        </is>
      </c>
      <c r="C367" s="29" t="inlineStr">
        <is>
          <t>malaga:cerrado-de-calderon</t>
        </is>
      </c>
      <c r="D367" s="29" t="inlineStr">
        <is>
          <t>Bilgi al</t>
        </is>
      </c>
      <c r="E367" s="29" t="inlineStr">
        <is>
          <t>https://derechossociales.malaga.eu/servicios-sociales-comunitarios/centros/</t>
        </is>
      </c>
      <c r="F367" s="49" t="n">
        <v>46322</v>
      </c>
      <c r="G367" s="51" t="n">
        <v>3</v>
      </c>
    </row>
    <row r="368" ht="54" customHeight="1">
      <c r="A368" s="29" t="inlineStr">
        <is>
          <t>malaga:action:pinares-de-san-anton-1</t>
        </is>
      </c>
      <c r="B368" s="29" t="inlineStr">
        <is>
          <t>malaga</t>
        </is>
      </c>
      <c r="C368" s="29" t="inlineStr">
        <is>
          <t>malaga:pinares-de-san-anton</t>
        </is>
      </c>
      <c r="D368" s="29" t="inlineStr">
        <is>
          <t>Bilgi al</t>
        </is>
      </c>
      <c r="E368" s="29" t="inlineStr">
        <is>
          <t>https://medioambiente.malaga.eu/parques-y-jardines/parques-y-jardines-de-malaga/zonas-forestales/detalle-del-parque/Parque-Forestal-Lagarillo-Blanco/</t>
        </is>
      </c>
      <c r="F368" s="49" t="n">
        <v>46322</v>
      </c>
      <c r="G368" s="51" t="n">
        <v>1</v>
      </c>
    </row>
    <row r="369" ht="54" customHeight="1">
      <c r="A369" s="29" t="inlineStr">
        <is>
          <t>malaga:action:pinares-de-san-anton-2</t>
        </is>
      </c>
      <c r="B369" s="29" t="inlineStr">
        <is>
          <t>malaga</t>
        </is>
      </c>
      <c r="C369" s="29" t="inlineStr">
        <is>
          <t>malaga:pinares-de-san-anton</t>
        </is>
      </c>
      <c r="D369" s="29" t="inlineStr">
        <is>
          <t>Bilgi al</t>
        </is>
      </c>
      <c r="E369" s="29" t="inlineStr">
        <is>
          <t>https://medioambiente.malaga.eu/parques-y-jardines/parques-y-jardines-de-malaga/zonas-forestales/detalle-del-parque/Parque-Forestal-Monte-San-Anton/</t>
        </is>
      </c>
      <c r="F369" s="49" t="n">
        <v>46322</v>
      </c>
      <c r="G369" s="51" t="n">
        <v>2</v>
      </c>
    </row>
    <row r="370" ht="54" customHeight="1">
      <c r="A370" s="29" t="inlineStr">
        <is>
          <t>malaga:action:nie-nedir-ne-ise-yarar-1</t>
        </is>
      </c>
      <c r="B370" s="29" t="inlineStr">
        <is>
          <t>malaga</t>
        </is>
      </c>
      <c r="C370" s="29" t="inlineStr">
        <is>
          <t>malaga:nie-nedir-ne-ise-yarar</t>
        </is>
      </c>
      <c r="D370" s="29" t="inlineStr">
        <is>
          <t>Başvur</t>
        </is>
      </c>
      <c r="E370" s="29" t="inlineStr">
        <is>
          <t>https://sede.policia.gob.es/portalCiudadano/_es/tramites_extranjeria_tramite_asignacion_nie.php</t>
        </is>
      </c>
      <c r="F370" s="49" t="n">
        <v>46319</v>
      </c>
      <c r="G370" s="51" t="n">
        <v>1</v>
      </c>
    </row>
    <row r="371" ht="54" customHeight="1">
      <c r="A371" s="29" t="inlineStr">
        <is>
          <t>malaga:action:nie-nedir-ne-ise-yarar-2</t>
        </is>
      </c>
      <c r="B371" s="29" t="inlineStr">
        <is>
          <t>malaga</t>
        </is>
      </c>
      <c r="C371" s="29" t="inlineStr">
        <is>
          <t>malaga:nie-nedir-ne-ise-yarar</t>
        </is>
      </c>
      <c r="D371" s="29" t="inlineStr">
        <is>
          <t>Tarifeyi gör</t>
        </is>
      </c>
      <c r="E371" s="29" t="inlineStr">
        <is>
          <t>https://www.boe.es/buscar/doc.php?id=BOE-A-2025-12056</t>
        </is>
      </c>
      <c r="F371" s="49" t="n">
        <v>46319</v>
      </c>
      <c r="G371" s="51" t="n">
        <v>2</v>
      </c>
    </row>
    <row r="372" ht="54" customHeight="1">
      <c r="A372" s="29" t="inlineStr">
        <is>
          <t>malaga:action:ab-vatandasi-kayit-sertifikasi-1</t>
        </is>
      </c>
      <c r="B372" s="29" t="inlineStr">
        <is>
          <t>malaga</t>
        </is>
      </c>
      <c r="C372" s="29" t="inlineStr">
        <is>
          <t>malaga:ab-vatandasi-kayit-sertifikasi</t>
        </is>
      </c>
      <c r="D372" s="29" t="inlineStr">
        <is>
          <t>Başvur</t>
        </is>
      </c>
      <c r="E372" s="29" t="inlineStr">
        <is>
          <t>https://sede.policia.gob.es/portalCiudadano/_es/tramites_extranjeria_tramite_certificadoregistro_ciudadanoue.php</t>
        </is>
      </c>
      <c r="F372" s="49" t="n">
        <v>46319</v>
      </c>
      <c r="G372" s="51" t="n">
        <v>1</v>
      </c>
    </row>
    <row r="373" ht="54" customHeight="1">
      <c r="A373" s="29" t="inlineStr">
        <is>
          <t>malaga:action:ab-vatandasi-kayit-sertifikasi-2</t>
        </is>
      </c>
      <c r="B373" s="29" t="inlineStr">
        <is>
          <t>malaga</t>
        </is>
      </c>
      <c r="C373" s="29" t="inlineStr">
        <is>
          <t>malaga:ab-vatandasi-kayit-sertifikasi</t>
        </is>
      </c>
      <c r="D373" s="29" t="inlineStr">
        <is>
          <t>Tarifeyi gör</t>
        </is>
      </c>
      <c r="E373" s="29" t="inlineStr">
        <is>
          <t>https://sede.policia.gob.es/portalCiudadano/_es/tramites_extranjeria_tasas.php</t>
        </is>
      </c>
      <c r="F373" s="49" t="n">
        <v>46319</v>
      </c>
      <c r="G373" s="51" t="n">
        <v>2</v>
      </c>
    </row>
    <row r="374" ht="54" customHeight="1">
      <c r="A374" s="29" t="inlineStr">
        <is>
          <t>malaga:action:tie-yabanci-kimlik-karti-1</t>
        </is>
      </c>
      <c r="B374" s="29" t="inlineStr">
        <is>
          <t>malaga</t>
        </is>
      </c>
      <c r="C374" s="29" t="inlineStr">
        <is>
          <t>malaga:tie-yabanci-kimlik-karti</t>
        </is>
      </c>
      <c r="D374" s="29" t="inlineStr">
        <is>
          <t>Bilgi al</t>
        </is>
      </c>
      <c r="E374" s="29" t="inlineStr">
        <is>
          <t>https://www.boe.es/buscar/act.php?id=BOE-A-2024-24099</t>
        </is>
      </c>
      <c r="F374" s="49" t="n">
        <v>46319</v>
      </c>
      <c r="G374" s="51" t="n">
        <v>1</v>
      </c>
    </row>
    <row r="375" ht="54" customHeight="1">
      <c r="A375" s="29" t="inlineStr">
        <is>
          <t>malaga:action:tie-yabanci-kimlik-karti-2</t>
        </is>
      </c>
      <c r="B375" s="29" t="inlineStr">
        <is>
          <t>malaga</t>
        </is>
      </c>
      <c r="C375" s="29" t="inlineStr">
        <is>
          <t>malaga:tie-yabanci-kimlik-karti</t>
        </is>
      </c>
      <c r="D375" s="29" t="inlineStr">
        <is>
          <t>Tarifeyi gör</t>
        </is>
      </c>
      <c r="E375" s="29" t="inlineStr">
        <is>
          <t>https://sede.policia.gob.es/portalCiudadano/_es/tramites_extranjeria_tasas.php</t>
        </is>
      </c>
      <c r="F375" s="49" t="n">
        <v>46319</v>
      </c>
      <c r="G375" s="51" t="n">
        <v>2</v>
      </c>
    </row>
    <row r="376" ht="54" customHeight="1">
      <c r="A376" s="29" t="inlineStr">
        <is>
          <t>malaga:action:ab-vatandasi-calisma-izni-gerekli-mi-1</t>
        </is>
      </c>
      <c r="B376" s="29" t="inlineStr">
        <is>
          <t>malaga</t>
        </is>
      </c>
      <c r="C376" s="29" t="inlineStr">
        <is>
          <t>malaga:ab-vatandasi-calisma-izni-gerekli-mi</t>
        </is>
      </c>
      <c r="D376" s="29" t="inlineStr">
        <is>
          <t>Bilgi al</t>
        </is>
      </c>
      <c r="E376" s="29" t="inlineStr">
        <is>
          <t>https://www.boe.es/buscar/act.php?id=BOE-A-2007-4184</t>
        </is>
      </c>
      <c r="F376" s="49" t="n">
        <v>46319</v>
      </c>
      <c r="G376" s="51" t="n">
        <v>1</v>
      </c>
    </row>
    <row r="377" ht="54" customHeight="1">
      <c r="A377" s="29" t="inlineStr">
        <is>
          <t>malaga:action:oturum-izni-yenileme-1</t>
        </is>
      </c>
      <c r="B377" s="29" t="inlineStr">
        <is>
          <t>malaga</t>
        </is>
      </c>
      <c r="C377" s="29" t="inlineStr">
        <is>
          <t>malaga:oturum-izni-yenileme</t>
        </is>
      </c>
      <c r="D377" s="29" t="inlineStr">
        <is>
          <t>Bilgi al</t>
        </is>
      </c>
      <c r="E377" s="29" t="inlineStr">
        <is>
          <t>https://www.boe.es/buscar/act.php?id=BOE-A-2024-24099</t>
        </is>
      </c>
      <c r="F377" s="49" t="n">
        <v>46319</v>
      </c>
      <c r="G377" s="51" t="n">
        <v>1</v>
      </c>
    </row>
    <row r="378" ht="54" customHeight="1">
      <c r="A378" s="29" t="inlineStr">
        <is>
          <t>malaga:action:oturum-izni-yenileme-2</t>
        </is>
      </c>
      <c r="B378" s="29" t="inlineStr">
        <is>
          <t>malaga</t>
        </is>
      </c>
      <c r="C378" s="29" t="inlineStr">
        <is>
          <t>malaga:oturum-izni-yenileme</t>
        </is>
      </c>
      <c r="D378" s="29" t="inlineStr">
        <is>
          <t>Tarifeyi gör</t>
        </is>
      </c>
      <c r="E378" s="29" t="inlineStr">
        <is>
          <t>https://www.boe.es/buscar/doc.php?id=BOE-A-2025-12056</t>
        </is>
      </c>
      <c r="F378" s="49" t="n">
        <v>46319</v>
      </c>
      <c r="G378" s="51" t="n">
        <v>2</v>
      </c>
    </row>
    <row r="379" ht="54" customHeight="1">
      <c r="A379" s="29" t="inlineStr">
        <is>
          <t>malaga:action:aile-birlesimi-ile-oturum-1</t>
        </is>
      </c>
      <c r="B379" s="29" t="inlineStr">
        <is>
          <t>malaga</t>
        </is>
      </c>
      <c r="C379" s="29" t="inlineStr">
        <is>
          <t>malaga:aile-birlesimi-ile-oturum</t>
        </is>
      </c>
      <c r="D379" s="29" t="inlineStr">
        <is>
          <t>Bilgi al</t>
        </is>
      </c>
      <c r="E379" s="29" t="inlineStr">
        <is>
          <t>https://www.boe.es/buscar/act.php?id=BOE-A-2024-24099</t>
        </is>
      </c>
      <c r="F379" s="49" t="n">
        <v>46319</v>
      </c>
      <c r="G379" s="51" t="n">
        <v>1</v>
      </c>
    </row>
    <row r="380" ht="54" customHeight="1">
      <c r="A380" s="29" t="inlineStr">
        <is>
          <t>malaga:action:aile-birlesimi-ile-oturum-2</t>
        </is>
      </c>
      <c r="B380" s="29" t="inlineStr">
        <is>
          <t>malaga</t>
        </is>
      </c>
      <c r="C380" s="29" t="inlineStr">
        <is>
          <t>malaga:aile-birlesimi-ile-oturum</t>
        </is>
      </c>
      <c r="D380" s="29" t="inlineStr">
        <is>
          <t>Tarifeyi gör</t>
        </is>
      </c>
      <c r="E380" s="29" t="inlineStr">
        <is>
          <t>https://www.boe.es/buscar/doc.php?id=BOE-A-2025-12056</t>
        </is>
      </c>
      <c r="F380" s="49" t="n">
        <v>46319</v>
      </c>
      <c r="G380" s="51" t="n">
        <v>2</v>
      </c>
    </row>
    <row r="381" ht="54" customHeight="1">
      <c r="A381" s="29" t="inlineStr">
        <is>
          <t>malaga:action:kalici-oturum-bes-yil-1</t>
        </is>
      </c>
      <c r="B381" s="29" t="inlineStr">
        <is>
          <t>malaga</t>
        </is>
      </c>
      <c r="C381" s="29" t="inlineStr">
        <is>
          <t>malaga:kalici-oturum-bes-yil</t>
        </is>
      </c>
      <c r="D381" s="29" t="inlineStr">
        <is>
          <t>Bilgi al</t>
        </is>
      </c>
      <c r="E381" s="29" t="inlineStr">
        <is>
          <t>https://www.boe.es/buscar/act.php?id=BOE-A-2024-24099</t>
        </is>
      </c>
      <c r="F381" s="49" t="n">
        <v>46319</v>
      </c>
      <c r="G381" s="51" t="n">
        <v>1</v>
      </c>
    </row>
    <row r="382" ht="54" customHeight="1">
      <c r="A382" s="29" t="inlineStr">
        <is>
          <t>malaga:action:kalici-oturum-bes-yil-2</t>
        </is>
      </c>
      <c r="B382" s="29" t="inlineStr">
        <is>
          <t>malaga</t>
        </is>
      </c>
      <c r="C382" s="29" t="inlineStr">
        <is>
          <t>malaga:kalici-oturum-bes-yil</t>
        </is>
      </c>
      <c r="D382" s="29" t="inlineStr">
        <is>
          <t>Tarifeyi gör</t>
        </is>
      </c>
      <c r="E382" s="29" t="inlineStr">
        <is>
          <t>https://www.boe.es/buscar/doc.php?id=BOE-A-2025-12056</t>
        </is>
      </c>
      <c r="F382" s="49" t="n">
        <v>46319</v>
      </c>
      <c r="G382" s="51" t="n">
        <v>2</v>
      </c>
    </row>
    <row r="383" ht="54" customHeight="1">
      <c r="A383" s="29" t="inlineStr">
        <is>
          <t>malaga:action:arraigo-kok-salma-oturumu-1</t>
        </is>
      </c>
      <c r="B383" s="29" t="inlineStr">
        <is>
          <t>malaga</t>
        </is>
      </c>
      <c r="C383" s="29" t="inlineStr">
        <is>
          <t>malaga:arraigo-kok-salma-oturumu</t>
        </is>
      </c>
      <c r="D383" s="29" t="inlineStr">
        <is>
          <t>Başvur</t>
        </is>
      </c>
      <c r="E383" s="29" t="inlineStr">
        <is>
          <t>https://sede.policia.gob.es/portalCiudadano/_es/tramites_extranjeria_tramite_residenciatemporal_circunstanciasexcepcionales.php</t>
        </is>
      </c>
      <c r="F383" s="49" t="n">
        <v>46319</v>
      </c>
      <c r="G383" s="51" t="n">
        <v>1</v>
      </c>
    </row>
    <row r="384" ht="54" customHeight="1">
      <c r="A384" s="29" t="inlineStr">
        <is>
          <t>malaga:action:arraigo-kok-salma-oturumu-2</t>
        </is>
      </c>
      <c r="B384" s="29" t="inlineStr">
        <is>
          <t>malaga</t>
        </is>
      </c>
      <c r="C384" s="29" t="inlineStr">
        <is>
          <t>malaga:arraigo-kok-salma-oturumu</t>
        </is>
      </c>
      <c r="D384" s="29" t="inlineStr">
        <is>
          <t>Bilgi al</t>
        </is>
      </c>
      <c r="E384" s="29" t="inlineStr">
        <is>
          <t>https://www.boe.es/buscar/act.php?id=BOE-A-2024-24099</t>
        </is>
      </c>
      <c r="F384" s="49" t="n">
        <v>46319</v>
      </c>
      <c r="G384" s="51" t="n">
        <v>2</v>
      </c>
    </row>
    <row r="385" ht="54" customHeight="1">
      <c r="A385" s="29" t="inlineStr">
        <is>
          <t>malaga:action:dijital-gocebe-vizesi-1</t>
        </is>
      </c>
      <c r="B385" s="29" t="inlineStr">
        <is>
          <t>malaga</t>
        </is>
      </c>
      <c r="C385" s="29" t="inlineStr">
        <is>
          <t>malaga:dijital-gocebe-vizesi</t>
        </is>
      </c>
      <c r="D385" s="29" t="inlineStr">
        <is>
          <t>Bilgi al</t>
        </is>
      </c>
      <c r="E385" s="29" t="inlineStr">
        <is>
          <t>https://www.exteriores.gob.es/Consulados/estambul/es/Comunicacion/Noticias/Paginas/Articulos/Requisitos-Visado-Teletrabajo.aspx</t>
        </is>
      </c>
      <c r="F385" s="49" t="n">
        <v>46319</v>
      </c>
      <c r="G385" s="51" t="n">
        <v>1</v>
      </c>
    </row>
    <row r="386" ht="54" customHeight="1">
      <c r="A386" s="29" t="inlineStr">
        <is>
          <t>malaga:action:dijital-gocebe-vizesi-2</t>
        </is>
      </c>
      <c r="B386" s="29" t="inlineStr">
        <is>
          <t>malaga</t>
        </is>
      </c>
      <c r="C386" s="29" t="inlineStr">
        <is>
          <t>malaga:dijital-gocebe-vizesi</t>
        </is>
      </c>
      <c r="D386" s="29" t="inlineStr">
        <is>
          <t>Bilgi al</t>
        </is>
      </c>
      <c r="E386" s="29" t="inlineStr">
        <is>
          <t>https://www.boe.es/buscar/act.php?id=BOE-A-2022-21739</t>
        </is>
      </c>
      <c r="F386" s="49" t="n">
        <v>46319</v>
      </c>
      <c r="G386" s="51" t="n">
        <v>2</v>
      </c>
    </row>
    <row r="387" ht="54" customHeight="1">
      <c r="A387" s="29" t="inlineStr">
        <is>
          <t>malaga:action:kar-amaci-gutmeyen-oturum-vizesi-1</t>
        </is>
      </c>
      <c r="B387" s="29" t="inlineStr">
        <is>
          <t>malaga</t>
        </is>
      </c>
      <c r="C387" s="29" t="inlineStr">
        <is>
          <t>malaga:kar-amaci-gutmeyen-oturum-vizesi</t>
        </is>
      </c>
      <c r="D387" s="29" t="inlineStr">
        <is>
          <t>Bilgi al</t>
        </is>
      </c>
      <c r="E387" s="29" t="inlineStr">
        <is>
          <t>https://www.exteriores.gob.es/Consulados/estambul/es/ServiciosConsulares/Paginas/index.aspx?scca=Visados&amp;scco=Turqu%C3%ADa&amp;scd=141&amp;scs=Visados+Nacionales+-+Visado+de+residencia+no+lucrativa</t>
        </is>
      </c>
      <c r="F387" s="49" t="n">
        <v>46319</v>
      </c>
      <c r="G387" s="51" t="n">
        <v>1</v>
      </c>
    </row>
    <row r="388" ht="54" customHeight="1">
      <c r="A388" s="29" t="inlineStr">
        <is>
          <t>malaga:action:kar-amaci-gutmeyen-oturum-vizesi-2</t>
        </is>
      </c>
      <c r="B388" s="29" t="inlineStr">
        <is>
          <t>malaga</t>
        </is>
      </c>
      <c r="C388" s="29" t="inlineStr">
        <is>
          <t>malaga:kar-amaci-gutmeyen-oturum-vizesi</t>
        </is>
      </c>
      <c r="D388" s="29" t="inlineStr">
        <is>
          <t>Bilgi al</t>
        </is>
      </c>
      <c r="E388" s="29" t="inlineStr">
        <is>
          <t>https://www.exteriores.gob.es/Embajadas/nuevadelhi/en/ServiciosConsulares/Paginas/Consular/Visado-de-residencia-no-lucrativa.aspx</t>
        </is>
      </c>
      <c r="F388" s="49" t="n">
        <v>46319</v>
      </c>
      <c r="G388" s="51" t="n">
        <v>2</v>
      </c>
    </row>
    <row r="389" ht="54" customHeight="1">
      <c r="A389" s="29" t="inlineStr">
        <is>
          <t>malaga:action:altin-vize-sona-erdi-1</t>
        </is>
      </c>
      <c r="B389" s="29" t="inlineStr">
        <is>
          <t>malaga</t>
        </is>
      </c>
      <c r="C389" s="29" t="inlineStr">
        <is>
          <t>malaga:altin-vize-sona-erdi</t>
        </is>
      </c>
      <c r="D389" s="29" t="inlineStr">
        <is>
          <t>Bilgi al</t>
        </is>
      </c>
      <c r="E389" s="29" t="inlineStr">
        <is>
          <t>https://www.lamoncloa.gob.es/serviciosdeprensa/notasprensa/vivienda-agenda-urbana/paginas/2025/020425-fin-golden-visa.aspx</t>
        </is>
      </c>
      <c r="F389" s="49" t="n">
        <v>46319</v>
      </c>
      <c r="G389" s="51" t="n">
        <v>1</v>
      </c>
    </row>
    <row r="390" ht="54" customHeight="1">
      <c r="A390" s="29" t="inlineStr">
        <is>
          <t>malaga:action:altin-vize-sona-erdi-2</t>
        </is>
      </c>
      <c r="B390" s="29" t="inlineStr">
        <is>
          <t>malaga</t>
        </is>
      </c>
      <c r="C390" s="29" t="inlineStr">
        <is>
          <t>malaga:altin-vize-sona-erdi</t>
        </is>
      </c>
      <c r="D390" s="29" t="inlineStr">
        <is>
          <t>Bilgi al</t>
        </is>
      </c>
      <c r="E390" s="29" t="inlineStr">
        <is>
          <t>https://www.boe.es/buscar/act.php?id=BOE-A-2025-76</t>
        </is>
      </c>
      <c r="F390" s="49" t="n">
        <v>46319</v>
      </c>
      <c r="G390" s="51" t="n">
        <v>2</v>
      </c>
    </row>
    <row r="391" ht="54" customHeight="1">
      <c r="A391" s="29" t="inlineStr">
        <is>
          <t>malaga:action:ogrenci-oturumuyla-calisma-hakki-1</t>
        </is>
      </c>
      <c r="B391" s="29" t="inlineStr">
        <is>
          <t>malaga</t>
        </is>
      </c>
      <c r="C391" s="29" t="inlineStr">
        <is>
          <t>malaga:ogrenci-oturumuyla-calisma-hakki</t>
        </is>
      </c>
      <c r="D391" s="29" t="inlineStr">
        <is>
          <t>Bilgi al</t>
        </is>
      </c>
      <c r="E391" s="29" t="inlineStr">
        <is>
          <t>https://www.boe.es/buscar/act.php?id=BOE-A-2024-24099</t>
        </is>
      </c>
      <c r="F391" s="49" t="n">
        <v>46319</v>
      </c>
      <c r="G391" s="51" t="n">
        <v>1</v>
      </c>
    </row>
    <row r="392" ht="54" customHeight="1">
      <c r="A392" s="29" t="inlineStr">
        <is>
          <t>malaga:action:ispanyol-vatandasligi-basvurusu-1</t>
        </is>
      </c>
      <c r="B392" s="29" t="inlineStr">
        <is>
          <t>malaga</t>
        </is>
      </c>
      <c r="C392" s="29" t="inlineStr">
        <is>
          <t>malaga:ispanyol-vatandasligi-basvurusu</t>
        </is>
      </c>
      <c r="D392" s="29" t="inlineStr">
        <is>
          <t>Bilgi al</t>
        </is>
      </c>
      <c r="E392" s="29" t="inlineStr">
        <is>
          <t>https://www.boe.es/buscar/act.php?id=BOE-A-1889-4763</t>
        </is>
      </c>
      <c r="F392" s="49" t="n">
        <v>46319</v>
      </c>
      <c r="G392" s="51" t="n">
        <v>1</v>
      </c>
    </row>
    <row r="393" ht="54" customHeight="1">
      <c r="A393" s="29" t="inlineStr">
        <is>
          <t>malaga:action:ispanyol-vatandasligi-basvurusu-2</t>
        </is>
      </c>
      <c r="B393" s="29" t="inlineStr">
        <is>
          <t>malaga</t>
        </is>
      </c>
      <c r="C393" s="29" t="inlineStr">
        <is>
          <t>malaga:ispanyol-vatandasligi-basvurusu</t>
        </is>
      </c>
      <c r="D393" s="29" t="inlineStr">
        <is>
          <t>Bilgi al</t>
        </is>
      </c>
      <c r="E393" s="29" t="inlineStr">
        <is>
          <t>https://www.boe.es/buscar/act.php?id=BOE-A-2015-12047</t>
        </is>
      </c>
      <c r="F393" s="49" t="n">
        <v>46319</v>
      </c>
      <c r="G393" s="51" t="n">
        <v>2</v>
      </c>
    </row>
    <row r="394" ht="54" customHeight="1">
      <c r="A394" s="29" t="inlineStr">
        <is>
          <t>malaga:action:brexit-sonrasi-ingiliz-oturumu-1</t>
        </is>
      </c>
      <c r="B394" s="29" t="inlineStr">
        <is>
          <t>malaga</t>
        </is>
      </c>
      <c r="C394" s="29" t="inlineStr">
        <is>
          <t>malaga:brexit-sonrasi-ingiliz-oturumu</t>
        </is>
      </c>
      <c r="D394" s="29" t="inlineStr">
        <is>
          <t>Bilgi al</t>
        </is>
      </c>
      <c r="E394" s="29" t="inlineStr">
        <is>
          <t>https://www.boe.es/diario_boe/txt.php?id=BOE-A-2020-7276</t>
        </is>
      </c>
      <c r="F394" s="49" t="n">
        <v>46319</v>
      </c>
      <c r="G394" s="51" t="n">
        <v>1</v>
      </c>
    </row>
    <row r="395" ht="54" customHeight="1">
      <c r="A395" s="29" t="inlineStr">
        <is>
          <t>malaga:action:brexit-sonrasi-ingiliz-oturumu-2</t>
        </is>
      </c>
      <c r="B395" s="29" t="inlineStr">
        <is>
          <t>malaga</t>
        </is>
      </c>
      <c r="C395" s="29" t="inlineStr">
        <is>
          <t>malaga:brexit-sonrasi-ingiliz-oturumu</t>
        </is>
      </c>
      <c r="D395" s="29" t="inlineStr">
        <is>
          <t>Tarifeyi gör</t>
        </is>
      </c>
      <c r="E395" s="29" t="inlineStr">
        <is>
          <t>https://sede.policia.gob.es/portalCiudadano/_es/tramites_extranjeria_tasas.php</t>
        </is>
      </c>
      <c r="F395" s="49" t="n">
        <v>46319</v>
      </c>
      <c r="G395" s="51" t="n">
        <v>2</v>
      </c>
    </row>
    <row r="396" ht="54" customHeight="1">
      <c r="A396" s="29" t="inlineStr">
        <is>
          <t>malaga:action:nie-basvurusu-polis-birimi-1</t>
        </is>
      </c>
      <c r="B396" s="29" t="inlineStr">
        <is>
          <t>malaga</t>
        </is>
      </c>
      <c r="C396" s="29" t="inlineStr">
        <is>
          <t>malaga:nie-basvurusu-polis-birimi</t>
        </is>
      </c>
      <c r="D396" s="29" t="inlineStr">
        <is>
          <t>Başvur</t>
        </is>
      </c>
      <c r="E396" s="29" t="inlineStr">
        <is>
          <t>https://sede.policia.gob.es/portalCiudadano/_es/tramites_extranjeria_tramite_asignacion_nie.php</t>
        </is>
      </c>
      <c r="F396" s="49" t="n">
        <v>46322</v>
      </c>
      <c r="G396" s="51" t="n">
        <v>1</v>
      </c>
    </row>
    <row r="397" ht="54" customHeight="1">
      <c r="A397" s="29" t="inlineStr">
        <is>
          <t>malaga:action:nie-basvurusu-polis-birimi-2</t>
        </is>
      </c>
      <c r="B397" s="29" t="inlineStr">
        <is>
          <t>malaga</t>
        </is>
      </c>
      <c r="C397" s="29" t="inlineStr">
        <is>
          <t>malaga:nie-basvurusu-polis-birimi</t>
        </is>
      </c>
      <c r="D397" s="29" t="inlineStr">
        <is>
          <t>Tarifeyi gör</t>
        </is>
      </c>
      <c r="E397" s="29" t="inlineStr">
        <is>
          <t>https://sede.policia.gob.es/portalCiudadano/_es/tramites_extranjeria_tasas.php</t>
        </is>
      </c>
      <c r="F397" s="49" t="n">
        <v>46322</v>
      </c>
      <c r="G397" s="51" t="n">
        <v>2</v>
      </c>
    </row>
    <row r="398" ht="54" customHeight="1">
      <c r="A398" s="29" t="inlineStr">
        <is>
          <t>malaga:action:tie-karti-basvuru-birimi-1</t>
        </is>
      </c>
      <c r="B398" s="29" t="inlineStr">
        <is>
          <t>malaga</t>
        </is>
      </c>
      <c r="C398" s="29" t="inlineStr">
        <is>
          <t>malaga:tie-karti-basvuru-birimi</t>
        </is>
      </c>
      <c r="D398" s="29" t="inlineStr">
        <is>
          <t>Başvur</t>
        </is>
      </c>
      <c r="E398" s="29" t="inlineStr">
        <is>
          <t>https://sede.policia.gob.es/portalCiudadano/_es/tramites_extranjeria_tramite_tarjeta_residencia_residenciaytrabajo.php</t>
        </is>
      </c>
      <c r="F398" s="49" t="n">
        <v>46322</v>
      </c>
      <c r="G398" s="51" t="n">
        <v>1</v>
      </c>
    </row>
    <row r="399" ht="54" customHeight="1">
      <c r="A399" s="29" t="inlineStr">
        <is>
          <t>malaga:action:tie-karti-basvuru-birimi-2</t>
        </is>
      </c>
      <c r="B399" s="29" t="inlineStr">
        <is>
          <t>malaga</t>
        </is>
      </c>
      <c r="C399" s="29" t="inlineStr">
        <is>
          <t>malaga:tie-karti-basvuru-birimi</t>
        </is>
      </c>
      <c r="D399" s="29" t="inlineStr">
        <is>
          <t>Tarifeyi gör</t>
        </is>
      </c>
      <c r="E399" s="29" t="inlineStr">
        <is>
          <t>https://sede.policia.gob.es/portalCiudadano/_es/tramites_extranjeria_tasas.php</t>
        </is>
      </c>
      <c r="F399" s="49" t="n">
        <v>46322</v>
      </c>
      <c r="G399" s="51" t="n">
        <v>2</v>
      </c>
    </row>
    <row r="400" ht="54" customHeight="1">
      <c r="A400" s="29" t="inlineStr">
        <is>
          <t>malaga:action:ilce-polis-birimlerinde-nie-tie-1</t>
        </is>
      </c>
      <c r="B400" s="29" t="inlineStr">
        <is>
          <t>malaga</t>
        </is>
      </c>
      <c r="C400" s="29" t="inlineStr">
        <is>
          <t>malaga:ilce-polis-birimlerinde-nie-tie</t>
        </is>
      </c>
      <c r="D400" s="29" t="inlineStr">
        <is>
          <t>Başvur</t>
        </is>
      </c>
      <c r="E400" s="29" t="inlineStr">
        <is>
          <t>https://sede.policia.gob.es/portalCiudadano/_es/tramites_extranjeria_tramite_asignacion_nie.php</t>
        </is>
      </c>
      <c r="F400" s="49" t="n">
        <v>46322</v>
      </c>
      <c r="G400" s="51" t="n">
        <v>1</v>
      </c>
    </row>
    <row r="401" ht="54" customHeight="1">
      <c r="A401" s="29" t="inlineStr">
        <is>
          <t>malaga:action:ilce-polis-birimlerinde-nie-tie-2</t>
        </is>
      </c>
      <c r="B401" s="29" t="inlineStr">
        <is>
          <t>malaga</t>
        </is>
      </c>
      <c r="C401" s="29" t="inlineStr">
        <is>
          <t>malaga:ilce-polis-birimlerinde-nie-tie</t>
        </is>
      </c>
      <c r="D401" s="29" t="inlineStr">
        <is>
          <t>Başvur</t>
        </is>
      </c>
      <c r="E401" s="29" t="inlineStr">
        <is>
          <t>https://sede.policia.gob.es/portalCiudadano/_es/tramites_extranjeria_tramite_tarjeta_residencia_residenciaytrabajo.php</t>
        </is>
      </c>
      <c r="F401" s="49" t="n">
        <v>46322</v>
      </c>
      <c r="G401" s="51" t="n">
        <v>2</v>
      </c>
    </row>
    <row r="402" ht="54" customHeight="1">
      <c r="A402" s="29" t="inlineStr">
        <is>
          <t>malaga:action:yabanci-hukuki-danismanlik-010-1</t>
        </is>
      </c>
      <c r="B402" s="29" t="inlineStr">
        <is>
          <t>malaga</t>
        </is>
      </c>
      <c r="C402" s="29" t="inlineStr">
        <is>
          <t>malaga:yabanci-hukuki-danismanlik-010</t>
        </is>
      </c>
      <c r="D402" s="29" t="inlineStr">
        <is>
          <t>Bilgi al</t>
        </is>
      </c>
      <c r="E402" s="29" t="inlineStr">
        <is>
          <t>https://participa.malaga.eu/migracion/apoyo-y-asesoramiento-legal-con-caracter-presencial-y-telefonico-a-personas-extranjeras/</t>
        </is>
      </c>
      <c r="F402" s="49" t="n">
        <v>46322</v>
      </c>
      <c r="G402" s="51" t="n">
        <v>1</v>
      </c>
    </row>
    <row r="403" ht="54" customHeight="1">
      <c r="A403" s="29" t="inlineStr">
        <is>
          <t>malaga:action:yabanci-hukuki-danismanlik-010-2</t>
        </is>
      </c>
      <c r="B403" s="29" t="inlineStr">
        <is>
          <t>malaga</t>
        </is>
      </c>
      <c r="C403" s="29" t="inlineStr">
        <is>
          <t>malaga:yabanci-hukuki-danismanlik-010</t>
        </is>
      </c>
      <c r="D403" s="29" t="inlineStr">
        <is>
          <t>Bilgi al</t>
        </is>
      </c>
      <c r="E403" s="29" t="inlineStr">
        <is>
          <t>https://www.juntadeandalucia.es/organismos/serviciossocialesfamiliaseigualdad/areas/inclusion/migraciones/paginas/asociaciones-inmigrantes-malaga.html</t>
        </is>
      </c>
      <c r="F403" s="49" t="n">
        <v>46322</v>
      </c>
      <c r="G403" s="51" t="n">
        <v>2</v>
      </c>
    </row>
    <row r="404" ht="54" customHeight="1">
      <c r="A404" s="29" t="inlineStr">
        <is>
          <t>malaga:action:gocmen-dernekleri-listesi-1</t>
        </is>
      </c>
      <c r="B404" s="29" t="inlineStr">
        <is>
          <t>malaga</t>
        </is>
      </c>
      <c r="C404" s="29" t="inlineStr">
        <is>
          <t>malaga:gocmen-dernekleri-listesi</t>
        </is>
      </c>
      <c r="D404" s="29" t="inlineStr">
        <is>
          <t>Bilgi al</t>
        </is>
      </c>
      <c r="E404" s="29" t="inlineStr">
        <is>
          <t>https://www.juntadeandalucia.es/organismos/serviciossocialesfamiliaseigualdad/areas/inclusion/migraciones/paginas/asociaciones-inmigrantes-malaga.html</t>
        </is>
      </c>
      <c r="F404" s="49" t="n">
        <v>46322</v>
      </c>
      <c r="G404" s="51" t="n">
        <v>1</v>
      </c>
    </row>
    <row r="405" ht="54" customHeight="1">
      <c r="A405" s="29" t="inlineStr">
        <is>
          <t>malaga:action:entegrasyon-cabasi-raporu-1</t>
        </is>
      </c>
      <c r="B405" s="29" t="inlineStr">
        <is>
          <t>malaga</t>
        </is>
      </c>
      <c r="C405" s="29" t="inlineStr">
        <is>
          <t>malaga:entegrasyon-cabasi-raporu</t>
        </is>
      </c>
      <c r="D405" s="29" t="inlineStr">
        <is>
          <t>Başvur</t>
        </is>
      </c>
      <c r="E405" s="29" t="inlineStr">
        <is>
          <t>https://www.juntadeandalucia.es/organismos/inclusionsocialjuventudfamiliaseigualdad/areas/politicas-migratorias/informe-integracion.html</t>
        </is>
      </c>
      <c r="F405" s="49" t="n">
        <v>46322</v>
      </c>
      <c r="G405" s="51" t="n">
        <v>1</v>
      </c>
    </row>
    <row r="406" ht="54" customHeight="1">
      <c r="A406" s="29" t="inlineStr">
        <is>
          <t>malaga:action:turk-vatandaslari-konsolosluk-madrid-1</t>
        </is>
      </c>
      <c r="B406" s="29" t="inlineStr">
        <is>
          <t>malaga</t>
        </is>
      </c>
      <c r="C406" s="29" t="inlineStr">
        <is>
          <t>malaga:turk-vatandaslari-konsolosluk-madrid</t>
        </is>
      </c>
      <c r="D406" s="29" t="inlineStr">
        <is>
          <t>Bilgi al</t>
        </is>
      </c>
      <c r="E406" s="29" t="inlineStr">
        <is>
          <t>https://madrid-emb.mfa.gov.tr/Mission/Contact</t>
        </is>
      </c>
      <c r="F406" s="49" t="n">
        <v>46322</v>
      </c>
      <c r="G406" s="51" t="n">
        <v>1</v>
      </c>
    </row>
    <row r="407" ht="54" customHeight="1">
      <c r="A407" s="29" t="inlineStr">
        <is>
          <t>malaga:action:banka-hesabi-acma-ve-temel-odeme-hesabi-1</t>
        </is>
      </c>
      <c r="B407" s="29" t="inlineStr">
        <is>
          <t>malaga</t>
        </is>
      </c>
      <c r="C407" s="29" t="inlineStr">
        <is>
          <t>malaga:banka-hesabi-acma-ve-temel-odeme-hesabi</t>
        </is>
      </c>
      <c r="D407" s="29" t="inlineStr">
        <is>
          <t>Bilgi al</t>
        </is>
      </c>
      <c r="E407" s="29" t="inlineStr">
        <is>
          <t>https://clientebancario.bde.es/pcb/es/blog/solicitud-de-apertura-de-cuentas-de-pago.html</t>
        </is>
      </c>
      <c r="F407" s="49" t="n">
        <v>46319</v>
      </c>
      <c r="G407" s="51" t="n">
        <v>1</v>
      </c>
    </row>
    <row r="408" ht="54" customHeight="1">
      <c r="A408" s="29" t="inlineStr">
        <is>
          <t>malaga:action:banka-hesabi-acma-ve-temel-odeme-hesabi-2</t>
        </is>
      </c>
      <c r="B408" s="29" t="inlineStr">
        <is>
          <t>malaga</t>
        </is>
      </c>
      <c r="C408" s="29" t="inlineStr">
        <is>
          <t>malaga:banka-hesabi-acma-ve-temel-odeme-hesabi</t>
        </is>
      </c>
      <c r="D408" s="29" t="inlineStr">
        <is>
          <t>Bilgi al</t>
        </is>
      </c>
      <c r="E408" s="29" t="inlineStr">
        <is>
          <t>https://clientebancario.bde.es/pcb/es/menu-horizontal/productosservici/cuentasdepositos/cuentascorriente/guia-textual/CuentadepagoBasica/quienes-pueden-solicitarla-.html</t>
        </is>
      </c>
      <c r="F408" s="49" t="n">
        <v>46319</v>
      </c>
      <c r="G408" s="51" t="n">
        <v>2</v>
      </c>
    </row>
    <row r="409" ht="54" customHeight="1">
      <c r="A409" s="29" t="inlineStr">
        <is>
          <t>malaga:action:iban-ve-sepa-havalesi-2</t>
        </is>
      </c>
      <c r="B409" s="29" t="inlineStr">
        <is>
          <t>malaga</t>
        </is>
      </c>
      <c r="C409" s="29" t="inlineStr">
        <is>
          <t>malaga:iban-ve-sepa-havalesi</t>
        </is>
      </c>
      <c r="D409" s="29" t="inlineStr">
        <is>
          <t>Bilgi al</t>
        </is>
      </c>
      <c r="E409" s="29" t="inlineStr">
        <is>
          <t>https://clientebancario.bde.es/pcb/es/menu-horizontal/productosservici/serviciospago/traspasostransfe/guia-textual/tipos/Transferencia_SEPA.html</t>
        </is>
      </c>
      <c r="F409" s="49" t="n">
        <v>46319</v>
      </c>
      <c r="G409" s="51" t="n">
        <v>1</v>
      </c>
    </row>
    <row r="410" ht="54" customHeight="1">
      <c r="A410" s="29" t="inlineStr">
        <is>
          <t>malaga:action:iban-ve-sepa-havalesi-3</t>
        </is>
      </c>
      <c r="B410" s="29" t="inlineStr">
        <is>
          <t>malaga</t>
        </is>
      </c>
      <c r="C410" s="29" t="inlineStr">
        <is>
          <t>malaga:iban-ve-sepa-havalesi</t>
        </is>
      </c>
      <c r="D410" s="29" t="inlineStr">
        <is>
          <t>Bilgi al</t>
        </is>
      </c>
      <c r="E410" s="29" t="inlineStr">
        <is>
          <t>https://clientebancario.bde.es/pcb/es/blog/upppssstransferencia-enviada-al-iban-equivocado.html</t>
        </is>
      </c>
      <c r="F410" s="49" t="n">
        <v>46319</v>
      </c>
      <c r="G410" s="51" t="n">
        <v>2</v>
      </c>
    </row>
    <row r="411" ht="54" customHeight="1">
      <c r="A411" s="29" t="inlineStr">
        <is>
          <t>malaga:action:gelir-vergisi-irpf-devlet-dilimleri-1</t>
        </is>
      </c>
      <c r="B411" s="29" t="inlineStr">
        <is>
          <t>malaga</t>
        </is>
      </c>
      <c r="C411" s="29" t="inlineStr">
        <is>
          <t>malaga:gelir-vergisi-irpf-devlet-dilimleri</t>
        </is>
      </c>
      <c r="D411" s="29" t="inlineStr">
        <is>
          <t>Hesapla</t>
        </is>
      </c>
      <c r="E411" s="29" t="inlineStr">
        <is>
          <t>https://sede.agenciatributaria.gob.es/Sede/ayuda/manuales-videos-folletos/manuales-practicos/irpf-2025/c15-calculo-impuesto-determinacion-cuotas-integras/gravamen-base-liquidable-general/gravamen-estatal.html</t>
        </is>
      </c>
      <c r="F411" s="49" t="n">
        <v>46319</v>
      </c>
      <c r="G411" s="51" t="n">
        <v>1</v>
      </c>
    </row>
    <row r="412" ht="54" customHeight="1">
      <c r="A412" s="29" t="inlineStr">
        <is>
          <t>malaga:action:gelir-vergisi-irpf-devlet-dilimleri-2</t>
        </is>
      </c>
      <c r="B412" s="29" t="inlineStr">
        <is>
          <t>malaga</t>
        </is>
      </c>
      <c r="C412" s="29" t="inlineStr">
        <is>
          <t>malaga:gelir-vergisi-irpf-devlet-dilimleri</t>
        </is>
      </c>
      <c r="D412" s="29" t="inlineStr">
        <is>
          <t>Bilgi al</t>
        </is>
      </c>
      <c r="E412" s="29" t="inlineStr">
        <is>
          <t>https://sede.agenciatributaria.gob.es/Sede/ayuda/manuales-videos-folletos/manuales-practicos/irpf-2025/c15-calculo-impuesto-determinacion-cuotas-integras/gravamen-base-liquidable-general/gravamen-autonomico.html</t>
        </is>
      </c>
      <c r="F412" s="49" t="n">
        <v>46319</v>
      </c>
      <c r="G412" s="51" t="n">
        <v>2</v>
      </c>
    </row>
    <row r="413" ht="54" customHeight="1">
      <c r="A413" s="29" t="inlineStr">
        <is>
          <t>malaga:action:kdv-iva-oranlari-1</t>
        </is>
      </c>
      <c r="B413" s="29" t="inlineStr">
        <is>
          <t>malaga</t>
        </is>
      </c>
      <c r="C413" s="29" t="inlineStr">
        <is>
          <t>malaga:kdv-iva-oranlari</t>
        </is>
      </c>
      <c r="D413" s="29" t="inlineStr">
        <is>
          <t>Tarifeyi gör</t>
        </is>
      </c>
      <c r="E413" s="29" t="inlineStr">
        <is>
          <t>https://sede.agenciatributaria.gob.es/Sede/iva/calculo-iva-repercutido-clientes/tipos-impositivos-iva.html</t>
        </is>
      </c>
      <c r="F413" s="49" t="n">
        <v>46319</v>
      </c>
      <c r="G413" s="51" t="n">
        <v>1</v>
      </c>
    </row>
    <row r="414" ht="54" customHeight="1">
      <c r="A414" s="29" t="inlineStr">
        <is>
          <t>malaga:action:kdv-iva-oranlari-2</t>
        </is>
      </c>
      <c r="B414" s="29" t="inlineStr">
        <is>
          <t>malaga</t>
        </is>
      </c>
      <c r="C414" s="29" t="inlineStr">
        <is>
          <t>malaga:kdv-iva-oranlari</t>
        </is>
      </c>
      <c r="D414" s="29" t="inlineStr">
        <is>
          <t>Bilgi al</t>
        </is>
      </c>
      <c r="E414" s="29" t="inlineStr">
        <is>
          <t>https://sede.agenciatributaria.gob.es/Sede/ayuda/manuales-videos-folletos/manuales-practicos/manual-iva-2025/capitulo-02-introduccion/territorio-que-se-aplica-impuesto.html</t>
        </is>
      </c>
      <c r="F414" s="49" t="n">
        <v>46319</v>
      </c>
      <c r="G414" s="51" t="n">
        <v>2</v>
      </c>
    </row>
    <row r="415" ht="54" customHeight="1">
      <c r="A415" s="29" t="inlineStr">
        <is>
          <t>malaga:action:yillik-gelir-vergisi-beyani-renta-1</t>
        </is>
      </c>
      <c r="B415" s="29" t="inlineStr">
        <is>
          <t>malaga</t>
        </is>
      </c>
      <c r="C415" s="29" t="inlineStr">
        <is>
          <t>malaga:yillik-gelir-vergisi-beyani-renta</t>
        </is>
      </c>
      <c r="D415" s="29" t="inlineStr">
        <is>
          <t>Bilgi al</t>
        </is>
      </c>
      <c r="E415" s="29" t="inlineStr">
        <is>
          <t>https://sede.agenciatributaria.gob.es/Sede/ayuda/manuales-videos-folletos/manuales-practicos/irpf-2025/c01-campana-declaracion-renta/confirmacion-borrador-presentacion-declaraciones/plazo-forma-presentacion.html</t>
        </is>
      </c>
      <c r="F415" s="49" t="n">
        <v>46319</v>
      </c>
      <c r="G415" s="51" t="n">
        <v>1</v>
      </c>
    </row>
    <row r="416" ht="54" customHeight="1">
      <c r="A416" s="29" t="inlineStr">
        <is>
          <t>malaga:action:yillik-gelir-vergisi-beyani-renta-2</t>
        </is>
      </c>
      <c r="B416" s="29" t="inlineStr">
        <is>
          <t>malaga</t>
        </is>
      </c>
      <c r="C416" s="29" t="inlineStr">
        <is>
          <t>malaga:yillik-gelir-vergisi-beyani-renta</t>
        </is>
      </c>
      <c r="D416" s="29" t="inlineStr">
        <is>
          <t>Bilgi al</t>
        </is>
      </c>
      <c r="E416" s="29" t="inlineStr">
        <is>
          <t>https://sede.agenciatributaria.gob.es/Sede/ayuda/manuales-videos-folletos/manuales-practicos/irpf-2025/c01-campana-declaracion-renta/quienes-estan-obligados-presentar-declaracion-irpf/delimitacion-obligacion-declarar-irpf.html</t>
        </is>
      </c>
      <c r="F416" s="49" t="n">
        <v>46319</v>
      </c>
      <c r="G416" s="51" t="n">
        <v>2</v>
      </c>
    </row>
    <row r="417" ht="54" customHeight="1">
      <c r="A417" s="29" t="inlineStr">
        <is>
          <t>malaga:action:vergi-iadesi-devolucion-renta-1</t>
        </is>
      </c>
      <c r="B417" s="29" t="inlineStr">
        <is>
          <t>malaga</t>
        </is>
      </c>
      <c r="C417" s="29" t="inlineStr">
        <is>
          <t>malaga:vergi-iadesi-devolucion-renta</t>
        </is>
      </c>
      <c r="D417" s="29" t="inlineStr">
        <is>
          <t>Bilgi al</t>
        </is>
      </c>
      <c r="E417" s="29" t="inlineStr">
        <is>
          <t>https://sede.agenciatributaria.gob.es/Sede/irpf/declaraciones-presentadas/consultar-devolucion.html</t>
        </is>
      </c>
      <c r="F417" s="49" t="n">
        <v>46319</v>
      </c>
      <c r="G417" s="51" t="n">
        <v>1</v>
      </c>
    </row>
    <row r="418" ht="54" customHeight="1">
      <c r="A418" s="29" t="inlineStr">
        <is>
          <t>malaga:action:gestor-asesor-vergi-beyani-temsil-1</t>
        </is>
      </c>
      <c r="B418" s="29" t="inlineStr">
        <is>
          <t>malaga</t>
        </is>
      </c>
      <c r="C418" s="29" t="inlineStr">
        <is>
          <t>malaga:gestor-asesor-vergi-beyani-temsil</t>
        </is>
      </c>
      <c r="D418" s="29" t="inlineStr">
        <is>
          <t>Bilgi al</t>
        </is>
      </c>
      <c r="E418" s="29" t="inlineStr">
        <is>
          <t>https://sede.agenciatributaria.gob.es/Sede/ayuda/manuales-videos-folletos/manuales-practicos/irpf-2025/c01-campana-declaracion-renta/confirmacion-borrador-presentacion-declaraciones/plazo-forma-presentacion.html</t>
        </is>
      </c>
      <c r="F418" s="49" t="n">
        <v>46319</v>
      </c>
      <c r="G418" s="51" t="n">
        <v>1</v>
      </c>
    </row>
    <row r="419" ht="54" customHeight="1">
      <c r="A419" s="29" t="inlineStr">
        <is>
          <t>malaga:action:gestor-asesor-vergi-beyani-temsil-2</t>
        </is>
      </c>
      <c r="B419" s="29" t="inlineStr">
        <is>
          <t>malaga</t>
        </is>
      </c>
      <c r="C419" s="29" t="inlineStr">
        <is>
          <t>malaga:gestor-asesor-vergi-beyani-temsil</t>
        </is>
      </c>
      <c r="D419" s="29" t="inlineStr">
        <is>
          <t>Bilgi al</t>
        </is>
      </c>
      <c r="E419" s="29" t="inlineStr">
        <is>
          <t>https://sede.agenciatributaria.gob.es/Sede/colaborar-agencia-tributaria/colaboracion-social-presentacion-declaraciones/preguntas-frecuentes-sobre-colaboracion-social.html</t>
        </is>
      </c>
      <c r="F419" s="49" t="n">
        <v>46319</v>
      </c>
      <c r="G419" s="51" t="n">
        <v>2</v>
      </c>
    </row>
    <row r="420" ht="54" customHeight="1">
      <c r="A420" s="29" t="inlineStr">
        <is>
          <t>malaga:action:arac-sigortasi-zorunlulugu-ve-hipotek-sigortalari-1</t>
        </is>
      </c>
      <c r="B420" s="29" t="inlineStr">
        <is>
          <t>malaga</t>
        </is>
      </c>
      <c r="C420" s="29" t="inlineStr">
        <is>
          <t>malaga:arac-sigortasi-zorunlulugu-ve-hipotek-sigortalari</t>
        </is>
      </c>
      <c r="D420" s="29" t="inlineStr">
        <is>
          <t>Bilgi al</t>
        </is>
      </c>
      <c r="E420" s="29" t="inlineStr">
        <is>
          <t>https://www.boe.es/buscar/act.php?id=BOE-A-2004-18911</t>
        </is>
      </c>
      <c r="F420" s="49" t="n">
        <v>46319</v>
      </c>
      <c r="G420" s="51" t="n">
        <v>1</v>
      </c>
    </row>
    <row r="421" ht="54" customHeight="1">
      <c r="A421" s="29" t="inlineStr">
        <is>
          <t>malaga:action:arac-sigortasi-zorunlulugu-ve-hipotek-sigortalari-2</t>
        </is>
      </c>
      <c r="B421" s="29" t="inlineStr">
        <is>
          <t>malaga</t>
        </is>
      </c>
      <c r="C421" s="29" t="inlineStr">
        <is>
          <t>malaga:arac-sigortasi-zorunlulugu-ve-hipotek-sigortalari</t>
        </is>
      </c>
      <c r="D421" s="29" t="inlineStr">
        <is>
          <t>Bilgi al</t>
        </is>
      </c>
      <c r="E421" s="29" t="inlineStr">
        <is>
          <t>https://clientebancario.bde.es/pcb/es/menu-horizontal/productosservici/financiacion/hipotecas/guia-textual/primerospasoscon/Seguros_hipotecarios.html</t>
        </is>
      </c>
      <c r="F421" s="49" t="n">
        <v>46319</v>
      </c>
      <c r="G421" s="51" t="n">
        <v>2</v>
      </c>
    </row>
    <row r="422" ht="54" customHeight="1">
      <c r="A422" s="29" t="inlineStr">
        <is>
          <t>malaga:action:emeklilik-yasi-ve-prim-suresi-1</t>
        </is>
      </c>
      <c r="B422" s="29" t="inlineStr">
        <is>
          <t>malaga</t>
        </is>
      </c>
      <c r="C422" s="29" t="inlineStr">
        <is>
          <t>malaga:emeklilik-yasi-ve-prim-suresi</t>
        </is>
      </c>
      <c r="D422" s="29" t="inlineStr">
        <is>
          <t>Bilgi al</t>
        </is>
      </c>
      <c r="E422" s="29" t="inlineStr">
        <is>
          <t>https://www.seg-social.es/wps/portal/wss/internet/Trabajadores/PrestacionesPensionesTrabajadores/10963/28393/28396/28472</t>
        </is>
      </c>
      <c r="F422" s="49" t="n">
        <v>46319</v>
      </c>
      <c r="G422" s="51" t="n">
        <v>1</v>
      </c>
    </row>
    <row r="423" ht="54" customHeight="1">
      <c r="A423" s="29" t="inlineStr">
        <is>
          <t>malaga:action:emeklilik-yasi-ve-prim-suresi-2</t>
        </is>
      </c>
      <c r="B423" s="29" t="inlineStr">
        <is>
          <t>malaga</t>
        </is>
      </c>
      <c r="C423" s="29" t="inlineStr">
        <is>
          <t>malaga:emeklilik-yasi-ve-prim-suresi</t>
        </is>
      </c>
      <c r="D423" s="29" t="inlineStr">
        <is>
          <t>Bilgi al</t>
        </is>
      </c>
      <c r="E423" s="29" t="inlineStr">
        <is>
          <t>https://www.boe.es/buscar/act.php?id=BOE-A-2026-7296</t>
        </is>
      </c>
      <c r="F423" s="49" t="n">
        <v>46319</v>
      </c>
      <c r="G423" s="51" t="n">
        <v>2</v>
      </c>
    </row>
    <row r="424" ht="54" customHeight="1">
      <c r="A424" s="29" t="inlineStr">
        <is>
          <t>malaga:action:bizum-nedir-nasil-kullanilir-1</t>
        </is>
      </c>
      <c r="B424" s="29" t="inlineStr">
        <is>
          <t>malaga</t>
        </is>
      </c>
      <c r="C424" s="29" t="inlineStr">
        <is>
          <t>malaga:bizum-nedir-nasil-kullanilir</t>
        </is>
      </c>
      <c r="D424" s="29" t="inlineStr">
        <is>
          <t>Bilgi al</t>
        </is>
      </c>
      <c r="E424" s="29" t="inlineStr">
        <is>
          <t>https://clientebancario.bde.es/pcb/es/blog/bizum--te-contamos-todos-sus-secretos.html</t>
        </is>
      </c>
      <c r="F424" s="49" t="n">
        <v>46319</v>
      </c>
      <c r="G424" s="51" t="n">
        <v>1</v>
      </c>
    </row>
    <row r="425" ht="54" customHeight="1">
      <c r="A425" s="29" t="inlineStr">
        <is>
          <t>malaga:action:banka-ucretleri-ve-seffaflik-haklari-1</t>
        </is>
      </c>
      <c r="B425" s="29" t="inlineStr">
        <is>
          <t>malaga</t>
        </is>
      </c>
      <c r="C425" s="29" t="inlineStr">
        <is>
          <t>malaga:banka-ucretleri-ve-seffaflik-haklari</t>
        </is>
      </c>
      <c r="D425" s="29" t="inlineStr">
        <is>
          <t>Bilgi al</t>
        </is>
      </c>
      <c r="E425" s="29" t="inlineStr">
        <is>
          <t>https://clientebancario.bde.es/pcb/es/menu-horizontal/productosservici/relacionados/comisiones/</t>
        </is>
      </c>
      <c r="F425" s="49" t="n">
        <v>46319</v>
      </c>
      <c r="G425" s="51" t="n">
        <v>1</v>
      </c>
    </row>
    <row r="426" ht="54" customHeight="1">
      <c r="A426" s="29" t="inlineStr">
        <is>
          <t>malaga:action:banka-ucretleri-ve-seffaflik-haklari-2</t>
        </is>
      </c>
      <c r="B426" s="29" t="inlineStr">
        <is>
          <t>malaga</t>
        </is>
      </c>
      <c r="C426" s="29" t="inlineStr">
        <is>
          <t>malaga:banka-ucretleri-ve-seffaflik-haklari</t>
        </is>
      </c>
      <c r="D426" s="29" t="inlineStr">
        <is>
          <t>Bilgi al</t>
        </is>
      </c>
      <c r="E426" s="29" t="inlineStr">
        <is>
          <t>https://clientebancario.bde.es/pcb/es/menu-horizontal/productosservici/cuentasdepositos/cuentascorriente/guia-textual/CuentadepagoBasica/comisiones.html</t>
        </is>
      </c>
      <c r="F426" s="49" t="n">
        <v>46319</v>
      </c>
      <c r="G426" s="51" t="n">
        <v>2</v>
      </c>
    </row>
    <row r="427" ht="54" customHeight="1">
      <c r="A427" s="29" t="inlineStr">
        <is>
          <t>malaga:action:beckham-yasasi-ozel-vergi-rejimi-1</t>
        </is>
      </c>
      <c r="B427" s="29" t="inlineStr">
        <is>
          <t>malaga</t>
        </is>
      </c>
      <c r="C427" s="29" t="inlineStr">
        <is>
          <t>malaga:beckham-yasasi-ozel-vergi-rejimi</t>
        </is>
      </c>
      <c r="D427" s="29" t="inlineStr">
        <is>
          <t>Bilgi al</t>
        </is>
      </c>
      <c r="E427" s="29" t="inlineStr">
        <is>
          <t>https://sede.agenciatributaria.gob.es/Sede/ayuda/manuales-videos-folletos/manuales-practicos/irpf-2025/c02-irpf-cuestiones-generales/sujecion-irpf-aspectos-personales/regimen-fiscal-especial-aplicable-trabajadores-desplazados/regimen-aplicable-trabajadores-desplazados/ambito-aplicacion.html</t>
        </is>
      </c>
      <c r="F427" s="49" t="n">
        <v>46319</v>
      </c>
      <c r="G427" s="51" t="n">
        <v>1</v>
      </c>
    </row>
    <row r="428" ht="54" customHeight="1">
      <c r="A428" s="29" t="inlineStr">
        <is>
          <t>malaga:action:beckham-yasasi-ozel-vergi-rejimi-2</t>
        </is>
      </c>
      <c r="B428" s="29" t="inlineStr">
        <is>
          <t>malaga</t>
        </is>
      </c>
      <c r="C428" s="29" t="inlineStr">
        <is>
          <t>malaga:beckham-yasasi-ozel-vergi-rejimi</t>
        </is>
      </c>
      <c r="D428" s="29" t="inlineStr">
        <is>
          <t>Bilgi al</t>
        </is>
      </c>
      <c r="E428" s="29" t="inlineStr">
        <is>
          <t>https://sede.agenciatributaria.gob.es/Sede/ayuda/manuales-videos-folletos/manuales-practicos/irpf-2025/c15-calculo-impuesto-determinacion-cuotas-integras/regimen-fiscal-especial-aplicable-trabajadores.html</t>
        </is>
      </c>
      <c r="F428" s="49" t="n">
        <v>46319</v>
      </c>
      <c r="G428" s="51" t="n">
        <v>2</v>
      </c>
    </row>
    <row r="429" ht="54" customHeight="1">
      <c r="A429" s="29" t="inlineStr">
        <is>
          <t>malaga:action:endulus-gelir-vergisi-irpf-bolge-dilimleri-ve-indirimleri-1</t>
        </is>
      </c>
      <c r="B429" s="29" t="inlineStr">
        <is>
          <t>malaga</t>
        </is>
      </c>
      <c r="C429" s="29" t="inlineStr">
        <is>
          <t>malaga:endulus-gelir-vergisi-irpf-bolge-dilimleri-ve-indirimleri</t>
        </is>
      </c>
      <c r="D429" s="29" t="inlineStr">
        <is>
          <t>Bilgi al</t>
        </is>
      </c>
      <c r="E429" s="29" t="inlineStr">
        <is>
          <t>https://www.juntadeandalucia.es/organismos/economiahaciendayfondoseuropeos/areas/tributos-juego/tributos/paginas/medidasautirpf25.html</t>
        </is>
      </c>
      <c r="F429" s="49" t="n">
        <v>46319</v>
      </c>
      <c r="G429" s="51" t="n">
        <v>1</v>
      </c>
    </row>
    <row r="430" ht="54" customHeight="1">
      <c r="A430" s="29" t="inlineStr">
        <is>
          <t>malaga:action:endulus-gelir-vergisi-irpf-bolge-dilimleri-ve-indirimleri-2</t>
        </is>
      </c>
      <c r="B430" s="29" t="inlineStr">
        <is>
          <t>malaga</t>
        </is>
      </c>
      <c r="C430" s="29" t="inlineStr">
        <is>
          <t>malaga:endulus-gelir-vergisi-irpf-bolge-dilimleri-ve-indirimleri</t>
        </is>
      </c>
      <c r="D430" s="29" t="inlineStr">
        <is>
          <t>Bilgi al</t>
        </is>
      </c>
      <c r="E430" s="29" t="inlineStr">
        <is>
          <t>https://www.boe.es/buscar/act.php?id=BOE-A-2021-17915</t>
        </is>
      </c>
      <c r="F430" s="49" t="n">
        <v>46319</v>
      </c>
      <c r="G430" s="51" t="n">
        <v>2</v>
      </c>
    </row>
    <row r="431" ht="54" customHeight="1">
      <c r="A431" s="29" t="inlineStr">
        <is>
          <t>malaga:action:endulus-ikinci-el-konut-alimi-itp-indirimli-oranlar-1</t>
        </is>
      </c>
      <c r="B431" s="29" t="inlineStr">
        <is>
          <t>malaga</t>
        </is>
      </c>
      <c r="C431" s="29" t="inlineStr">
        <is>
          <t>malaga:endulus-ikinci-el-konut-alimi-itp-indirimli-oranlar</t>
        </is>
      </c>
      <c r="D431" s="29" t="inlineStr">
        <is>
          <t>Bilgi al</t>
        </is>
      </c>
      <c r="E431" s="29" t="inlineStr">
        <is>
          <t>https://www.juntadeandalucia.es/organismos/economiahaciendayfondoseuropeos/areas/tributos-juego/tributos/paginas/polit-social.html</t>
        </is>
      </c>
      <c r="F431" s="49" t="n">
        <v>46319</v>
      </c>
      <c r="G431" s="51" t="n">
        <v>1</v>
      </c>
    </row>
    <row r="432" ht="54" customHeight="1">
      <c r="A432" s="29" t="inlineStr">
        <is>
          <t>malaga:action:endulus-ikinci-el-konut-alimi-itp-indirimli-oranlar-2</t>
        </is>
      </c>
      <c r="B432" s="29" t="inlineStr">
        <is>
          <t>malaga</t>
        </is>
      </c>
      <c r="C432" s="29" t="inlineStr">
        <is>
          <t>malaga:endulus-ikinci-el-konut-alimi-itp-indirimli-oranlar</t>
        </is>
      </c>
      <c r="D432" s="29" t="inlineStr">
        <is>
          <t>Bilgi al</t>
        </is>
      </c>
      <c r="E432" s="29" t="inlineStr">
        <is>
          <t>https://www.boe.es/buscar/act.php?id=BOE-A-2021-17915</t>
        </is>
      </c>
      <c r="F432" s="49" t="n">
        <v>46319</v>
      </c>
      <c r="G432" s="51" t="n">
        <v>2</v>
      </c>
    </row>
    <row r="433" ht="54" customHeight="1">
      <c r="A433" s="29" t="inlineStr">
        <is>
          <t>malaga:action:malaga-emlak-vergisi-ibi-kim-oder-oran-ve-odeme-takvimi-1</t>
        </is>
      </c>
      <c r="B433" s="29" t="inlineStr">
        <is>
          <t>malaga</t>
        </is>
      </c>
      <c r="C433" s="29" t="inlineStr">
        <is>
          <t>malaga:malaga-emlak-vergisi-ibi-kim-oder-oran-ve-odeme-takvimi</t>
        </is>
      </c>
      <c r="D433" s="29" t="inlineStr">
        <is>
          <t>Bilgi al</t>
        </is>
      </c>
      <c r="E433" s="29" t="inlineStr">
        <is>
          <t>https://gestrisam.malaga.eu/tributos/tributos-destacados/i.b.i./</t>
        </is>
      </c>
      <c r="F433" s="49" t="n">
        <v>46322</v>
      </c>
      <c r="G433" s="51" t="n">
        <v>1</v>
      </c>
    </row>
    <row r="434" ht="54" customHeight="1">
      <c r="A434" s="29" t="inlineStr">
        <is>
          <t>malaga:action:malaga-emlak-vergisi-ibi-kim-oder-oran-ve-odeme-takvimi-2</t>
        </is>
      </c>
      <c r="B434" s="29" t="inlineStr">
        <is>
          <t>malaga</t>
        </is>
      </c>
      <c r="C434" s="29" t="inlineStr">
        <is>
          <t>malaga:malaga-emlak-vergisi-ibi-kim-oder-oran-ve-odeme-takvimi</t>
        </is>
      </c>
      <c r="D434" s="29" t="inlineStr">
        <is>
          <t>Takvimi gör</t>
        </is>
      </c>
      <c r="E434" s="29" t="inlineStr">
        <is>
          <t>https://gestrisam.malaga.eu/tributos/calendario-fiscal-y-de-pagos/</t>
        </is>
      </c>
      <c r="F434" s="49" t="n">
        <v>46322</v>
      </c>
      <c r="G434" s="51" t="n">
        <v>2</v>
      </c>
    </row>
    <row r="435" ht="54" customHeight="1">
      <c r="A435" s="29" t="inlineStr">
        <is>
          <t>malaga:action:malaga-arac-vergisi-ivtm-odeme-satis-ve-terk-1</t>
        </is>
      </c>
      <c r="B435" s="29" t="inlineStr">
        <is>
          <t>malaga</t>
        </is>
      </c>
      <c r="C435" s="29" t="inlineStr">
        <is>
          <t>malaga:malaga-arac-vergisi-ivtm-odeme-satis-ve-terk</t>
        </is>
      </c>
      <c r="D435" s="29" t="inlineStr">
        <is>
          <t>Bilgi al</t>
        </is>
      </c>
      <c r="E435" s="29" t="inlineStr">
        <is>
          <t>https://gestrisam.malaga.eu/tributos/tributos-destacados/i.v.t.m./</t>
        </is>
      </c>
      <c r="F435" s="49" t="n">
        <v>46322</v>
      </c>
      <c r="G435" s="51" t="n">
        <v>1</v>
      </c>
    </row>
    <row r="436" ht="54" customHeight="1">
      <c r="A436" s="29" t="inlineStr">
        <is>
          <t>malaga:action:malaga-arac-vergisi-ivtm-odeme-satis-ve-terk-2</t>
        </is>
      </c>
      <c r="B436" s="29" t="inlineStr">
        <is>
          <t>malaga</t>
        </is>
      </c>
      <c r="C436" s="29" t="inlineStr">
        <is>
          <t>malaga:malaga-arac-vergisi-ivtm-odeme-satis-ve-terk</t>
        </is>
      </c>
      <c r="D436" s="29" t="inlineStr">
        <is>
          <t>Takvimi gör</t>
        </is>
      </c>
      <c r="E436" s="29" t="inlineStr">
        <is>
          <t>https://gestrisam.malaga.eu/tributos/calendario-fiscal-y-de-pagos/</t>
        </is>
      </c>
      <c r="F436" s="49" t="n">
        <v>46322</v>
      </c>
      <c r="G436" s="51" t="n">
        <v>2</v>
      </c>
    </row>
    <row r="437" ht="54" customHeight="1">
      <c r="A437" s="29" t="inlineStr">
        <is>
          <t>malaga:action:malaga-plusvalia-arsa-deger-artisi-vergisi-beyani-1</t>
        </is>
      </c>
      <c r="B437" s="29" t="inlineStr">
        <is>
          <t>malaga</t>
        </is>
      </c>
      <c r="C437" s="29" t="inlineStr">
        <is>
          <t>malaga:malaga-plusvalia-arsa-deger-artisi-vergisi-beyani</t>
        </is>
      </c>
      <c r="D437" s="29" t="inlineStr">
        <is>
          <t>Bilgi al</t>
        </is>
      </c>
      <c r="E437" s="29" t="inlineStr">
        <is>
          <t>https://gestrisam.malaga.eu/tributos/tributos-destacados/plusvalia/</t>
        </is>
      </c>
      <c r="F437" s="49" t="n">
        <v>46322</v>
      </c>
      <c r="G437" s="51" t="n">
        <v>1</v>
      </c>
    </row>
    <row r="438" ht="54" customHeight="1">
      <c r="A438" s="29" t="inlineStr">
        <is>
          <t>malaga:action:malaga-agencia-tributaria-ofisleri-ve-renta-randevusu-1</t>
        </is>
      </c>
      <c r="B438" s="29" t="inlineStr">
        <is>
          <t>malaga</t>
        </is>
      </c>
      <c r="C438" s="29" t="inlineStr">
        <is>
          <t>malaga:malaga-agencia-tributaria-ofisleri-ve-renta-randevusu</t>
        </is>
      </c>
      <c r="D438" s="29" t="inlineStr">
        <is>
          <t>Randevu al</t>
        </is>
      </c>
      <c r="E438" s="29" t="inlineStr">
        <is>
          <t>https://sede.agenciatributaria.gob.es/Sede/cita-renta/informacion.html</t>
        </is>
      </c>
      <c r="F438" s="49" t="n">
        <v>46322</v>
      </c>
      <c r="G438" s="51" t="n">
        <v>1</v>
      </c>
    </row>
    <row r="439" ht="54" customHeight="1">
      <c r="A439" s="29" t="inlineStr">
        <is>
          <t>malaga:action:malaga-agencia-tributaria-ofisleri-ve-renta-randevusu-2</t>
        </is>
      </c>
      <c r="B439" s="29" t="inlineStr">
        <is>
          <t>malaga</t>
        </is>
      </c>
      <c r="C439" s="29" t="inlineStr">
        <is>
          <t>malaga:malaga-agencia-tributaria-ofisleri-ve-renta-randevusu</t>
        </is>
      </c>
      <c r="D439" s="29" t="inlineStr">
        <is>
          <t>Bilgi al</t>
        </is>
      </c>
      <c r="E439" s="29" t="inlineStr">
        <is>
          <t>https://sede.agenciatributaria.gob.es/Sede/buscador-oficinas/malaga.html</t>
        </is>
      </c>
      <c r="F439" s="49" t="n">
        <v>46322</v>
      </c>
      <c r="G439" s="51" t="n">
        <v>2</v>
      </c>
    </row>
    <row r="440" ht="54" customHeight="1">
      <c r="A440" s="29" t="inlineStr">
        <is>
          <t>malaga:action:malaga-sosyal-hizmetler-merkezleri-ve-belediye-ekonomik-yardimlari-1</t>
        </is>
      </c>
      <c r="B440" s="29" t="inlineStr">
        <is>
          <t>malaga</t>
        </is>
      </c>
      <c r="C440" s="29" t="inlineStr">
        <is>
          <t>malaga:malaga-sosyal-hizmetler-merkezleri-ve-belediye-ekonomik-yardimlari</t>
        </is>
      </c>
      <c r="D440" s="29" t="inlineStr">
        <is>
          <t>Ziyaret bilgisi</t>
        </is>
      </c>
      <c r="E440" s="29" t="inlineStr">
        <is>
          <t>https://derechossociales.malaga.eu/servicios-sociales-comunitarios/centros/</t>
        </is>
      </c>
      <c r="F440" s="49" t="n">
        <v>46322</v>
      </c>
      <c r="G440" s="51" t="n">
        <v>1</v>
      </c>
    </row>
    <row r="441" ht="54" customHeight="1">
      <c r="A441" s="29" t="inlineStr">
        <is>
          <t>malaga:action:malaga-sosyal-hizmetler-merkezleri-ve-belediye-ekonomik-yardimlari-2</t>
        </is>
      </c>
      <c r="B441" s="29" t="inlineStr">
        <is>
          <t>malaga</t>
        </is>
      </c>
      <c r="C441" s="29" t="inlineStr">
        <is>
          <t>malaga:malaga-sosyal-hizmetler-merkezleri-ve-belediye-ekonomik-yardimlari</t>
        </is>
      </c>
      <c r="D441" s="29" t="inlineStr">
        <is>
          <t>Bilgi al</t>
        </is>
      </c>
      <c r="E441" s="29" t="inlineStr">
        <is>
          <t>https://derechossociales.malaga.eu/servicios-sociales-comunitarios/prestaciones/</t>
        </is>
      </c>
      <c r="F441" s="49" t="n">
        <v>46322</v>
      </c>
      <c r="G441" s="51" t="n">
        <v>2</v>
      </c>
    </row>
    <row r="442" ht="54" customHeight="1">
      <c r="A442" s="29" t="inlineStr">
        <is>
          <t>malaga:action:endulus-asgari-gelir-destegi-rmisa-kimler-alir-nereden-basvurulur-1</t>
        </is>
      </c>
      <c r="B442" s="29" t="inlineStr">
        <is>
          <t>malaga</t>
        </is>
      </c>
      <c r="C442" s="29" t="inlineStr">
        <is>
          <t>malaga:endulus-asgari-gelir-destegi-rmisa-kimler-alir-nereden-basvurulur</t>
        </is>
      </c>
      <c r="D442" s="29" t="inlineStr">
        <is>
          <t>Başvur</t>
        </is>
      </c>
      <c r="E442" s="29" t="inlineStr">
        <is>
          <t>https://www.juntadeandalucia.es/organismos/inclusionsocialjuventudfamiliaseigualdad/areas/inclusion/rmi.html</t>
        </is>
      </c>
      <c r="F442" s="49" t="n">
        <v>46322</v>
      </c>
      <c r="G442" s="51" t="n">
        <v>1</v>
      </c>
    </row>
    <row r="443" ht="54" customHeight="1">
      <c r="A443" s="29" t="inlineStr">
        <is>
          <t>malaga:action:banka-hesabi-acarken-istenen-kimlik-ve-para-kaynagi-belgeleri-1</t>
        </is>
      </c>
      <c r="B443" s="29" t="inlineStr">
        <is>
          <t>malaga</t>
        </is>
      </c>
      <c r="C443" s="29" t="inlineStr">
        <is>
          <t>malaga:banka-hesabi-acarken-istenen-kimlik-ve-para-kaynagi-belgeleri</t>
        </is>
      </c>
      <c r="D443" s="29" t="inlineStr">
        <is>
          <t>Bilgi al</t>
        </is>
      </c>
      <c r="E443" s="29" t="inlineStr">
        <is>
          <t>https://clientebancario.bde.es/pcb/es/blog/cuales-son-los-tramites-para-abrir-una-cuenta-.html</t>
        </is>
      </c>
      <c r="F443" s="49" t="n">
        <v>46322</v>
      </c>
      <c r="G443" s="51" t="n">
        <v>1</v>
      </c>
    </row>
    <row r="444" ht="54" customHeight="1">
      <c r="A444" s="29" t="inlineStr">
        <is>
          <t>malaga:action:malaga-plusvalia-arsa-deger-artisi-vergisi-beyani-2</t>
        </is>
      </c>
      <c r="B444" s="29" t="inlineStr">
        <is>
          <t>malaga</t>
        </is>
      </c>
      <c r="C444" s="29" t="inlineStr">
        <is>
          <t>malaga:malaga-plusvalia-arsa-deger-artisi-vergisi-beyani</t>
        </is>
      </c>
      <c r="D444" s="29" t="inlineStr">
        <is>
          <t>Randevu al</t>
        </is>
      </c>
      <c r="E444" s="29" t="inlineStr">
        <is>
          <t>https://gestrisam.malaga.eu/atencion-a-la-ciudadania/atencion-presencial/</t>
        </is>
      </c>
      <c r="F444" s="49" t="n">
        <v>46322</v>
      </c>
      <c r="G444" s="51" t="n">
        <v>2</v>
      </c>
    </row>
    <row r="445" ht="54" customHeight="1">
      <c r="A445" s="29" t="inlineStr">
        <is>
          <t>malaga:action:gestrisam-vergi-ofisi-adres-saat-ve-randevu-1</t>
        </is>
      </c>
      <c r="B445" s="29" t="inlineStr">
        <is>
          <t>malaga</t>
        </is>
      </c>
      <c r="C445" s="29" t="inlineStr">
        <is>
          <t>malaga:gestrisam-vergi-ofisi-adres-saat-ve-randevu</t>
        </is>
      </c>
      <c r="D445" s="29" t="inlineStr">
        <is>
          <t>Randevu al</t>
        </is>
      </c>
      <c r="E445" s="29" t="inlineStr">
        <is>
          <t>https://gestrisam.malaga.eu/atencion-a-la-ciudadania/atencion-presencial/</t>
        </is>
      </c>
      <c r="F445" s="49" t="n">
        <v>46322</v>
      </c>
      <c r="G445" s="51" t="n">
        <v>1</v>
      </c>
    </row>
    <row r="446" ht="54" customHeight="1">
      <c r="A446" s="29" t="inlineStr">
        <is>
          <t>malaga:action:tasinma-oncesi-vize-ve-ilk-oturum-izni-1</t>
        </is>
      </c>
      <c r="B446" s="29" t="inlineStr">
        <is>
          <t>malaga</t>
        </is>
      </c>
      <c r="C446" s="29" t="inlineStr">
        <is>
          <t>malaga:tasinma-oncesi-vize-ve-ilk-oturum-izni</t>
        </is>
      </c>
      <c r="D446" s="29" t="inlineStr">
        <is>
          <t>Bilgi al</t>
        </is>
      </c>
      <c r="E446" s="29" t="inlineStr">
        <is>
          <t>https://www.exteriores.gob.es/Consulados/estambul/es/ServiciosConsulares/Paginas/index.aspx?scca=Visados&amp;scco=Turqu%C3%ADa&amp;scd=141&amp;scs=Visados+Nacionales+-+Visado+de+residencia+no+lucrativa</t>
        </is>
      </c>
      <c r="F446" s="49" t="n">
        <v>46319</v>
      </c>
      <c r="G446" s="51" t="n">
        <v>1</v>
      </c>
    </row>
    <row r="447" ht="54" customHeight="1">
      <c r="A447" s="29" t="inlineStr">
        <is>
          <t>malaga:action:oturum-vizesi-basvurusunda-getirilecek-belgeler-1</t>
        </is>
      </c>
      <c r="B447" s="29" t="inlineStr">
        <is>
          <t>malaga</t>
        </is>
      </c>
      <c r="C447" s="29" t="inlineStr">
        <is>
          <t>malaga:oturum-vizesi-basvurusunda-getirilecek-belgeler</t>
        </is>
      </c>
      <c r="D447" s="29" t="inlineStr">
        <is>
          <t>Bilgi al</t>
        </is>
      </c>
      <c r="E447" s="29" t="inlineStr">
        <is>
          <t>https://www.exteriores.gob.es/Consulados/estambul/es/ServiciosConsulares/Paginas/index.aspx?scca=Visados&amp;scco=Turqu%C3%ADa&amp;scd=141&amp;scs=Visados+Nacionales+-+Visado+de+residencia+no+lucrativa</t>
        </is>
      </c>
      <c r="F447" s="49" t="n">
        <v>46319</v>
      </c>
      <c r="G447" s="51" t="n">
        <v>1</v>
      </c>
    </row>
    <row r="448" ht="54" customHeight="1">
      <c r="A448" s="29" t="inlineStr">
        <is>
          <t>malaga:action:ilk-gunlerde-nuss-ve-temel-odeme-hesabi-1</t>
        </is>
      </c>
      <c r="B448" s="29" t="inlineStr">
        <is>
          <t>malaga</t>
        </is>
      </c>
      <c r="C448" s="29" t="inlineStr">
        <is>
          <t>malaga:ilk-gunlerde-nuss-ve-temel-odeme-hesabi</t>
        </is>
      </c>
      <c r="D448" s="29" t="inlineStr">
        <is>
          <t>Başvur</t>
        </is>
      </c>
      <c r="E448" s="29" t="inlineStr">
        <is>
          <t>https://portal.seg-social.gob.es/wps/portal/importass/importass/Categorias/Altas,+bajas+y+modificaciones/Altas+y+afiliacion+de+trabajadores/Solicitar+el+numero+de+la+Seguridad+Social</t>
        </is>
      </c>
      <c r="F448" s="49" t="n">
        <v>46319</v>
      </c>
      <c r="G448" s="51" t="n">
        <v>1</v>
      </c>
    </row>
    <row r="449" ht="54" customHeight="1">
      <c r="A449" s="29" t="inlineStr">
        <is>
          <t>malaga:action:ilk-gunlerde-nuss-ve-temel-odeme-hesabi-2</t>
        </is>
      </c>
      <c r="B449" s="29" t="inlineStr">
        <is>
          <t>malaga</t>
        </is>
      </c>
      <c r="C449" s="29" t="inlineStr">
        <is>
          <t>malaga:ilk-gunlerde-nuss-ve-temel-odeme-hesabi</t>
        </is>
      </c>
      <c r="D449" s="29" t="inlineStr">
        <is>
          <t>Bilgi al</t>
        </is>
      </c>
      <c r="E449" s="29" t="inlineStr">
        <is>
          <t>https://clientebancario.bde.es/pcb/es/menu-horizontal/productosservici/cuentasdepositos/cuentascorriente/guia-textual/CuentadepagoBasica/quienes-pueden-solicitarla-.html</t>
        </is>
      </c>
      <c r="F449" s="49" t="n">
        <v>46319</v>
      </c>
      <c r="G449" s="51" t="n">
        <v>2</v>
      </c>
    </row>
    <row r="450" ht="54" customHeight="1">
      <c r="A450" s="29" t="inlineStr">
        <is>
          <t>malaga:action:ab-disindan-gelirken-esya-ve-nakit-gumruk-beyani-1</t>
        </is>
      </c>
      <c r="B450" s="29" t="inlineStr">
        <is>
          <t>malaga</t>
        </is>
      </c>
      <c r="C450" s="29" t="inlineStr">
        <is>
          <t>malaga:ab-disindan-gelirken-esya-ve-nakit-gumruk-beyani</t>
        </is>
      </c>
      <c r="D450" s="29" t="inlineStr">
        <is>
          <t>Bilgi al</t>
        </is>
      </c>
      <c r="E450" s="29" t="inlineStr">
        <is>
          <t>https://sede.agenciatributaria.gob.es/Sede/viajeros-trabajadores-desplazados-fronterizos/viajeros/medios-pago.html</t>
        </is>
      </c>
      <c r="F450" s="49" t="n">
        <v>46319</v>
      </c>
      <c r="G450" s="51" t="n">
        <v>1</v>
      </c>
    </row>
    <row r="451" ht="54" customHeight="1">
      <c r="A451" s="29" t="inlineStr">
        <is>
          <t>malaga:action:ab-disindan-gelirken-esya-ve-nakit-gumruk-beyani-2</t>
        </is>
      </c>
      <c r="B451" s="29" t="inlineStr">
        <is>
          <t>malaga</t>
        </is>
      </c>
      <c r="C451" s="29" t="inlineStr">
        <is>
          <t>malaga:ab-disindan-gelirken-esya-ve-nakit-gumruk-beyani</t>
        </is>
      </c>
      <c r="D451" s="29" t="inlineStr">
        <is>
          <t>Bilgi al</t>
        </is>
      </c>
      <c r="E451" s="29" t="inlineStr">
        <is>
          <t>https://sede.agenciatributaria.gob.es/Sede/no-residentes/exenciones-viajeros-embajadas-otros/traslado-actividad-empresarial-residencia-otros/traslado-residencia-franquicias-exencion-impuestos.html</t>
        </is>
      </c>
      <c r="F451" s="49" t="n">
        <v>46319</v>
      </c>
      <c r="G451" s="51" t="n">
        <v>2</v>
      </c>
    </row>
    <row r="452" ht="54" customHeight="1">
      <c r="A452" s="29" t="inlineStr">
        <is>
          <t>malaga:action:ab-disindan-evcil-hayvanla-ispanyaya-giris-1</t>
        </is>
      </c>
      <c r="B452" s="29" t="inlineStr">
        <is>
          <t>malaga</t>
        </is>
      </c>
      <c r="C452" s="29" t="inlineStr">
        <is>
          <t>malaga:ab-disindan-evcil-hayvanla-ispanyaya-giris</t>
        </is>
      </c>
      <c r="D452" s="29" t="inlineStr">
        <is>
          <t>Bilgi al</t>
        </is>
      </c>
      <c r="E452" s="29" t="inlineStr">
        <is>
          <t>https://sede.agenciatributaria.gob.es/Sede/viajeros-trabajadores-desplazados-fronterizos/viajeros/mascotas-animales-compania.html</t>
        </is>
      </c>
      <c r="F452" s="49" t="n">
        <v>46319</v>
      </c>
      <c r="G452" s="51" t="n">
        <v>1</v>
      </c>
    </row>
    <row r="453" ht="54" customHeight="1">
      <c r="A453" s="29" t="inlineStr">
        <is>
          <t>malaga:action:oturum-ve-ogrenci-vizesinde-saglik-sigortasi-sarti-1</t>
        </is>
      </c>
      <c r="B453" s="29" t="inlineStr">
        <is>
          <t>malaga</t>
        </is>
      </c>
      <c r="C453" s="29" t="inlineStr">
        <is>
          <t>malaga:oturum-ve-ogrenci-vizesinde-saglik-sigortasi-sarti</t>
        </is>
      </c>
      <c r="D453" s="29" t="inlineStr">
        <is>
          <t>Bilgi al</t>
        </is>
      </c>
      <c r="E453" s="29" t="inlineStr">
        <is>
          <t>https://www.exteriores.gob.es/Consulados/estambul/es/ServiciosConsulares/Paginas/index.aspx?scca=Visados&amp;scco=Turqu%C3%ADa&amp;scd=141&amp;scs=Visados+Nacionales+-+Visado+de+residencia+no+lucrativa</t>
        </is>
      </c>
      <c r="F453" s="49" t="n">
        <v>46319</v>
      </c>
      <c r="G453" s="51" t="n">
        <v>1</v>
      </c>
    </row>
    <row r="454" ht="54" customHeight="1">
      <c r="A454" s="29" t="inlineStr">
        <is>
          <t>malaga:action:oturum-ve-ogrenci-vizesinde-saglik-sigortasi-sarti-2</t>
        </is>
      </c>
      <c r="B454" s="29" t="inlineStr">
        <is>
          <t>malaga</t>
        </is>
      </c>
      <c r="C454" s="29" t="inlineStr">
        <is>
          <t>malaga:oturum-ve-ogrenci-vizesinde-saglik-sigortasi-sarti</t>
        </is>
      </c>
      <c r="D454" s="29" t="inlineStr">
        <is>
          <t>Bilgi al</t>
        </is>
      </c>
      <c r="E454" s="29" t="inlineStr">
        <is>
          <t>https://www.exteriores.gob.es/Consulados/estambul/es/ServiciosConsulares/Paginas/index.aspx?scca=Visados&amp;scco=Turqu%C3%ADa&amp;scd=141&amp;scs=Visados+Nacionales+-+Visado+de+estudios</t>
        </is>
      </c>
      <c r="F454" s="49" t="n">
        <v>46319</v>
      </c>
      <c r="G454" s="51" t="n">
        <v>2</v>
      </c>
    </row>
    <row r="455" ht="54" customHeight="1">
      <c r="A455" s="29" t="inlineStr">
        <is>
          <t>malaga:action:ispanya-para-birimi-euro-ve-resmi-dil-1</t>
        </is>
      </c>
      <c r="B455" s="29" t="inlineStr">
        <is>
          <t>malaga</t>
        </is>
      </c>
      <c r="C455" s="29" t="inlineStr">
        <is>
          <t>malaga:ispanya-para-birimi-euro-ve-resmi-dil</t>
        </is>
      </c>
      <c r="D455" s="29" t="inlineStr">
        <is>
          <t>Bilgi al</t>
        </is>
      </c>
      <c r="E455" s="29" t="inlineStr">
        <is>
          <t>https://www.bde.es/wbe/es/areas-actuacion/billetes-monedas/monedas-euros/</t>
        </is>
      </c>
      <c r="F455" s="49" t="n">
        <v>46319</v>
      </c>
      <c r="G455" s="51" t="n">
        <v>1</v>
      </c>
    </row>
    <row r="456" ht="54" customHeight="1">
      <c r="A456" s="29" t="inlineStr">
        <is>
          <t>malaga:action:ispanya-para-birimi-euro-ve-resmi-dil-2</t>
        </is>
      </c>
      <c r="B456" s="29" t="inlineStr">
        <is>
          <t>malaga</t>
        </is>
      </c>
      <c r="C456" s="29" t="inlineStr">
        <is>
          <t>malaga:ispanya-para-birimi-euro-ve-resmi-dil</t>
        </is>
      </c>
      <c r="D456" s="29" t="inlineStr">
        <is>
          <t>Bilgi al</t>
        </is>
      </c>
      <c r="E456" s="29" t="inlineStr">
        <is>
          <t>https://www.boe.es/buscar/act.php?id=BOE-A-1978-31229</t>
        </is>
      </c>
      <c r="F456" s="49" t="n">
        <v>46319</v>
      </c>
      <c r="G456" s="51" t="n">
        <v>2</v>
      </c>
    </row>
    <row r="457" ht="54" customHeight="1">
      <c r="A457" s="29" t="inlineStr">
        <is>
          <t>malaga:action:ispanya-resmi-saat-ve-yaz-saati-kurali-1</t>
        </is>
      </c>
      <c r="B457" s="29" t="inlineStr">
        <is>
          <t>malaga</t>
        </is>
      </c>
      <c r="C457" s="29" t="inlineStr">
        <is>
          <t>malaga:ispanya-resmi-saat-ve-yaz-saati-kurali</t>
        </is>
      </c>
      <c r="D457" s="29" t="inlineStr">
        <is>
          <t>Bilgi al</t>
        </is>
      </c>
      <c r="E457" s="29" t="inlineStr">
        <is>
          <t>https://www.boe.es/buscar/doc.php?id=BOE-A-2002-4221</t>
        </is>
      </c>
      <c r="F457" s="49" t="n">
        <v>46319</v>
      </c>
      <c r="G457" s="51" t="n">
        <v>1</v>
      </c>
    </row>
    <row r="458" ht="54" customHeight="1">
      <c r="A458" s="29" t="inlineStr">
        <is>
          <t>malaga:action:ab-disindan-gelen-yolcunun-bagaj-muafiyeti-1</t>
        </is>
      </c>
      <c r="B458" s="29" t="inlineStr">
        <is>
          <t>malaga</t>
        </is>
      </c>
      <c r="C458" s="29" t="inlineStr">
        <is>
          <t>malaga:ab-disindan-gelen-yolcunun-bagaj-muafiyeti</t>
        </is>
      </c>
      <c r="D458" s="29" t="inlineStr">
        <is>
          <t>Muafiyet sınırlarını gör</t>
        </is>
      </c>
      <c r="E458" s="29" t="inlineStr">
        <is>
          <t>https://sede.agenciatributaria.gob.es/Sede/viajeros-trabajadores-desplazados-fronterizos/viajeros/franquicias-tabaco-alcohol-otras-mercancias.html</t>
        </is>
      </c>
      <c r="F458" s="49" t="n">
        <v>46319</v>
      </c>
      <c r="G458" s="51" t="n">
        <v>1</v>
      </c>
    </row>
    <row r="459" ht="54" customHeight="1">
      <c r="A459" s="29" t="inlineStr">
        <is>
          <t>malaga:action:havalimani-express-otobus-l-a-bilet-ve-duraklar-1</t>
        </is>
      </c>
      <c r="B459" s="29" t="inlineStr">
        <is>
          <t>malaga</t>
        </is>
      </c>
      <c r="C459" s="29" t="inlineStr">
        <is>
          <t>malaga:havalimani-express-otobus-l-a-bilet-ve-duraklar</t>
        </is>
      </c>
      <c r="D459" s="29" t="inlineStr">
        <is>
          <t>Bilet al</t>
        </is>
      </c>
      <c r="E459" s="29" t="inlineStr">
        <is>
          <t>https://www.emtmalaga.es/linea-express-aeropuerto</t>
        </is>
      </c>
      <c r="F459" s="49" t="n">
        <v>46322</v>
      </c>
      <c r="G459" s="51" t="n">
        <v>1</v>
      </c>
    </row>
    <row r="460" ht="54" customHeight="1">
      <c r="A460" s="29" t="inlineStr">
        <is>
          <t>malaga:action:havalimani-express-otobus-l-a-bilet-ve-duraklar-2</t>
        </is>
      </c>
      <c r="B460" s="29" t="inlineStr">
        <is>
          <t>malaga</t>
        </is>
      </c>
      <c r="C460" s="29" t="inlineStr">
        <is>
          <t>malaga:havalimani-express-otobus-l-a-bilet-ve-duraklar</t>
        </is>
      </c>
      <c r="D460" s="29" t="inlineStr">
        <is>
          <t>Tarifeyi gör</t>
        </is>
      </c>
      <c r="E460" s="29" t="inlineStr">
        <is>
          <t>https://www.emtmalaga.es/tarifas</t>
        </is>
      </c>
      <c r="F460" s="49" t="n">
        <v>46322</v>
      </c>
      <c r="G460" s="51" t="n">
        <v>2</v>
      </c>
    </row>
    <row r="461" ht="54" customHeight="1">
      <c r="A461" s="29" t="inlineStr">
        <is>
          <t>malaga:action:havalimanindan-trenle-cercanias-c1-maria-zambrano-1</t>
        </is>
      </c>
      <c r="B461" s="29" t="inlineStr">
        <is>
          <t>malaga</t>
        </is>
      </c>
      <c r="C461" s="29" t="inlineStr">
        <is>
          <t>malaga:havalimanindan-trenle-cercanias-c1-maria-zambrano</t>
        </is>
      </c>
      <c r="D461" s="29" t="inlineStr">
        <is>
          <t>Bilgi al</t>
        </is>
      </c>
      <c r="E461" s="29" t="inlineStr">
        <is>
          <t>https://www.renfe.com/es/es/inspirate/estaciones/malaga-maria-zambrano</t>
        </is>
      </c>
      <c r="F461" s="49" t="n">
        <v>46322</v>
      </c>
      <c r="G461" s="51" t="n">
        <v>1</v>
      </c>
    </row>
    <row r="462" ht="54" customHeight="1">
      <c r="A462" s="29" t="inlineStr">
        <is>
          <t>malaga:action:havalimanindan-trenle-cercanias-c1-maria-zambrano-2</t>
        </is>
      </c>
      <c r="B462" s="29" t="inlineStr">
        <is>
          <t>malaga</t>
        </is>
      </c>
      <c r="C462" s="29" t="inlineStr">
        <is>
          <t>malaga:havalimanindan-trenle-cercanias-c1-maria-zambrano</t>
        </is>
      </c>
      <c r="D462" s="29" t="inlineStr">
        <is>
          <t>Bilgi al</t>
        </is>
      </c>
      <c r="E462" s="29" t="inlineStr">
        <is>
          <t>https://ctmam.es/renfe-cercanias/</t>
        </is>
      </c>
      <c r="F462" s="49" t="n">
        <v>46322</v>
      </c>
      <c r="G462" s="51" t="n">
        <v>2</v>
      </c>
    </row>
    <row r="463" ht="54" customHeight="1">
      <c r="A463" s="29" t="inlineStr">
        <is>
          <t>malaga:action:cercanias-konsorsiyum-karti-cikista-tekrar-okutma-1</t>
        </is>
      </c>
      <c r="B463" s="29" t="inlineStr">
        <is>
          <t>malaga</t>
        </is>
      </c>
      <c r="C463" s="29" t="inlineStr">
        <is>
          <t>malaga:cercanias-konsorsiyum-karti-cikista-tekrar-okutma</t>
        </is>
      </c>
      <c r="D463" s="29" t="inlineStr">
        <is>
          <t>Bilgi al</t>
        </is>
      </c>
      <c r="E463" s="29" t="inlineStr">
        <is>
          <t>https://ctmam.es/renfe-cercanias/</t>
        </is>
      </c>
      <c r="F463" s="49" t="n">
        <v>46322</v>
      </c>
      <c r="G463" s="51" t="n">
        <v>1</v>
      </c>
    </row>
    <row r="464" ht="54" customHeight="1">
      <c r="A464" s="29" t="inlineStr">
        <is>
          <t>malaga:action:cercanias-konsorsiyum-karti-cikista-tekrar-okutma-2</t>
        </is>
      </c>
      <c r="B464" s="29" t="inlineStr">
        <is>
          <t>malaga</t>
        </is>
      </c>
      <c r="C464" s="29" t="inlineStr">
        <is>
          <t>malaga:cercanias-konsorsiyum-karti-cikista-tekrar-okutma</t>
        </is>
      </c>
      <c r="D464" s="29" t="inlineStr">
        <is>
          <t>Tarifeyi gör</t>
        </is>
      </c>
      <c r="E464" s="29" t="inlineStr">
        <is>
          <t>https://ctmam.es/tarifas/</t>
        </is>
      </c>
      <c r="F464" s="49" t="n">
        <v>46322</v>
      </c>
      <c r="G464" s="51" t="n">
        <v>2</v>
      </c>
    </row>
    <row r="465" ht="54" customHeight="1">
      <c r="A465" s="29" t="inlineStr">
        <is>
          <t>malaga:action:consorcio-ulasim-karti-alma-ve-yukleme-1</t>
        </is>
      </c>
      <c r="B465" s="29" t="inlineStr">
        <is>
          <t>malaga</t>
        </is>
      </c>
      <c r="C465" s="29" t="inlineStr">
        <is>
          <t>malaga:consorcio-ulasim-karti-alma-ve-yukleme</t>
        </is>
      </c>
      <c r="D465" s="29" t="inlineStr">
        <is>
          <t>Bilgi al</t>
        </is>
      </c>
      <c r="E465" s="29" t="inlineStr">
        <is>
          <t>https://ctmam.es/tarjeta-de-transporte/</t>
        </is>
      </c>
      <c r="F465" s="49" t="n">
        <v>46322</v>
      </c>
      <c r="G465" s="51" t="n">
        <v>1</v>
      </c>
    </row>
    <row r="466" ht="54" customHeight="1">
      <c r="A466" s="29" t="inlineStr">
        <is>
          <t>malaga:action:consorcio-ulasim-karti-alma-ve-yukleme-2</t>
        </is>
      </c>
      <c r="B466" s="29" t="inlineStr">
        <is>
          <t>malaga</t>
        </is>
      </c>
      <c r="C466" s="29" t="inlineStr">
        <is>
          <t>malaga:consorcio-ulasim-karti-alma-ve-yukleme</t>
        </is>
      </c>
      <c r="D466" s="29" t="inlineStr">
        <is>
          <t>Tarifeyi gör</t>
        </is>
      </c>
      <c r="E466" s="29" t="inlineStr">
        <is>
          <t>https://ctmam.es/tarifas/</t>
        </is>
      </c>
      <c r="F466" s="49" t="n">
        <v>46322</v>
      </c>
      <c r="G466" s="51" t="n">
        <v>2</v>
      </c>
    </row>
    <row r="467" ht="54" customHeight="1">
      <c r="A467" s="29" t="inlineStr">
        <is>
          <t>malaga:action:emt-bilet-turleri-yeni-gelen-icin-secim-1</t>
        </is>
      </c>
      <c r="B467" s="29" t="inlineStr">
        <is>
          <t>malaga</t>
        </is>
      </c>
      <c r="C467" s="29" t="inlineStr">
        <is>
          <t>malaga:emt-bilet-turleri-yeni-gelen-icin-secim</t>
        </is>
      </c>
      <c r="D467" s="29" t="inlineStr">
        <is>
          <t>Tarifeyi gör</t>
        </is>
      </c>
      <c r="E467" s="29" t="inlineStr">
        <is>
          <t>https://www.emtmalaga.es/tarifas</t>
        </is>
      </c>
      <c r="F467" s="49" t="n">
        <v>46322</v>
      </c>
      <c r="G467" s="51" t="n">
        <v>1</v>
      </c>
    </row>
    <row r="468" ht="54" customHeight="1">
      <c r="A468" s="29" t="inlineStr">
        <is>
          <t>malaga:action:emt-bilet-turleri-yeni-gelen-icin-secim-2</t>
        </is>
      </c>
      <c r="B468" s="29" t="inlineStr">
        <is>
          <t>malaga</t>
        </is>
      </c>
      <c r="C468" s="29" t="inlineStr">
        <is>
          <t>malaga:emt-bilet-turleri-yeni-gelen-icin-secim</t>
        </is>
      </c>
      <c r="D468" s="29" t="inlineStr">
        <is>
          <t>Bilgi al</t>
        </is>
      </c>
      <c r="E468" s="29" t="inlineStr">
        <is>
          <t>https://www.emtmalaga.es/titulos-recomendados</t>
        </is>
      </c>
      <c r="F468" s="49" t="n">
        <v>46322</v>
      </c>
      <c r="G468" s="51" t="n">
        <v>2</v>
      </c>
    </row>
    <row r="469" ht="54" customHeight="1">
      <c r="A469" s="29" t="inlineStr">
        <is>
          <t>malaga:action:metro-malaga-banka-karti-ile-metro-pay-1</t>
        </is>
      </c>
      <c r="B469" s="29" t="inlineStr">
        <is>
          <t>malaga</t>
        </is>
      </c>
      <c r="C469" s="29" t="inlineStr">
        <is>
          <t>malaga:metro-malaga-banka-karti-ile-metro-pay</t>
        </is>
      </c>
      <c r="D469" s="29" t="inlineStr">
        <is>
          <t>Kayıt ol</t>
        </is>
      </c>
      <c r="E469" s="29" t="inlineStr">
        <is>
          <t>https://metromalaga.es/metro-pay/</t>
        </is>
      </c>
      <c r="F469" s="49" t="n">
        <v>46322</v>
      </c>
      <c r="G469" s="51" t="n">
        <v>1</v>
      </c>
    </row>
    <row r="470" ht="54" customHeight="1">
      <c r="A470" s="29" t="inlineStr">
        <is>
          <t>malaga:action:yaz-sicak-uyari-seviyeleri-ve-risk-gruplari-1</t>
        </is>
      </c>
      <c r="B470" s="29" t="inlineStr">
        <is>
          <t>malaga</t>
        </is>
      </c>
      <c r="C470" s="29" t="inlineStr">
        <is>
          <t>malaga:yaz-sicak-uyari-seviyeleri-ve-risk-gruplari</t>
        </is>
      </c>
      <c r="D470" s="29" t="inlineStr">
        <is>
          <t>Bilgi al</t>
        </is>
      </c>
      <c r="E470" s="29" t="inlineStr">
        <is>
          <t>https://www.juntadeandalucia.es/organismos/sanidadpresidenciayemergencias/servicios/actualidad/noticias/detalle/661876.html</t>
        </is>
      </c>
      <c r="F470" s="49" t="n">
        <v>46322</v>
      </c>
      <c r="G470" s="51" t="n">
        <v>1</v>
      </c>
    </row>
    <row r="471" ht="54" customHeight="1">
      <c r="A471" s="29" t="inlineStr">
        <is>
          <t>malaga:action:terral-ruzgari-malaga-guadalhorce-ve-diger-ruzgarlar-1</t>
        </is>
      </c>
      <c r="B471" s="29" t="inlineStr">
        <is>
          <t>malaga</t>
        </is>
      </c>
      <c r="C471" s="29" t="inlineStr">
        <is>
          <t>malaga:terral-ruzgari-malaga-guadalhorce-ve-diger-ruzgarlar</t>
        </is>
      </c>
      <c r="D471" s="29" t="inlineStr">
        <is>
          <t>Bilgi al</t>
        </is>
      </c>
      <c r="E471" s="29" t="inlineStr">
        <is>
          <t>https://www.juntadeandalucia.es/medioambiente/portal/landing-page/-/asset_publisher/4V1kD5gLiJkq/content/viento/20151</t>
        </is>
      </c>
      <c r="F471" s="49" t="n">
        <v>46322</v>
      </c>
      <c r="G471" s="51" t="n">
        <v>1</v>
      </c>
    </row>
    <row r="472" ht="54" customHeight="1">
      <c r="A472" s="29" t="inlineStr">
        <is>
          <t>malaga:action:terral-ruzgari-malaga-guadalhorce-ve-diger-ruzgarlar-2</t>
        </is>
      </c>
      <c r="B472" s="29" t="inlineStr">
        <is>
          <t>malaga</t>
        </is>
      </c>
      <c r="C472" s="29" t="inlineStr">
        <is>
          <t>malaga:terral-ruzgari-malaga-guadalhorce-ve-diger-ruzgarlar</t>
        </is>
      </c>
      <c r="D472" s="29" t="inlineStr">
        <is>
          <t>Bilgi al</t>
        </is>
      </c>
      <c r="E472" s="29" t="inlineStr">
        <is>
          <t>https://www.juntadeandalucia.es/organismos/sanidadpresidenciayemergencias/servicios/actualidad/noticias/detalle/661876.html</t>
        </is>
      </c>
      <c r="F472" s="49" t="n">
        <v>46322</v>
      </c>
      <c r="G472" s="51" t="n">
        <v>2</v>
      </c>
    </row>
    <row r="473" ht="54" customHeight="1">
      <c r="A473" s="29" t="inlineStr">
        <is>
          <t>malaga:action:belediye-yabancilar-hukuki-danisma-010-1</t>
        </is>
      </c>
      <c r="B473" s="29" t="inlineStr">
        <is>
          <t>malaga</t>
        </is>
      </c>
      <c r="C473" s="29" t="inlineStr">
        <is>
          <t>malaga:belediye-yabancilar-hukuki-danisma-010</t>
        </is>
      </c>
      <c r="D473" s="29" t="inlineStr">
        <is>
          <t>Bilgi al</t>
        </is>
      </c>
      <c r="E473" s="29" t="inlineStr">
        <is>
          <t>https://participa.malaga.eu/migracion/apoyo-y-asesoramiento-legal-con-caracter-presencial-y-telefonico-a-personas-extranjeras/</t>
        </is>
      </c>
      <c r="F473" s="49" t="n">
        <v>46322</v>
      </c>
      <c r="G473" s="51" t="n">
        <v>1</v>
      </c>
    </row>
    <row r="474" ht="54" customHeight="1">
      <c r="A474" s="29" t="inlineStr">
        <is>
          <t>malaga:action:belediye-yabancilar-hukuki-danisma-010-2</t>
        </is>
      </c>
      <c r="B474" s="29" t="inlineStr">
        <is>
          <t>malaga</t>
        </is>
      </c>
      <c r="C474" s="29" t="inlineStr">
        <is>
          <t>malaga:belediye-yabancilar-hukuki-danisma-010</t>
        </is>
      </c>
      <c r="D474" s="29" t="inlineStr">
        <is>
          <t>Bilgi al</t>
        </is>
      </c>
      <c r="E474" s="29" t="inlineStr">
        <is>
          <t>https://www.malaga.eu/guia-telematica-municipal/</t>
        </is>
      </c>
      <c r="F474" s="49" t="n">
        <v>46322</v>
      </c>
      <c r="G474" s="51" t="n">
        <v>2</v>
      </c>
    </row>
    <row r="475" ht="54" customHeight="1">
      <c r="A475" s="29" t="inlineStr">
        <is>
          <t>malaga:action:junta-goc-politikalari-birimi-malaga-iletisim-1</t>
        </is>
      </c>
      <c r="B475" s="29" t="inlineStr">
        <is>
          <t>malaga</t>
        </is>
      </c>
      <c r="C475" s="29" t="inlineStr">
        <is>
          <t>malaga:junta-goc-politikalari-birimi-malaga-iletisim</t>
        </is>
      </c>
      <c r="D475" s="29" t="inlineStr">
        <is>
          <t>Bilgi al</t>
        </is>
      </c>
      <c r="E475" s="29" t="inlineStr">
        <is>
          <t>https://www.juntadeandalucia.es/organismos/inclusionsocialjuventudfamiliaseigualdad/areas/politicas-migratorias/directorio.html</t>
        </is>
      </c>
      <c r="F475" s="49" t="n">
        <v>46322</v>
      </c>
      <c r="G475" s="51" t="n">
        <v>1</v>
      </c>
    </row>
    <row r="476" ht="54" customHeight="1">
      <c r="A476" s="29" t="inlineStr">
        <is>
          <t>malaga:action:turistik-daire-vut-kayit-kontrolu-gecici-konaklama-1</t>
        </is>
      </c>
      <c r="B476" s="29" t="inlineStr">
        <is>
          <t>malaga</t>
        </is>
      </c>
      <c r="C476" s="29" t="inlineStr">
        <is>
          <t>malaga:turistik-daire-vut-kayit-kontrolu-gecici-konaklama</t>
        </is>
      </c>
      <c r="D476" s="29" t="inlineStr">
        <is>
          <t>Bilgi al</t>
        </is>
      </c>
      <c r="E476" s="29" t="inlineStr">
        <is>
          <t>https://www.juntadeandalucia.es/organismos/turismoyandaluciaexterior/areas/registro-turismo/establecimientos-servicios/paginas/viviendas-turisticas.html</t>
        </is>
      </c>
      <c r="F476" s="49" t="n">
        <v>46322</v>
      </c>
      <c r="G476" s="51" t="n">
        <v>1</v>
      </c>
    </row>
    <row r="477" ht="54" customHeight="1">
      <c r="A477" s="29" t="inlineStr">
        <is>
          <t>malaga:action:emt-karti-nereden-alinir-ve-musteri-merkezi-1</t>
        </is>
      </c>
      <c r="B477" s="29" t="inlineStr">
        <is>
          <t>malaga</t>
        </is>
      </c>
      <c r="C477" s="29" t="inlineStr">
        <is>
          <t>malaga:emt-karti-nereden-alinir-ve-musteri-merkezi</t>
        </is>
      </c>
      <c r="D477" s="29" t="inlineStr">
        <is>
          <t>Bilgi al</t>
        </is>
      </c>
      <c r="E477" s="29" t="inlineStr">
        <is>
          <t>https://www.emtmalaga.es/comprar-recargar-tarjeta</t>
        </is>
      </c>
      <c r="F477" s="49" t="n">
        <v>46322</v>
      </c>
      <c r="G477" s="51" t="n">
        <v>1</v>
      </c>
    </row>
    <row r="478" ht="54" customHeight="1">
      <c r="A478" s="29" t="inlineStr">
        <is>
          <t>malaga:action:emt-karti-nereden-alinir-ve-musteri-merkezi-2</t>
        </is>
      </c>
      <c r="B478" s="29" t="inlineStr">
        <is>
          <t>malaga</t>
        </is>
      </c>
      <c r="C478" s="29" t="inlineStr">
        <is>
          <t>malaga:emt-karti-nereden-alinir-ve-musteri-merkezi</t>
        </is>
      </c>
      <c r="D478" s="29" t="inlineStr">
        <is>
          <t>Ziyaret bilgisi</t>
        </is>
      </c>
      <c r="E478" s="29" t="inlineStr">
        <is>
          <t>https://www.emtmalaga.es/nuestras-oficinas</t>
        </is>
      </c>
      <c r="F478" s="49" t="n">
        <v>46322</v>
      </c>
      <c r="G478" s="51" t="n">
        <v>2</v>
      </c>
    </row>
    <row r="479" ht="54" customHeight="1">
      <c r="A479" s="29" t="inlineStr">
        <is>
          <t>malaga:action:emt-karti-nereden-alinir-ve-musteri-merkezi-3</t>
        </is>
      </c>
      <c r="B479" s="29" t="inlineStr">
        <is>
          <t>malaga</t>
        </is>
      </c>
      <c r="C479" s="29" t="inlineStr">
        <is>
          <t>malaga:emt-karti-nereden-alinir-ve-musteri-merkezi</t>
        </is>
      </c>
      <c r="D479" s="29" t="inlineStr">
        <is>
          <t>Tarifeyi gör</t>
        </is>
      </c>
      <c r="E479" s="29" t="inlineStr">
        <is>
          <t>https://www.emtmalaga.es/tarifas</t>
        </is>
      </c>
      <c r="F479" s="49" t="n">
        <v>46322</v>
      </c>
      <c r="G479" s="51" t="n">
        <v>3</v>
      </c>
    </row>
    <row r="480" ht="54" customHeight="1">
      <c r="A480" s="29" t="inlineStr">
        <is>
          <t>malaga:action:empadronamiento-nedir-neden-gerekir-1</t>
        </is>
      </c>
      <c r="B480" s="29" t="inlineStr">
        <is>
          <t>malaga</t>
        </is>
      </c>
      <c r="C480" s="29" t="inlineStr">
        <is>
          <t>malaga:empadronamiento-nedir-neden-gerekir</t>
        </is>
      </c>
      <c r="D480" s="29" t="inlineStr">
        <is>
          <t>Bilgi al</t>
        </is>
      </c>
      <c r="E480" s="29" t="inlineStr">
        <is>
          <t>https://gestrisam.malaga.eu/atencion-a-la-ciudadania/padron-de-habitantes/</t>
        </is>
      </c>
      <c r="F480" s="49" t="n">
        <v>46322</v>
      </c>
      <c r="G480" s="51" t="n">
        <v>1</v>
      </c>
    </row>
    <row r="481" ht="54" customHeight="1">
      <c r="A481" s="29" t="inlineStr">
        <is>
          <t>malaga:action:certificado-ve-volante-farki-1</t>
        </is>
      </c>
      <c r="B481" s="29" t="inlineStr">
        <is>
          <t>malaga</t>
        </is>
      </c>
      <c r="C481" s="29" t="inlineStr">
        <is>
          <t>malaga:certificado-ve-volante-farki</t>
        </is>
      </c>
      <c r="D481" s="29" t="inlineStr">
        <is>
          <t>Bilgi al</t>
        </is>
      </c>
      <c r="E481" s="29" t="inlineStr">
        <is>
          <t>https://www.boe.es/buscar/doc.php?id=BOE-A-2020-4784</t>
        </is>
      </c>
      <c r="F481" s="49" t="n">
        <v>46319</v>
      </c>
      <c r="G481" s="51" t="n">
        <v>1</v>
      </c>
    </row>
    <row r="482" ht="54" customHeight="1">
      <c r="A482" s="29" t="inlineStr">
        <is>
          <t>malaga:action:sosyal-guvenlik-numarasi-alma-1</t>
        </is>
      </c>
      <c r="B482" s="29" t="inlineStr">
        <is>
          <t>malaga</t>
        </is>
      </c>
      <c r="C482" s="29" t="inlineStr">
        <is>
          <t>malaga:sosyal-guvenlik-numarasi-alma</t>
        </is>
      </c>
      <c r="D482" s="29" t="inlineStr">
        <is>
          <t>Bilgi al</t>
        </is>
      </c>
      <c r="E482" s="29" t="inlineStr">
        <is>
          <t>https://www.seg-social.es/wps/portal/wss/internet/Trabajadores/Afiliacion/10817/31190/2194/160060?changeLanguage=es</t>
        </is>
      </c>
      <c r="F482" s="49" t="n">
        <v>46319</v>
      </c>
      <c r="G482" s="51" t="n">
        <v>1</v>
      </c>
    </row>
    <row r="483" ht="54" customHeight="1">
      <c r="A483" s="29" t="inlineStr">
        <is>
          <t>malaga:action:vida-laboral-raporu-alma-1</t>
        </is>
      </c>
      <c r="B483" s="29" t="inlineStr">
        <is>
          <t>malaga</t>
        </is>
      </c>
      <c r="C483" s="29" t="inlineStr">
        <is>
          <t>malaga:vida-laboral-raporu-alma</t>
        </is>
      </c>
      <c r="D483" s="29" t="inlineStr">
        <is>
          <t>Başvur</t>
        </is>
      </c>
      <c r="E483" s="29" t="inlineStr">
        <is>
          <t>https://portal.seg-social.gob.es/wps/portal/importass/importass/Categorias/Vida+laboral+e+informes/Informes+sobre+tu+situacion+laboral/Informe+de+tu+vida+laboral</t>
        </is>
      </c>
      <c r="F483" s="49" t="n">
        <v>46319</v>
      </c>
      <c r="G483" s="51" t="n">
        <v>1</v>
      </c>
    </row>
    <row r="484" ht="54" customHeight="1">
      <c r="A484" s="29" t="inlineStr">
        <is>
          <t>malaga:action:vergi-numarasi-nif-nie-alma-1</t>
        </is>
      </c>
      <c r="B484" s="29" t="inlineStr">
        <is>
          <t>malaga</t>
        </is>
      </c>
      <c r="C484" s="29" t="inlineStr">
        <is>
          <t>malaga:vergi-numarasi-nif-nie-alma</t>
        </is>
      </c>
      <c r="D484" s="29" t="inlineStr">
        <is>
          <t>Başvur</t>
        </is>
      </c>
      <c r="E484" s="29" t="inlineStr">
        <is>
          <t>https://sede.agenciatributaria.gob.es/Sede/censos-nif-domicilio-fiscal/solicitar-nif/nif-persona-fisica.html</t>
        </is>
      </c>
      <c r="F484" s="49" t="n">
        <v>46319</v>
      </c>
      <c r="G484" s="51" t="n">
        <v>1</v>
      </c>
    </row>
    <row r="485" ht="54" customHeight="1">
      <c r="A485" s="29" t="inlineStr">
        <is>
          <t>malaga:action:vergi-numarasi-nif-nie-alma-2</t>
        </is>
      </c>
      <c r="B485" s="29" t="inlineStr">
        <is>
          <t>malaga</t>
        </is>
      </c>
      <c r="C485" s="29" t="inlineStr">
        <is>
          <t>malaga:vergi-numarasi-nif-nie-alma</t>
        </is>
      </c>
      <c r="D485" s="29" t="inlineStr">
        <is>
          <t>Bilgi al</t>
        </is>
      </c>
      <c r="E485" s="29" t="inlineStr">
        <is>
          <t>https://sede.policia.gob.es/portalCiudadano/_es/tramites_extranjeria_tramite_asignacion_nie.php</t>
        </is>
      </c>
      <c r="F485" s="49" t="n">
        <v>46319</v>
      </c>
      <c r="G485" s="51" t="n">
        <v>2</v>
      </c>
    </row>
    <row r="486" ht="54" customHeight="1">
      <c r="A486" s="29" t="inlineStr">
        <is>
          <t>malaga:action:clave-pin-ve-permanente-farki-1</t>
        </is>
      </c>
      <c r="B486" s="29" t="inlineStr">
        <is>
          <t>malaga</t>
        </is>
      </c>
      <c r="C486" s="29" t="inlineStr">
        <is>
          <t>malaga:clave-pin-ve-permanente-farki</t>
        </is>
      </c>
      <c r="D486" s="29" t="inlineStr">
        <is>
          <t>Bilgi al</t>
        </is>
      </c>
      <c r="E486" s="29" t="inlineStr">
        <is>
          <t>https://clave.gob.es/en/clave-movil/app-clave</t>
        </is>
      </c>
      <c r="F486" s="49" t="n">
        <v>46319</v>
      </c>
      <c r="G486" s="51" t="n">
        <v>1</v>
      </c>
    </row>
    <row r="487" ht="54" customHeight="1">
      <c r="A487" s="29" t="inlineStr">
        <is>
          <t>malaga:action:clave-pin-ve-permanente-farki-2</t>
        </is>
      </c>
      <c r="B487" s="29" t="inlineStr">
        <is>
          <t>malaga</t>
        </is>
      </c>
      <c r="C487" s="29" t="inlineStr">
        <is>
          <t>malaga:clave-pin-ve-permanente-farki</t>
        </is>
      </c>
      <c r="D487" s="29" t="inlineStr">
        <is>
          <t>Bilgi al</t>
        </is>
      </c>
      <c r="E487" s="29" t="inlineStr">
        <is>
          <t>https://clave.gob.es/clave-permanente/que-es</t>
        </is>
      </c>
      <c r="F487" s="49" t="n">
        <v>46319</v>
      </c>
      <c r="G487" s="51" t="n">
        <v>2</v>
      </c>
    </row>
    <row r="488" ht="54" customHeight="1">
      <c r="A488" s="29" t="inlineStr">
        <is>
          <t>malaga:action:fnmt-dijital-sertifika-kurma-1</t>
        </is>
      </c>
      <c r="B488" s="29" t="inlineStr">
        <is>
          <t>malaga</t>
        </is>
      </c>
      <c r="C488" s="29" t="inlineStr">
        <is>
          <t>malaga:fnmt-dijital-sertifika-kurma</t>
        </is>
      </c>
      <c r="D488" s="29" t="inlineStr">
        <is>
          <t>Başvur</t>
        </is>
      </c>
      <c r="E488" s="29" t="inlineStr">
        <is>
          <t>https://www.sede.fnmt.gob.es/certificados/persona-fisica/obtener-certificado-software</t>
        </is>
      </c>
      <c r="F488" s="49" t="n">
        <v>46319</v>
      </c>
      <c r="G488" s="51" t="n">
        <v>1</v>
      </c>
    </row>
    <row r="489" ht="54" customHeight="1">
      <c r="A489" s="29" t="inlineStr">
        <is>
          <t>malaga:action:belge-ceviri-ve-apostil-1</t>
        </is>
      </c>
      <c r="B489" s="29" t="inlineStr">
        <is>
          <t>malaga</t>
        </is>
      </c>
      <c r="C489" s="29" t="inlineStr">
        <is>
          <t>malaga:belge-ceviri-ve-apostil</t>
        </is>
      </c>
      <c r="D489" s="29" t="inlineStr">
        <is>
          <t>Bilgi al</t>
        </is>
      </c>
      <c r="E489" s="29" t="inlineStr">
        <is>
          <t>https://www.exteriores.gob.es/es/ServiciosAlCiudadano/Paginas/Traductores-Interpretes-Jurados.aspx</t>
        </is>
      </c>
      <c r="F489" s="49" t="n">
        <v>46319</v>
      </c>
      <c r="G489" s="51" t="n">
        <v>1</v>
      </c>
    </row>
    <row r="490" ht="54" customHeight="1">
      <c r="A490" s="29" t="inlineStr">
        <is>
          <t>malaga:action:belge-ceviri-ve-apostil-2</t>
        </is>
      </c>
      <c r="B490" s="29" t="inlineStr">
        <is>
          <t>malaga</t>
        </is>
      </c>
      <c r="C490" s="29" t="inlineStr">
        <is>
          <t>malaga:belge-ceviri-ve-apostil</t>
        </is>
      </c>
      <c r="D490" s="29" t="inlineStr">
        <is>
          <t>Başvur</t>
        </is>
      </c>
      <c r="E490" s="29" t="inlineStr">
        <is>
          <t>https://www.mjusticia.gob.es/es/ciudadania/tramites/legalizacion-unica-apostilla</t>
        </is>
      </c>
      <c r="F490" s="49" t="n">
        <v>46319</v>
      </c>
      <c r="G490" s="51" t="n">
        <v>2</v>
      </c>
    </row>
    <row r="491" ht="54" customHeight="1">
      <c r="A491" s="29" t="inlineStr">
        <is>
          <t>malaga:action:noter-islemleri-ve-ucretleri-1</t>
        </is>
      </c>
      <c r="B491" s="29" t="inlineStr">
        <is>
          <t>malaga</t>
        </is>
      </c>
      <c r="C491" s="29" t="inlineStr">
        <is>
          <t>malaga:noter-islemleri-ve-ucretleri</t>
        </is>
      </c>
      <c r="D491" s="29" t="inlineStr">
        <is>
          <t>Tarifeyi gör</t>
        </is>
      </c>
      <c r="E491" s="29" t="inlineStr">
        <is>
          <t>https://www.boe.es/buscar/act.php?id=BOE-A-1989-28111</t>
        </is>
      </c>
      <c r="F491" s="49" t="n">
        <v>46319</v>
      </c>
      <c r="G491" s="51" t="n">
        <v>1</v>
      </c>
    </row>
    <row r="492" ht="54" customHeight="1">
      <c r="A492" s="29" t="inlineStr">
        <is>
          <t>malaga:action:libro-de-familia-nedir-1</t>
        </is>
      </c>
      <c r="B492" s="29" t="inlineStr">
        <is>
          <t>malaga</t>
        </is>
      </c>
      <c r="C492" s="29" t="inlineStr">
        <is>
          <t>malaga:libro-de-familia-nedir</t>
        </is>
      </c>
      <c r="D492" s="29" t="inlineStr">
        <is>
          <t>Bilgi al</t>
        </is>
      </c>
      <c r="E492" s="29" t="inlineStr">
        <is>
          <t>https://www.boe.es/buscar/act.php?id=BOE-A-2011-12628</t>
        </is>
      </c>
      <c r="F492" s="49" t="n">
        <v>46319</v>
      </c>
      <c r="G492" s="51" t="n">
        <v>1</v>
      </c>
    </row>
    <row r="493" ht="54" customHeight="1">
      <c r="A493" s="29" t="inlineStr">
        <is>
          <t>malaga:action:libro-de-familia-nedir-2</t>
        </is>
      </c>
      <c r="B493" s="29" t="inlineStr">
        <is>
          <t>malaga</t>
        </is>
      </c>
      <c r="C493" s="29" t="inlineStr">
        <is>
          <t>malaga:libro-de-familia-nedir</t>
        </is>
      </c>
      <c r="D493" s="29" t="inlineStr">
        <is>
          <t>Bilgi al</t>
        </is>
      </c>
      <c r="E493" s="29" t="inlineStr">
        <is>
          <t>https://www.mjusticia.gob.es/es/ciudadania/estado-civil/registro-civil</t>
        </is>
      </c>
      <c r="F493" s="49" t="n">
        <v>46319</v>
      </c>
      <c r="G493" s="51" t="n">
        <v>2</v>
      </c>
    </row>
    <row r="494" ht="54" customHeight="1">
      <c r="A494" s="29" t="inlineStr">
        <is>
          <t>malaga:action:registro-civil-ne-ise-yarar-1</t>
        </is>
      </c>
      <c r="B494" s="29" t="inlineStr">
        <is>
          <t>malaga</t>
        </is>
      </c>
      <c r="C494" s="29" t="inlineStr">
        <is>
          <t>malaga:registro-civil-ne-ise-yarar</t>
        </is>
      </c>
      <c r="D494" s="29" t="inlineStr">
        <is>
          <t>Bilgi al</t>
        </is>
      </c>
      <c r="E494" s="29" t="inlineStr">
        <is>
          <t>https://www.mjusticia.gob.es/es/ciudadania/estado-civil/registro-civil</t>
        </is>
      </c>
      <c r="F494" s="49" t="n">
        <v>46319</v>
      </c>
      <c r="G494" s="51" t="n">
        <v>1</v>
      </c>
    </row>
    <row r="495" ht="54" customHeight="1">
      <c r="A495" s="29" t="inlineStr">
        <is>
          <t>malaga:action:yabanci-ehliyet-degisimi-1</t>
        </is>
      </c>
      <c r="B495" s="29" t="inlineStr">
        <is>
          <t>malaga</t>
        </is>
      </c>
      <c r="C495" s="29" t="inlineStr">
        <is>
          <t>malaga:yabanci-ehliyet-degisimi</t>
        </is>
      </c>
      <c r="D495" s="29" t="inlineStr">
        <is>
          <t>Bilgi al</t>
        </is>
      </c>
      <c r="E495" s="29" t="inlineStr">
        <is>
          <t>https://www.boe.es/diario_boe/txt.php?id=BOE-A-2011-5606</t>
        </is>
      </c>
      <c r="F495" s="49" t="n">
        <v>46319</v>
      </c>
      <c r="G495" s="51" t="n">
        <v>1</v>
      </c>
    </row>
    <row r="496" ht="54" customHeight="1">
      <c r="A496" s="29" t="inlineStr">
        <is>
          <t>malaga:action:yabanci-ehliyet-degisimi-2</t>
        </is>
      </c>
      <c r="B496" s="29" t="inlineStr">
        <is>
          <t>malaga</t>
        </is>
      </c>
      <c r="C496" s="29" t="inlineStr">
        <is>
          <t>malaga:yabanci-ehliyet-degisimi</t>
        </is>
      </c>
      <c r="D496" s="29" t="inlineStr">
        <is>
          <t>Başvur</t>
        </is>
      </c>
      <c r="E496" s="29" t="inlineStr">
        <is>
          <t>https://sede.dgt.gob.es/es/permisos-de-conducir/canjes-de-permisos/canjes-de-permisos-extranjeros/</t>
        </is>
      </c>
      <c r="F496" s="49" t="n">
        <v>46319</v>
      </c>
      <c r="G496" s="51" t="n">
        <v>2</v>
      </c>
    </row>
    <row r="497" ht="54" customHeight="1">
      <c r="A497" s="29" t="inlineStr">
        <is>
          <t>malaga:action:yabanci-ehliyet-degisimi-3</t>
        </is>
      </c>
      <c r="B497" s="29" t="inlineStr">
        <is>
          <t>malaga</t>
        </is>
      </c>
      <c r="C497" s="29" t="inlineStr">
        <is>
          <t>malaga:yabanci-ehliyet-degisimi</t>
        </is>
      </c>
      <c r="D497" s="29" t="inlineStr">
        <is>
          <t>Bilgi al</t>
        </is>
      </c>
      <c r="E497" s="29" t="inlineStr">
        <is>
          <t>https://www.dgt.es/nuestros-servicios/permisos-de-conducir/permisos-extranjeros-y-de-fuerzas-y-cuerpos-de-seguridad/canjes-de-permisos/canjes-de-permisos-extranjeros/canje-de-permisos-de-otros-paises/</t>
        </is>
      </c>
      <c r="F497" s="49" t="n">
        <v>46319</v>
      </c>
      <c r="G497" s="51" t="n">
        <v>3</v>
      </c>
    </row>
    <row r="498" ht="54" customHeight="1">
      <c r="A498" s="29" t="inlineStr">
        <is>
          <t>malaga:action:arac-kaydi-ulusal-cerceve-1</t>
        </is>
      </c>
      <c r="B498" s="29" t="inlineStr">
        <is>
          <t>malaga</t>
        </is>
      </c>
      <c r="C498" s="29" t="inlineStr">
        <is>
          <t>malaga:arac-kaydi-ulusal-cerceve</t>
        </is>
      </c>
      <c r="D498" s="29" t="inlineStr">
        <is>
          <t>Başvur</t>
        </is>
      </c>
      <c r="E498" s="29" t="inlineStr">
        <is>
          <t>https://sede.dgt.gob.es/es/vehiculos/matriculaciones-de-vehiculos/matriculacion-ordinaria/</t>
        </is>
      </c>
      <c r="F498" s="49" t="n">
        <v>46319</v>
      </c>
      <c r="G498" s="51" t="n">
        <v>1</v>
      </c>
    </row>
    <row r="499" ht="54" customHeight="1">
      <c r="A499" s="29" t="inlineStr">
        <is>
          <t>malaga:action:arac-kaydi-ulusal-cerceve-2</t>
        </is>
      </c>
      <c r="B499" s="29" t="inlineStr">
        <is>
          <t>malaga</t>
        </is>
      </c>
      <c r="C499" s="29" t="inlineStr">
        <is>
          <t>malaga:arac-kaydi-ulusal-cerceve</t>
        </is>
      </c>
      <c r="D499" s="29" t="inlineStr">
        <is>
          <t>Formu doldur</t>
        </is>
      </c>
      <c r="E499" s="29" t="inlineStr">
        <is>
          <t>https://sede.agenciatributaria.gob.es/Sede/impuestos-tasas/impuesto-matriculacion.html</t>
        </is>
      </c>
      <c r="F499" s="49" t="n">
        <v>46319</v>
      </c>
      <c r="G499" s="51" t="n">
        <v>2</v>
      </c>
    </row>
    <row r="500" ht="54" customHeight="1">
      <c r="A500" s="29" t="inlineStr">
        <is>
          <t>malaga:action:endulus-carpeta-ciudadana-junta-dijital-islemler-1</t>
        </is>
      </c>
      <c r="B500" s="29" t="inlineStr">
        <is>
          <t>malaga</t>
        </is>
      </c>
      <c r="C500" s="29" t="inlineStr">
        <is>
          <t>malaga:endulus-carpeta-ciudadana-junta-dijital-islemler</t>
        </is>
      </c>
      <c r="D500" s="29" t="inlineStr">
        <is>
          <t>Bilgi al</t>
        </is>
      </c>
      <c r="E500" s="29" t="inlineStr">
        <is>
          <t>https://www.juntadeandalucia.es/servicios/carpeta-ciudadana.html</t>
        </is>
      </c>
      <c r="F500" s="49" t="n">
        <v>46319</v>
      </c>
      <c r="G500" s="51" t="n">
        <v>1</v>
      </c>
    </row>
    <row r="501" ht="54" customHeight="1">
      <c r="A501" s="29" t="inlineStr">
        <is>
          <t>malaga:action:malaga-padron-kaydi-gestion-tributaria-ofisi-ve-randevu-1</t>
        </is>
      </c>
      <c r="B501" s="29" t="inlineStr">
        <is>
          <t>malaga</t>
        </is>
      </c>
      <c r="C501" s="29" t="inlineStr">
        <is>
          <t>malaga:malaga-padron-kaydi-gestion-tributaria-ofisi-ve-randevu</t>
        </is>
      </c>
      <c r="D501" s="29" t="inlineStr">
        <is>
          <t>Randevu al</t>
        </is>
      </c>
      <c r="E501" s="29" t="inlineStr">
        <is>
          <t>https://gestrisam.malaga.eu/atencion-a-la-ciudadania/atencion-presencial/cita-previa-padron-municipal-de-habitantes/</t>
        </is>
      </c>
      <c r="F501" s="49" t="n">
        <v>46322</v>
      </c>
      <c r="G501" s="51" t="n">
        <v>1</v>
      </c>
    </row>
    <row r="502" ht="54" customHeight="1">
      <c r="A502" s="29" t="inlineStr">
        <is>
          <t>malaga:action:malaga-padron-kaydi-gestion-tributaria-ofisi-ve-randevu-2</t>
        </is>
      </c>
      <c r="B502" s="29" t="inlineStr">
        <is>
          <t>malaga</t>
        </is>
      </c>
      <c r="C502" s="29" t="inlineStr">
        <is>
          <t>malaga:malaga-padron-kaydi-gestion-tributaria-ofisi-ve-randevu</t>
        </is>
      </c>
      <c r="D502" s="29" t="inlineStr">
        <is>
          <t>Bilgi al</t>
        </is>
      </c>
      <c r="E502" s="29" t="inlineStr">
        <is>
          <t>https://gestrisam.malaga.eu/atencion-a-la-ciudadania/atencion-presencial/</t>
        </is>
      </c>
      <c r="F502" s="49" t="n">
        <v>46322</v>
      </c>
      <c r="G502" s="51" t="n">
        <v>2</v>
      </c>
    </row>
    <row r="503" ht="54" customHeight="1">
      <c r="A503" s="29" t="inlineStr">
        <is>
          <t>malaga:action:omac-semt-ofisleri-calisma-saati-ve-islemler-1</t>
        </is>
      </c>
      <c r="B503" s="29" t="inlineStr">
        <is>
          <t>malaga</t>
        </is>
      </c>
      <c r="C503" s="29" t="inlineStr">
        <is>
          <t>malaga:omac-semt-ofisleri-calisma-saati-ve-islemler</t>
        </is>
      </c>
      <c r="D503" s="29" t="inlineStr">
        <is>
          <t>Randevu al</t>
        </is>
      </c>
      <c r="E503" s="29" t="inlineStr">
        <is>
          <t>https://citaprevia.malaga.eu/</t>
        </is>
      </c>
      <c r="F503" s="49" t="n">
        <v>46322</v>
      </c>
      <c r="G503" s="51" t="n">
        <v>1</v>
      </c>
    </row>
    <row r="504" ht="54" customHeight="1">
      <c r="A504" s="29" t="inlineStr">
        <is>
          <t>malaga:action:omac-semt-ofisleri-calisma-saati-ve-islemler-2</t>
        </is>
      </c>
      <c r="B504" s="29" t="inlineStr">
        <is>
          <t>malaga</t>
        </is>
      </c>
      <c r="C504" s="29" t="inlineStr">
        <is>
          <t>malaga:omac-semt-ofisleri-calisma-saati-ve-islemler</t>
        </is>
      </c>
      <c r="D504" s="29" t="inlineStr">
        <is>
          <t>Bilgi al</t>
        </is>
      </c>
      <c r="E504" s="29" t="inlineStr">
        <is>
          <t>https://www.malaga.eu/la-ciudad/instalaciones-y-espacios/detalle-de-la-instalacion/?id=415</t>
        </is>
      </c>
      <c r="F504" s="49" t="n">
        <v>46322</v>
      </c>
      <c r="G504" s="51" t="n">
        <v>2</v>
      </c>
    </row>
    <row r="505" ht="54" customHeight="1">
      <c r="A505" s="29" t="inlineStr">
        <is>
          <t>malaga:action:belediye-randevu-malaga-24h-ve-merkezi-hat-1</t>
        </is>
      </c>
      <c r="B505" s="29" t="inlineStr">
        <is>
          <t>malaga</t>
        </is>
      </c>
      <c r="C505" s="29" t="inlineStr">
        <is>
          <t>malaga:belediye-randevu-malaga-24h-ve-merkezi-hat</t>
        </is>
      </c>
      <c r="D505" s="29" t="inlineStr">
        <is>
          <t>Randevu al</t>
        </is>
      </c>
      <c r="E505" s="29" t="inlineStr">
        <is>
          <t>https://citaprevia.malaga.eu/</t>
        </is>
      </c>
      <c r="F505" s="49" t="n">
        <v>46322</v>
      </c>
      <c r="G505" s="51" t="n">
        <v>1</v>
      </c>
    </row>
    <row r="506" ht="54" customHeight="1">
      <c r="A506" s="29" t="inlineStr">
        <is>
          <t>malaga:action:belediye-randevu-malaga-24h-ve-merkezi-hat-2</t>
        </is>
      </c>
      <c r="B506" s="29" t="inlineStr">
        <is>
          <t>malaga</t>
        </is>
      </c>
      <c r="C506" s="29" t="inlineStr">
        <is>
          <t>malaga:belediye-randevu-malaga-24h-ve-merkezi-hat</t>
        </is>
      </c>
      <c r="D506" s="29" t="inlineStr">
        <is>
          <t>Bilgi al</t>
        </is>
      </c>
      <c r="E506" s="29" t="inlineStr">
        <is>
          <t>https://www.malaga.eu/guia-telematica-municipal/</t>
        </is>
      </c>
      <c r="F506" s="49" t="n">
        <v>46322</v>
      </c>
      <c r="G506" s="51" t="n">
        <v>2</v>
      </c>
    </row>
    <row r="507" ht="54" customHeight="1">
      <c r="A507" s="29" t="inlineStr">
        <is>
          <t>malaga:action:fnmt-dijital-sertifika-kimlik-dogrulama-omac-malaga-1</t>
        </is>
      </c>
      <c r="B507" s="29" t="inlineStr">
        <is>
          <t>malaga</t>
        </is>
      </c>
      <c r="C507" s="29" t="inlineStr">
        <is>
          <t>malaga:fnmt-dijital-sertifika-kimlik-dogrulama-omac-malaga</t>
        </is>
      </c>
      <c r="D507" s="29" t="inlineStr">
        <is>
          <t>Başvur</t>
        </is>
      </c>
      <c r="E507" s="29" t="inlineStr">
        <is>
          <t>https://www.sede.fnmt.gob.es/certificados/persona-fisica/obtener-certificado-software</t>
        </is>
      </c>
      <c r="F507" s="49" t="n">
        <v>46322</v>
      </c>
      <c r="G507" s="51" t="n">
        <v>1</v>
      </c>
    </row>
    <row r="508" ht="54" customHeight="1">
      <c r="A508" s="29" t="inlineStr">
        <is>
          <t>malaga:action:fnmt-dijital-sertifika-kimlik-dogrulama-omac-malaga-2</t>
        </is>
      </c>
      <c r="B508" s="29" t="inlineStr">
        <is>
          <t>malaga</t>
        </is>
      </c>
      <c r="C508" s="29" t="inlineStr">
        <is>
          <t>malaga:fnmt-dijital-sertifika-kimlik-dogrulama-omac-malaga</t>
        </is>
      </c>
      <c r="D508" s="29" t="inlineStr">
        <is>
          <t>Randevu al</t>
        </is>
      </c>
      <c r="E508" s="29" t="inlineStr">
        <is>
          <t>https://citaprevia.malaga.eu/</t>
        </is>
      </c>
      <c r="F508" s="49" t="n">
        <v>46322</v>
      </c>
      <c r="G508" s="51" t="n">
        <v>2</v>
      </c>
    </row>
    <row r="509" ht="54" customHeight="1">
      <c r="A509" s="29" t="inlineStr">
        <is>
          <t>malaga:action:clave-yuz-yuze-kayit-randevu-ve-gerekli-belgeler-1</t>
        </is>
      </c>
      <c r="B509" s="29" t="inlineStr">
        <is>
          <t>malaga</t>
        </is>
      </c>
      <c r="C509" s="29" t="inlineStr">
        <is>
          <t>malaga:clave-yuz-yuze-kayit-randevu-ve-gerekli-belgeler</t>
        </is>
      </c>
      <c r="D509" s="29" t="inlineStr">
        <is>
          <t>Randevu al</t>
        </is>
      </c>
      <c r="E509" s="29" t="inlineStr">
        <is>
          <t>https://sede.agenciatributaria.gob.es/Sede/ayuda/consultas-informaticas/firma-digital-sistema-clave-pin-tecnica/registrarse-clave-pin/registro-presencial-sistema-clave.html</t>
        </is>
      </c>
      <c r="F509" s="49" t="n">
        <v>46322</v>
      </c>
      <c r="G509" s="51" t="n">
        <v>1</v>
      </c>
    </row>
    <row r="510" ht="54" customHeight="1">
      <c r="A510" s="29" t="inlineStr">
        <is>
          <t>malaga:action:ehliyet-degisimi-canje-dgt-cevrimici-basvuru-ve-jefatura-teslimi-1</t>
        </is>
      </c>
      <c r="B510" s="29" t="inlineStr">
        <is>
          <t>malaga</t>
        </is>
      </c>
      <c r="C510" s="29" t="inlineStr">
        <is>
          <t>malaga:ehliyet-degisimi-canje-dgt-cevrimici-basvuru-ve-jefatura-teslimi</t>
        </is>
      </c>
      <c r="D510" s="29" t="inlineStr">
        <is>
          <t>Başvur</t>
        </is>
      </c>
      <c r="E510" s="29" t="inlineStr">
        <is>
          <t>https://sede.dgt.gob.es/es/permisos-de-conducir/canjes-de-permisos/canjes-de-permisos-extranjeros/extracomunitarios/canje-paises-G4-CL-CP/</t>
        </is>
      </c>
      <c r="F510" s="49" t="n">
        <v>46322</v>
      </c>
      <c r="G510" s="51" t="n">
        <v>1</v>
      </c>
    </row>
    <row r="511" ht="54" customHeight="1">
      <c r="A511" s="29" t="inlineStr">
        <is>
          <t>malaga:action:ehliyet-degisimi-canje-dgt-cevrimici-basvuru-ve-jefatura-teslimi-2</t>
        </is>
      </c>
      <c r="B511" s="29" t="inlineStr">
        <is>
          <t>malaga</t>
        </is>
      </c>
      <c r="C511" s="29" t="inlineStr">
        <is>
          <t>malaga:ehliyet-degisimi-canje-dgt-cevrimici-basvuru-ve-jefatura-teslimi</t>
        </is>
      </c>
      <c r="D511" s="29" t="inlineStr">
        <is>
          <t>Bilgi al</t>
        </is>
      </c>
      <c r="E511" s="29" t="inlineStr">
        <is>
          <t>https://www.dgt.es/comunicacion/notas-de-prensa/20250520-dgt-servicio-de-canje-digital-de-permisos-de-conduccion/</t>
        </is>
      </c>
      <c r="F511" s="49" t="n">
        <v>46322</v>
      </c>
      <c r="G511" s="51" t="n">
        <v>2</v>
      </c>
    </row>
    <row r="512" ht="54" customHeight="1">
      <c r="A512" s="29" t="inlineStr">
        <is>
          <t>malaga:action:apostil-endulus-tsj-secretaria-de-gobierno-ve-elektronik-apostil-1</t>
        </is>
      </c>
      <c r="B512" s="29" t="inlineStr">
        <is>
          <t>malaga</t>
        </is>
      </c>
      <c r="C512" s="29" t="inlineStr">
        <is>
          <t>malaga:apostil-endulus-tsj-secretaria-de-gobierno-ve-elektronik-apostil</t>
        </is>
      </c>
      <c r="D512" s="29" t="inlineStr">
        <is>
          <t>Bilgi al</t>
        </is>
      </c>
      <c r="E512" s="29" t="inlineStr">
        <is>
          <t>https://www.juntadeandalucia.es/organismos/justiciaadministracionlocalyfuncionpublica/areas/justicia/atencion-ciudadania/tramites-judiciales/legalizaciones-apostillas.html</t>
        </is>
      </c>
      <c r="F512" s="49" t="n">
        <v>46322</v>
      </c>
      <c r="G512" s="51" t="n">
        <v>1</v>
      </c>
    </row>
    <row r="513" ht="54" customHeight="1">
      <c r="A513" s="29" t="inlineStr">
        <is>
          <t>malaga:action:apostil-endulus-tsj-secretaria-de-gobierno-ve-elektronik-apostil-2</t>
        </is>
      </c>
      <c r="B513" s="29" t="inlineStr">
        <is>
          <t>malaga</t>
        </is>
      </c>
      <c r="C513" s="29" t="inlineStr">
        <is>
          <t>malaga:apostil-endulus-tsj-secretaria-de-gobierno-ve-elektronik-apostil</t>
        </is>
      </c>
      <c r="D513" s="29" t="inlineStr">
        <is>
          <t>Bilgi al</t>
        </is>
      </c>
      <c r="E513" s="29" t="inlineStr">
        <is>
          <t>https://sede.mjusticia.gob.es/tramites/apostilla-electronica</t>
        </is>
      </c>
      <c r="F513" s="49" t="n">
        <v>46322</v>
      </c>
      <c r="G513" s="51" t="n">
        <v>2</v>
      </c>
    </row>
    <row r="514" ht="54" customHeight="1">
      <c r="A514" s="29" t="inlineStr">
        <is>
          <t>malaga:action:empadronamiento-nedir-neden-gerekir-2</t>
        </is>
      </c>
      <c r="B514" s="29" t="inlineStr">
        <is>
          <t>malaga</t>
        </is>
      </c>
      <c r="C514" s="29" t="inlineStr">
        <is>
          <t>malaga:empadronamiento-nedir-neden-gerekir</t>
        </is>
      </c>
      <c r="D514" s="29" t="inlineStr">
        <is>
          <t>Bilgi al</t>
        </is>
      </c>
      <c r="E514" s="29" t="inlineStr">
        <is>
          <t>https://www.boe.es/buscar/act.php?id=BOE-A-1985-5392</t>
        </is>
      </c>
      <c r="F514" s="49" t="n">
        <v>46322</v>
      </c>
      <c r="G514" s="51" t="n">
        <v>2</v>
      </c>
    </row>
    <row r="515" ht="54" customHeight="1">
      <c r="A515" s="29" t="inlineStr">
        <is>
          <t>malaga:action:kamu-saglik-sistemine-erisim-hak-sahipleri-1</t>
        </is>
      </c>
      <c r="B515" s="29" t="inlineStr">
        <is>
          <t>malaga</t>
        </is>
      </c>
      <c r="C515" s="29" t="inlineStr">
        <is>
          <t>malaga:kamu-saglik-sistemine-erisim-hak-sahipleri</t>
        </is>
      </c>
      <c r="D515" s="29" t="inlineStr">
        <is>
          <t>Bilgi al</t>
        </is>
      </c>
      <c r="E515" s="29" t="inlineStr">
        <is>
          <t>https://www.seg-social.es/wps/portal/wss/internet/Trabajadores/PrestacionesPensionesTrabajadores/10938/30476</t>
        </is>
      </c>
      <c r="F515" s="49" t="n">
        <v>46319</v>
      </c>
      <c r="G515" s="51" t="n">
        <v>1</v>
      </c>
    </row>
    <row r="516" ht="54" customHeight="1">
      <c r="A516" s="29" t="inlineStr">
        <is>
          <t>malaga:action:kamu-saglik-sistemine-erisim-hak-sahipleri-2</t>
        </is>
      </c>
      <c r="B516" s="29" t="inlineStr">
        <is>
          <t>malaga</t>
        </is>
      </c>
      <c r="C516" s="29" t="inlineStr">
        <is>
          <t>malaga:kamu-saglik-sistemine-erisim-hak-sahipleri</t>
        </is>
      </c>
      <c r="D516" s="29" t="inlineStr">
        <is>
          <t>Bilgi al</t>
        </is>
      </c>
      <c r="E516" s="29" t="inlineStr">
        <is>
          <t>https://www.boe.es/buscar/act.php?id=BOE-A-2018-10752</t>
        </is>
      </c>
      <c r="F516" s="49" t="n">
        <v>46319</v>
      </c>
      <c r="G516" s="51" t="n">
        <v>2</v>
      </c>
    </row>
    <row r="517" ht="54" customHeight="1">
      <c r="A517" s="29" t="inlineStr">
        <is>
          <t>malaga:action:saglik-sigortasi-sarti-ve-convenio-especial-1</t>
        </is>
      </c>
      <c r="B517" s="29" t="inlineStr">
        <is>
          <t>malaga</t>
        </is>
      </c>
      <c r="C517" s="29" t="inlineStr">
        <is>
          <t>malaga:saglik-sigortasi-sarti-ve-convenio-especial</t>
        </is>
      </c>
      <c r="D517" s="29" t="inlineStr">
        <is>
          <t>Bilgi al</t>
        </is>
      </c>
      <c r="E517" s="29" t="inlineStr">
        <is>
          <t>https://www.sanidad.gob.es/servCiudadanos/internacional/convenioEspecial.htm</t>
        </is>
      </c>
      <c r="F517" s="49" t="n">
        <v>46319</v>
      </c>
      <c r="G517" s="51" t="n">
        <v>1</v>
      </c>
    </row>
    <row r="518" ht="54" customHeight="1">
      <c r="A518" s="29" t="inlineStr">
        <is>
          <t>malaga:action:saglik-sigortasi-sarti-ve-convenio-especial-2</t>
        </is>
      </c>
      <c r="B518" s="29" t="inlineStr">
        <is>
          <t>malaga</t>
        </is>
      </c>
      <c r="C518" s="29" t="inlineStr">
        <is>
          <t>malaga:saglik-sigortasi-sarti-ve-convenio-especial</t>
        </is>
      </c>
      <c r="D518" s="29" t="inlineStr">
        <is>
          <t>Bilgi al</t>
        </is>
      </c>
      <c r="E518" s="29" t="inlineStr">
        <is>
          <t>https://www.boe.es/buscar/act.php?id=BOE-A-2024-24099</t>
        </is>
      </c>
      <c r="F518" s="49" t="n">
        <v>46319</v>
      </c>
      <c r="G518" s="51" t="n">
        <v>2</v>
      </c>
    </row>
    <row r="519" ht="54" customHeight="1">
      <c r="A519" s="29" t="inlineStr">
        <is>
          <t>malaga:action:recete-ilac-katilim-payi-copago-1</t>
        </is>
      </c>
      <c r="B519" s="29" t="inlineStr">
        <is>
          <t>malaga</t>
        </is>
      </c>
      <c r="C519" s="29" t="inlineStr">
        <is>
          <t>malaga:recete-ilac-katilim-payi-copago</t>
        </is>
      </c>
      <c r="D519" s="29" t="inlineStr">
        <is>
          <t>Bilgi al</t>
        </is>
      </c>
      <c r="E519" s="29" t="inlineStr">
        <is>
          <t>https://www.boe.es/buscar/act.php?id=BOE-A-2015-8343</t>
        </is>
      </c>
      <c r="F519" s="49" t="n">
        <v>46319</v>
      </c>
      <c r="G519" s="51" t="n">
        <v>1</v>
      </c>
    </row>
    <row r="520" ht="54" customHeight="1">
      <c r="A520" s="29" t="inlineStr">
        <is>
          <t>malaga:action:recete-ilac-katilim-payi-copago-2</t>
        </is>
      </c>
      <c r="B520" s="29" t="inlineStr">
        <is>
          <t>malaga</t>
        </is>
      </c>
      <c r="C520" s="29" t="inlineStr">
        <is>
          <t>malaga:recete-ilac-katilim-payi-copago</t>
        </is>
      </c>
      <c r="D520" s="29" t="inlineStr">
        <is>
          <t>Bilgi al</t>
        </is>
      </c>
      <c r="E520" s="29" t="inlineStr">
        <is>
          <t>https://www.sanidad.gob.es/profesionales/prestacionesSanitarias/CarteraDeServicios/home.htm</t>
        </is>
      </c>
      <c r="F520" s="49" t="n">
        <v>46319</v>
      </c>
      <c r="G520" s="51" t="n">
        <v>2</v>
      </c>
    </row>
    <row r="521" ht="54" customHeight="1">
      <c r="A521" s="29" t="inlineStr">
        <is>
          <t>malaga:action:acil-durumda-112-1</t>
        </is>
      </c>
      <c r="B521" s="29" t="inlineStr">
        <is>
          <t>malaga</t>
        </is>
      </c>
      <c r="C521" s="29" t="inlineStr">
        <is>
          <t>malaga:acil-durumda-112</t>
        </is>
      </c>
      <c r="D521" s="29" t="inlineStr">
        <is>
          <t>Bilgi al</t>
        </is>
      </c>
      <c r="E521" s="29" t="inlineStr">
        <is>
          <t>https://www.boe.es/buscar/doc.php?id=BOE-A-1997-14058</t>
        </is>
      </c>
      <c r="F521" s="49" t="n">
        <v>46319</v>
      </c>
      <c r="G521" s="51" t="n">
        <v>1</v>
      </c>
    </row>
    <row r="522" ht="54" customHeight="1">
      <c r="A522" s="29" t="inlineStr">
        <is>
          <t>malaga:action:ulusal-asi-takvimi-1</t>
        </is>
      </c>
      <c r="B522" s="29" t="inlineStr">
        <is>
          <t>malaga</t>
        </is>
      </c>
      <c r="C522" s="29" t="inlineStr">
        <is>
          <t>malaga:ulusal-asi-takvimi</t>
        </is>
      </c>
      <c r="D522" s="29" t="inlineStr">
        <is>
          <t>Bilgi al</t>
        </is>
      </c>
      <c r="E522" s="29" t="inlineStr">
        <is>
          <t>https://www.sanidad.gob.es/areas/promocionPrevencion/vacunaciones/calendario/home.htm</t>
        </is>
      </c>
      <c r="F522" s="49" t="n">
        <v>46319</v>
      </c>
      <c r="G522" s="51" t="n">
        <v>1</v>
      </c>
    </row>
    <row r="523" ht="54" customHeight="1">
      <c r="A523" s="29" t="inlineStr">
        <is>
          <t>malaga:action:hamilelik-dogum-ve-cocuk-sagligi-haklari-1</t>
        </is>
      </c>
      <c r="B523" s="29" t="inlineStr">
        <is>
          <t>malaga</t>
        </is>
      </c>
      <c r="C523" s="29" t="inlineStr">
        <is>
          <t>malaga:hamilelik-dogum-ve-cocuk-sagligi-haklari</t>
        </is>
      </c>
      <c r="D523" s="29" t="inlineStr">
        <is>
          <t>Bilgi al</t>
        </is>
      </c>
      <c r="E523" s="29" t="inlineStr">
        <is>
          <t>https://www.boe.es/buscar/act.php?id=BOE-A-2006-16212</t>
        </is>
      </c>
      <c r="F523" s="49" t="n">
        <v>46319</v>
      </c>
      <c r="G523" s="51" t="n">
        <v>1</v>
      </c>
    </row>
    <row r="524" ht="54" customHeight="1">
      <c r="A524" s="29" t="inlineStr">
        <is>
          <t>malaga:action:hamilelik-dogum-ve-cocuk-sagligi-haklari-2</t>
        </is>
      </c>
      <c r="B524" s="29" t="inlineStr">
        <is>
          <t>malaga</t>
        </is>
      </c>
      <c r="C524" s="29" t="inlineStr">
        <is>
          <t>malaga:hamilelik-dogum-ve-cocuk-sagligi-haklari</t>
        </is>
      </c>
      <c r="D524" s="29" t="inlineStr">
        <is>
          <t>Bilgi al</t>
        </is>
      </c>
      <c r="E524" s="29" t="inlineStr">
        <is>
          <t>https://www.seg-social.es/wps/portal/wss/internet/Trabajadores/PrestacionesPensionesTrabajadores/6b96a085-4dc0-47af-b2cb-97e00716791e/requisitos+19-c021</t>
        </is>
      </c>
      <c r="F524" s="49" t="n">
        <v>46319</v>
      </c>
      <c r="G524" s="51" t="n">
        <v>2</v>
      </c>
    </row>
    <row r="525" ht="54" customHeight="1">
      <c r="A525" s="29" t="inlineStr">
        <is>
          <t>malaga:action:ruh-sagligi-ve-yasli-bakimi-dependencia-1</t>
        </is>
      </c>
      <c r="B525" s="29" t="inlineStr">
        <is>
          <t>malaga</t>
        </is>
      </c>
      <c r="C525" s="29" t="inlineStr">
        <is>
          <t>malaga:ruh-sagligi-ve-yasli-bakimi-dependencia</t>
        </is>
      </c>
      <c r="D525" s="29" t="inlineStr">
        <is>
          <t>Bilgi al</t>
        </is>
      </c>
      <c r="E525" s="29" t="inlineStr">
        <is>
          <t>https://www.boe.es/buscar/act.php?id=BOE-A-2006-21990</t>
        </is>
      </c>
      <c r="F525" s="49" t="n">
        <v>46319</v>
      </c>
      <c r="G525" s="51" t="n">
        <v>1</v>
      </c>
    </row>
    <row r="526" ht="54" customHeight="1">
      <c r="A526" s="29" t="inlineStr">
        <is>
          <t>malaga:action:ruh-sagligi-ve-yasli-bakimi-dependencia-2</t>
        </is>
      </c>
      <c r="B526" s="29" t="inlineStr">
        <is>
          <t>malaga</t>
        </is>
      </c>
      <c r="C526" s="29" t="inlineStr">
        <is>
          <t>malaga:ruh-sagligi-ve-yasli-bakimi-dependencia</t>
        </is>
      </c>
      <c r="D526" s="29" t="inlineStr">
        <is>
          <t>Bilgi al</t>
        </is>
      </c>
      <c r="E526" s="29" t="inlineStr">
        <is>
          <t>https://www.boe.es/buscar/act.php?id=BOE-A-2006-16212</t>
        </is>
      </c>
      <c r="F526" s="49" t="n">
        <v>46319</v>
      </c>
      <c r="G526" s="51" t="n">
        <v>2</v>
      </c>
    </row>
    <row r="527" ht="54" customHeight="1">
      <c r="A527" s="29" t="inlineStr">
        <is>
          <t>malaga:action:endulus-saglik-karti-tarjeta-sanitaria-ve-aile-hekimi-secimi-1</t>
        </is>
      </c>
      <c r="B527" s="29" t="inlineStr">
        <is>
          <t>malaga</t>
        </is>
      </c>
      <c r="C527" s="29" t="inlineStr">
        <is>
          <t>malaga:endulus-saglik-karti-tarjeta-sanitaria-ve-aile-hekimi-secimi</t>
        </is>
      </c>
      <c r="D527" s="29" t="inlineStr">
        <is>
          <t>Bilgi al</t>
        </is>
      </c>
      <c r="E527" s="29" t="inlineStr">
        <is>
          <t>https://www.juntadeandalucia.es/temas/salud/servicios/tarjeta.html</t>
        </is>
      </c>
      <c r="F527" s="49" t="n">
        <v>46319</v>
      </c>
      <c r="G527" s="51" t="n">
        <v>1</v>
      </c>
    </row>
    <row r="528" ht="54" customHeight="1">
      <c r="A528" s="29" t="inlineStr">
        <is>
          <t>malaga:action:endulus-saglik-karti-tarjeta-sanitaria-ve-aile-hekimi-secimi-2</t>
        </is>
      </c>
      <c r="B528" s="29" t="inlineStr">
        <is>
          <t>malaga</t>
        </is>
      </c>
      <c r="C528" s="29" t="inlineStr">
        <is>
          <t>malaga:endulus-saglik-karti-tarjeta-sanitaria-ve-aile-hekimi-secimi</t>
        </is>
      </c>
      <c r="D528" s="29" t="inlineStr">
        <is>
          <t>Başvur</t>
        </is>
      </c>
      <c r="E528" s="29" t="inlineStr">
        <is>
          <t>https://www.juntadeandalucia.es/temas/salud/derechos/eleccion.html</t>
        </is>
      </c>
      <c r="F528" s="49" t="n">
        <v>46319</v>
      </c>
      <c r="G528" s="51" t="n">
        <v>2</v>
      </c>
    </row>
    <row r="529" ht="54" customHeight="1">
      <c r="A529" s="29" t="inlineStr">
        <is>
          <t>malaga:action:malaga-aile-hekimi-ve-hemsire-randevusu-clicsalud-salud-responde-1</t>
        </is>
      </c>
      <c r="B529" s="29" t="inlineStr">
        <is>
          <t>malaga</t>
        </is>
      </c>
      <c r="C529" s="29" t="inlineStr">
        <is>
          <t>malaga:malaga-aile-hekimi-ve-hemsire-randevusu-clicsalud-salud-responde</t>
        </is>
      </c>
      <c r="D529" s="29" t="inlineStr">
        <is>
          <t>Randevu al</t>
        </is>
      </c>
      <c r="E529" s="29" t="inlineStr">
        <is>
          <t>https://www.sspa.juntadeandalucia.es/servicioandaluzdesalud/ciudadania/citas-en-centros-de-atencion-primaria</t>
        </is>
      </c>
      <c r="F529" s="49" t="n">
        <v>46322</v>
      </c>
      <c r="G529" s="51" t="n">
        <v>1</v>
      </c>
    </row>
    <row r="530" ht="54" customHeight="1">
      <c r="A530" s="29" t="inlineStr">
        <is>
          <t>malaga:action:malaga-aile-hekimi-ve-hemsire-randevusu-clicsalud-salud-responde-2</t>
        </is>
      </c>
      <c r="B530" s="29" t="inlineStr">
        <is>
          <t>malaga</t>
        </is>
      </c>
      <c r="C530" s="29" t="inlineStr">
        <is>
          <t>malaga:malaga-aile-hekimi-ve-hemsire-randevusu-clicsalud-salud-responde</t>
        </is>
      </c>
      <c r="D530" s="29" t="inlineStr">
        <is>
          <t>Bilgi al</t>
        </is>
      </c>
      <c r="E530" s="29" t="inlineStr">
        <is>
          <t>https://www.sspa.juntadeandalucia.es/servicioandaluzdesalud/el-sas/servicios-y-centros/salud-responde</t>
        </is>
      </c>
      <c r="F530" s="49" t="n">
        <v>46322</v>
      </c>
      <c r="G530" s="51" t="n">
        <v>2</v>
      </c>
    </row>
    <row r="531" ht="54" customHeight="1">
      <c r="A531" s="29" t="inlineStr">
        <is>
          <t>malaga:action:malaga-saglik-merkezleri-telefon-listesi-distrito-sanitario-1</t>
        </is>
      </c>
      <c r="B531" s="29" t="inlineStr">
        <is>
          <t>malaga</t>
        </is>
      </c>
      <c r="C531" s="29" t="inlineStr">
        <is>
          <t>malaga:malaga-saglik-merkezleri-telefon-listesi-distrito-sanitario</t>
        </is>
      </c>
      <c r="D531" s="29" t="inlineStr">
        <is>
          <t>Bilgi al</t>
        </is>
      </c>
      <c r="E531" s="29" t="inlineStr">
        <is>
          <t>https://www.sspa.juntadeandalucia.es/servicioandaluzdesalud/distritomalaga/f/5016e278d5abe64ebaf41a4e960eb90e</t>
        </is>
      </c>
      <c r="F531" s="49" t="n">
        <v>46322</v>
      </c>
      <c r="G531" s="51" t="n">
        <v>1</v>
      </c>
    </row>
    <row r="532" ht="54" customHeight="1">
      <c r="A532" s="29" t="inlineStr">
        <is>
          <t>malaga:action:malaga-hospital-universitario-regional-carlos-haya-adres-acil-ve-cita-1</t>
        </is>
      </c>
      <c r="B532" s="29" t="inlineStr">
        <is>
          <t>malaga</t>
        </is>
      </c>
      <c r="C532" s="29" t="inlineStr">
        <is>
          <t>malaga:malaga-hospital-universitario-regional-carlos-haya-adres-acil-ve-cita</t>
        </is>
      </c>
      <c r="D532" s="29" t="inlineStr">
        <is>
          <t>Randevu al</t>
        </is>
      </c>
      <c r="E532" s="29" t="inlineStr">
        <is>
          <t>https://www.sspa.juntadeandalucia.es/servicioandaluzdesalud/hospital/regional-malaga/ciudadania/atencion-a-la-ciudadania/cita-previa</t>
        </is>
      </c>
      <c r="F532" s="49" t="n">
        <v>46322</v>
      </c>
      <c r="G532" s="51" t="n">
        <v>1</v>
      </c>
    </row>
    <row r="533" ht="54" customHeight="1">
      <c r="A533" s="29" t="inlineStr">
        <is>
          <t>malaga:action:malaga-hospital-universitario-regional-carlos-haya-adres-acil-ve-cita-2</t>
        </is>
      </c>
      <c r="B533" s="29" t="inlineStr">
        <is>
          <t>malaga</t>
        </is>
      </c>
      <c r="C533" s="29" t="inlineStr">
        <is>
          <t>malaga:malaga-hospital-universitario-regional-carlos-haya-adres-acil-ve-cita</t>
        </is>
      </c>
      <c r="D533" s="29" t="inlineStr">
        <is>
          <t>Bilgi al</t>
        </is>
      </c>
      <c r="E533" s="29" t="inlineStr">
        <is>
          <t>https://www.sspa.juntadeandalucia.es/servicioandaluzdesalud/el-sas/servicios-y-centros/informacion-por-centros/16465</t>
        </is>
      </c>
      <c r="F533" s="49" t="n">
        <v>46322</v>
      </c>
      <c r="G533" s="51" t="n">
        <v>2</v>
      </c>
    </row>
    <row r="534" ht="54" customHeight="1">
      <c r="A534" s="29" t="inlineStr">
        <is>
          <t>malaga:action:malaga-hospital-materno-infantil-adres-acil-ve-randevu-kanallari-1</t>
        </is>
      </c>
      <c r="B534" s="29" t="inlineStr">
        <is>
          <t>malaga</t>
        </is>
      </c>
      <c r="C534" s="29" t="inlineStr">
        <is>
          <t>malaga:malaga-hospital-materno-infantil-adres-acil-ve-randevu-kanallari</t>
        </is>
      </c>
      <c r="D534" s="29" t="inlineStr">
        <is>
          <t>Bilgi al</t>
        </is>
      </c>
      <c r="E534" s="29" t="inlineStr">
        <is>
          <t>https://www.sspa.juntadeandalucia.es/servicioandaluzdesalud/el-sas/servicios-y-centros/informacion-por-centros/16466</t>
        </is>
      </c>
      <c r="F534" s="49" t="n">
        <v>46322</v>
      </c>
      <c r="G534" s="51" t="n">
        <v>1</v>
      </c>
    </row>
    <row r="535" ht="54" customHeight="1">
      <c r="A535" s="29" t="inlineStr">
        <is>
          <t>malaga:action:malaga-hospital-materno-infantil-adres-acil-ve-randevu-kanallari-2</t>
        </is>
      </c>
      <c r="B535" s="29" t="inlineStr">
        <is>
          <t>malaga</t>
        </is>
      </c>
      <c r="C535" s="29" t="inlineStr">
        <is>
          <t>malaga:malaga-hospital-materno-infantil-adres-acil-ve-randevu-kanallari</t>
        </is>
      </c>
      <c r="D535" s="29" t="inlineStr">
        <is>
          <t>Bilgi al</t>
        </is>
      </c>
      <c r="E535" s="29" t="inlineStr">
        <is>
          <t>https://www.juntadeandalucia.es/temas/salud/urgencias/urgencias.html</t>
        </is>
      </c>
      <c r="F535" s="49" t="n">
        <v>46322</v>
      </c>
      <c r="G535" s="51" t="n">
        <v>2</v>
      </c>
    </row>
    <row r="536" ht="54" customHeight="1">
      <c r="A536" s="29" t="inlineStr">
        <is>
          <t>malaga:action:malaga-hospital-virgen-de-la-victoria-teatinos-adres-ve-bagli-merkezler-1</t>
        </is>
      </c>
      <c r="B536" s="29" t="inlineStr">
        <is>
          <t>malaga</t>
        </is>
      </c>
      <c r="C536" s="29" t="inlineStr">
        <is>
          <t>malaga:malaga-hospital-virgen-de-la-victoria-teatinos-adres-ve-bagli-merkezler</t>
        </is>
      </c>
      <c r="D536" s="29" t="inlineStr">
        <is>
          <t>Bilgi al</t>
        </is>
      </c>
      <c r="E536" s="29" t="inlineStr">
        <is>
          <t>https://www.sspa.juntadeandalucia.es/servicioandaluzdesalud/el-sas/servicios-y-centros/informacion-por-centros/16471</t>
        </is>
      </c>
      <c r="F536" s="49" t="n">
        <v>46322</v>
      </c>
      <c r="G536" s="51" t="n">
        <v>1</v>
      </c>
    </row>
    <row r="537" ht="54" customHeight="1">
      <c r="A537" s="29" t="inlineStr">
        <is>
          <t>malaga:action:salud-responde-24-saat-saglik-hatti-39-dilde-ceviri-1</t>
        </is>
      </c>
      <c r="B537" s="29" t="inlineStr">
        <is>
          <t>malaga</t>
        </is>
      </c>
      <c r="C537" s="29" t="inlineStr">
        <is>
          <t>malaga:salud-responde-24-saat-saglik-hatti-39-dilde-ceviri</t>
        </is>
      </c>
      <c r="D537" s="29" t="inlineStr">
        <is>
          <t>Bilgi al</t>
        </is>
      </c>
      <c r="E537" s="29" t="inlineStr">
        <is>
          <t>https://www.sspa.juntadeandalucia.es/servicioandaluzdesalud/el-sas/servicios-y-centros/salud-responde</t>
        </is>
      </c>
      <c r="F537" s="49" t="n">
        <v>46322</v>
      </c>
      <c r="G537" s="51" t="n">
        <v>1</v>
      </c>
    </row>
    <row r="538" ht="54" customHeight="1">
      <c r="A538" s="29" t="inlineStr">
        <is>
          <t>malaga:action:endulus-2026-asi-takvimi-cocuk-ve-ergen-yenilikleri-ve-randevu-1</t>
        </is>
      </c>
      <c r="B538" s="29" t="inlineStr">
        <is>
          <t>malaga</t>
        </is>
      </c>
      <c r="C538" s="29" t="inlineStr">
        <is>
          <t>malaga:endulus-2026-asi-takvimi-cocuk-ve-ergen-yenilikleri-ve-randevu</t>
        </is>
      </c>
      <c r="D538" s="29" t="inlineStr">
        <is>
          <t>Bilgi al</t>
        </is>
      </c>
      <c r="E538" s="29" t="inlineStr">
        <is>
          <t>https://www.sspa.juntadeandalucia.es/servicioandaluzdesalud/archivo-comunicado/novedades-relevantes-del-calendario-de-vacunaciones-de-andalucia-2026</t>
        </is>
      </c>
      <c r="F538" s="49" t="n">
        <v>46322</v>
      </c>
      <c r="G538" s="51" t="n">
        <v>1</v>
      </c>
    </row>
    <row r="539" ht="54" customHeight="1">
      <c r="A539" s="29" t="inlineStr">
        <is>
          <t>malaga:action:endulus-2026-asi-takvimi-cocuk-ve-ergen-yenilikleri-ve-randevu-2</t>
        </is>
      </c>
      <c r="B539" s="29" t="inlineStr">
        <is>
          <t>malaga</t>
        </is>
      </c>
      <c r="C539" s="29" t="inlineStr">
        <is>
          <t>malaga:endulus-2026-asi-takvimi-cocuk-ve-ergen-yenilikleri-ve-randevu</t>
        </is>
      </c>
      <c r="D539" s="29" t="inlineStr">
        <is>
          <t>Randevu al</t>
        </is>
      </c>
      <c r="E539" s="29" t="inlineStr">
        <is>
          <t>https://www.sspa.juntadeandalucia.es/servicioandaluzdesalud/ciudadania/citas-en-centros-de-atencion-primaria</t>
        </is>
      </c>
      <c r="F539" s="49" t="n">
        <v>46322</v>
      </c>
      <c r="G539" s="51" t="n">
        <v>2</v>
      </c>
    </row>
    <row r="540" ht="54" customHeight="1">
      <c r="A540" s="29" t="inlineStr">
        <is>
          <t>malaga:action:endulus-2026-asi-takvimi-yetiskin-pnomokok-zoster-covid-ve-randevu-1</t>
        </is>
      </c>
      <c r="B540" s="29" t="inlineStr">
        <is>
          <t>malaga</t>
        </is>
      </c>
      <c r="C540" s="29" t="inlineStr">
        <is>
          <t>malaga:endulus-2026-asi-takvimi-yetiskin-pnomokok-zoster-covid-ve-randevu</t>
        </is>
      </c>
      <c r="D540" s="29" t="inlineStr">
        <is>
          <t>Bilgi al</t>
        </is>
      </c>
      <c r="E540" s="29" t="inlineStr">
        <is>
          <t>https://www.sspa.juntadeandalucia.es/servicioandaluzdesalud/archivo-comunicado/novedades-relevantes-del-calendario-de-vacunaciones-de-andalucia-2026</t>
        </is>
      </c>
      <c r="F540" s="49" t="n">
        <v>46322</v>
      </c>
      <c r="G540" s="51" t="n">
        <v>1</v>
      </c>
    </row>
    <row r="541" ht="54" customHeight="1">
      <c r="A541" s="29" t="inlineStr">
        <is>
          <t>malaga:action:endulus-2026-asi-takvimi-yetiskin-pnomokok-zoster-covid-ve-randevu-2</t>
        </is>
      </c>
      <c r="B541" s="29" t="inlineStr">
        <is>
          <t>malaga</t>
        </is>
      </c>
      <c r="C541" s="29" t="inlineStr">
        <is>
          <t>malaga:endulus-2026-asi-takvimi-yetiskin-pnomokok-zoster-covid-ve-randevu</t>
        </is>
      </c>
      <c r="D541" s="29" t="inlineStr">
        <is>
          <t>Randevu al</t>
        </is>
      </c>
      <c r="E541" s="29" t="inlineStr">
        <is>
          <t>https://www.sspa.juntadeandalucia.es/servicioandaluzdesalud/ciudadania/citas-en-centros-de-atencion-primaria</t>
        </is>
      </c>
      <c r="F541" s="49" t="n">
        <v>46322</v>
      </c>
      <c r="G541" s="51" t="n">
        <v>2</v>
      </c>
    </row>
    <row r="542" ht="54" customHeight="1">
      <c r="A542" s="29" t="inlineStr">
        <is>
          <t>malaga:action:endulus-cocuk-dis-hekimi-0-15-yas-kamu-sagligi-ve-kontrol-randevusu-1</t>
        </is>
      </c>
      <c r="B542" s="29" t="inlineStr">
        <is>
          <t>malaga</t>
        </is>
      </c>
      <c r="C542" s="29" t="inlineStr">
        <is>
          <t>malaga:endulus-cocuk-dis-hekimi-0-15-yas-kamu-sagligi-ve-kontrol-randevusu</t>
        </is>
      </c>
      <c r="D542" s="29" t="inlineStr">
        <is>
          <t>Randevu al</t>
        </is>
      </c>
      <c r="E542" s="29" t="inlineStr">
        <is>
          <t>https://www.sspa.juntadeandalucia.es/servicioandaluzdesalud/ciudadania/citas-en-centros-de-atencion-primaria</t>
        </is>
      </c>
      <c r="F542" s="49" t="n">
        <v>46322</v>
      </c>
      <c r="G542" s="51" t="n">
        <v>1</v>
      </c>
    </row>
    <row r="543" ht="54" customHeight="1">
      <c r="A543" s="29" t="inlineStr">
        <is>
          <t>malaga:action:endulus-siginma-basvurucusu-saglik-hakki-ve-saglik-merkezi-kaydi-1</t>
        </is>
      </c>
      <c r="B543" s="29" t="inlineStr">
        <is>
          <t>malaga</t>
        </is>
      </c>
      <c r="C543" s="29" t="inlineStr">
        <is>
          <t>malaga:endulus-siginma-basvurucusu-saglik-hakki-ve-saglik-merkezi-kaydi</t>
        </is>
      </c>
      <c r="D543" s="29" t="inlineStr">
        <is>
          <t>Başvur</t>
        </is>
      </c>
      <c r="E543" s="29" t="inlineStr">
        <is>
          <t>https://www.sspa.juntadeandalucia.es/servicioandaluzdesalud/ciudadania/cobertura-sanitaria/personas-solicitantes-de-proteccion-internacional</t>
        </is>
      </c>
      <c r="F543" s="49" t="n">
        <v>46322</v>
      </c>
      <c r="G543" s="51" t="n">
        <v>1</v>
      </c>
    </row>
    <row r="544" ht="54" customHeight="1">
      <c r="A544" s="29" t="inlineStr">
        <is>
          <t>malaga:action:endulus-yenidogan-saglik-karti-rupyna-inss-kaydi-ve-kart-yenileme-1</t>
        </is>
      </c>
      <c r="B544" s="29" t="inlineStr">
        <is>
          <t>malaga</t>
        </is>
      </c>
      <c r="C544" s="29" t="inlineStr">
        <is>
          <t>malaga:endulus-yenidogan-saglik-karti-rupyna-inss-kaydi-ve-kart-yenileme</t>
        </is>
      </c>
      <c r="D544" s="29" t="inlineStr">
        <is>
          <t>Başvur</t>
        </is>
      </c>
      <c r="E544" s="29" t="inlineStr">
        <is>
          <t>https://www.sspa.juntadeandalucia.es/servicioandaluzdesalud/ciudadania/tarjeta-sanitaria-de-andalucia</t>
        </is>
      </c>
      <c r="F544" s="49" t="n">
        <v>46322</v>
      </c>
      <c r="G544" s="51" t="n">
        <v>1</v>
      </c>
    </row>
    <row r="545" ht="54" customHeight="1">
      <c r="A545" s="29" t="inlineStr">
        <is>
          <t>malaga:action:endulus-convenio-especial-basvurusu-nereye-hangi-belgelerle-ve-kapsam-1</t>
        </is>
      </c>
      <c r="B545" s="29" t="inlineStr">
        <is>
          <t>malaga</t>
        </is>
      </c>
      <c r="C545" s="29" t="inlineStr">
        <is>
          <t>malaga:endulus-convenio-especial-basvurusu-nereye-hangi-belgelerle-ve-kapsam</t>
        </is>
      </c>
      <c r="D545" s="29" t="inlineStr">
        <is>
          <t>Başvur</t>
        </is>
      </c>
      <c r="E545" s="29" t="inlineStr">
        <is>
          <t>https://www.sspa.juntadeandalucia.es/servicioandaluzdesalud/ciudadania/cobertura-sanitaria/convenios-especiales-para-la-prestacion-de-asistencia-sanitaria</t>
        </is>
      </c>
      <c r="F545" s="49" t="n">
        <v>46322</v>
      </c>
      <c r="G545" s="51" t="n">
        <v>1</v>
      </c>
    </row>
    <row r="546" ht="54" customHeight="1">
      <c r="A546" s="29" t="inlineStr">
        <is>
          <t>malaga:action:acil-saglik-numarasi-061-ve-nobetci-eczane-bulma-1</t>
        </is>
      </c>
      <c r="B546" s="29" t="inlineStr">
        <is>
          <t>malaga</t>
        </is>
      </c>
      <c r="C546" s="29" t="inlineStr">
        <is>
          <t>malaga:acil-saglik-numarasi-061-ve-nobetci-eczane-bulma</t>
        </is>
      </c>
      <c r="D546" s="29" t="inlineStr">
        <is>
          <t>Bilgi al</t>
        </is>
      </c>
      <c r="E546" s="29" t="inlineStr">
        <is>
          <t>https://www.juntadeandalucia.es/temas/salud/urgencias/urgencias.html</t>
        </is>
      </c>
      <c r="F546" s="49" t="n">
        <v>46322</v>
      </c>
      <c r="G546" s="51" t="n">
        <v>1</v>
      </c>
    </row>
    <row r="547" ht="54" customHeight="1">
      <c r="A547" s="29" t="inlineStr">
        <is>
          <t>malaga:action:acil-saglik-numarasi-061-ve-nobetci-eczane-bulma-2</t>
        </is>
      </c>
      <c r="B547" s="29" t="inlineStr">
        <is>
          <t>malaga</t>
        </is>
      </c>
      <c r="C547" s="29" t="inlineStr">
        <is>
          <t>malaga:acil-saglik-numarasi-061-ve-nobetci-eczane-bulma</t>
        </is>
      </c>
      <c r="D547" s="29" t="inlineStr">
        <is>
          <t>Bilgi al</t>
        </is>
      </c>
      <c r="E547" s="29" t="inlineStr">
        <is>
          <t>https://www.farmaceuticos.com/farmacias-de-guardia/malaga/</t>
        </is>
      </c>
      <c r="F547" s="49" t="n">
        <v>46322</v>
      </c>
      <c r="G547" s="51" t="n">
        <v>2</v>
      </c>
    </row>
    <row r="548" ht="54" customHeight="1">
      <c r="A548" s="29" t="inlineStr">
        <is>
          <t>malaga:action:renfe-bilet-iptal-degisiklik-genc-indirimi-1</t>
        </is>
      </c>
      <c r="B548" s="29" t="inlineStr">
        <is>
          <t>malaga</t>
        </is>
      </c>
      <c r="C548" s="29" t="inlineStr">
        <is>
          <t>malaga:renfe-bilet-iptal-degisiklik-genc-indirimi</t>
        </is>
      </c>
      <c r="D548" s="29" t="inlineStr">
        <is>
          <t>Bilgi al</t>
        </is>
      </c>
      <c r="E548" s="29" t="inlineStr">
        <is>
          <t>https://www.renfe.com/es/es/viajar/prepara-tu-viaje/billetes-ave-y-largadistancia/todos-los-billetes</t>
        </is>
      </c>
      <c r="F548" s="49" t="n">
        <v>46319</v>
      </c>
      <c r="G548" s="51" t="n">
        <v>1</v>
      </c>
    </row>
    <row r="549" ht="54" customHeight="1">
      <c r="A549" s="29" t="inlineStr">
        <is>
          <t>malaga:action:renfe-bilet-iptal-degisiklik-genc-indirimi-2</t>
        </is>
      </c>
      <c r="B549" s="29" t="inlineStr">
        <is>
          <t>malaga</t>
        </is>
      </c>
      <c r="C549" s="29" t="inlineStr">
        <is>
          <t>malaga:renfe-bilet-iptal-degisiklik-genc-indirimi</t>
        </is>
      </c>
      <c r="D549" s="29" t="inlineStr">
        <is>
          <t>Bilgi al</t>
        </is>
      </c>
      <c r="E549" s="29" t="inlineStr">
        <is>
          <t>https://www.renfe.com/es/es/viajar/prepara-tu-viaje/descuentos/Jovenes.html</t>
        </is>
      </c>
      <c r="F549" s="49" t="n">
        <v>46319</v>
      </c>
      <c r="G549" s="51" t="n">
        <v>2</v>
      </c>
    </row>
    <row r="550" ht="54" customHeight="1">
      <c r="A550" s="29" t="inlineStr">
        <is>
          <t>malaga:action:otobus-yolcu-haklari-rotar-bagaj-engelli-1</t>
        </is>
      </c>
      <c r="B550" s="29" t="inlineStr">
        <is>
          <t>malaga</t>
        </is>
      </c>
      <c r="C550" s="29" t="inlineStr">
        <is>
          <t>malaga:otobus-yolcu-haklari-rotar-bagaj-engelli</t>
        </is>
      </c>
      <c r="D550" s="29" t="inlineStr">
        <is>
          <t>Bilgi al</t>
        </is>
      </c>
      <c r="E550" s="29" t="inlineStr">
        <is>
          <t>https://www.boe.es/buscar/doc.php?id=DOUE-L-2011-80347</t>
        </is>
      </c>
      <c r="F550" s="49" t="n">
        <v>46319</v>
      </c>
      <c r="G550" s="51" t="n">
        <v>1</v>
      </c>
    </row>
    <row r="551" ht="54" customHeight="1">
      <c r="A551" s="29" t="inlineStr">
        <is>
          <t>malaga:action:otobus-yolcu-haklari-rotar-bagaj-engelli-2</t>
        </is>
      </c>
      <c r="B551" s="29" t="inlineStr">
        <is>
          <t>malaga</t>
        </is>
      </c>
      <c r="C551" s="29" t="inlineStr">
        <is>
          <t>malaga:otobus-yolcu-haklari-rotar-bagaj-engelli</t>
        </is>
      </c>
      <c r="D551" s="29" t="inlineStr">
        <is>
          <t>Bilgi al</t>
        </is>
      </c>
      <c r="E551" s="29" t="inlineStr">
        <is>
          <t>https://portal-cec.consumo.gob.es/en/informacion-general/viajes/transporte-por-carretera</t>
        </is>
      </c>
      <c r="F551" s="49" t="n">
        <v>46319</v>
      </c>
      <c r="G551" s="51" t="n">
        <v>2</v>
      </c>
    </row>
    <row r="552" ht="54" customHeight="1">
      <c r="A552" s="29" t="inlineStr">
        <is>
          <t>malaga:action:hiz-siniri-alkol-ehliyet-puani-1</t>
        </is>
      </c>
      <c r="B552" s="29" t="inlineStr">
        <is>
          <t>malaga</t>
        </is>
      </c>
      <c r="C552" s="29" t="inlineStr">
        <is>
          <t>malaga:hiz-siniri-alkol-ehliyet-puani</t>
        </is>
      </c>
      <c r="D552" s="29" t="inlineStr">
        <is>
          <t>Bilgi al</t>
        </is>
      </c>
      <c r="E552" s="29" t="inlineStr">
        <is>
          <t>https://www.boe.es/buscar/act.php?id=BOE-A-2003-23514</t>
        </is>
      </c>
      <c r="F552" s="49" t="n">
        <v>46319</v>
      </c>
      <c r="G552" s="51" t="n">
        <v>1</v>
      </c>
    </row>
    <row r="553" ht="54" customHeight="1">
      <c r="A553" s="29" t="inlineStr">
        <is>
          <t>malaga:action:hiz-siniri-alkol-ehliyet-puani-2</t>
        </is>
      </c>
      <c r="B553" s="29" t="inlineStr">
        <is>
          <t>malaga</t>
        </is>
      </c>
      <c r="C553" s="29" t="inlineStr">
        <is>
          <t>malaga:hiz-siniri-alkol-ehliyet-puani</t>
        </is>
      </c>
      <c r="D553" s="29" t="inlineStr">
        <is>
          <t>Bilgi al</t>
        </is>
      </c>
      <c r="E553" s="29" t="inlineStr">
        <is>
          <t>https://www.dgt.es/nuestros-servicios/permisos-de-conducir/tus-puntos-y-tus-permisos/como-funciona-el-permiso-por-puntos/</t>
        </is>
      </c>
      <c r="F553" s="49" t="n">
        <v>46319</v>
      </c>
      <c r="G553" s="51" t="n">
        <v>2</v>
      </c>
    </row>
    <row r="554" ht="54" customHeight="1">
      <c r="A554" s="29" t="inlineStr">
        <is>
          <t>malaga:action:itv-arac-muayene-periyotlari-1</t>
        </is>
      </c>
      <c r="B554" s="29" t="inlineStr">
        <is>
          <t>malaga</t>
        </is>
      </c>
      <c r="C554" s="29" t="inlineStr">
        <is>
          <t>malaga:itv-arac-muayene-periyotlari</t>
        </is>
      </c>
      <c r="D554" s="29" t="inlineStr">
        <is>
          <t>Bilgi al</t>
        </is>
      </c>
      <c r="E554" s="29" t="inlineStr">
        <is>
          <t>https://www.boe.es/buscar/act.php?id=BOE-A-2017-12841</t>
        </is>
      </c>
      <c r="F554" s="49" t="n">
        <v>46319</v>
      </c>
      <c r="G554" s="51" t="n">
        <v>1</v>
      </c>
    </row>
    <row r="555" ht="54" customHeight="1">
      <c r="A555" s="29" t="inlineStr">
        <is>
          <t>malaga:action:ucus-gecikme-iptal-aesa-sikayet-1</t>
        </is>
      </c>
      <c r="B555" s="29" t="inlineStr">
        <is>
          <t>malaga</t>
        </is>
      </c>
      <c r="C555" s="29" t="inlineStr">
        <is>
          <t>malaga:ucus-gecikme-iptal-aesa-sikayet</t>
        </is>
      </c>
      <c r="D555" s="29" t="inlineStr">
        <is>
          <t>Bilgi al</t>
        </is>
      </c>
      <c r="E555" s="29" t="inlineStr">
        <is>
          <t>https://sede.seguridadaerea.gob.es/sede-aesa/catalogo-de-procedimientos/reclamaciones-por-cancelaciones-retrasos-denegaciones-de-embarque-y-pmr</t>
        </is>
      </c>
      <c r="F555" s="49" t="n">
        <v>46319</v>
      </c>
      <c r="G555" s="51" t="n">
        <v>1</v>
      </c>
    </row>
    <row r="556" ht="54" customHeight="1">
      <c r="A556" s="29" t="inlineStr">
        <is>
          <t>malaga:action:ucus-gecikme-iptal-aesa-sikayet-2</t>
        </is>
      </c>
      <c r="B556" s="29" t="inlineStr">
        <is>
          <t>malaga</t>
        </is>
      </c>
      <c r="C556" s="29" t="inlineStr">
        <is>
          <t>malaga:ucus-gecikme-iptal-aesa-sikayet</t>
        </is>
      </c>
      <c r="D556" s="29" t="inlineStr">
        <is>
          <t>Bilgi al</t>
        </is>
      </c>
      <c r="E556" s="29" t="inlineStr">
        <is>
          <t>https://www.seguridadaerea.gob.es/es/preguntas-frecuentes-derechos-pasajeros</t>
        </is>
      </c>
      <c r="F556" s="49" t="n">
        <v>46319</v>
      </c>
      <c r="G556" s="51" t="n">
        <v>2</v>
      </c>
    </row>
    <row r="557" ht="54" customHeight="1">
      <c r="A557" s="29" t="inlineStr">
        <is>
          <t>malaga:action:ada-ceuta-melilla-yerlesik-ucus-indirimi-1</t>
        </is>
      </c>
      <c r="B557" s="29" t="inlineStr">
        <is>
          <t>malaga</t>
        </is>
      </c>
      <c r="C557" s="29" t="inlineStr">
        <is>
          <t>malaga:ada-ceuta-melilla-yerlesik-ucus-indirimi</t>
        </is>
      </c>
      <c r="D557" s="29" t="inlineStr">
        <is>
          <t>Bilgi al</t>
        </is>
      </c>
      <c r="E557" s="29" t="inlineStr">
        <is>
          <t>https://www.boe.es/buscar/doc.php?id=BOE-A-2018-10651</t>
        </is>
      </c>
      <c r="F557" s="49" t="n">
        <v>46319</v>
      </c>
      <c r="G557" s="51" t="n">
        <v>1</v>
      </c>
    </row>
    <row r="558" ht="54" customHeight="1">
      <c r="A558" s="29" t="inlineStr">
        <is>
          <t>malaga:action:ada-ceuta-melilla-yerlesik-ucus-indirimi-2</t>
        </is>
      </c>
      <c r="B558" s="29" t="inlineStr">
        <is>
          <t>malaga</t>
        </is>
      </c>
      <c r="C558" s="29" t="inlineStr">
        <is>
          <t>malaga:ada-ceuta-melilla-yerlesik-ucus-indirimi</t>
        </is>
      </c>
      <c r="D558" s="29" t="inlineStr">
        <is>
          <t>Bilgi al</t>
        </is>
      </c>
      <c r="E558" s="29" t="inlineStr">
        <is>
          <t>https://www.boe.es/buscar/act.php?id=BOE-A-2012-15651</t>
        </is>
      </c>
      <c r="F558" s="49" t="n">
        <v>46319</v>
      </c>
      <c r="G558" s="51" t="n">
        <v>2</v>
      </c>
    </row>
    <row r="559" ht="54" customHeight="1">
      <c r="A559" s="29" t="inlineStr">
        <is>
          <t>malaga:action:endulus-metropol-ulasim-konsorsiyum-kartlari-ve-interoperabilite-1</t>
        </is>
      </c>
      <c r="B559" s="29" t="inlineStr">
        <is>
          <t>malaga</t>
        </is>
      </c>
      <c r="C559" s="29" t="inlineStr">
        <is>
          <t>malaga:endulus-metropol-ulasim-konsorsiyum-kartlari-ve-interoperabilite</t>
        </is>
      </c>
      <c r="D559" s="29" t="inlineStr">
        <is>
          <t>Tarifeyi gör</t>
        </is>
      </c>
      <c r="E559" s="29" t="inlineStr">
        <is>
          <t>https://ctagr.es/sistema-tarifario/interoperatividad</t>
        </is>
      </c>
      <c r="F559" s="49" t="n">
        <v>46319</v>
      </c>
      <c r="G559" s="51" t="n">
        <v>1</v>
      </c>
    </row>
    <row r="560" ht="54" customHeight="1">
      <c r="A560" s="29" t="inlineStr">
        <is>
          <t>malaga:action:endulus-metropol-ulasim-konsorsiyum-kartlari-ve-interoperabilite-2</t>
        </is>
      </c>
      <c r="B560" s="29" t="inlineStr">
        <is>
          <t>malaga</t>
        </is>
      </c>
      <c r="C560" s="29" t="inlineStr">
        <is>
          <t>malaga:endulus-metropol-ulasim-konsorsiyum-kartlari-ve-interoperabilite</t>
        </is>
      </c>
      <c r="D560" s="29" t="inlineStr">
        <is>
          <t>Bilgi al</t>
        </is>
      </c>
      <c r="E560" s="29" t="inlineStr">
        <is>
          <t>https://ctmam.es/titulos-de-transporte/tarjeta-de-transporte/</t>
        </is>
      </c>
      <c r="F560" s="49" t="n">
        <v>46319</v>
      </c>
      <c r="G560" s="51" t="n">
        <v>2</v>
      </c>
    </row>
    <row r="561" ht="54" customHeight="1">
      <c r="A561" s="29" t="inlineStr">
        <is>
          <t>malaga:action:emt-otobus-temassiz-banka-karti-ile-odeme-1</t>
        </is>
      </c>
      <c r="B561" s="29" t="inlineStr">
        <is>
          <t>malaga</t>
        </is>
      </c>
      <c r="C561" s="29" t="inlineStr">
        <is>
          <t>malaga:emt-otobus-temassiz-banka-karti-ile-odeme</t>
        </is>
      </c>
      <c r="D561" s="29" t="inlineStr">
        <is>
          <t>Bilgi al</t>
        </is>
      </c>
      <c r="E561" s="29" t="inlineStr">
        <is>
          <t>https://www.emtmalaga.es/pago-con-tarjeta-bancaria</t>
        </is>
      </c>
      <c r="F561" s="49" t="n">
        <v>46322</v>
      </c>
      <c r="G561" s="51" t="n">
        <v>1</v>
      </c>
    </row>
    <row r="562" ht="54" customHeight="1">
      <c r="A562" s="29" t="inlineStr">
        <is>
          <t>malaga:action:emt-otobus-temassiz-banka-karti-ile-odeme-2</t>
        </is>
      </c>
      <c r="B562" s="29" t="inlineStr">
        <is>
          <t>malaga</t>
        </is>
      </c>
      <c r="C562" s="29" t="inlineStr">
        <is>
          <t>malaga:emt-otobus-temassiz-banka-karti-ile-odeme</t>
        </is>
      </c>
      <c r="D562" s="29" t="inlineStr">
        <is>
          <t>Tarifeyi gör</t>
        </is>
      </c>
      <c r="E562" s="29" t="inlineStr">
        <is>
          <t>https://www.emtmalaga.es/tarifas</t>
        </is>
      </c>
      <c r="F562" s="49" t="n">
        <v>46322</v>
      </c>
      <c r="G562" s="51" t="n">
        <v>2</v>
      </c>
    </row>
    <row r="563" ht="54" customHeight="1">
      <c r="A563" s="29" t="inlineStr">
        <is>
          <t>malaga:action:consorcio-kartiyla-aktarma-suresi-ve-ucreti-1</t>
        </is>
      </c>
      <c r="B563" s="29" t="inlineStr">
        <is>
          <t>malaga</t>
        </is>
      </c>
      <c r="C563" s="29" t="inlineStr">
        <is>
          <t>malaga:consorcio-kartiyla-aktarma-suresi-ve-ucreti</t>
        </is>
      </c>
      <c r="D563" s="29" t="inlineStr">
        <is>
          <t>Tarifeyi gör</t>
        </is>
      </c>
      <c r="E563" s="29" t="inlineStr">
        <is>
          <t>https://ctmam.es/tarifas/</t>
        </is>
      </c>
      <c r="F563" s="49" t="n">
        <v>46322</v>
      </c>
      <c r="G563" s="51" t="n">
        <v>1</v>
      </c>
    </row>
    <row r="564" ht="54" customHeight="1">
      <c r="A564" s="29" t="inlineStr">
        <is>
          <t>malaga:action:consorcio-kartiyla-aktarma-suresi-ve-ucreti-2</t>
        </is>
      </c>
      <c r="B564" s="29" t="inlineStr">
        <is>
          <t>malaga</t>
        </is>
      </c>
      <c r="C564" s="29" t="inlineStr">
        <is>
          <t>malaga:consorcio-kartiyla-aktarma-suresi-ve-ucreti</t>
        </is>
      </c>
      <c r="D564" s="29" t="inlineStr">
        <is>
          <t>Bilgi al</t>
        </is>
      </c>
      <c r="E564" s="29" t="inlineStr">
        <is>
          <t>https://ctmam.es/tarjeta-de-transporte/</t>
        </is>
      </c>
      <c r="F564" s="49" t="n">
        <v>46322</v>
      </c>
      <c r="G564" s="51" t="n">
        <v>2</v>
      </c>
    </row>
    <row r="565" ht="54" customHeight="1">
      <c r="A565" s="29" t="inlineStr">
        <is>
          <t>malaga:action:sehirlerarasi-otobus-ucretleri-salto-tablosu-2026-1</t>
        </is>
      </c>
      <c r="B565" s="29" t="inlineStr">
        <is>
          <t>malaga</t>
        </is>
      </c>
      <c r="C565" s="29" t="inlineStr">
        <is>
          <t>malaga:sehirlerarasi-otobus-ucretleri-salto-tablosu-2026</t>
        </is>
      </c>
      <c r="D565" s="29" t="inlineStr">
        <is>
          <t>Tarifeyi gör</t>
        </is>
      </c>
      <c r="E565" s="29" t="inlineStr">
        <is>
          <t>https://ctmam.es/se-mantienen-las-tarifas-y-bonificaciones-a-partir-del-1-de-enero-de-2026/</t>
        </is>
      </c>
      <c r="F565" s="49" t="n">
        <v>46322</v>
      </c>
      <c r="G565" s="51" t="n">
        <v>1</v>
      </c>
    </row>
    <row r="566" ht="54" customHeight="1">
      <c r="A566" s="29" t="inlineStr">
        <is>
          <t>malaga:action:sehirlerarasi-otobus-ucretleri-salto-tablosu-2026-2</t>
        </is>
      </c>
      <c r="B566" s="29" t="inlineStr">
        <is>
          <t>malaga</t>
        </is>
      </c>
      <c r="C566" s="29" t="inlineStr">
        <is>
          <t>malaga:sehirlerarasi-otobus-ucretleri-salto-tablosu-2026</t>
        </is>
      </c>
      <c r="D566" s="29" t="inlineStr">
        <is>
          <t>Bilgi al</t>
        </is>
      </c>
      <c r="E566" s="29" t="inlineStr">
        <is>
          <t>https://ctmam.es/tarjeta-de-transporte/</t>
        </is>
      </c>
      <c r="F566" s="49" t="n">
        <v>46322</v>
      </c>
      <c r="G566" s="51" t="n">
        <v>2</v>
      </c>
    </row>
    <row r="567" ht="54" customHeight="1">
      <c r="A567" s="29" t="inlineStr">
        <is>
          <t>malaga:action:buho-m-168-ve-caminito-del-rey-m-347-ozel-tarifeleri-1</t>
        </is>
      </c>
      <c r="B567" s="29" t="inlineStr">
        <is>
          <t>malaga</t>
        </is>
      </c>
      <c r="C567" s="29" t="inlineStr">
        <is>
          <t>malaga:buho-m-168-ve-caminito-del-rey-m-347-ozel-tarifeleri</t>
        </is>
      </c>
      <c r="D567" s="29" t="inlineStr">
        <is>
          <t>Tarifeyi gör</t>
        </is>
      </c>
      <c r="E567" s="29" t="inlineStr">
        <is>
          <t>https://ctmam.es/tarifas/</t>
        </is>
      </c>
      <c r="F567" s="49" t="n">
        <v>46322</v>
      </c>
      <c r="G567" s="51" t="n">
        <v>1</v>
      </c>
    </row>
    <row r="568" ht="54" customHeight="1">
      <c r="A568" s="29" t="inlineStr">
        <is>
          <t>malaga:action:emt-tarjeta-oro-yillik-abonman-ve-musteri-hizmetleri-ofisi-1</t>
        </is>
      </c>
      <c r="B568" s="29" t="inlineStr">
        <is>
          <t>malaga</t>
        </is>
      </c>
      <c r="C568" s="29" t="inlineStr">
        <is>
          <t>malaga:emt-tarjeta-oro-yillik-abonman-ve-musteri-hizmetleri-ofisi</t>
        </is>
      </c>
      <c r="D568" s="29" t="inlineStr">
        <is>
          <t>Bilgi al</t>
        </is>
      </c>
      <c r="E568" s="29" t="inlineStr">
        <is>
          <t>https://www.emtmalaga.es/nuestras-oficinas</t>
        </is>
      </c>
      <c r="F568" s="49" t="n">
        <v>46322</v>
      </c>
      <c r="G568" s="51" t="n">
        <v>1</v>
      </c>
    </row>
    <row r="569" ht="54" customHeight="1">
      <c r="A569" s="29" t="inlineStr">
        <is>
          <t>malaga:action:emt-tarjeta-oro-yillik-abonman-ve-musteri-hizmetleri-ofisi-2</t>
        </is>
      </c>
      <c r="B569" s="29" t="inlineStr">
        <is>
          <t>malaga</t>
        </is>
      </c>
      <c r="C569" s="29" t="inlineStr">
        <is>
          <t>malaga:emt-tarjeta-oro-yillik-abonman-ve-musteri-hizmetleri-ofisi</t>
        </is>
      </c>
      <c r="D569" s="29" t="inlineStr">
        <is>
          <t>Tarifeyi gör</t>
        </is>
      </c>
      <c r="E569" s="29" t="inlineStr">
        <is>
          <t>https://www.emtmalaga.es/tarifas</t>
        </is>
      </c>
      <c r="F569" s="49" t="n">
        <v>46322</v>
      </c>
      <c r="G569" s="51" t="n">
        <v>2</v>
      </c>
    </row>
    <row r="570" ht="54" customHeight="1">
      <c r="A570" s="29" t="inlineStr">
        <is>
          <t>malaga:action:emt-ucretsiz-yolculuk-yas-sinirlari-ve-kart-turleri-1</t>
        </is>
      </c>
      <c r="B570" s="29" t="inlineStr">
        <is>
          <t>malaga</t>
        </is>
      </c>
      <c r="C570" s="29" t="inlineStr">
        <is>
          <t>malaga:emt-ucretsiz-yolculuk-yas-sinirlari-ve-kart-turleri</t>
        </is>
      </c>
      <c r="D570" s="29" t="inlineStr">
        <is>
          <t>Bilgi al</t>
        </is>
      </c>
      <c r="E570" s="29" t="inlineStr">
        <is>
          <t>https://www.emtmalaga.es/titulos-recomendados</t>
        </is>
      </c>
      <c r="F570" s="49" t="n">
        <v>46322</v>
      </c>
      <c r="G570" s="51" t="n">
        <v>1</v>
      </c>
    </row>
    <row r="571" ht="54" customHeight="1">
      <c r="A571" s="29" t="inlineStr">
        <is>
          <t>malaga:action:emt-ucretsiz-yolculuk-yas-sinirlari-ve-kart-turleri-2</t>
        </is>
      </c>
      <c r="B571" s="29" t="inlineStr">
        <is>
          <t>malaga</t>
        </is>
      </c>
      <c r="C571" s="29" t="inlineStr">
        <is>
          <t>malaga:emt-ucretsiz-yolculuk-yas-sinirlari-ve-kart-turleri</t>
        </is>
      </c>
      <c r="D571" s="29" t="inlineStr">
        <is>
          <t>Tarifeyi gör</t>
        </is>
      </c>
      <c r="E571" s="29" t="inlineStr">
        <is>
          <t>https://www.emtmalaga.es/tarifas</t>
        </is>
      </c>
      <c r="F571" s="49" t="n">
        <v>46322</v>
      </c>
      <c r="G571" s="51" t="n">
        <v>2</v>
      </c>
    </row>
    <row r="572" ht="54" customHeight="1">
      <c r="A572" s="29" t="inlineStr">
        <is>
          <t>malaga:action:emt-karti-yukleme-noktalari-ve-nfc-recarga-1</t>
        </is>
      </c>
      <c r="B572" s="29" t="inlineStr">
        <is>
          <t>malaga</t>
        </is>
      </c>
      <c r="C572" s="29" t="inlineStr">
        <is>
          <t>malaga:emt-karti-yukleme-noktalari-ve-nfc-recarga</t>
        </is>
      </c>
      <c r="D572" s="29" t="inlineStr">
        <is>
          <t>Bilgi al</t>
        </is>
      </c>
      <c r="E572" s="29" t="inlineStr">
        <is>
          <t>https://www.emtmalaga.es/comprar-recargar-tarjeta</t>
        </is>
      </c>
      <c r="F572" s="49" t="n">
        <v>46322</v>
      </c>
      <c r="G572" s="51" t="n">
        <v>1</v>
      </c>
    </row>
    <row r="573" ht="54" customHeight="1">
      <c r="A573" s="29" t="inlineStr">
        <is>
          <t>malaga:action:emt-karti-yukleme-noktalari-ve-nfc-recarga-2</t>
        </is>
      </c>
      <c r="B573" s="29" t="inlineStr">
        <is>
          <t>malaga</t>
        </is>
      </c>
      <c r="C573" s="29" t="inlineStr">
        <is>
          <t>malaga:emt-karti-yukleme-noktalari-ve-nfc-recarga</t>
        </is>
      </c>
      <c r="D573" s="29" t="inlineStr">
        <is>
          <t>Tarifeyi gör</t>
        </is>
      </c>
      <c r="E573" s="29" t="inlineStr">
        <is>
          <t>https://www.emtmalaga.es/tarifas</t>
        </is>
      </c>
      <c r="F573" s="49" t="n">
        <v>46322</v>
      </c>
      <c r="G573" s="51" t="n">
        <v>2</v>
      </c>
    </row>
    <row r="574" ht="54" customHeight="1">
      <c r="A574" s="29" t="inlineStr">
        <is>
          <t>malaga:action:emt-otobusunde-evcil-hayvan-bebek-arabasi-bagaj-ve-bisiklet-kurallari-1</t>
        </is>
      </c>
      <c r="B574" s="29" t="inlineStr">
        <is>
          <t>malaga</t>
        </is>
      </c>
      <c r="C574" s="29" t="inlineStr">
        <is>
          <t>malaga:emt-otobusunde-evcil-hayvan-bebek-arabasi-bagaj-ve-bisiklet-kurallari</t>
        </is>
      </c>
      <c r="D574" s="29" t="inlineStr">
        <is>
          <t>Bilgi al</t>
        </is>
      </c>
      <c r="E574" s="29" t="inlineStr">
        <is>
          <t>https://www.emtmalaga.es/normas-de-uso-del-bus</t>
        </is>
      </c>
      <c r="F574" s="49" t="n">
        <v>46322</v>
      </c>
      <c r="G574" s="51" t="n">
        <v>1</v>
      </c>
    </row>
    <row r="575" ht="54" customHeight="1">
      <c r="A575" s="29" t="inlineStr">
        <is>
          <t>malaga:action:emt-otobusune-engelli-scooteri-homologasyon-basvurusu-1</t>
        </is>
      </c>
      <c r="B575" s="29" t="inlineStr">
        <is>
          <t>malaga</t>
        </is>
      </c>
      <c r="C575" s="29" t="inlineStr">
        <is>
          <t>malaga:emt-otobusune-engelli-scooteri-homologasyon-basvurusu</t>
        </is>
      </c>
      <c r="D575" s="29" t="inlineStr">
        <is>
          <t>Başvur</t>
        </is>
      </c>
      <c r="E575" s="29" t="inlineStr">
        <is>
          <t>https://www.emtmalaga.es/scooter-electrico-acceso-los-autobuses</t>
        </is>
      </c>
      <c r="F575" s="49" t="n">
        <v>46322</v>
      </c>
      <c r="G575" s="51" t="n">
        <v>1</v>
      </c>
    </row>
    <row r="576" ht="54" customHeight="1">
      <c r="A576" s="29" t="inlineStr">
        <is>
          <t>malaga:action:emt-otobusune-engelli-scooteri-homologasyon-basvurusu-2</t>
        </is>
      </c>
      <c r="B576" s="29" t="inlineStr">
        <is>
          <t>malaga</t>
        </is>
      </c>
      <c r="C576" s="29" t="inlineStr">
        <is>
          <t>malaga:emt-otobusune-engelli-scooteri-homologasyon-basvurusu</t>
        </is>
      </c>
      <c r="D576" s="29" t="inlineStr">
        <is>
          <t>Bilgi al</t>
        </is>
      </c>
      <c r="E576" s="29" t="inlineStr">
        <is>
          <t>https://www.emtmalaga.es/nuestras-oficinas</t>
        </is>
      </c>
      <c r="F576" s="49" t="n">
        <v>46322</v>
      </c>
      <c r="G576" s="51" t="n">
        <v>2</v>
      </c>
    </row>
    <row r="577" ht="54" customHeight="1">
      <c r="A577" s="29" t="inlineStr">
        <is>
          <t>malaga:action:elektrikli-scooter-vmp-kullanim-sartlari-malaga-1</t>
        </is>
      </c>
      <c r="B577" s="29" t="inlineStr">
        <is>
          <t>malaga</t>
        </is>
      </c>
      <c r="C577" s="29" t="inlineStr">
        <is>
          <t>malaga:elektrikli-scooter-vmp-kullanim-sartlari-malaga</t>
        </is>
      </c>
      <c r="D577" s="29" t="inlineStr">
        <is>
          <t>Bilgi al</t>
        </is>
      </c>
      <c r="E577" s="29" t="inlineStr">
        <is>
          <t>https://movilidad.malaga.eu/es/modos-de-movilidad/patinetes-electricos/</t>
        </is>
      </c>
      <c r="F577" s="49" t="n">
        <v>46322</v>
      </c>
      <c r="G577" s="51" t="n">
        <v>1</v>
      </c>
    </row>
    <row r="578" ht="54" customHeight="1">
      <c r="A578" s="29" t="inlineStr">
        <is>
          <t>malaga:action:dusuk-emisyon-bolgesi-zbe-arabayla-girme-kurallari-malaga-1</t>
        </is>
      </c>
      <c r="B578" s="29" t="inlineStr">
        <is>
          <t>malaga</t>
        </is>
      </c>
      <c r="C578" s="29" t="inlineStr">
        <is>
          <t>malaga:dusuk-emisyon-bolgesi-zbe-arabayla-girme-kurallari-malaga</t>
        </is>
      </c>
      <c r="D578" s="29" t="inlineStr">
        <is>
          <t>Bilgi al</t>
        </is>
      </c>
      <c r="E578" s="29" t="inlineStr">
        <is>
          <t>https://movilidad.malaga.eu/es/servicios/zona-bajas-emisiones/</t>
        </is>
      </c>
      <c r="F578" s="49" t="n">
        <v>46322</v>
      </c>
      <c r="G578" s="51" t="n">
        <v>1</v>
      </c>
    </row>
    <row r="579" ht="54" customHeight="1">
      <c r="A579" s="29" t="inlineStr">
        <is>
          <t>malaga:action:cercanias-malaga-bilet-iptal-ve-temassiz-banka-karti-odemesi-1</t>
        </is>
      </c>
      <c r="B579" s="29" t="inlineStr">
        <is>
          <t>malaga</t>
        </is>
      </c>
      <c r="C579" s="29" t="inlineStr">
        <is>
          <t>malaga:cercanias-malaga-bilet-iptal-ve-temassiz-banka-karti-odemesi</t>
        </is>
      </c>
      <c r="D579" s="29" t="inlineStr">
        <is>
          <t>Bilet al</t>
        </is>
      </c>
      <c r="E579" s="29" t="inlineStr">
        <is>
          <t>https://www.renfe.com/es/es/cercanias/cercanias-malaga/tarifas/billetes</t>
        </is>
      </c>
      <c r="F579" s="49" t="n">
        <v>46322</v>
      </c>
      <c r="G579" s="51" t="n">
        <v>1</v>
      </c>
    </row>
    <row r="580" ht="54" customHeight="1">
      <c r="A580" s="29" t="inlineStr">
        <is>
          <t>malaga:action:emt-otobusunde-evcil-hayvan-bebek-arabasi-bagaj-ve-bisiklet-kurallari-2</t>
        </is>
      </c>
      <c r="B580" s="29" t="inlineStr">
        <is>
          <t>malaga</t>
        </is>
      </c>
      <c r="C580" s="29" t="inlineStr">
        <is>
          <t>malaga:emt-otobusunde-evcil-hayvan-bebek-arabasi-bagaj-ve-bisiklet-kurallari</t>
        </is>
      </c>
      <c r="D580" s="29" t="inlineStr">
        <is>
          <t>Bilgi al</t>
        </is>
      </c>
      <c r="E580" s="29" t="inlineStr">
        <is>
          <t>https://www.emtmalaga.es/scooter-electrico-acceso-los-autobuses</t>
        </is>
      </c>
      <c r="F580" s="49" t="n">
        <v>46322</v>
      </c>
      <c r="G580" s="51" t="n">
        <v>2</v>
      </c>
    </row>
    <row r="581" ht="54" customHeight="1">
      <c r="A581" s="29" t="inlineStr">
        <is>
          <t>malaga:action:dusuk-emisyon-bolgesi-zbe-arabayla-girme-kurallari-malaga-2</t>
        </is>
      </c>
      <c r="B581" s="29" t="inlineStr">
        <is>
          <t>malaga</t>
        </is>
      </c>
      <c r="C581" s="29" t="inlineStr">
        <is>
          <t>malaga:dusuk-emisyon-bolgesi-zbe-arabayla-girme-kurallari-malaga</t>
        </is>
      </c>
      <c r="D581" s="29" t="inlineStr">
        <is>
          <t>Bilgi al</t>
        </is>
      </c>
      <c r="E581" s="29" t="inlineStr">
        <is>
          <t>https://movilidad.malaga.eu/es/noticias/detalle-de-noticia/index.html?id=176996&amp;tipoVO=1</t>
        </is>
      </c>
      <c r="F581" s="49" t="n">
        <v>46322</v>
      </c>
      <c r="G581" s="51" t="n">
        <v>2</v>
      </c>
    </row>
    <row r="582" ht="54" customHeight="1">
      <c r="A582" s="29" t="inlineStr">
        <is>
          <t>malaga:action:cercanias-malaga-bilet-iptal-ve-temassiz-banka-karti-odemesi-2</t>
        </is>
      </c>
      <c r="B582" s="29" t="inlineStr">
        <is>
          <t>malaga</t>
        </is>
      </c>
      <c r="C582" s="29" t="inlineStr">
        <is>
          <t>malaga:cercanias-malaga-bilet-iptal-ve-temassiz-banka-karti-odemesi</t>
        </is>
      </c>
      <c r="D582" s="29" t="inlineStr">
        <is>
          <t>Tarifeyi gör</t>
        </is>
      </c>
      <c r="E582" s="29" t="inlineStr">
        <is>
          <t>https://ctmam.es/tarifas/</t>
        </is>
      </c>
      <c r="F582" s="49" t="n">
        <v>46322</v>
      </c>
      <c r="G582" s="51" t="n">
        <v>2</v>
      </c>
    </row>
    <row r="583" ht="54" customHeight="1">
      <c r="A583" s="29" t="inlineStr">
        <is>
          <t>malaga:action:emt-tarjeta-estudiante-ve-tarjeta-joven-nasil-alinir-1</t>
        </is>
      </c>
      <c r="B583" s="29" t="inlineStr">
        <is>
          <t>malaga</t>
        </is>
      </c>
      <c r="C583" s="29" t="inlineStr">
        <is>
          <t>malaga:emt-tarjeta-estudiante-ve-tarjeta-joven-nasil-alinir</t>
        </is>
      </c>
      <c r="D583" s="29" t="inlineStr">
        <is>
          <t>Bilgi al: Tarjeta Joven</t>
        </is>
      </c>
      <c r="E583" s="29" t="inlineStr">
        <is>
          <t>https://www.emtmalaga.es/tarjeta-joven</t>
        </is>
      </c>
      <c r="F583" s="49" t="n">
        <v>46322</v>
      </c>
      <c r="G583" s="51" t="n">
        <v>1</v>
      </c>
    </row>
    <row r="584" ht="54" customHeight="1">
      <c r="A584" s="29" t="inlineStr">
        <is>
          <t>malaga:action:emt-tarjeta-estudiante-ve-tarjeta-joven-nasil-alinir-2</t>
        </is>
      </c>
      <c r="B584" s="29" t="inlineStr">
        <is>
          <t>malaga</t>
        </is>
      </c>
      <c r="C584" s="29" t="inlineStr">
        <is>
          <t>malaga:emt-tarjeta-estudiante-ve-tarjeta-joven-nasil-alinir</t>
        </is>
      </c>
      <c r="D584" s="29" t="inlineStr">
        <is>
          <t>Bilgi al: Tarjeta Estudiante</t>
        </is>
      </c>
      <c r="E584" s="29" t="inlineStr">
        <is>
          <t>https://www.emtmalaga.es/tarjeta-estudiante</t>
        </is>
      </c>
      <c r="F584" s="49" t="n">
        <v>46322</v>
      </c>
      <c r="G584" s="51" t="n">
        <v>2</v>
      </c>
    </row>
    <row r="585" ht="54" customHeight="1">
      <c r="A585" s="29" t="inlineStr">
        <is>
          <t>malaga:action:emt-tarjeta-oro-kimlere-verilir-nasil-alinir-1</t>
        </is>
      </c>
      <c r="B585" s="29" t="inlineStr">
        <is>
          <t>malaga</t>
        </is>
      </c>
      <c r="C585" s="29" t="inlineStr">
        <is>
          <t>malaga:emt-tarjeta-oro-kimlere-verilir-nasil-alinir</t>
        </is>
      </c>
      <c r="D585" s="29" t="inlineStr">
        <is>
          <t>Bilgi al</t>
        </is>
      </c>
      <c r="E585" s="29" t="inlineStr">
        <is>
          <t>https://www.emtmalaga.es/tarjeta-ORO</t>
        </is>
      </c>
      <c r="F585" s="49" t="n">
        <v>46322</v>
      </c>
      <c r="G585" s="51" t="n">
        <v>1</v>
      </c>
    </row>
    <row r="586" ht="54" customHeight="1">
      <c r="A586" s="29" t="inlineStr">
        <is>
          <t>malaga:action:emt-tarjeta-oro-kimlere-verilir-nasil-alinir-2</t>
        </is>
      </c>
      <c r="B586" s="29" t="inlineStr">
        <is>
          <t>malaga</t>
        </is>
      </c>
      <c r="C586" s="29" t="inlineStr">
        <is>
          <t>malaga:emt-tarjeta-oro-kimlere-verilir-nasil-alinir</t>
        </is>
      </c>
      <c r="D586" s="29" t="inlineStr">
        <is>
          <t>Ziyaret bilgisi</t>
        </is>
      </c>
      <c r="E586" s="29" t="inlineStr">
        <is>
          <t>https://www.emtmalaga.es/nuestras-oficinas</t>
        </is>
      </c>
      <c r="F586" s="49" t="n">
        <v>46322</v>
      </c>
      <c r="G586" s="51" t="n">
        <v>2</v>
      </c>
    </row>
    <row r="587" ht="54" customHeight="1">
      <c r="A587" s="29" t="inlineStr">
        <is>
          <t>malaga:action:consorcio-kartiyla-renfe-cercanias-c1-c2-nasil-odenir-1</t>
        </is>
      </c>
      <c r="B587" s="29" t="inlineStr">
        <is>
          <t>malaga</t>
        </is>
      </c>
      <c r="C587" s="29" t="inlineStr">
        <is>
          <t>malaga:consorcio-kartiyla-renfe-cercanias-c1-c2-nasil-odenir</t>
        </is>
      </c>
      <c r="D587" s="29" t="inlineStr">
        <is>
          <t>Bilgi al</t>
        </is>
      </c>
      <c r="E587" s="29" t="inlineStr">
        <is>
          <t>https://ctmam.es/renfe-cercanias/</t>
        </is>
      </c>
      <c r="F587" s="49" t="n">
        <v>46322</v>
      </c>
      <c r="G587" s="51" t="n">
        <v>1</v>
      </c>
    </row>
    <row r="588" ht="54" customHeight="1">
      <c r="A588" s="29" t="inlineStr">
        <is>
          <t>malaga:action:consorcio-kartiyla-renfe-cercanias-c1-c2-nasil-odenir-2</t>
        </is>
      </c>
      <c r="B588" s="29" t="inlineStr">
        <is>
          <t>malaga</t>
        </is>
      </c>
      <c r="C588" s="29" t="inlineStr">
        <is>
          <t>malaga:consorcio-kartiyla-renfe-cercanias-c1-c2-nasil-odenir</t>
        </is>
      </c>
      <c r="D588" s="29" t="inlineStr">
        <is>
          <t>Tarifeyi gör</t>
        </is>
      </c>
      <c r="E588" s="29" t="inlineStr">
        <is>
          <t>https://ctmam.es/tarifas/</t>
        </is>
      </c>
      <c r="F588" s="49" t="n">
        <v>46322</v>
      </c>
      <c r="G588" s="51" t="n">
        <v>2</v>
      </c>
    </row>
    <row r="589" ht="54" customHeight="1">
      <c r="A589" s="29" t="n"/>
      <c r="B589" s="29" t="n"/>
      <c r="C589" s="29" t="n"/>
      <c r="D589" s="29" t="n"/>
      <c r="E589" s="29" t="n"/>
      <c r="F589" s="49" t="n"/>
      <c r="G589" s="51" t="n"/>
    </row>
    <row r="590" ht="54" customHeight="1">
      <c r="A590" s="29" t="n"/>
      <c r="B590" s="29" t="n"/>
      <c r="C590" s="29" t="n"/>
      <c r="D590" s="29" t="n"/>
      <c r="E590" s="29" t="n"/>
      <c r="F590" s="49" t="n"/>
      <c r="G590" s="51" t="n"/>
    </row>
    <row r="591" ht="54" customHeight="1">
      <c r="A591" s="29" t="n"/>
      <c r="B591" s="29" t="n"/>
      <c r="C591" s="29" t="n"/>
      <c r="D591" s="29" t="n"/>
      <c r="E591" s="29" t="n"/>
      <c r="F591" s="49" t="n"/>
      <c r="G591" s="51" t="n"/>
    </row>
    <row r="592" ht="54" customHeight="1">
      <c r="A592" s="29" t="n"/>
      <c r="B592" s="29" t="n"/>
      <c r="C592" s="29" t="n"/>
      <c r="D592" s="29" t="n"/>
      <c r="E592" s="29" t="n"/>
      <c r="F592" s="49" t="n"/>
      <c r="G592" s="51" t="n"/>
    </row>
    <row r="593" ht="54" customHeight="1">
      <c r="A593" s="29" t="n"/>
      <c r="B593" s="29" t="n"/>
      <c r="C593" s="29" t="n"/>
      <c r="D593" s="29" t="n"/>
      <c r="E593" s="29" t="n"/>
      <c r="F593" s="49" t="n"/>
      <c r="G593" s="51" t="n"/>
    </row>
    <row r="594" ht="54" customHeight="1">
      <c r="A594" s="29" t="n"/>
      <c r="B594" s="29" t="n"/>
      <c r="C594" s="29" t="n"/>
      <c r="D594" s="29" t="n"/>
      <c r="E594" s="29" t="n"/>
      <c r="F594" s="49" t="n"/>
      <c r="G594" s="51" t="n"/>
    </row>
    <row r="595" ht="54" customHeight="1">
      <c r="A595" s="29" t="n"/>
      <c r="B595" s="29" t="n"/>
      <c r="C595" s="29" t="n"/>
      <c r="D595" s="29" t="n"/>
      <c r="E595" s="29" t="n"/>
      <c r="F595" s="49" t="n"/>
      <c r="G595" s="51" t="n"/>
    </row>
    <row r="596" ht="54" customHeight="1">
      <c r="A596" s="29" t="n"/>
      <c r="B596" s="29" t="n"/>
      <c r="C596" s="29" t="n"/>
      <c r="D596" s="29" t="n"/>
      <c r="E596" s="29" t="n"/>
      <c r="F596" s="49" t="n"/>
      <c r="G596" s="51" t="n"/>
    </row>
    <row r="597" ht="54" customHeight="1">
      <c r="A597" s="29" t="n"/>
      <c r="B597" s="29" t="n"/>
      <c r="C597" s="29" t="n"/>
      <c r="D597" s="29" t="n"/>
      <c r="E597" s="29" t="n"/>
      <c r="F597" s="49" t="n"/>
      <c r="G597" s="51" t="n"/>
    </row>
    <row r="598" ht="54" customHeight="1">
      <c r="A598" s="29" t="n"/>
      <c r="B598" s="29" t="n"/>
      <c r="C598" s="29" t="n"/>
      <c r="D598" s="29" t="n"/>
      <c r="E598" s="29" t="n"/>
      <c r="F598" s="49" t="n"/>
      <c r="G598" s="51" t="n"/>
    </row>
    <row r="599" ht="54" customHeight="1">
      <c r="A599" s="29" t="n"/>
      <c r="B599" s="29" t="n"/>
      <c r="C599" s="29" t="n"/>
      <c r="D599" s="29" t="n"/>
      <c r="E599" s="29" t="n"/>
      <c r="F599" s="49" t="n"/>
      <c r="G599" s="51" t="n"/>
    </row>
    <row r="600" ht="54" customHeight="1">
      <c r="A600" s="29" t="n"/>
      <c r="B600" s="29" t="n"/>
      <c r="C600" s="29" t="n"/>
      <c r="D600" s="29" t="n"/>
      <c r="E600" s="29" t="n"/>
      <c r="F600" s="49" t="n"/>
      <c r="G600" s="51" t="n"/>
    </row>
    <row r="601" ht="54" customHeight="1">
      <c r="A601" s="29" t="n"/>
      <c r="B601" s="29" t="n"/>
      <c r="C601" s="29" t="n"/>
      <c r="D601" s="29" t="n"/>
      <c r="E601" s="29" t="n"/>
      <c r="F601" s="49" t="n"/>
      <c r="G601" s="51" t="n"/>
    </row>
    <row r="602" ht="54" customHeight="1">
      <c r="A602" s="29" t="n"/>
      <c r="B602" s="29" t="n"/>
      <c r="C602" s="29" t="n"/>
      <c r="D602" s="29" t="n"/>
      <c r="E602" s="29" t="n"/>
      <c r="F602" s="49" t="n"/>
      <c r="G602" s="51" t="n"/>
    </row>
    <row r="603" ht="54" customHeight="1">
      <c r="A603" s="29" t="n"/>
      <c r="B603" s="29" t="n"/>
      <c r="C603" s="29" t="n"/>
      <c r="D603" s="29" t="n"/>
      <c r="E603" s="29" t="n"/>
      <c r="F603" s="49" t="n"/>
      <c r="G603" s="51" t="n"/>
    </row>
    <row r="604" ht="54" customHeight="1">
      <c r="A604" s="29" t="n"/>
      <c r="B604" s="29" t="n"/>
      <c r="C604" s="29" t="n"/>
      <c r="D604" s="29" t="n"/>
      <c r="E604" s="29" t="n"/>
      <c r="F604" s="49" t="n"/>
      <c r="G604" s="51" t="n"/>
    </row>
    <row r="605" ht="54" customHeight="1">
      <c r="A605" s="29" t="n"/>
      <c r="B605" s="29" t="n"/>
      <c r="C605" s="29" t="n"/>
      <c r="D605" s="29" t="n"/>
      <c r="E605" s="29" t="n"/>
      <c r="F605" s="49" t="n"/>
      <c r="G605" s="51" t="n"/>
    </row>
    <row r="606" ht="54" customHeight="1">
      <c r="A606" s="29" t="n"/>
      <c r="B606" s="29" t="n"/>
      <c r="C606" s="29" t="n"/>
      <c r="D606" s="29" t="n"/>
      <c r="E606" s="29" t="n"/>
      <c r="F606" s="49" t="n"/>
      <c r="G606" s="51" t="n"/>
    </row>
    <row r="607" ht="54" customHeight="1">
      <c r="A607" s="29" t="n"/>
      <c r="B607" s="29" t="n"/>
      <c r="C607" s="29" t="n"/>
      <c r="D607" s="29" t="n"/>
      <c r="E607" s="29" t="n"/>
      <c r="F607" s="49" t="n"/>
      <c r="G607" s="51" t="n"/>
    </row>
    <row r="608" ht="54" customHeight="1">
      <c r="A608" s="29" t="n"/>
      <c r="B608" s="29" t="n"/>
      <c r="C608" s="29" t="n"/>
      <c r="D608" s="29" t="n"/>
      <c r="E608" s="29" t="n"/>
      <c r="F608" s="49" t="n"/>
      <c r="G608" s="51" t="n"/>
    </row>
    <row r="609" ht="54" customHeight="1">
      <c r="A609" s="29" t="n"/>
      <c r="B609" s="29" t="n"/>
      <c r="C609" s="29" t="n"/>
      <c r="D609" s="29" t="n"/>
      <c r="E609" s="29" t="n"/>
      <c r="F609" s="49" t="n"/>
      <c r="G609" s="51" t="n"/>
    </row>
    <row r="610" ht="54" customHeight="1">
      <c r="A610" s="29" t="n"/>
      <c r="B610" s="29" t="n"/>
      <c r="C610" s="29" t="n"/>
      <c r="D610" s="29" t="n"/>
      <c r="E610" s="29" t="n"/>
      <c r="F610" s="49" t="n"/>
      <c r="G610" s="51" t="n"/>
    </row>
    <row r="611" ht="54" customHeight="1">
      <c r="A611" s="29" t="n"/>
      <c r="B611" s="29" t="n"/>
      <c r="C611" s="29" t="n"/>
      <c r="D611" s="29" t="n"/>
      <c r="E611" s="29" t="n"/>
      <c r="F611" s="49" t="n"/>
      <c r="G611" s="51" t="n"/>
    </row>
    <row r="612" ht="54" customHeight="1">
      <c r="A612" s="29" t="n"/>
      <c r="B612" s="29" t="n"/>
      <c r="C612" s="29" t="n"/>
      <c r="D612" s="29" t="n"/>
      <c r="E612" s="29" t="n"/>
      <c r="F612" s="49" t="n"/>
      <c r="G612" s="51" t="n"/>
    </row>
    <row r="613" ht="54" customHeight="1">
      <c r="A613" s="29" t="n"/>
      <c r="B613" s="29" t="n"/>
      <c r="C613" s="29" t="n"/>
      <c r="D613" s="29" t="n"/>
      <c r="E613" s="29" t="n"/>
      <c r="F613" s="49" t="n"/>
      <c r="G613" s="51" t="n"/>
    </row>
    <row r="614" ht="54" customHeight="1">
      <c r="A614" s="29" t="n"/>
      <c r="B614" s="29" t="n"/>
      <c r="C614" s="29" t="n"/>
      <c r="D614" s="29" t="n"/>
      <c r="E614" s="29" t="n"/>
      <c r="F614" s="49" t="n"/>
      <c r="G614" s="51" t="n"/>
    </row>
    <row r="615" ht="54" customHeight="1">
      <c r="A615" s="29" t="n"/>
      <c r="B615" s="29" t="n"/>
      <c r="C615" s="29" t="n"/>
      <c r="D615" s="29" t="n"/>
      <c r="E615" s="29" t="n"/>
      <c r="F615" s="49" t="n"/>
      <c r="G615" s="51" t="n"/>
    </row>
    <row r="616" ht="54" customHeight="1">
      <c r="A616" s="29" t="n"/>
      <c r="B616" s="29" t="n"/>
      <c r="C616" s="29" t="n"/>
      <c r="D616" s="29" t="n"/>
      <c r="E616" s="29" t="n"/>
      <c r="F616" s="49" t="n"/>
      <c r="G616" s="51" t="n"/>
    </row>
    <row r="617" ht="54" customHeight="1">
      <c r="A617" s="29" t="n"/>
      <c r="B617" s="29" t="n"/>
      <c r="C617" s="29" t="n"/>
      <c r="D617" s="29" t="n"/>
      <c r="E617" s="29" t="n"/>
      <c r="F617" s="49" t="n"/>
      <c r="G617" s="51" t="n"/>
    </row>
    <row r="618" ht="54" customHeight="1">
      <c r="A618" s="29" t="n"/>
      <c r="B618" s="29" t="n"/>
      <c r="C618" s="29" t="n"/>
      <c r="D618" s="29" t="n"/>
      <c r="E618" s="29" t="n"/>
      <c r="F618" s="49" t="n"/>
      <c r="G618" s="51" t="n"/>
    </row>
    <row r="619" ht="54" customHeight="1">
      <c r="A619" s="29" t="n"/>
      <c r="B619" s="29" t="n"/>
      <c r="C619" s="29" t="n"/>
      <c r="D619" s="29" t="n"/>
      <c r="E619" s="29" t="n"/>
      <c r="F619" s="49" t="n"/>
      <c r="G619" s="51" t="n"/>
    </row>
    <row r="620" ht="54" customHeight="1">
      <c r="A620" s="29" t="n"/>
      <c r="B620" s="29" t="n"/>
      <c r="C620" s="29" t="n"/>
      <c r="D620" s="29" t="n"/>
      <c r="E620" s="29" t="n"/>
      <c r="F620" s="49" t="n"/>
      <c r="G620" s="51" t="n"/>
    </row>
    <row r="621" ht="54" customHeight="1">
      <c r="A621" s="29" t="n"/>
      <c r="B621" s="29" t="n"/>
      <c r="C621" s="29" t="n"/>
      <c r="D621" s="29" t="n"/>
      <c r="E621" s="29" t="n"/>
      <c r="F621" s="49" t="n"/>
      <c r="G621" s="51" t="n"/>
    </row>
    <row r="622" ht="54" customHeight="1">
      <c r="A622" s="29" t="n"/>
      <c r="B622" s="29" t="n"/>
      <c r="C622" s="29" t="n"/>
      <c r="D622" s="29" t="n"/>
      <c r="E622" s="29" t="n"/>
      <c r="F622" s="49" t="n"/>
      <c r="G622" s="51" t="n"/>
    </row>
    <row r="623" ht="54" customHeight="1">
      <c r="A623" s="29" t="n"/>
      <c r="B623" s="29" t="n"/>
      <c r="C623" s="29" t="n"/>
      <c r="D623" s="29" t="n"/>
      <c r="E623" s="29" t="n"/>
      <c r="F623" s="49" t="n"/>
      <c r="G623" s="51" t="n"/>
    </row>
    <row r="624" ht="54" customHeight="1">
      <c r="A624" s="29" t="n"/>
      <c r="B624" s="29" t="n"/>
      <c r="C624" s="29" t="n"/>
      <c r="D624" s="29" t="n"/>
      <c r="E624" s="29" t="n"/>
      <c r="F624" s="49" t="n"/>
      <c r="G624" s="51" t="n"/>
    </row>
    <row r="625" ht="54" customHeight="1">
      <c r="A625" s="29" t="n"/>
      <c r="B625" s="29" t="n"/>
      <c r="C625" s="29" t="n"/>
      <c r="D625" s="29" t="n"/>
      <c r="E625" s="29" t="n"/>
      <c r="F625" s="49" t="n"/>
      <c r="G625" s="51" t="n"/>
    </row>
    <row r="626" ht="54" customHeight="1">
      <c r="A626" s="29" t="n"/>
      <c r="B626" s="29" t="n"/>
      <c r="C626" s="29" t="n"/>
      <c r="D626" s="29" t="n"/>
      <c r="E626" s="29" t="n"/>
      <c r="F626" s="49" t="n"/>
      <c r="G626" s="51" t="n"/>
    </row>
    <row r="627" ht="54" customHeight="1">
      <c r="A627" s="29" t="n"/>
      <c r="B627" s="29" t="n"/>
      <c r="C627" s="29" t="n"/>
      <c r="D627" s="29" t="n"/>
      <c r="E627" s="29" t="n"/>
      <c r="F627" s="49" t="n"/>
      <c r="G627" s="51" t="n"/>
    </row>
    <row r="628" ht="54" customHeight="1">
      <c r="A628" s="29" t="n"/>
      <c r="B628" s="29" t="n"/>
      <c r="C628" s="29" t="n"/>
      <c r="D628" s="29" t="n"/>
      <c r="E628" s="29" t="n"/>
      <c r="F628" s="49" t="n"/>
      <c r="G628" s="51" t="n"/>
    </row>
    <row r="629" ht="54" customHeight="1">
      <c r="A629" s="29" t="n"/>
      <c r="B629" s="29" t="n"/>
      <c r="C629" s="29" t="n"/>
      <c r="D629" s="29" t="n"/>
      <c r="E629" s="29" t="n"/>
      <c r="F629" s="49" t="n"/>
      <c r="G629" s="51" t="n"/>
    </row>
    <row r="630" ht="54" customHeight="1">
      <c r="A630" s="29" t="n"/>
      <c r="B630" s="29" t="n"/>
      <c r="C630" s="29" t="n"/>
      <c r="D630" s="29" t="n"/>
      <c r="E630" s="29" t="n"/>
      <c r="F630" s="49" t="n"/>
      <c r="G630" s="51" t="n"/>
    </row>
    <row r="631" ht="54" customHeight="1">
      <c r="A631" s="29" t="n"/>
      <c r="B631" s="29" t="n"/>
      <c r="C631" s="29" t="n"/>
      <c r="D631" s="29" t="n"/>
      <c r="E631" s="29" t="n"/>
      <c r="F631" s="49" t="n"/>
      <c r="G631" s="51" t="n"/>
    </row>
    <row r="632" ht="54" customHeight="1">
      <c r="A632" s="29" t="n"/>
      <c r="B632" s="29" t="n"/>
      <c r="C632" s="29" t="n"/>
      <c r="D632" s="29" t="n"/>
      <c r="E632" s="29" t="n"/>
      <c r="F632" s="49" t="n"/>
      <c r="G632" s="51" t="n"/>
    </row>
    <row r="633" ht="54" customHeight="1">
      <c r="A633" s="29" t="n"/>
      <c r="B633" s="29" t="n"/>
      <c r="C633" s="29" t="n"/>
      <c r="D633" s="29" t="n"/>
      <c r="E633" s="29" t="n"/>
      <c r="F633" s="49" t="n"/>
      <c r="G633" s="51" t="n"/>
    </row>
    <row r="634" ht="54" customHeight="1">
      <c r="A634" s="29" t="n"/>
      <c r="B634" s="29" t="n"/>
      <c r="C634" s="29" t="n"/>
      <c r="D634" s="29" t="n"/>
      <c r="E634" s="29" t="n"/>
      <c r="F634" s="49" t="n"/>
      <c r="G634" s="51" t="n"/>
    </row>
    <row r="635" ht="54" customHeight="1">
      <c r="A635" s="29" t="n"/>
      <c r="B635" s="29" t="n"/>
      <c r="C635" s="29" t="n"/>
      <c r="D635" s="29" t="n"/>
      <c r="E635" s="29" t="n"/>
      <c r="F635" s="49" t="n"/>
      <c r="G635" s="51" t="n"/>
    </row>
    <row r="636" ht="54" customHeight="1">
      <c r="A636" s="29" t="n"/>
      <c r="B636" s="29" t="n"/>
      <c r="C636" s="29" t="n"/>
      <c r="D636" s="29" t="n"/>
      <c r="E636" s="29" t="n"/>
      <c r="F636" s="49" t="n"/>
      <c r="G636" s="51" t="n"/>
    </row>
    <row r="637" ht="54" customHeight="1">
      <c r="A637" s="29" t="n"/>
      <c r="B637" s="29" t="n"/>
      <c r="C637" s="29" t="n"/>
      <c r="D637" s="29" t="n"/>
      <c r="E637" s="29" t="n"/>
      <c r="F637" s="49" t="n"/>
      <c r="G637" s="51" t="n"/>
    </row>
    <row r="638" ht="54" customHeight="1">
      <c r="A638" s="29" t="n"/>
      <c r="B638" s="29" t="n"/>
      <c r="C638" s="29" t="n"/>
      <c r="D638" s="29" t="n"/>
      <c r="E638" s="29" t="n"/>
      <c r="F638" s="49" t="n"/>
      <c r="G638" s="51" t="n"/>
    </row>
    <row r="639" ht="54" customHeight="1">
      <c r="A639" s="29" t="n"/>
      <c r="B639" s="29" t="n"/>
      <c r="C639" s="29" t="n"/>
      <c r="D639" s="29" t="n"/>
      <c r="E639" s="29" t="n"/>
      <c r="F639" s="49" t="n"/>
      <c r="G639" s="51" t="n"/>
    </row>
    <row r="640" ht="54" customHeight="1">
      <c r="A640" s="29" t="n"/>
      <c r="B640" s="29" t="n"/>
      <c r="C640" s="29" t="n"/>
      <c r="D640" s="29" t="n"/>
      <c r="E640" s="29" t="n"/>
      <c r="F640" s="49" t="n"/>
      <c r="G640" s="51" t="n"/>
    </row>
    <row r="641" ht="54" customHeight="1">
      <c r="A641" s="29" t="n"/>
      <c r="B641" s="29" t="n"/>
      <c r="C641" s="29" t="n"/>
      <c r="D641" s="29" t="n"/>
      <c r="E641" s="29" t="n"/>
      <c r="F641" s="49" t="n"/>
      <c r="G641" s="51" t="n"/>
    </row>
    <row r="642" ht="54" customHeight="1">
      <c r="A642" s="29" t="n"/>
      <c r="B642" s="29" t="n"/>
      <c r="C642" s="29" t="n"/>
      <c r="D642" s="29" t="n"/>
      <c r="E642" s="29" t="n"/>
      <c r="F642" s="49" t="n"/>
      <c r="G642" s="51" t="n"/>
    </row>
    <row r="643" ht="54" customHeight="1">
      <c r="A643" s="29" t="n"/>
      <c r="B643" s="29" t="n"/>
      <c r="C643" s="29" t="n"/>
      <c r="D643" s="29" t="n"/>
      <c r="E643" s="29" t="n"/>
      <c r="F643" s="49" t="n"/>
      <c r="G643" s="51" t="n"/>
    </row>
    <row r="644" ht="54" customHeight="1">
      <c r="A644" s="29" t="n"/>
      <c r="B644" s="29" t="n"/>
      <c r="C644" s="29" t="n"/>
      <c r="D644" s="29" t="n"/>
      <c r="E644" s="29" t="n"/>
      <c r="F644" s="49" t="n"/>
      <c r="G644" s="51" t="n"/>
    </row>
    <row r="645" ht="54" customHeight="1">
      <c r="A645" s="29" t="n"/>
      <c r="B645" s="29" t="n"/>
      <c r="C645" s="29" t="n"/>
      <c r="D645" s="29" t="n"/>
      <c r="E645" s="29" t="n"/>
      <c r="F645" s="49" t="n"/>
      <c r="G645" s="51" t="n"/>
    </row>
    <row r="646" ht="54" customHeight="1">
      <c r="A646" s="29" t="n"/>
      <c r="B646" s="29" t="n"/>
      <c r="C646" s="29" t="n"/>
      <c r="D646" s="29" t="n"/>
      <c r="E646" s="29" t="n"/>
      <c r="F646" s="49" t="n"/>
      <c r="G646" s="51" t="n"/>
    </row>
    <row r="647" ht="54" customHeight="1">
      <c r="A647" s="29" t="n"/>
      <c r="B647" s="29" t="n"/>
      <c r="C647" s="29" t="n"/>
      <c r="D647" s="29" t="n"/>
      <c r="E647" s="29" t="n"/>
      <c r="F647" s="49" t="n"/>
      <c r="G647" s="51" t="n"/>
    </row>
    <row r="648" ht="54" customHeight="1">
      <c r="A648" s="29" t="n"/>
      <c r="B648" s="29" t="n"/>
      <c r="C648" s="29" t="n"/>
      <c r="D648" s="29" t="n"/>
      <c r="E648" s="29" t="n"/>
      <c r="F648" s="49" t="n"/>
      <c r="G648" s="51" t="n"/>
    </row>
    <row r="649" ht="54" customHeight="1">
      <c r="A649" s="29" t="n"/>
      <c r="B649" s="29" t="n"/>
      <c r="C649" s="29" t="n"/>
      <c r="D649" s="29" t="n"/>
      <c r="E649" s="29" t="n"/>
      <c r="F649" s="49" t="n"/>
      <c r="G649" s="51" t="n"/>
    </row>
    <row r="650" ht="54" customHeight="1">
      <c r="A650" s="29" t="n"/>
      <c r="B650" s="29" t="n"/>
      <c r="C650" s="29" t="n"/>
      <c r="D650" s="29" t="n"/>
      <c r="E650" s="29" t="n"/>
      <c r="F650" s="49" t="n"/>
      <c r="G650" s="51" t="n"/>
    </row>
    <row r="651" ht="54" customHeight="1">
      <c r="A651" s="29" t="n"/>
      <c r="B651" s="29" t="n"/>
      <c r="C651" s="29" t="n"/>
      <c r="D651" s="29" t="n"/>
      <c r="E651" s="29" t="n"/>
      <c r="F651" s="49" t="n"/>
      <c r="G651" s="51" t="n"/>
    </row>
    <row r="652" ht="54" customHeight="1">
      <c r="A652" s="29" t="n"/>
      <c r="B652" s="29" t="n"/>
      <c r="C652" s="29" t="n"/>
      <c r="D652" s="29" t="n"/>
      <c r="E652" s="29" t="n"/>
      <c r="F652" s="49" t="n"/>
      <c r="G652" s="51" t="n"/>
    </row>
    <row r="653" ht="54" customHeight="1">
      <c r="A653" s="29" t="n"/>
      <c r="B653" s="29" t="n"/>
      <c r="C653" s="29" t="n"/>
      <c r="D653" s="29" t="n"/>
      <c r="E653" s="29" t="n"/>
      <c r="F653" s="49" t="n"/>
      <c r="G653" s="51" t="n"/>
    </row>
    <row r="654" ht="54" customHeight="1">
      <c r="A654" s="29" t="n"/>
      <c r="B654" s="29" t="n"/>
      <c r="C654" s="29" t="n"/>
      <c r="D654" s="29" t="n"/>
      <c r="E654" s="29" t="n"/>
      <c r="F654" s="49" t="n"/>
      <c r="G654" s="51" t="n"/>
    </row>
    <row r="655" ht="54" customHeight="1">
      <c r="A655" s="29" t="n"/>
      <c r="B655" s="29" t="n"/>
      <c r="C655" s="29" t="n"/>
      <c r="D655" s="29" t="n"/>
      <c r="E655" s="29" t="n"/>
      <c r="F655" s="49" t="n"/>
      <c r="G655" s="51" t="n"/>
    </row>
    <row r="656" ht="54" customHeight="1">
      <c r="A656" s="29" t="n"/>
      <c r="B656" s="29" t="n"/>
      <c r="C656" s="29" t="n"/>
      <c r="D656" s="29" t="n"/>
      <c r="E656" s="29" t="n"/>
      <c r="F656" s="49" t="n"/>
      <c r="G656" s="51" t="n"/>
    </row>
    <row r="657" ht="54" customHeight="1">
      <c r="A657" s="29" t="n"/>
      <c r="B657" s="29" t="n"/>
      <c r="C657" s="29" t="n"/>
      <c r="D657" s="29" t="n"/>
      <c r="E657" s="29" t="n"/>
      <c r="F657" s="49" t="n"/>
      <c r="G657" s="51" t="n"/>
    </row>
    <row r="658" ht="54" customHeight="1">
      <c r="A658" s="29" t="n"/>
      <c r="B658" s="29" t="n"/>
      <c r="C658" s="29" t="n"/>
      <c r="D658" s="29" t="n"/>
      <c r="E658" s="29" t="n"/>
      <c r="F658" s="49" t="n"/>
      <c r="G658" s="51" t="n"/>
    </row>
    <row r="659" ht="54" customHeight="1">
      <c r="A659" s="29" t="n"/>
      <c r="B659" s="29" t="n"/>
      <c r="C659" s="29" t="n"/>
      <c r="D659" s="29" t="n"/>
      <c r="E659" s="29" t="n"/>
      <c r="F659" s="49" t="n"/>
      <c r="G659" s="51" t="n"/>
    </row>
    <row r="660" ht="54" customHeight="1">
      <c r="A660" s="29" t="n"/>
      <c r="B660" s="29" t="n"/>
      <c r="C660" s="29" t="n"/>
      <c r="D660" s="29" t="n"/>
      <c r="E660" s="29" t="n"/>
      <c r="F660" s="49" t="n"/>
      <c r="G660" s="51" t="n"/>
    </row>
    <row r="661" ht="54" customHeight="1">
      <c r="A661" s="29" t="n"/>
      <c r="B661" s="29" t="n"/>
      <c r="C661" s="29" t="n"/>
      <c r="D661" s="29" t="n"/>
      <c r="E661" s="29" t="n"/>
      <c r="F661" s="49" t="n"/>
      <c r="G661" s="51" t="n"/>
    </row>
    <row r="662" ht="54" customHeight="1">
      <c r="A662" s="29" t="n"/>
      <c r="B662" s="29" t="n"/>
      <c r="C662" s="29" t="n"/>
      <c r="D662" s="29" t="n"/>
      <c r="E662" s="29" t="n"/>
      <c r="F662" s="49" t="n"/>
      <c r="G662" s="51" t="n"/>
    </row>
    <row r="663" ht="54" customHeight="1">
      <c r="A663" s="29" t="n"/>
      <c r="B663" s="29" t="n"/>
      <c r="C663" s="29" t="n"/>
      <c r="D663" s="29" t="n"/>
      <c r="E663" s="29" t="n"/>
      <c r="F663" s="49" t="n"/>
      <c r="G663" s="51" t="n"/>
    </row>
    <row r="664" ht="54" customHeight="1">
      <c r="A664" s="29" t="n"/>
      <c r="B664" s="29" t="n"/>
      <c r="C664" s="29" t="n"/>
      <c r="D664" s="29" t="n"/>
      <c r="E664" s="29" t="n"/>
      <c r="F664" s="49" t="n"/>
      <c r="G664" s="51" t="n"/>
    </row>
    <row r="665" ht="54" customHeight="1">
      <c r="A665" s="29" t="n"/>
      <c r="B665" s="29" t="n"/>
      <c r="C665" s="29" t="n"/>
      <c r="D665" s="29" t="n"/>
      <c r="E665" s="29" t="n"/>
      <c r="F665" s="49" t="n"/>
      <c r="G665" s="51" t="n"/>
    </row>
    <row r="666" ht="54" customHeight="1">
      <c r="A666" s="29" t="n"/>
      <c r="B666" s="29" t="n"/>
      <c r="C666" s="29" t="n"/>
      <c r="D666" s="29" t="n"/>
      <c r="E666" s="29" t="n"/>
      <c r="F666" s="49" t="n"/>
      <c r="G666" s="51" t="n"/>
    </row>
    <row r="667" ht="54" customHeight="1">
      <c r="A667" s="29" t="n"/>
      <c r="B667" s="29" t="n"/>
      <c r="C667" s="29" t="n"/>
      <c r="D667" s="29" t="n"/>
      <c r="E667" s="29" t="n"/>
      <c r="F667" s="49" t="n"/>
      <c r="G667" s="51" t="n"/>
    </row>
    <row r="668" ht="54" customHeight="1">
      <c r="A668" s="29" t="n"/>
      <c r="B668" s="29" t="n"/>
      <c r="C668" s="29" t="n"/>
      <c r="D668" s="29" t="n"/>
      <c r="E668" s="29" t="n"/>
      <c r="F668" s="49" t="n"/>
      <c r="G668" s="51" t="n"/>
    </row>
    <row r="669" ht="54" customHeight="1">
      <c r="A669" s="29" t="n"/>
      <c r="B669" s="29" t="n"/>
      <c r="C669" s="29" t="n"/>
      <c r="D669" s="29" t="n"/>
      <c r="E669" s="29" t="n"/>
      <c r="F669" s="49" t="n"/>
      <c r="G669" s="51" t="n"/>
    </row>
    <row r="670" ht="54" customHeight="1">
      <c r="A670" s="29" t="n"/>
      <c r="B670" s="29" t="n"/>
      <c r="C670" s="29" t="n"/>
      <c r="D670" s="29" t="n"/>
      <c r="E670" s="29" t="n"/>
      <c r="F670" s="49" t="n"/>
      <c r="G670" s="51" t="n"/>
    </row>
    <row r="671" ht="54" customHeight="1">
      <c r="A671" s="29" t="n"/>
      <c r="B671" s="29" t="n"/>
      <c r="C671" s="29" t="n"/>
      <c r="D671" s="29" t="n"/>
      <c r="E671" s="29" t="n"/>
      <c r="F671" s="49" t="n"/>
      <c r="G671" s="51" t="n"/>
    </row>
    <row r="672" ht="54" customHeight="1">
      <c r="A672" s="29" t="n"/>
      <c r="B672" s="29" t="n"/>
      <c r="C672" s="29" t="n"/>
      <c r="D672" s="29" t="n"/>
      <c r="E672" s="29" t="n"/>
      <c r="F672" s="49" t="n"/>
      <c r="G672" s="51" t="n"/>
    </row>
    <row r="673" ht="54" customHeight="1">
      <c r="A673" s="29" t="n"/>
      <c r="B673" s="29" t="n"/>
      <c r="C673" s="29" t="n"/>
      <c r="D673" s="29" t="n"/>
      <c r="E673" s="29" t="n"/>
      <c r="F673" s="49" t="n"/>
      <c r="G673" s="51" t="n"/>
    </row>
    <row r="674" ht="54" customHeight="1">
      <c r="A674" s="29" t="n"/>
      <c r="B674" s="29" t="n"/>
      <c r="C674" s="29" t="n"/>
      <c r="D674" s="29" t="n"/>
      <c r="E674" s="29" t="n"/>
      <c r="F674" s="49" t="n"/>
      <c r="G674" s="51" t="n"/>
    </row>
    <row r="675" ht="54" customHeight="1">
      <c r="A675" s="29" t="n"/>
      <c r="B675" s="29" t="n"/>
      <c r="C675" s="29" t="n"/>
      <c r="D675" s="29" t="n"/>
      <c r="E675" s="29" t="n"/>
      <c r="F675" s="49" t="n"/>
      <c r="G675" s="51" t="n"/>
    </row>
    <row r="676" ht="54" customHeight="1">
      <c r="A676" s="29" t="n"/>
      <c r="B676" s="29" t="n"/>
      <c r="C676" s="29" t="n"/>
      <c r="D676" s="29" t="n"/>
      <c r="E676" s="29" t="n"/>
      <c r="F676" s="49" t="n"/>
      <c r="G676" s="51" t="n"/>
    </row>
    <row r="677" ht="54" customHeight="1">
      <c r="A677" s="29" t="n"/>
      <c r="B677" s="29" t="n"/>
      <c r="C677" s="29" t="n"/>
      <c r="D677" s="29" t="n"/>
      <c r="E677" s="29" t="n"/>
      <c r="F677" s="49" t="n"/>
      <c r="G677" s="51" t="n"/>
    </row>
    <row r="678" ht="54" customHeight="1">
      <c r="A678" s="29" t="n"/>
      <c r="B678" s="29" t="n"/>
      <c r="C678" s="29" t="n"/>
      <c r="D678" s="29" t="n"/>
      <c r="E678" s="29" t="n"/>
      <c r="F678" s="49" t="n"/>
      <c r="G678" s="51" t="n"/>
    </row>
    <row r="679" ht="54" customHeight="1">
      <c r="A679" s="29" t="n"/>
      <c r="B679" s="29" t="n"/>
      <c r="C679" s="29" t="n"/>
      <c r="D679" s="29" t="n"/>
      <c r="E679" s="29" t="n"/>
      <c r="F679" s="49" t="n"/>
      <c r="G679" s="51" t="n"/>
    </row>
    <row r="680" ht="54" customHeight="1">
      <c r="A680" s="29" t="n"/>
      <c r="B680" s="29" t="n"/>
      <c r="C680" s="29" t="n"/>
      <c r="D680" s="29" t="n"/>
      <c r="E680" s="29" t="n"/>
      <c r="F680" s="49" t="n"/>
      <c r="G680" s="51" t="n"/>
    </row>
    <row r="681" ht="54" customHeight="1">
      <c r="A681" s="29" t="n"/>
      <c r="B681" s="29" t="n"/>
      <c r="C681" s="29" t="n"/>
      <c r="D681" s="29" t="n"/>
      <c r="E681" s="29" t="n"/>
      <c r="F681" s="49" t="n"/>
      <c r="G681" s="51" t="n"/>
    </row>
    <row r="682" ht="54" customHeight="1">
      <c r="A682" s="29" t="n"/>
      <c r="B682" s="29" t="n"/>
      <c r="C682" s="29" t="n"/>
      <c r="D682" s="29" t="n"/>
      <c r="E682" s="29" t="n"/>
      <c r="F682" s="49" t="n"/>
      <c r="G682" s="51" t="n"/>
    </row>
    <row r="683" ht="54" customHeight="1">
      <c r="A683" s="29" t="n"/>
      <c r="B683" s="29" t="n"/>
      <c r="C683" s="29" t="n"/>
      <c r="D683" s="29" t="n"/>
      <c r="E683" s="29" t="n"/>
      <c r="F683" s="49" t="n"/>
      <c r="G683" s="51" t="n"/>
    </row>
    <row r="684" ht="54" customHeight="1">
      <c r="A684" s="29" t="n"/>
      <c r="B684" s="29" t="n"/>
      <c r="C684" s="29" t="n"/>
      <c r="D684" s="29" t="n"/>
      <c r="E684" s="29" t="n"/>
      <c r="F684" s="49" t="n"/>
      <c r="G684" s="51" t="n"/>
    </row>
    <row r="685" ht="54" customHeight="1">
      <c r="A685" s="29" t="n"/>
      <c r="B685" s="29" t="n"/>
      <c r="C685" s="29" t="n"/>
      <c r="D685" s="29" t="n"/>
      <c r="E685" s="29" t="n"/>
      <c r="F685" s="49" t="n"/>
      <c r="G685" s="51" t="n"/>
    </row>
    <row r="686" ht="54" customHeight="1">
      <c r="A686" s="29" t="n"/>
      <c r="B686" s="29" t="n"/>
      <c r="C686" s="29" t="n"/>
      <c r="D686" s="29" t="n"/>
      <c r="E686" s="29" t="n"/>
      <c r="F686" s="49" t="n"/>
      <c r="G686" s="51" t="n"/>
    </row>
    <row r="687" ht="54" customHeight="1">
      <c r="A687" s="29" t="n"/>
      <c r="B687" s="29" t="n"/>
      <c r="C687" s="29" t="n"/>
      <c r="D687" s="29" t="n"/>
      <c r="E687" s="29" t="n"/>
      <c r="F687" s="49" t="n"/>
      <c r="G687" s="51" t="n"/>
    </row>
    <row r="688" ht="54" customHeight="1">
      <c r="A688" s="29" t="n"/>
      <c r="B688" s="29" t="n"/>
      <c r="C688" s="29" t="n"/>
      <c r="D688" s="29" t="n"/>
      <c r="E688" s="29" t="n"/>
      <c r="F688" s="49" t="n"/>
      <c r="G688" s="51" t="n"/>
    </row>
    <row r="689" ht="54" customHeight="1">
      <c r="A689" s="29" t="n"/>
      <c r="B689" s="29" t="n"/>
      <c r="C689" s="29" t="n"/>
      <c r="D689" s="29" t="n"/>
      <c r="E689" s="29" t="n"/>
      <c r="F689" s="49" t="n"/>
      <c r="G689" s="51" t="n"/>
    </row>
    <row r="690" ht="54" customHeight="1">
      <c r="A690" s="29" t="n"/>
      <c r="B690" s="29" t="n"/>
      <c r="C690" s="29" t="n"/>
      <c r="D690" s="29" t="n"/>
      <c r="E690" s="29" t="n"/>
      <c r="F690" s="49" t="n"/>
      <c r="G690" s="51" t="n"/>
    </row>
    <row r="691" ht="54" customHeight="1">
      <c r="A691" s="29" t="n"/>
      <c r="B691" s="29" t="n"/>
      <c r="C691" s="29" t="n"/>
      <c r="D691" s="29" t="n"/>
      <c r="E691" s="29" t="n"/>
      <c r="F691" s="49" t="n"/>
      <c r="G691" s="51" t="n"/>
    </row>
    <row r="692" ht="54" customHeight="1">
      <c r="A692" s="29" t="n"/>
      <c r="B692" s="29" t="n"/>
      <c r="C692" s="29" t="n"/>
      <c r="D692" s="29" t="n"/>
      <c r="E692" s="29" t="n"/>
      <c r="F692" s="49" t="n"/>
      <c r="G692" s="51" t="n"/>
    </row>
    <row r="693" ht="54" customHeight="1">
      <c r="A693" s="29" t="n"/>
      <c r="B693" s="29" t="n"/>
      <c r="C693" s="29" t="n"/>
      <c r="D693" s="29" t="n"/>
      <c r="E693" s="29" t="n"/>
      <c r="F693" s="49" t="n"/>
      <c r="G693" s="51" t="n"/>
    </row>
    <row r="694" ht="54" customHeight="1">
      <c r="A694" s="29" t="n"/>
      <c r="B694" s="29" t="n"/>
      <c r="C694" s="29" t="n"/>
      <c r="D694" s="29" t="n"/>
      <c r="E694" s="29" t="n"/>
      <c r="F694" s="49" t="n"/>
      <c r="G694" s="51" t="n"/>
    </row>
    <row r="695" ht="54" customHeight="1">
      <c r="A695" s="29" t="n"/>
      <c r="B695" s="29" t="n"/>
      <c r="C695" s="29" t="n"/>
      <c r="D695" s="29" t="n"/>
      <c r="E695" s="29" t="n"/>
      <c r="F695" s="49" t="n"/>
      <c r="G695" s="51" t="n"/>
    </row>
    <row r="696" ht="54" customHeight="1">
      <c r="A696" s="29" t="n"/>
      <c r="B696" s="29" t="n"/>
      <c r="C696" s="29" t="n"/>
      <c r="D696" s="29" t="n"/>
      <c r="E696" s="29" t="n"/>
      <c r="F696" s="49" t="n"/>
      <c r="G696" s="51" t="n"/>
    </row>
    <row r="697" ht="54" customHeight="1">
      <c r="A697" s="29" t="n"/>
      <c r="B697" s="29" t="n"/>
      <c r="C697" s="29" t="n"/>
      <c r="D697" s="29" t="n"/>
      <c r="E697" s="29" t="n"/>
      <c r="F697" s="49" t="n"/>
      <c r="G697" s="51" t="n"/>
    </row>
    <row r="698" ht="54" customHeight="1">
      <c r="A698" s="29" t="n"/>
      <c r="B698" s="29" t="n"/>
      <c r="C698" s="29" t="n"/>
      <c r="D698" s="29" t="n"/>
      <c r="E698" s="29" t="n"/>
      <c r="F698" s="49" t="n"/>
      <c r="G698" s="51" t="n"/>
    </row>
    <row r="699" ht="54" customHeight="1">
      <c r="A699" s="29" t="n"/>
      <c r="B699" s="29" t="n"/>
      <c r="C699" s="29" t="n"/>
      <c r="D699" s="29" t="n"/>
      <c r="E699" s="29" t="n"/>
      <c r="F699" s="49" t="n"/>
      <c r="G699" s="51" t="n"/>
    </row>
    <row r="700" ht="54" customHeight="1">
      <c r="A700" s="29" t="n"/>
      <c r="B700" s="29" t="n"/>
      <c r="C700" s="29" t="n"/>
      <c r="D700" s="29" t="n"/>
      <c r="E700" s="29" t="n"/>
      <c r="F700" s="49" t="n"/>
      <c r="G700" s="51" t="n"/>
    </row>
    <row r="701" ht="54" customHeight="1">
      <c r="A701" s="29" t="n"/>
      <c r="B701" s="29" t="n"/>
      <c r="C701" s="29" t="n"/>
      <c r="D701" s="29" t="n"/>
      <c r="E701" s="29" t="n"/>
      <c r="F701" s="49" t="n"/>
      <c r="G701" s="51" t="n"/>
    </row>
    <row r="702" ht="54" customHeight="1">
      <c r="A702" s="29" t="n"/>
      <c r="B702" s="29" t="n"/>
      <c r="C702" s="29" t="n"/>
      <c r="D702" s="29" t="n"/>
      <c r="E702" s="29" t="n"/>
      <c r="F702" s="49" t="n"/>
      <c r="G702" s="51" t="n"/>
    </row>
    <row r="703" ht="54" customHeight="1">
      <c r="A703" s="29" t="n"/>
      <c r="B703" s="29" t="n"/>
      <c r="C703" s="29" t="n"/>
      <c r="D703" s="29" t="n"/>
      <c r="E703" s="29" t="n"/>
      <c r="F703" s="49" t="n"/>
      <c r="G703" s="51" t="n"/>
    </row>
    <row r="704" ht="54" customHeight="1">
      <c r="A704" s="29" t="n"/>
      <c r="B704" s="29" t="n"/>
      <c r="C704" s="29" t="n"/>
      <c r="D704" s="29" t="n"/>
      <c r="E704" s="29" t="n"/>
      <c r="F704" s="49" t="n"/>
      <c r="G704" s="51" t="n"/>
    </row>
    <row r="705" ht="54" customHeight="1">
      <c r="A705" s="29" t="n"/>
      <c r="B705" s="29" t="n"/>
      <c r="C705" s="29" t="n"/>
      <c r="D705" s="29" t="n"/>
      <c r="E705" s="29" t="n"/>
      <c r="F705" s="49" t="n"/>
      <c r="G705" s="51" t="n"/>
    </row>
    <row r="706" ht="54" customHeight="1">
      <c r="A706" s="29" t="n"/>
      <c r="B706" s="29" t="n"/>
      <c r="C706" s="29" t="n"/>
      <c r="D706" s="29" t="n"/>
      <c r="E706" s="29" t="n"/>
      <c r="F706" s="49" t="n"/>
      <c r="G706" s="51" t="n"/>
    </row>
    <row r="707" ht="54" customHeight="1">
      <c r="A707" s="29" t="n"/>
      <c r="B707" s="29" t="n"/>
      <c r="C707" s="29" t="n"/>
      <c r="D707" s="29" t="n"/>
      <c r="E707" s="29" t="n"/>
      <c r="F707" s="49" t="n"/>
      <c r="G707" s="51" t="n"/>
    </row>
    <row r="708" ht="54" customHeight="1">
      <c r="A708" s="29" t="n"/>
      <c r="B708" s="29" t="n"/>
      <c r="C708" s="29" t="n"/>
      <c r="D708" s="29" t="n"/>
      <c r="E708" s="29" t="n"/>
      <c r="F708" s="49" t="n"/>
      <c r="G708" s="51" t="n"/>
    </row>
    <row r="709" ht="54" customHeight="1">
      <c r="A709" s="29" t="n"/>
      <c r="B709" s="29" t="n"/>
      <c r="C709" s="29" t="n"/>
      <c r="D709" s="29" t="n"/>
      <c r="E709" s="29" t="n"/>
      <c r="F709" s="49" t="n"/>
      <c r="G709" s="51" t="n"/>
    </row>
    <row r="710" ht="54" customHeight="1">
      <c r="A710" s="29" t="n"/>
      <c r="B710" s="29" t="n"/>
      <c r="C710" s="29" t="n"/>
      <c r="D710" s="29" t="n"/>
      <c r="E710" s="29" t="n"/>
      <c r="F710" s="49" t="n"/>
      <c r="G710" s="51" t="n"/>
    </row>
    <row r="711" ht="54" customHeight="1">
      <c r="A711" s="29" t="n"/>
      <c r="B711" s="29" t="n"/>
      <c r="C711" s="29" t="n"/>
      <c r="D711" s="29" t="n"/>
      <c r="E711" s="29" t="n"/>
      <c r="F711" s="49" t="n"/>
      <c r="G711" s="51" t="n"/>
    </row>
    <row r="712" ht="54" customHeight="1">
      <c r="A712" s="29" t="n"/>
      <c r="B712" s="29" t="n"/>
      <c r="C712" s="29" t="n"/>
      <c r="D712" s="29" t="n"/>
      <c r="E712" s="29" t="n"/>
      <c r="F712" s="49" t="n"/>
      <c r="G712" s="51" t="n"/>
    </row>
    <row r="713" ht="54" customHeight="1">
      <c r="A713" s="29" t="n"/>
      <c r="B713" s="29" t="n"/>
      <c r="C713" s="29" t="n"/>
      <c r="D713" s="29" t="n"/>
      <c r="E713" s="29" t="n"/>
      <c r="F713" s="49" t="n"/>
      <c r="G713" s="51" t="n"/>
    </row>
    <row r="714" ht="54" customHeight="1">
      <c r="A714" s="29" t="n"/>
      <c r="B714" s="29" t="n"/>
      <c r="C714" s="29" t="n"/>
      <c r="D714" s="29" t="n"/>
      <c r="E714" s="29" t="n"/>
      <c r="F714" s="49" t="n"/>
      <c r="G714" s="51" t="n"/>
    </row>
    <row r="715" ht="54" customHeight="1">
      <c r="A715" s="29" t="n"/>
      <c r="B715" s="29" t="n"/>
      <c r="C715" s="29" t="n"/>
      <c r="D715" s="29" t="n"/>
      <c r="E715" s="29" t="n"/>
      <c r="F715" s="49" t="n"/>
      <c r="G715" s="51" t="n"/>
    </row>
    <row r="716" ht="54" customHeight="1">
      <c r="A716" s="29" t="n"/>
      <c r="B716" s="29" t="n"/>
      <c r="C716" s="29" t="n"/>
      <c r="D716" s="29" t="n"/>
      <c r="E716" s="29" t="n"/>
      <c r="F716" s="49" t="n"/>
      <c r="G716" s="51" t="n"/>
    </row>
    <row r="717" ht="54" customHeight="1">
      <c r="A717" s="29" t="n"/>
      <c r="B717" s="29" t="n"/>
      <c r="C717" s="29" t="n"/>
      <c r="D717" s="29" t="n"/>
      <c r="E717" s="29" t="n"/>
      <c r="F717" s="49" t="n"/>
      <c r="G717" s="51" t="n"/>
    </row>
    <row r="718" ht="54" customHeight="1">
      <c r="A718" s="29" t="n"/>
      <c r="B718" s="29" t="n"/>
      <c r="C718" s="29" t="n"/>
      <c r="D718" s="29" t="n"/>
      <c r="E718" s="29" t="n"/>
      <c r="F718" s="49" t="n"/>
      <c r="G718" s="51" t="n"/>
    </row>
    <row r="719" ht="54" customHeight="1">
      <c r="A719" s="29" t="n"/>
      <c r="B719" s="29" t="n"/>
      <c r="C719" s="29" t="n"/>
      <c r="D719" s="29" t="n"/>
      <c r="E719" s="29" t="n"/>
      <c r="F719" s="49" t="n"/>
      <c r="G719" s="51" t="n"/>
    </row>
    <row r="720" ht="54" customHeight="1">
      <c r="A720" s="29" t="n"/>
      <c r="B720" s="29" t="n"/>
      <c r="C720" s="29" t="n"/>
      <c r="D720" s="29" t="n"/>
      <c r="E720" s="29" t="n"/>
      <c r="F720" s="49" t="n"/>
      <c r="G720" s="51" t="n"/>
    </row>
    <row r="721" ht="54" customHeight="1">
      <c r="A721" s="29" t="n"/>
      <c r="B721" s="29" t="n"/>
      <c r="C721" s="29" t="n"/>
      <c r="D721" s="29" t="n"/>
      <c r="E721" s="29" t="n"/>
      <c r="F721" s="49" t="n"/>
      <c r="G721" s="51" t="n"/>
    </row>
    <row r="722" ht="54" customHeight="1">
      <c r="A722" s="29" t="n"/>
      <c r="B722" s="29" t="n"/>
      <c r="C722" s="29" t="n"/>
      <c r="D722" s="29" t="n"/>
      <c r="E722" s="29" t="n"/>
      <c r="F722" s="49" t="n"/>
      <c r="G722" s="51" t="n"/>
    </row>
    <row r="723" ht="54" customHeight="1">
      <c r="A723" s="29" t="n"/>
      <c r="B723" s="29" t="n"/>
      <c r="C723" s="29" t="n"/>
      <c r="D723" s="29" t="n"/>
      <c r="E723" s="29" t="n"/>
      <c r="F723" s="49" t="n"/>
      <c r="G723" s="51" t="n"/>
    </row>
    <row r="724" ht="54" customHeight="1">
      <c r="A724" s="29" t="n"/>
      <c r="B724" s="29" t="n"/>
      <c r="C724" s="29" t="n"/>
      <c r="D724" s="29" t="n"/>
      <c r="E724" s="29" t="n"/>
      <c r="F724" s="49" t="n"/>
      <c r="G724" s="51" t="n"/>
    </row>
    <row r="725" ht="54" customHeight="1">
      <c r="A725" s="29" t="n"/>
      <c r="B725" s="29" t="n"/>
      <c r="C725" s="29" t="n"/>
      <c r="D725" s="29" t="n"/>
      <c r="E725" s="29" t="n"/>
      <c r="F725" s="49" t="n"/>
      <c r="G725" s="51" t="n"/>
    </row>
    <row r="726" ht="54" customHeight="1">
      <c r="A726" s="29" t="n"/>
      <c r="B726" s="29" t="n"/>
      <c r="C726" s="29" t="n"/>
      <c r="D726" s="29" t="n"/>
      <c r="E726" s="29" t="n"/>
      <c r="F726" s="49" t="n"/>
      <c r="G726" s="51" t="n"/>
    </row>
    <row r="727" ht="54" customHeight="1">
      <c r="A727" s="29" t="n"/>
      <c r="B727" s="29" t="n"/>
      <c r="C727" s="29" t="n"/>
      <c r="D727" s="29" t="n"/>
      <c r="E727" s="29" t="n"/>
      <c r="F727" s="49" t="n"/>
      <c r="G727" s="51" t="n"/>
    </row>
    <row r="728" ht="54" customHeight="1">
      <c r="A728" s="29" t="n"/>
      <c r="B728" s="29" t="n"/>
      <c r="C728" s="29" t="n"/>
      <c r="D728" s="29" t="n"/>
      <c r="E728" s="29" t="n"/>
      <c r="F728" s="49" t="n"/>
      <c r="G728" s="51" t="n"/>
    </row>
    <row r="729" ht="54" customHeight="1">
      <c r="A729" s="29" t="n"/>
      <c r="B729" s="29" t="n"/>
      <c r="C729" s="29" t="n"/>
      <c r="D729" s="29" t="n"/>
      <c r="E729" s="29" t="n"/>
      <c r="F729" s="49" t="n"/>
      <c r="G729" s="51" t="n"/>
    </row>
    <row r="730" ht="54" customHeight="1">
      <c r="A730" s="29" t="n"/>
      <c r="B730" s="29" t="n"/>
      <c r="C730" s="29" t="n"/>
      <c r="D730" s="29" t="n"/>
      <c r="E730" s="29" t="n"/>
      <c r="F730" s="49" t="n"/>
      <c r="G730" s="51" t="n"/>
    </row>
    <row r="731" ht="54" customHeight="1">
      <c r="A731" s="29" t="n"/>
      <c r="B731" s="29" t="n"/>
      <c r="C731" s="29" t="n"/>
      <c r="D731" s="29" t="n"/>
      <c r="E731" s="29" t="n"/>
      <c r="F731" s="49" t="n"/>
      <c r="G731" s="51" t="n"/>
    </row>
    <row r="732" ht="54" customHeight="1">
      <c r="A732" s="29" t="n"/>
      <c r="B732" s="29" t="n"/>
      <c r="C732" s="29" t="n"/>
      <c r="D732" s="29" t="n"/>
      <c r="E732" s="29" t="n"/>
      <c r="F732" s="49" t="n"/>
      <c r="G732" s="51" t="n"/>
    </row>
    <row r="733" ht="54" customHeight="1">
      <c r="A733" s="29" t="n"/>
      <c r="B733" s="29" t="n"/>
      <c r="C733" s="29" t="n"/>
      <c r="D733" s="29" t="n"/>
      <c r="E733" s="29" t="n"/>
      <c r="F733" s="49" t="n"/>
      <c r="G733" s="51" t="n"/>
    </row>
    <row r="734" ht="54" customHeight="1">
      <c r="A734" s="29" t="n"/>
      <c r="B734" s="29" t="n"/>
      <c r="C734" s="29" t="n"/>
      <c r="D734" s="29" t="n"/>
      <c r="E734" s="29" t="n"/>
      <c r="F734" s="49" t="n"/>
      <c r="G734" s="51" t="n"/>
    </row>
    <row r="735" ht="54" customHeight="1">
      <c r="A735" s="29" t="n"/>
      <c r="B735" s="29" t="n"/>
      <c r="C735" s="29" t="n"/>
      <c r="D735" s="29" t="n"/>
      <c r="E735" s="29" t="n"/>
      <c r="F735" s="49" t="n"/>
      <c r="G735" s="51" t="n"/>
    </row>
    <row r="736" ht="54" customHeight="1">
      <c r="A736" s="29" t="n"/>
      <c r="B736" s="29" t="n"/>
      <c r="C736" s="29" t="n"/>
      <c r="D736" s="29" t="n"/>
      <c r="E736" s="29" t="n"/>
      <c r="F736" s="49" t="n"/>
      <c r="G736" s="51" t="n"/>
    </row>
    <row r="737" ht="54" customHeight="1">
      <c r="A737" s="29" t="n"/>
      <c r="B737" s="29" t="n"/>
      <c r="C737" s="29" t="n"/>
      <c r="D737" s="29" t="n"/>
      <c r="E737" s="29" t="n"/>
      <c r="F737" s="49" t="n"/>
      <c r="G737" s="51" t="n"/>
    </row>
    <row r="738" ht="54" customHeight="1">
      <c r="A738" s="29" t="n"/>
      <c r="B738" s="29" t="n"/>
      <c r="C738" s="29" t="n"/>
      <c r="D738" s="29" t="n"/>
      <c r="E738" s="29" t="n"/>
      <c r="F738" s="49" t="n"/>
      <c r="G738" s="51" t="n"/>
    </row>
    <row r="739" ht="54" customHeight="1">
      <c r="A739" s="29" t="n"/>
      <c r="B739" s="29" t="n"/>
      <c r="C739" s="29" t="n"/>
      <c r="D739" s="29" t="n"/>
      <c r="E739" s="29" t="n"/>
      <c r="F739" s="49" t="n"/>
      <c r="G739" s="51" t="n"/>
    </row>
    <row r="740" ht="54" customHeight="1">
      <c r="A740" s="29" t="n"/>
      <c r="B740" s="29" t="n"/>
      <c r="C740" s="29" t="n"/>
      <c r="D740" s="29" t="n"/>
      <c r="E740" s="29" t="n"/>
      <c r="F740" s="49" t="n"/>
      <c r="G740" s="51" t="n"/>
    </row>
    <row r="741" ht="54" customHeight="1">
      <c r="A741" s="29" t="n"/>
      <c r="B741" s="29" t="n"/>
      <c r="C741" s="29" t="n"/>
      <c r="D741" s="29" t="n"/>
      <c r="E741" s="29" t="n"/>
      <c r="F741" s="49" t="n"/>
      <c r="G741" s="51" t="n"/>
    </row>
    <row r="742" ht="54" customHeight="1">
      <c r="A742" s="29" t="n"/>
      <c r="B742" s="29" t="n"/>
      <c r="C742" s="29" t="n"/>
      <c r="D742" s="29" t="n"/>
      <c r="E742" s="29" t="n"/>
      <c r="F742" s="49" t="n"/>
      <c r="G742" s="51" t="n"/>
    </row>
    <row r="743" ht="54" customHeight="1">
      <c r="A743" s="29" t="n"/>
      <c r="B743" s="29" t="n"/>
      <c r="C743" s="29" t="n"/>
      <c r="D743" s="29" t="n"/>
      <c r="E743" s="29" t="n"/>
      <c r="F743" s="49" t="n"/>
      <c r="G743" s="51" t="n"/>
    </row>
    <row r="744" ht="54" customHeight="1">
      <c r="A744" s="29" t="n"/>
      <c r="B744" s="29" t="n"/>
      <c r="C744" s="29" t="n"/>
      <c r="D744" s="29" t="n"/>
      <c r="E744" s="29" t="n"/>
      <c r="F744" s="49" t="n"/>
      <c r="G744" s="51" t="n"/>
    </row>
    <row r="745" ht="54" customHeight="1">
      <c r="A745" s="29" t="n"/>
      <c r="B745" s="29" t="n"/>
      <c r="C745" s="29" t="n"/>
      <c r="D745" s="29" t="n"/>
      <c r="E745" s="29" t="n"/>
      <c r="F745" s="49" t="n"/>
      <c r="G745" s="51" t="n"/>
    </row>
    <row r="746" ht="54" customHeight="1">
      <c r="A746" s="29" t="n"/>
      <c r="B746" s="29" t="n"/>
      <c r="C746" s="29" t="n"/>
      <c r="D746" s="29" t="n"/>
      <c r="E746" s="29" t="n"/>
      <c r="F746" s="49" t="n"/>
      <c r="G746" s="51" t="n"/>
    </row>
    <row r="747" ht="54" customHeight="1">
      <c r="A747" s="29" t="n"/>
      <c r="B747" s="29" t="n"/>
      <c r="C747" s="29" t="n"/>
      <c r="D747" s="29" t="n"/>
      <c r="E747" s="29" t="n"/>
      <c r="F747" s="49" t="n"/>
      <c r="G747" s="51" t="n"/>
    </row>
    <row r="748" ht="54" customHeight="1">
      <c r="A748" s="29" t="n"/>
      <c r="B748" s="29" t="n"/>
      <c r="C748" s="29" t="n"/>
      <c r="D748" s="29" t="n"/>
      <c r="E748" s="29" t="n"/>
      <c r="F748" s="49" t="n"/>
      <c r="G748" s="51" t="n"/>
    </row>
    <row r="749" ht="54" customHeight="1">
      <c r="A749" s="29" t="n"/>
      <c r="B749" s="29" t="n"/>
      <c r="C749" s="29" t="n"/>
      <c r="D749" s="29" t="n"/>
      <c r="E749" s="29" t="n"/>
      <c r="F749" s="49" t="n"/>
      <c r="G749" s="51" t="n"/>
    </row>
    <row r="750" ht="54" customHeight="1">
      <c r="A750" s="29" t="n"/>
      <c r="B750" s="29" t="n"/>
      <c r="C750" s="29" t="n"/>
      <c r="D750" s="29" t="n"/>
      <c r="E750" s="29" t="n"/>
      <c r="F750" s="49" t="n"/>
      <c r="G750" s="51" t="n"/>
    </row>
    <row r="751" ht="54" customHeight="1">
      <c r="A751" s="29" t="n"/>
      <c r="B751" s="29" t="n"/>
      <c r="C751" s="29" t="n"/>
      <c r="D751" s="29" t="n"/>
      <c r="E751" s="29" t="n"/>
      <c r="F751" s="49" t="n"/>
      <c r="G751" s="51" t="n"/>
    </row>
    <row r="752" ht="54" customHeight="1">
      <c r="A752" s="29" t="n"/>
      <c r="B752" s="29" t="n"/>
      <c r="C752" s="29" t="n"/>
      <c r="D752" s="29" t="n"/>
      <c r="E752" s="29" t="n"/>
      <c r="F752" s="49" t="n"/>
      <c r="G752" s="51" t="n"/>
    </row>
    <row r="753" ht="54" customHeight="1">
      <c r="A753" s="29" t="n"/>
      <c r="B753" s="29" t="n"/>
      <c r="C753" s="29" t="n"/>
      <c r="D753" s="29" t="n"/>
      <c r="E753" s="29" t="n"/>
      <c r="F753" s="49" t="n"/>
      <c r="G753" s="51" t="n"/>
    </row>
    <row r="754" ht="54" customHeight="1">
      <c r="A754" s="29" t="n"/>
      <c r="B754" s="29" t="n"/>
      <c r="C754" s="29" t="n"/>
      <c r="D754" s="29" t="n"/>
      <c r="E754" s="29" t="n"/>
      <c r="F754" s="49" t="n"/>
      <c r="G754" s="51" t="n"/>
    </row>
    <row r="755" ht="54" customHeight="1">
      <c r="A755" s="29" t="n"/>
      <c r="B755" s="29" t="n"/>
      <c r="C755" s="29" t="n"/>
      <c r="D755" s="29" t="n"/>
      <c r="E755" s="29" t="n"/>
      <c r="F755" s="49" t="n"/>
      <c r="G755" s="51" t="n"/>
    </row>
    <row r="756" ht="54" customHeight="1">
      <c r="A756" s="29" t="n"/>
      <c r="B756" s="29" t="n"/>
      <c r="C756" s="29" t="n"/>
      <c r="D756" s="29" t="n"/>
      <c r="E756" s="29" t="n"/>
      <c r="F756" s="49" t="n"/>
      <c r="G756" s="51" t="n"/>
    </row>
    <row r="757" ht="54" customHeight="1">
      <c r="A757" s="29" t="n"/>
      <c r="B757" s="29" t="n"/>
      <c r="C757" s="29" t="n"/>
      <c r="D757" s="29" t="n"/>
      <c r="E757" s="29" t="n"/>
      <c r="F757" s="49" t="n"/>
      <c r="G757" s="51" t="n"/>
    </row>
    <row r="758" ht="54" customHeight="1">
      <c r="A758" s="29" t="n"/>
      <c r="B758" s="29" t="n"/>
      <c r="C758" s="29" t="n"/>
      <c r="D758" s="29" t="n"/>
      <c r="E758" s="29" t="n"/>
      <c r="F758" s="49" t="n"/>
      <c r="G758" s="51" t="n"/>
    </row>
    <row r="759" ht="54" customHeight="1">
      <c r="A759" s="29" t="n"/>
      <c r="B759" s="29" t="n"/>
      <c r="C759" s="29" t="n"/>
      <c r="D759" s="29" t="n"/>
      <c r="E759" s="29" t="n"/>
      <c r="F759" s="49" t="n"/>
      <c r="G759" s="51" t="n"/>
    </row>
    <row r="760" ht="54" customHeight="1">
      <c r="A760" s="29" t="n"/>
      <c r="B760" s="29" t="n"/>
      <c r="C760" s="29" t="n"/>
      <c r="D760" s="29" t="n"/>
      <c r="E760" s="29" t="n"/>
      <c r="F760" s="49" t="n"/>
      <c r="G760" s="51" t="n"/>
    </row>
    <row r="761" ht="54" customHeight="1">
      <c r="A761" s="29" t="n"/>
      <c r="B761" s="29" t="n"/>
      <c r="C761" s="29" t="n"/>
      <c r="D761" s="29" t="n"/>
      <c r="E761" s="29" t="n"/>
      <c r="F761" s="49" t="n"/>
      <c r="G761" s="51" t="n"/>
    </row>
    <row r="762" ht="54" customHeight="1">
      <c r="A762" s="29" t="n"/>
      <c r="B762" s="29" t="n"/>
      <c r="C762" s="29" t="n"/>
      <c r="D762" s="29" t="n"/>
      <c r="E762" s="29" t="n"/>
      <c r="F762" s="49" t="n"/>
      <c r="G762" s="51" t="n"/>
    </row>
    <row r="763" ht="54" customHeight="1">
      <c r="A763" s="29" t="n"/>
      <c r="B763" s="29" t="n"/>
      <c r="C763" s="29" t="n"/>
      <c r="D763" s="29" t="n"/>
      <c r="E763" s="29" t="n"/>
      <c r="F763" s="49" t="n"/>
      <c r="G763" s="51" t="n"/>
    </row>
    <row r="764" ht="54" customHeight="1">
      <c r="A764" s="29" t="n"/>
      <c r="B764" s="29" t="n"/>
      <c r="C764" s="29" t="n"/>
      <c r="D764" s="29" t="n"/>
      <c r="E764" s="29" t="n"/>
      <c r="F764" s="49" t="n"/>
      <c r="G764" s="51" t="n"/>
    </row>
    <row r="765" ht="54" customHeight="1">
      <c r="A765" s="29" t="n"/>
      <c r="B765" s="29" t="n"/>
      <c r="C765" s="29" t="n"/>
      <c r="D765" s="29" t="n"/>
      <c r="E765" s="29" t="n"/>
      <c r="F765" s="49" t="n"/>
      <c r="G765" s="51" t="n"/>
    </row>
    <row r="766" ht="54" customHeight="1">
      <c r="A766" s="29" t="n"/>
      <c r="B766" s="29" t="n"/>
      <c r="C766" s="29" t="n"/>
      <c r="D766" s="29" t="n"/>
      <c r="E766" s="29" t="n"/>
      <c r="F766" s="49" t="n"/>
      <c r="G766" s="51" t="n"/>
    </row>
    <row r="767" ht="54" customHeight="1">
      <c r="A767" s="29" t="n"/>
      <c r="B767" s="29" t="n"/>
      <c r="C767" s="29" t="n"/>
      <c r="D767" s="29" t="n"/>
      <c r="E767" s="29" t="n"/>
      <c r="F767" s="49" t="n"/>
      <c r="G767" s="51" t="n"/>
    </row>
    <row r="768" ht="54" customHeight="1">
      <c r="A768" s="29" t="n"/>
      <c r="B768" s="29" t="n"/>
      <c r="C768" s="29" t="n"/>
      <c r="D768" s="29" t="n"/>
      <c r="E768" s="29" t="n"/>
      <c r="F768" s="49" t="n"/>
      <c r="G768" s="51" t="n"/>
    </row>
    <row r="769" ht="54" customHeight="1">
      <c r="A769" s="29" t="n"/>
      <c r="B769" s="29" t="n"/>
      <c r="C769" s="29" t="n"/>
      <c r="D769" s="29" t="n"/>
      <c r="E769" s="29" t="n"/>
      <c r="F769" s="49" t="n"/>
      <c r="G769" s="51" t="n"/>
    </row>
    <row r="770" ht="54" customHeight="1">
      <c r="A770" s="29" t="n"/>
      <c r="B770" s="29" t="n"/>
      <c r="C770" s="29" t="n"/>
      <c r="D770" s="29" t="n"/>
      <c r="E770" s="29" t="n"/>
      <c r="F770" s="49" t="n"/>
      <c r="G770" s="51" t="n"/>
    </row>
    <row r="771" ht="54" customHeight="1">
      <c r="A771" s="29" t="n"/>
      <c r="B771" s="29" t="n"/>
      <c r="C771" s="29" t="n"/>
      <c r="D771" s="29" t="n"/>
      <c r="E771" s="29" t="n"/>
      <c r="F771" s="49" t="n"/>
      <c r="G771" s="51" t="n"/>
    </row>
    <row r="772" ht="54" customHeight="1">
      <c r="A772" s="29" t="n"/>
      <c r="B772" s="29" t="n"/>
      <c r="C772" s="29" t="n"/>
      <c r="D772" s="29" t="n"/>
      <c r="E772" s="29" t="n"/>
      <c r="F772" s="49" t="n"/>
      <c r="G772" s="51" t="n"/>
    </row>
    <row r="773" ht="54" customHeight="1">
      <c r="A773" s="29" t="n"/>
      <c r="B773" s="29" t="n"/>
      <c r="C773" s="29" t="n"/>
      <c r="D773" s="29" t="n"/>
      <c r="E773" s="29" t="n"/>
      <c r="F773" s="49" t="n"/>
      <c r="G773" s="51" t="n"/>
    </row>
    <row r="774" ht="54" customHeight="1">
      <c r="A774" s="29" t="n"/>
      <c r="B774" s="29" t="n"/>
      <c r="C774" s="29" t="n"/>
      <c r="D774" s="29" t="n"/>
      <c r="E774" s="29" t="n"/>
      <c r="F774" s="49" t="n"/>
      <c r="G774" s="51" t="n"/>
    </row>
    <row r="775" ht="54" customHeight="1">
      <c r="A775" s="29" t="n"/>
      <c r="B775" s="29" t="n"/>
      <c r="C775" s="29" t="n"/>
      <c r="D775" s="29" t="n"/>
      <c r="E775" s="29" t="n"/>
      <c r="F775" s="49" t="n"/>
      <c r="G775" s="51" t="n"/>
    </row>
    <row r="776" ht="54" customHeight="1">
      <c r="A776" s="29" t="n"/>
      <c r="B776" s="29" t="n"/>
      <c r="C776" s="29" t="n"/>
      <c r="D776" s="29" t="n"/>
      <c r="E776" s="29" t="n"/>
      <c r="F776" s="49" t="n"/>
      <c r="G776" s="51" t="n"/>
    </row>
    <row r="777" ht="54" customHeight="1">
      <c r="A777" s="29" t="n"/>
      <c r="B777" s="29" t="n"/>
      <c r="C777" s="29" t="n"/>
      <c r="D777" s="29" t="n"/>
      <c r="E777" s="29" t="n"/>
      <c r="F777" s="49" t="n"/>
      <c r="G777" s="51" t="n"/>
    </row>
    <row r="778" ht="54" customHeight="1">
      <c r="A778" s="29" t="n"/>
      <c r="B778" s="29" t="n"/>
      <c r="C778" s="29" t="n"/>
      <c r="D778" s="29" t="n"/>
      <c r="E778" s="29" t="n"/>
      <c r="F778" s="49" t="n"/>
      <c r="G778" s="51" t="n"/>
    </row>
    <row r="779" ht="54" customHeight="1">
      <c r="A779" s="29" t="n"/>
      <c r="B779" s="29" t="n"/>
      <c r="C779" s="29" t="n"/>
      <c r="D779" s="29" t="n"/>
      <c r="E779" s="29" t="n"/>
      <c r="F779" s="49" t="n"/>
      <c r="G779" s="51" t="n"/>
    </row>
    <row r="780" ht="54" customHeight="1">
      <c r="A780" s="29" t="n"/>
      <c r="B780" s="29" t="n"/>
      <c r="C780" s="29" t="n"/>
      <c r="D780" s="29" t="n"/>
      <c r="E780" s="29" t="n"/>
      <c r="F780" s="49" t="n"/>
      <c r="G780" s="51" t="n"/>
    </row>
    <row r="781" ht="54" customHeight="1">
      <c r="A781" s="29" t="n"/>
      <c r="B781" s="29" t="n"/>
      <c r="C781" s="29" t="n"/>
      <c r="D781" s="29" t="n"/>
      <c r="E781" s="29" t="n"/>
      <c r="F781" s="49" t="n"/>
      <c r="G781" s="51" t="n"/>
    </row>
    <row r="782" ht="54" customHeight="1">
      <c r="A782" s="29" t="n"/>
      <c r="B782" s="29" t="n"/>
      <c r="C782" s="29" t="n"/>
      <c r="D782" s="29" t="n"/>
      <c r="E782" s="29" t="n"/>
      <c r="F782" s="49" t="n"/>
      <c r="G782" s="51" t="n"/>
    </row>
    <row r="783" ht="54" customHeight="1">
      <c r="A783" s="29" t="n"/>
      <c r="B783" s="29" t="n"/>
      <c r="C783" s="29" t="n"/>
      <c r="D783" s="29" t="n"/>
      <c r="E783" s="29" t="n"/>
      <c r="F783" s="49" t="n"/>
      <c r="G783" s="51" t="n"/>
    </row>
    <row r="784" ht="54" customHeight="1">
      <c r="A784" s="29" t="n"/>
      <c r="B784" s="29" t="n"/>
      <c r="C784" s="29" t="n"/>
      <c r="D784" s="29" t="n"/>
      <c r="E784" s="29" t="n"/>
      <c r="F784" s="49" t="n"/>
      <c r="G784" s="51" t="n"/>
    </row>
    <row r="785" ht="54" customHeight="1">
      <c r="A785" s="29" t="n"/>
      <c r="B785" s="29" t="n"/>
      <c r="C785" s="29" t="n"/>
      <c r="D785" s="29" t="n"/>
      <c r="E785" s="29" t="n"/>
      <c r="F785" s="49" t="n"/>
      <c r="G785" s="51" t="n"/>
    </row>
    <row r="786" ht="54" customHeight="1">
      <c r="A786" s="29" t="n"/>
      <c r="B786" s="29" t="n"/>
      <c r="C786" s="29" t="n"/>
      <c r="D786" s="29" t="n"/>
      <c r="E786" s="29" t="n"/>
      <c r="F786" s="49" t="n"/>
      <c r="G786" s="51" t="n"/>
    </row>
    <row r="787" ht="54" customHeight="1">
      <c r="A787" s="29" t="n"/>
      <c r="B787" s="29" t="n"/>
      <c r="C787" s="29" t="n"/>
      <c r="D787" s="29" t="n"/>
      <c r="E787" s="29" t="n"/>
      <c r="F787" s="49" t="n"/>
      <c r="G787" s="51" t="n"/>
    </row>
    <row r="788" ht="54" customHeight="1">
      <c r="A788" s="29" t="n"/>
      <c r="B788" s="29" t="n"/>
      <c r="C788" s="29" t="n"/>
      <c r="D788" s="29" t="n"/>
      <c r="E788" s="29" t="n"/>
      <c r="F788" s="49" t="n"/>
      <c r="G788" s="51" t="n"/>
    </row>
    <row r="789" ht="54" customHeight="1">
      <c r="A789" s="29" t="n"/>
      <c r="B789" s="29" t="n"/>
      <c r="C789" s="29" t="n"/>
      <c r="D789" s="29" t="n"/>
      <c r="E789" s="29" t="n"/>
      <c r="F789" s="49" t="n"/>
      <c r="G789" s="51" t="n"/>
    </row>
    <row r="790" ht="54" customHeight="1">
      <c r="A790" s="29" t="n"/>
      <c r="B790" s="29" t="n"/>
      <c r="C790" s="29" t="n"/>
      <c r="D790" s="29" t="n"/>
      <c r="E790" s="29" t="n"/>
      <c r="F790" s="49" t="n"/>
      <c r="G790" s="51" t="n"/>
    </row>
    <row r="791" ht="54" customHeight="1">
      <c r="A791" s="29" t="n"/>
      <c r="B791" s="29" t="n"/>
      <c r="C791" s="29" t="n"/>
      <c r="D791" s="29" t="n"/>
      <c r="E791" s="29" t="n"/>
      <c r="F791" s="49" t="n"/>
      <c r="G791" s="51" t="n"/>
    </row>
    <row r="792" ht="54" customHeight="1">
      <c r="A792" s="29" t="n"/>
      <c r="B792" s="29" t="n"/>
      <c r="C792" s="29" t="n"/>
      <c r="D792" s="29" t="n"/>
      <c r="E792" s="29" t="n"/>
      <c r="F792" s="49" t="n"/>
      <c r="G792" s="51" t="n"/>
    </row>
    <row r="793" ht="54" customHeight="1">
      <c r="A793" s="29" t="n"/>
      <c r="B793" s="29" t="n"/>
      <c r="C793" s="29" t="n"/>
      <c r="D793" s="29" t="n"/>
      <c r="E793" s="29" t="n"/>
      <c r="F793" s="49" t="n"/>
      <c r="G793" s="51" t="n"/>
    </row>
    <row r="794" ht="54" customHeight="1">
      <c r="A794" s="29" t="n"/>
      <c r="B794" s="29" t="n"/>
      <c r="C794" s="29" t="n"/>
      <c r="D794" s="29" t="n"/>
      <c r="E794" s="29" t="n"/>
      <c r="F794" s="49" t="n"/>
      <c r="G794" s="51" t="n"/>
    </row>
    <row r="795" ht="54" customHeight="1">
      <c r="A795" s="29" t="n"/>
      <c r="B795" s="29" t="n"/>
      <c r="C795" s="29" t="n"/>
      <c r="D795" s="29" t="n"/>
      <c r="E795" s="29" t="n"/>
      <c r="F795" s="49" t="n"/>
      <c r="G795" s="51" t="n"/>
    </row>
    <row r="796" ht="54" customHeight="1">
      <c r="A796" s="29" t="n"/>
      <c r="B796" s="29" t="n"/>
      <c r="C796" s="29" t="n"/>
      <c r="D796" s="29" t="n"/>
      <c r="E796" s="29" t="n"/>
      <c r="F796" s="49" t="n"/>
      <c r="G796" s="51" t="n"/>
    </row>
    <row r="797" ht="54" customHeight="1">
      <c r="A797" s="29" t="n"/>
      <c r="B797" s="29" t="n"/>
      <c r="C797" s="29" t="n"/>
      <c r="D797" s="29" t="n"/>
      <c r="E797" s="29" t="n"/>
      <c r="F797" s="49" t="n"/>
      <c r="G797" s="51" t="n"/>
    </row>
    <row r="798" ht="54" customHeight="1">
      <c r="A798" s="29" t="n"/>
      <c r="B798" s="29" t="n"/>
      <c r="C798" s="29" t="n"/>
      <c r="D798" s="29" t="n"/>
      <c r="E798" s="29" t="n"/>
      <c r="F798" s="49" t="n"/>
      <c r="G798" s="51" t="n"/>
    </row>
    <row r="799" ht="54" customHeight="1">
      <c r="A799" s="29" t="n"/>
      <c r="B799" s="29" t="n"/>
      <c r="C799" s="29" t="n"/>
      <c r="D799" s="29" t="n"/>
      <c r="E799" s="29" t="n"/>
      <c r="F799" s="49" t="n"/>
      <c r="G799" s="51" t="n"/>
    </row>
    <row r="800" ht="54" customHeight="1">
      <c r="A800" s="29" t="n"/>
      <c r="B800" s="29" t="n"/>
      <c r="C800" s="29" t="n"/>
      <c r="D800" s="29" t="n"/>
      <c r="E800" s="29" t="n"/>
      <c r="F800" s="49" t="n"/>
      <c r="G800" s="51" t="n"/>
    </row>
    <row r="801" ht="54" customHeight="1">
      <c r="A801" s="29" t="n"/>
      <c r="B801" s="29" t="n"/>
      <c r="C801" s="29" t="n"/>
      <c r="D801" s="29" t="n"/>
      <c r="E801" s="29" t="n"/>
      <c r="F801" s="49" t="n"/>
      <c r="G801" s="51" t="n"/>
    </row>
    <row r="802" ht="54" customHeight="1">
      <c r="A802" s="29" t="n"/>
      <c r="B802" s="29" t="n"/>
      <c r="C802" s="29" t="n"/>
      <c r="D802" s="29" t="n"/>
      <c r="E802" s="29" t="n"/>
      <c r="F802" s="49" t="n"/>
      <c r="G802" s="51" t="n"/>
    </row>
    <row r="803" ht="54" customHeight="1">
      <c r="A803" s="29" t="n"/>
      <c r="B803" s="29" t="n"/>
      <c r="C803" s="29" t="n"/>
      <c r="D803" s="29" t="n"/>
      <c r="E803" s="29" t="n"/>
      <c r="F803" s="49" t="n"/>
      <c r="G803" s="51" t="n"/>
    </row>
    <row r="804" ht="54" customHeight="1">
      <c r="A804" s="29" t="n"/>
      <c r="B804" s="29" t="n"/>
      <c r="C804" s="29" t="n"/>
      <c r="D804" s="29" t="n"/>
      <c r="E804" s="29" t="n"/>
      <c r="F804" s="49" t="n"/>
      <c r="G804" s="51" t="n"/>
    </row>
    <row r="805" ht="54" customHeight="1">
      <c r="A805" s="29" t="n"/>
      <c r="B805" s="29" t="n"/>
      <c r="C805" s="29" t="n"/>
      <c r="D805" s="29" t="n"/>
      <c r="E805" s="29" t="n"/>
      <c r="F805" s="49" t="n"/>
      <c r="G805" s="51" t="n"/>
    </row>
    <row r="806" ht="54" customHeight="1">
      <c r="A806" s="29" t="n"/>
      <c r="B806" s="29" t="n"/>
      <c r="C806" s="29" t="n"/>
      <c r="D806" s="29" t="n"/>
      <c r="E806" s="29" t="n"/>
      <c r="F806" s="49" t="n"/>
      <c r="G806" s="51" t="n"/>
    </row>
    <row r="807" ht="54" customHeight="1">
      <c r="A807" s="29" t="n"/>
      <c r="B807" s="29" t="n"/>
      <c r="C807" s="29" t="n"/>
      <c r="D807" s="29" t="n"/>
      <c r="E807" s="29" t="n"/>
      <c r="F807" s="49" t="n"/>
      <c r="G807" s="51" t="n"/>
    </row>
  </sheetData>
  <mergeCells count="1">
    <mergeCell ref="A3:G3"/>
  </mergeCells>
  <conditionalFormatting sqref="A8:A807">
    <cfRule type="expression" priority="1" dxfId="1">
      <formula>AND($A8&lt;&gt;"",ISBLANK(A8))</formula>
    </cfRule>
  </conditionalFormatting>
  <conditionalFormatting sqref="B8:B807">
    <cfRule type="expression" priority="2" dxfId="1">
      <formula>AND($A8&lt;&gt;"",ISBLANK(B8))</formula>
    </cfRule>
  </conditionalFormatting>
  <conditionalFormatting sqref="C8:C807">
    <cfRule type="expression" priority="3" dxfId="1">
      <formula>AND($A8&lt;&gt;"",ISBLANK(C8))</formula>
    </cfRule>
  </conditionalFormatting>
  <conditionalFormatting sqref="D8:D807">
    <cfRule type="expression" priority="4" dxfId="1">
      <formula>AND($A8&lt;&gt;"",ISBLANK(D8))</formula>
    </cfRule>
  </conditionalFormatting>
  <conditionalFormatting sqref="E8:E807">
    <cfRule type="expression" priority="5" dxfId="1">
      <formula>AND($A8&lt;&gt;"",ISBLANK(E8))</formula>
    </cfRule>
  </conditionalFormatting>
  <conditionalFormatting sqref="F8:F807">
    <cfRule type="expression" priority="6" dxfId="1">
      <formula>AND($A8&lt;&gt;"",ISBLANK(F8))</formula>
    </cfRule>
  </conditionalFormatting>
  <conditionalFormatting sqref="G8:G80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58" customWidth="1" min="5" max="5"/>
    <col width="28" customWidth="1" min="6" max="6"/>
    <col width="32" customWidth="1" min="7" max="7"/>
    <col width="58" customWidth="1" min="8" max="8"/>
    <col width="20" customWidth="1" min="9" max="9"/>
    <col width="28" customWidth="1" min="10" max="10"/>
    <col width="28" customWidth="1" min="11" max="11"/>
    <col width="28" customWidth="1" min="12" max="12"/>
  </cols>
  <sheetData>
    <row r="1" ht="30" customHeight="1">
      <c r="A1" s="2" t="n"/>
      <c r="B1" s="2" t="n"/>
      <c r="C1" s="2" t="n"/>
      <c r="D1" s="2" t="n"/>
      <c r="E1" s="2" t="n"/>
      <c r="F1" s="2" t="n"/>
      <c r="G1" s="2" t="n"/>
      <c r="H1" s="2" t="n"/>
      <c r="I1" s="2" t="n"/>
      <c r="J1" s="2" t="n"/>
      <c r="K1" s="2" t="n"/>
      <c r="L1" s="2" t="n"/>
    </row>
    <row r="2" ht="30" customHeight="1">
      <c r="A2" s="19" t="inlineStr">
        <is>
          <t>Corteqs · Keşif rotaları</t>
        </is>
      </c>
      <c r="B2" s="2" t="n"/>
      <c r="C2" s="2" t="n"/>
      <c r="D2" s="2" t="n"/>
      <c r="E2" s="2" t="n"/>
      <c r="F2" s="2" t="n"/>
      <c r="G2" s="2" t="n"/>
      <c r="H2" s="2" t="n"/>
      <c r="I2" s="2" t="n"/>
      <c r="J2" s="2" t="n"/>
      <c r="K2" s="2" t="n"/>
      <c r="L2" s="2" t="n"/>
    </row>
    <row r="3" ht="36" customHeight="1">
      <c r="A3" s="20" t="inlineStr">
        <is>
          <t>Türkçe başlığı okuyun; veriyi 8. satırdan yazın. 7. satırdaki alan adını ve sayfa adını değiştirmeyin.</t>
        </is>
      </c>
      <c r="I3" s="2" t="n"/>
      <c r="J3" s="2" t="n"/>
      <c r="K3" s="2" t="n"/>
      <c r="L3" s="2" t="n"/>
    </row>
    <row r="4" ht="30" customHeight="1">
      <c r="A4" s="21" t="n"/>
      <c r="B4" s="21" t="n"/>
      <c r="C4" s="21" t="n"/>
      <c r="D4" s="21" t="n"/>
      <c r="E4" s="21" t="n"/>
      <c r="F4" s="21" t="n"/>
      <c r="G4" s="21" t="n"/>
      <c r="H4" s="21" t="n"/>
      <c r="I4" s="21" t="n"/>
      <c r="J4" s="21" t="n"/>
      <c r="K4" s="21" t="n"/>
      <c r="L4" s="21" t="n"/>
    </row>
    <row r="5" ht="26" customHeight="1">
      <c r="A5" s="22" t="inlineStr">
        <is>
          <t>Zorunlu</t>
        </is>
      </c>
      <c r="B5" s="22" t="inlineStr">
        <is>
          <t>Zorunlu</t>
        </is>
      </c>
      <c r="C5" s="22" t="inlineStr">
        <is>
          <t>Zorunlu</t>
        </is>
      </c>
      <c r="D5" s="22" t="inlineStr">
        <is>
          <t>Zorunlu</t>
        </is>
      </c>
      <c r="E5" s="22" t="inlineStr">
        <is>
          <t>Zorunlu · alt satır</t>
        </is>
      </c>
      <c r="F5" s="22" t="inlineStr">
        <is>
          <t>İsteğe bağlı · ; ile</t>
        </is>
      </c>
      <c r="G5" s="22" t="inlineStr">
        <is>
          <t>Zorunlu</t>
        </is>
      </c>
      <c r="H5" s="22" t="inlineStr">
        <is>
          <t>Zorunlu</t>
        </is>
      </c>
      <c r="I5" s="22" t="inlineStr">
        <is>
          <t>Zorunlu · tarih</t>
        </is>
      </c>
      <c r="J5" s="22" t="inlineStr">
        <is>
          <t>Zorunlu · ; ile</t>
        </is>
      </c>
      <c r="K5" s="22" t="inlineStr">
        <is>
          <t>Zorunlu</t>
        </is>
      </c>
      <c r="L5" s="22" t="inlineStr">
        <is>
          <t>Zorunlu</t>
        </is>
      </c>
    </row>
    <row r="6" ht="44" customHeight="1">
      <c r="A6" s="25" t="inlineStr">
        <is>
          <t>Rota kimliği</t>
        </is>
      </c>
      <c r="B6" s="25" t="inlineStr">
        <is>
          <t>Şehir kimliği</t>
        </is>
      </c>
      <c r="C6" s="25" t="inlineStr">
        <is>
          <t>Rota başlığı</t>
        </is>
      </c>
      <c r="D6" s="25" t="inlineStr">
        <is>
          <t>Süre / rota türü</t>
        </is>
      </c>
      <c r="E6" s="25" t="inlineStr">
        <is>
          <t>Sıralı durak adları</t>
        </is>
      </c>
      <c r="F6" s="25" t="inlineStr">
        <is>
          <t>Varsa durak içerik kimlikleri</t>
        </is>
      </c>
      <c r="G6" s="25" t="inlineStr">
        <is>
          <t>Ana kart kimliği</t>
        </is>
      </c>
      <c r="H6" s="25" t="inlineStr">
        <is>
          <t>Rota ve erişim notu</t>
        </is>
      </c>
      <c r="I6" s="25" t="inlineStr">
        <is>
          <t>Rota kontrol tarihi</t>
        </is>
      </c>
      <c r="J6" s="25" t="inlineStr">
        <is>
          <t>Kaynak kimlikleri</t>
        </is>
      </c>
      <c r="K6" s="25" t="inlineStr">
        <is>
          <t>Sıra</t>
        </is>
      </c>
      <c r="L6" s="25" t="inlineStr">
        <is>
          <t>Editör durumu</t>
        </is>
      </c>
    </row>
    <row r="7" ht="32" customHeight="1">
      <c r="A7" s="28" t="inlineStr">
        <is>
          <t>route_id</t>
        </is>
      </c>
      <c r="B7" s="28" t="inlineStr">
        <is>
          <t>city_id</t>
        </is>
      </c>
      <c r="C7" s="28" t="inlineStr">
        <is>
          <t>title</t>
        </is>
      </c>
      <c r="D7" s="28" t="inlineStr">
        <is>
          <t>tag</t>
        </is>
      </c>
      <c r="E7" s="28" t="inlineStr">
        <is>
          <t>stops</t>
        </is>
      </c>
      <c r="F7" s="28" t="inlineStr">
        <is>
          <t>stop_entry_ids</t>
        </is>
      </c>
      <c r="G7" s="28" t="inlineStr">
        <is>
          <t>entry_id</t>
        </is>
      </c>
      <c r="H7" s="28" t="inlineStr">
        <is>
          <t>note</t>
        </is>
      </c>
      <c r="I7" s="28" t="inlineStr">
        <is>
          <t>reviewed_on</t>
        </is>
      </c>
      <c r="J7" s="28" t="inlineStr">
        <is>
          <t>source_ids</t>
        </is>
      </c>
      <c r="K7" s="28" t="inlineStr">
        <is>
          <t>order</t>
        </is>
      </c>
      <c r="L7" s="28" t="inlineStr">
        <is>
          <t>editorial_status</t>
        </is>
      </c>
    </row>
    <row r="8" ht="54" customHeight="1">
      <c r="A8" s="29" t="n"/>
      <c r="B8" s="29" t="n"/>
      <c r="C8" s="29" t="n"/>
      <c r="D8" s="29" t="n"/>
      <c r="E8" s="29" t="n"/>
      <c r="F8" s="29" t="n"/>
      <c r="G8" s="29" t="n"/>
      <c r="H8" s="29" t="n"/>
      <c r="I8" s="49" t="n"/>
      <c r="J8" s="29" t="n"/>
      <c r="K8" s="51" t="n"/>
      <c r="L8" s="29" t="n"/>
    </row>
    <row r="9" ht="54" customHeight="1">
      <c r="A9" s="29" t="n"/>
      <c r="B9" s="29" t="n"/>
      <c r="C9" s="29" t="n"/>
      <c r="D9" s="29" t="n"/>
      <c r="E9" s="29" t="n"/>
      <c r="F9" s="29" t="n"/>
      <c r="G9" s="29" t="n"/>
      <c r="H9" s="29" t="n"/>
      <c r="I9" s="49" t="n"/>
      <c r="J9" s="29" t="n"/>
      <c r="K9" s="51" t="n"/>
      <c r="L9" s="29" t="n"/>
    </row>
    <row r="10" ht="54" customHeight="1">
      <c r="A10" s="29" t="n"/>
      <c r="B10" s="29" t="n"/>
      <c r="C10" s="29" t="n"/>
      <c r="D10" s="29" t="n"/>
      <c r="E10" s="29" t="n"/>
      <c r="F10" s="29" t="n"/>
      <c r="G10" s="29" t="n"/>
      <c r="H10" s="29" t="n"/>
      <c r="I10" s="49" t="n"/>
      <c r="J10" s="29" t="n"/>
      <c r="K10" s="51" t="n"/>
      <c r="L10" s="29" t="n"/>
    </row>
    <row r="11" ht="54" customHeight="1">
      <c r="A11" s="29" t="n"/>
      <c r="B11" s="29" t="n"/>
      <c r="C11" s="29" t="n"/>
      <c r="D11" s="29" t="n"/>
      <c r="E11" s="29" t="n"/>
      <c r="F11" s="29" t="n"/>
      <c r="G11" s="29" t="n"/>
      <c r="H11" s="29" t="n"/>
      <c r="I11" s="49" t="n"/>
      <c r="J11" s="29" t="n"/>
      <c r="K11" s="51" t="n"/>
      <c r="L11" s="29" t="n"/>
    </row>
    <row r="12" ht="54" customHeight="1">
      <c r="A12" s="29" t="n"/>
      <c r="B12" s="29" t="n"/>
      <c r="C12" s="29" t="n"/>
      <c r="D12" s="29" t="n"/>
      <c r="E12" s="29" t="n"/>
      <c r="F12" s="29" t="n"/>
      <c r="G12" s="29" t="n"/>
      <c r="H12" s="29" t="n"/>
      <c r="I12" s="49" t="n"/>
      <c r="J12" s="29" t="n"/>
      <c r="K12" s="51" t="n"/>
      <c r="L12" s="29" t="n"/>
    </row>
    <row r="13" ht="54" customHeight="1">
      <c r="A13" s="29" t="n"/>
      <c r="B13" s="29" t="n"/>
      <c r="C13" s="29" t="n"/>
      <c r="D13" s="29" t="n"/>
      <c r="E13" s="29" t="n"/>
      <c r="F13" s="29" t="n"/>
      <c r="G13" s="29" t="n"/>
      <c r="H13" s="29" t="n"/>
      <c r="I13" s="49" t="n"/>
      <c r="J13" s="29" t="n"/>
      <c r="K13" s="51" t="n"/>
      <c r="L13" s="29" t="n"/>
    </row>
    <row r="14" ht="54" customHeight="1">
      <c r="A14" s="29" t="n"/>
      <c r="B14" s="29" t="n"/>
      <c r="C14" s="29" t="n"/>
      <c r="D14" s="29" t="n"/>
      <c r="E14" s="29" t="n"/>
      <c r="F14" s="29" t="n"/>
      <c r="G14" s="29" t="n"/>
      <c r="H14" s="29" t="n"/>
      <c r="I14" s="49" t="n"/>
      <c r="J14" s="29" t="n"/>
      <c r="K14" s="51" t="n"/>
      <c r="L14" s="29" t="n"/>
    </row>
    <row r="15" ht="54" customHeight="1">
      <c r="A15" s="29" t="n"/>
      <c r="B15" s="29" t="n"/>
      <c r="C15" s="29" t="n"/>
      <c r="D15" s="29" t="n"/>
      <c r="E15" s="29" t="n"/>
      <c r="F15" s="29" t="n"/>
      <c r="G15" s="29" t="n"/>
      <c r="H15" s="29" t="n"/>
      <c r="I15" s="49" t="n"/>
      <c r="J15" s="29" t="n"/>
      <c r="K15" s="51" t="n"/>
      <c r="L15" s="29" t="n"/>
    </row>
    <row r="16" ht="54" customHeight="1">
      <c r="A16" s="29" t="n"/>
      <c r="B16" s="29" t="n"/>
      <c r="C16" s="29" t="n"/>
      <c r="D16" s="29" t="n"/>
      <c r="E16" s="29" t="n"/>
      <c r="F16" s="29" t="n"/>
      <c r="G16" s="29" t="n"/>
      <c r="H16" s="29" t="n"/>
      <c r="I16" s="49" t="n"/>
      <c r="J16" s="29" t="n"/>
      <c r="K16" s="51" t="n"/>
      <c r="L16" s="29" t="n"/>
    </row>
    <row r="17" ht="54" customHeight="1">
      <c r="A17" s="29" t="n"/>
      <c r="B17" s="29" t="n"/>
      <c r="C17" s="29" t="n"/>
      <c r="D17" s="29" t="n"/>
      <c r="E17" s="29" t="n"/>
      <c r="F17" s="29" t="n"/>
      <c r="G17" s="29" t="n"/>
      <c r="H17" s="29" t="n"/>
      <c r="I17" s="49" t="n"/>
      <c r="J17" s="29" t="n"/>
      <c r="K17" s="51" t="n"/>
      <c r="L17" s="29" t="n"/>
    </row>
    <row r="18" ht="54" customHeight="1">
      <c r="A18" s="29" t="n"/>
      <c r="B18" s="29" t="n"/>
      <c r="C18" s="29" t="n"/>
      <c r="D18" s="29" t="n"/>
      <c r="E18" s="29" t="n"/>
      <c r="F18" s="29" t="n"/>
      <c r="G18" s="29" t="n"/>
      <c r="H18" s="29" t="n"/>
      <c r="I18" s="49" t="n"/>
      <c r="J18" s="29" t="n"/>
      <c r="K18" s="51" t="n"/>
      <c r="L18" s="29" t="n"/>
    </row>
    <row r="19" ht="54" customHeight="1">
      <c r="A19" s="29" t="n"/>
      <c r="B19" s="29" t="n"/>
      <c r="C19" s="29" t="n"/>
      <c r="D19" s="29" t="n"/>
      <c r="E19" s="29" t="n"/>
      <c r="F19" s="29" t="n"/>
      <c r="G19" s="29" t="n"/>
      <c r="H19" s="29" t="n"/>
      <c r="I19" s="49" t="n"/>
      <c r="J19" s="29" t="n"/>
      <c r="K19" s="51" t="n"/>
      <c r="L19" s="29" t="n"/>
    </row>
    <row r="20" ht="54" customHeight="1">
      <c r="A20" s="29" t="n"/>
      <c r="B20" s="29" t="n"/>
      <c r="C20" s="29" t="n"/>
      <c r="D20" s="29" t="n"/>
      <c r="E20" s="29" t="n"/>
      <c r="F20" s="29" t="n"/>
      <c r="G20" s="29" t="n"/>
      <c r="H20" s="29" t="n"/>
      <c r="I20" s="49" t="n"/>
      <c r="J20" s="29" t="n"/>
      <c r="K20" s="51" t="n"/>
      <c r="L20" s="29" t="n"/>
    </row>
    <row r="21" ht="54" customHeight="1">
      <c r="A21" s="29" t="n"/>
      <c r="B21" s="29" t="n"/>
      <c r="C21" s="29" t="n"/>
      <c r="D21" s="29" t="n"/>
      <c r="E21" s="29" t="n"/>
      <c r="F21" s="29" t="n"/>
      <c r="G21" s="29" t="n"/>
      <c r="H21" s="29" t="n"/>
      <c r="I21" s="49" t="n"/>
      <c r="J21" s="29" t="n"/>
      <c r="K21" s="51" t="n"/>
      <c r="L21" s="29" t="n"/>
    </row>
    <row r="22" ht="54" customHeight="1">
      <c r="A22" s="29" t="n"/>
      <c r="B22" s="29" t="n"/>
      <c r="C22" s="29" t="n"/>
      <c r="D22" s="29" t="n"/>
      <c r="E22" s="29" t="n"/>
      <c r="F22" s="29" t="n"/>
      <c r="G22" s="29" t="n"/>
      <c r="H22" s="29" t="n"/>
      <c r="I22" s="49" t="n"/>
      <c r="J22" s="29" t="n"/>
      <c r="K22" s="51" t="n"/>
      <c r="L22" s="29" t="n"/>
    </row>
    <row r="23" ht="54" customHeight="1">
      <c r="A23" s="29" t="n"/>
      <c r="B23" s="29" t="n"/>
      <c r="C23" s="29" t="n"/>
      <c r="D23" s="29" t="n"/>
      <c r="E23" s="29" t="n"/>
      <c r="F23" s="29" t="n"/>
      <c r="G23" s="29" t="n"/>
      <c r="H23" s="29" t="n"/>
      <c r="I23" s="49" t="n"/>
      <c r="J23" s="29" t="n"/>
      <c r="K23" s="51" t="n"/>
      <c r="L23" s="29" t="n"/>
    </row>
    <row r="24" ht="54" customHeight="1">
      <c r="A24" s="29" t="n"/>
      <c r="B24" s="29" t="n"/>
      <c r="C24" s="29" t="n"/>
      <c r="D24" s="29" t="n"/>
      <c r="E24" s="29" t="n"/>
      <c r="F24" s="29" t="n"/>
      <c r="G24" s="29" t="n"/>
      <c r="H24" s="29" t="n"/>
      <c r="I24" s="49" t="n"/>
      <c r="J24" s="29" t="n"/>
      <c r="K24" s="51" t="n"/>
      <c r="L24" s="29" t="n"/>
    </row>
    <row r="25" ht="54" customHeight="1">
      <c r="A25" s="29" t="n"/>
      <c r="B25" s="29" t="n"/>
      <c r="C25" s="29" t="n"/>
      <c r="D25" s="29" t="n"/>
      <c r="E25" s="29" t="n"/>
      <c r="F25" s="29" t="n"/>
      <c r="G25" s="29" t="n"/>
      <c r="H25" s="29" t="n"/>
      <c r="I25" s="49" t="n"/>
      <c r="J25" s="29" t="n"/>
      <c r="K25" s="51" t="n"/>
      <c r="L25" s="29" t="n"/>
    </row>
    <row r="26" ht="54" customHeight="1">
      <c r="A26" s="29" t="n"/>
      <c r="B26" s="29" t="n"/>
      <c r="C26" s="29" t="n"/>
      <c r="D26" s="29" t="n"/>
      <c r="E26" s="29" t="n"/>
      <c r="F26" s="29" t="n"/>
      <c r="G26" s="29" t="n"/>
      <c r="H26" s="29" t="n"/>
      <c r="I26" s="49" t="n"/>
      <c r="J26" s="29" t="n"/>
      <c r="K26" s="51" t="n"/>
      <c r="L26" s="29" t="n"/>
    </row>
    <row r="27" ht="54" customHeight="1">
      <c r="A27" s="29" t="n"/>
      <c r="B27" s="29" t="n"/>
      <c r="C27" s="29" t="n"/>
      <c r="D27" s="29" t="n"/>
      <c r="E27" s="29" t="n"/>
      <c r="F27" s="29" t="n"/>
      <c r="G27" s="29" t="n"/>
      <c r="H27" s="29" t="n"/>
      <c r="I27" s="49" t="n"/>
      <c r="J27" s="29" t="n"/>
      <c r="K27" s="51" t="n"/>
      <c r="L27" s="29" t="n"/>
    </row>
    <row r="28" ht="54" customHeight="1">
      <c r="A28" s="29" t="n"/>
      <c r="B28" s="29" t="n"/>
      <c r="C28" s="29" t="n"/>
      <c r="D28" s="29" t="n"/>
      <c r="E28" s="29" t="n"/>
      <c r="F28" s="29" t="n"/>
      <c r="G28" s="29" t="n"/>
      <c r="H28" s="29" t="n"/>
      <c r="I28" s="49" t="n"/>
      <c r="J28" s="29" t="n"/>
      <c r="K28" s="51" t="n"/>
      <c r="L28" s="29" t="n"/>
    </row>
    <row r="29" ht="54" customHeight="1">
      <c r="A29" s="29" t="n"/>
      <c r="B29" s="29" t="n"/>
      <c r="C29" s="29" t="n"/>
      <c r="D29" s="29" t="n"/>
      <c r="E29" s="29" t="n"/>
      <c r="F29" s="29" t="n"/>
      <c r="G29" s="29" t="n"/>
      <c r="H29" s="29" t="n"/>
      <c r="I29" s="49" t="n"/>
      <c r="J29" s="29" t="n"/>
      <c r="K29" s="51" t="n"/>
      <c r="L29" s="29" t="n"/>
    </row>
    <row r="30" ht="54" customHeight="1">
      <c r="A30" s="29" t="n"/>
      <c r="B30" s="29" t="n"/>
      <c r="C30" s="29" t="n"/>
      <c r="D30" s="29" t="n"/>
      <c r="E30" s="29" t="n"/>
      <c r="F30" s="29" t="n"/>
      <c r="G30" s="29" t="n"/>
      <c r="H30" s="29" t="n"/>
      <c r="I30" s="49" t="n"/>
      <c r="J30" s="29" t="n"/>
      <c r="K30" s="51" t="n"/>
      <c r="L30" s="29" t="n"/>
    </row>
    <row r="31" ht="54" customHeight="1">
      <c r="A31" s="29" t="n"/>
      <c r="B31" s="29" t="n"/>
      <c r="C31" s="29" t="n"/>
      <c r="D31" s="29" t="n"/>
      <c r="E31" s="29" t="n"/>
      <c r="F31" s="29" t="n"/>
      <c r="G31" s="29" t="n"/>
      <c r="H31" s="29" t="n"/>
      <c r="I31" s="49" t="n"/>
      <c r="J31" s="29" t="n"/>
      <c r="K31" s="51" t="n"/>
      <c r="L31" s="29" t="n"/>
    </row>
    <row r="32" ht="54" customHeight="1">
      <c r="A32" s="29" t="n"/>
      <c r="B32" s="29" t="n"/>
      <c r="C32" s="29" t="n"/>
      <c r="D32" s="29" t="n"/>
      <c r="E32" s="29" t="n"/>
      <c r="F32" s="29" t="n"/>
      <c r="G32" s="29" t="n"/>
      <c r="H32" s="29" t="n"/>
      <c r="I32" s="49" t="n"/>
      <c r="J32" s="29" t="n"/>
      <c r="K32" s="51" t="n"/>
      <c r="L32" s="29" t="n"/>
    </row>
    <row r="33" ht="54" customHeight="1">
      <c r="A33" s="29" t="n"/>
      <c r="B33" s="29" t="n"/>
      <c r="C33" s="29" t="n"/>
      <c r="D33" s="29" t="n"/>
      <c r="E33" s="29" t="n"/>
      <c r="F33" s="29" t="n"/>
      <c r="G33" s="29" t="n"/>
      <c r="H33" s="29" t="n"/>
      <c r="I33" s="49" t="n"/>
      <c r="J33" s="29" t="n"/>
      <c r="K33" s="51" t="n"/>
      <c r="L33" s="29" t="n"/>
    </row>
    <row r="34" ht="54" customHeight="1">
      <c r="A34" s="29" t="n"/>
      <c r="B34" s="29" t="n"/>
      <c r="C34" s="29" t="n"/>
      <c r="D34" s="29" t="n"/>
      <c r="E34" s="29" t="n"/>
      <c r="F34" s="29" t="n"/>
      <c r="G34" s="29" t="n"/>
      <c r="H34" s="29" t="n"/>
      <c r="I34" s="49" t="n"/>
      <c r="J34" s="29" t="n"/>
      <c r="K34" s="51" t="n"/>
      <c r="L34" s="29" t="n"/>
    </row>
    <row r="35" ht="54" customHeight="1">
      <c r="A35" s="29" t="n"/>
      <c r="B35" s="29" t="n"/>
      <c r="C35" s="29" t="n"/>
      <c r="D35" s="29" t="n"/>
      <c r="E35" s="29" t="n"/>
      <c r="F35" s="29" t="n"/>
      <c r="G35" s="29" t="n"/>
      <c r="H35" s="29" t="n"/>
      <c r="I35" s="49" t="n"/>
      <c r="J35" s="29" t="n"/>
      <c r="K35" s="51" t="n"/>
      <c r="L35" s="29" t="n"/>
    </row>
    <row r="36" ht="54" customHeight="1">
      <c r="A36" s="29" t="n"/>
      <c r="B36" s="29" t="n"/>
      <c r="C36" s="29" t="n"/>
      <c r="D36" s="29" t="n"/>
      <c r="E36" s="29" t="n"/>
      <c r="F36" s="29" t="n"/>
      <c r="G36" s="29" t="n"/>
      <c r="H36" s="29" t="n"/>
      <c r="I36" s="49" t="n"/>
      <c r="J36" s="29" t="n"/>
      <c r="K36" s="51" t="n"/>
      <c r="L36" s="29" t="n"/>
    </row>
    <row r="37" ht="54" customHeight="1">
      <c r="A37" s="29" t="n"/>
      <c r="B37" s="29" t="n"/>
      <c r="C37" s="29" t="n"/>
      <c r="D37" s="29" t="n"/>
      <c r="E37" s="29" t="n"/>
      <c r="F37" s="29" t="n"/>
      <c r="G37" s="29" t="n"/>
      <c r="H37" s="29" t="n"/>
      <c r="I37" s="49" t="n"/>
      <c r="J37" s="29" t="n"/>
      <c r="K37" s="51" t="n"/>
      <c r="L37" s="29" t="n"/>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G8:G37">
    <cfRule type="expression" priority="6" dxfId="1">
      <formula>AND($A8&lt;&gt;"",ISBLANK(G8))</formula>
    </cfRule>
  </conditionalFormatting>
  <conditionalFormatting sqref="H8:H37">
    <cfRule type="expression" priority="7" dxfId="1">
      <formula>AND($A8&lt;&gt;"",ISBLANK(H8))</formula>
    </cfRule>
  </conditionalFormatting>
  <conditionalFormatting sqref="I8:I37">
    <cfRule type="expression" priority="8" dxfId="1">
      <formula>AND($A8&lt;&gt;"",ISBLANK(I8))</formula>
    </cfRule>
  </conditionalFormatting>
  <conditionalFormatting sqref="J8:J37">
    <cfRule type="expression" priority="9" dxfId="1">
      <formula>AND($A8&lt;&gt;"",ISBLANK(J8))</formula>
    </cfRule>
  </conditionalFormatting>
  <conditionalFormatting sqref="K8:K37">
    <cfRule type="expression" priority="10" dxfId="1">
      <formula>AND($A8&lt;&gt;"",ISBLANK(K8))</formula>
    </cfRule>
  </conditionalFormatting>
  <conditionalFormatting sqref="L8:L37">
    <cfRule type="expression" priority="11" dxfId="1">
      <formula>AND($A8&lt;&gt;"",ISBLANK(L8))</formula>
    </cfRule>
  </conditionalFormatting>
  <dataValidations count="1">
    <dataValidation sqref="L8:L3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58" customWidth="1" min="4" max="4"/>
    <col width="28" customWidth="1" min="5" max="5"/>
    <col width="20" customWidth="1" min="6" max="6"/>
    <col width="28" customWidth="1" min="7" max="7"/>
    <col width="28" customWidth="1" min="8" max="8"/>
  </cols>
  <sheetData>
    <row r="1" ht="30" customHeight="1">
      <c r="A1" s="2" t="n"/>
      <c r="B1" s="2" t="n"/>
      <c r="C1" s="2" t="n"/>
      <c r="D1" s="2" t="n"/>
      <c r="E1" s="2" t="n"/>
      <c r="F1" s="2" t="n"/>
      <c r="G1" s="2" t="n"/>
      <c r="H1" s="2" t="n"/>
    </row>
    <row r="2" ht="30" customHeight="1">
      <c r="A2" s="19" t="inlineStr">
        <is>
          <t>Corteqs · Yerel terimler sözlüğü</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 · ; ile</t>
        </is>
      </c>
      <c r="F5" s="22" t="inlineStr">
        <is>
          <t>Zorunlu · tarih</t>
        </is>
      </c>
      <c r="G5" s="22" t="inlineStr">
        <is>
          <t>Zorunlu</t>
        </is>
      </c>
      <c r="H5" s="22" t="inlineStr">
        <is>
          <t>Zorunlu</t>
        </is>
      </c>
    </row>
    <row r="6" ht="44" customHeight="1">
      <c r="A6" s="25" t="inlineStr">
        <is>
          <t>Terim kimliği</t>
        </is>
      </c>
      <c r="B6" s="25" t="inlineStr">
        <is>
          <t>Şehir kimliği</t>
        </is>
      </c>
      <c r="C6" s="25" t="inlineStr">
        <is>
          <t>Yerel terim</t>
        </is>
      </c>
      <c r="D6" s="25" t="inlineStr">
        <is>
          <t>Türkçe açıklama</t>
        </is>
      </c>
      <c r="E6" s="25" t="inlineStr">
        <is>
          <t>Kaynak kimlikleri</t>
        </is>
      </c>
      <c r="F6" s="25" t="inlineStr">
        <is>
          <t>Terim kontrol tarihi</t>
        </is>
      </c>
      <c r="G6" s="25" t="inlineStr">
        <is>
          <t>Sıra</t>
        </is>
      </c>
      <c r="H6" s="25" t="inlineStr">
        <is>
          <t>Editör durumu</t>
        </is>
      </c>
    </row>
    <row r="7" ht="32" customHeight="1">
      <c r="A7" s="28" t="inlineStr">
        <is>
          <t>term_id</t>
        </is>
      </c>
      <c r="B7" s="28" t="inlineStr">
        <is>
          <t>city_id</t>
        </is>
      </c>
      <c r="C7" s="28" t="inlineStr">
        <is>
          <t>term</t>
        </is>
      </c>
      <c r="D7" s="28" t="inlineStr">
        <is>
          <t>definition</t>
        </is>
      </c>
      <c r="E7" s="28" t="inlineStr">
        <is>
          <t>source_ids</t>
        </is>
      </c>
      <c r="F7" s="28" t="inlineStr">
        <is>
          <t>reviewed_on</t>
        </is>
      </c>
      <c r="G7" s="28" t="inlineStr">
        <is>
          <t>order</t>
        </is>
      </c>
      <c r="H7" s="28" t="inlineStr">
        <is>
          <t>editorial_status</t>
        </is>
      </c>
    </row>
    <row r="8" ht="54" customHeight="1">
      <c r="A8" s="29" t="inlineStr">
        <is>
          <t>malaga:term:001</t>
        </is>
      </c>
      <c r="B8" s="29" t="inlineStr">
        <is>
          <t>malaga</t>
        </is>
      </c>
      <c r="C8" s="29" t="inlineStr">
        <is>
          <t>Padrón municipal (empadronamiento)</t>
        </is>
      </c>
      <c r="D8" s="29" t="inlineStr">
        <is>
          <t>Belediyenin sakinler kaydı; bu kayda yazılmaya empadronamiento denir. İspanya'da yaşayan herkes, düzenli olarak oturduğu belediyenin Padrón'una yazılmak zorundadır. Birden fazla belediyede yaşayan kişi, yılın en uzun kısmını geçirdiği belediyede kaydolur.</t>
        </is>
      </c>
      <c r="E8" s="29" t="inlineStr">
        <is>
          <t>malaga:kaynak:017</t>
        </is>
      </c>
      <c r="F8" s="49" t="n">
        <v>46322</v>
      </c>
      <c r="G8" s="51" t="n">
        <v>1</v>
      </c>
      <c r="H8" s="29" t="inlineStr">
        <is>
          <t>Taslak</t>
        </is>
      </c>
    </row>
    <row r="9" ht="54" customHeight="1">
      <c r="A9" s="29" t="inlineStr">
        <is>
          <t>malaga:term:002</t>
        </is>
      </c>
      <c r="B9" s="29" t="inlineStr">
        <is>
          <t>malaga</t>
        </is>
      </c>
      <c r="C9" s="29" t="inlineStr">
        <is>
          <t>Certificado de empadronamiento</t>
        </is>
      </c>
      <c r="D9" s="29" t="inlineStr">
        <is>
          <t>Padrón'a kayıtlı olduğunu resmen kanıtlayan belge. Ingreso Mínimo Vital gibi başvurularda İspanya'daki adres bu belgeyle gösterilir.</t>
        </is>
      </c>
      <c r="E9" s="29" t="inlineStr">
        <is>
          <t>malaga:kaynak:018;malaga:kaynak:106</t>
        </is>
      </c>
      <c r="F9" s="49" t="n">
        <v>46322</v>
      </c>
      <c r="G9" s="51" t="n">
        <v>2</v>
      </c>
      <c r="H9" s="29" t="inlineStr">
        <is>
          <t>Taslak</t>
        </is>
      </c>
    </row>
    <row r="10" ht="54" customHeight="1">
      <c r="A10" s="29" t="inlineStr">
        <is>
          <t>malaga:term:003</t>
        </is>
      </c>
      <c r="B10" s="29" t="inlineStr">
        <is>
          <t>malaga</t>
        </is>
      </c>
      <c r="C10" s="29" t="inlineStr">
        <is>
          <t>Volante de empadronamiento</t>
        </is>
      </c>
      <c r="D10" s="29" t="inlineStr">
        <is>
          <t>Padrón kaydını gösteren, belediye yetkilisinin imzasını gerektirmeyen daha basit belge. Araç vergisinde (IVTM) aracın adresini (domicilio del vehículo) kanıtlamak için Tráfico'da (Jefatura Provincial de Tráfico), OMAC'ta ya da Gestión Tributaria'da titular'ın (araç sahibinin) DNI fotokopisine seçenek olarak sunulabilir. Sahibin kendi adres değişikliğinde ise önce Padrón kaydı güncellenir, ardından Tráfico, OMAC ya da Gestión Tributaria'ya gidilir.</t>
        </is>
      </c>
      <c r="E10" s="29" t="inlineStr">
        <is>
          <t>malaga:kaynak:018;malaga:kaynak:176</t>
        </is>
      </c>
      <c r="F10" s="49" t="n">
        <v>46322</v>
      </c>
      <c r="G10" s="51" t="n">
        <v>3</v>
      </c>
      <c r="H10" s="29" t="inlineStr">
        <is>
          <t>Taslak</t>
        </is>
      </c>
    </row>
    <row r="11" ht="54" customHeight="1">
      <c r="A11" s="29" t="inlineStr">
        <is>
          <t>malaga:term:004</t>
        </is>
      </c>
      <c r="B11" s="29" t="inlineStr">
        <is>
          <t>malaga</t>
        </is>
      </c>
      <c r="C11" s="29" t="inlineStr">
        <is>
          <t>Cita previa</t>
        </is>
      </c>
      <c r="D11" s="29" t="inlineStr">
        <is>
          <t>Önceden alınan randevu. Málaga Belediyesi'nin internet sitesinde belediye birimleri ve hizmetleri için tek pencere randevu sistemi bulunur; Plusvalía işlemi için randevu şarttır.</t>
        </is>
      </c>
      <c r="E11" s="29" t="inlineStr">
        <is>
          <t>malaga:kaynak:245;malaga:kaynak:242</t>
        </is>
      </c>
      <c r="F11" s="49" t="n">
        <v>46322</v>
      </c>
      <c r="G11" s="51" t="n">
        <v>4</v>
      </c>
      <c r="H11" s="29" t="inlineStr">
        <is>
          <t>Taslak</t>
        </is>
      </c>
    </row>
    <row r="12" ht="54" customHeight="1">
      <c r="A12" s="29" t="inlineStr">
        <is>
          <t>malaga:term:005</t>
        </is>
      </c>
      <c r="B12" s="29" t="inlineStr">
        <is>
          <t>malaga</t>
        </is>
      </c>
      <c r="C12" s="29" t="inlineStr">
        <is>
          <t>OMAC (Oficina Municipal de Atención a la Ciudadanía)</t>
        </is>
      </c>
      <c r="D12" s="29" t="inlineStr">
        <is>
          <t>Belediyenin mahallelerde bulunan yüz yüze hizmet ofisleri. Birçok belediye hizmetinin bilgisi ve işlemi bu ofislerde bir arada yürütülür; OMAC aynı zamanda bir kayıt penceresidir, mevzuat başka bir pencere belirlemedikçe her belediye belgesi buradan verilebilir.</t>
        </is>
      </c>
      <c r="E12" s="29" t="inlineStr">
        <is>
          <t>malaga:kaynak:243</t>
        </is>
      </c>
      <c r="F12" s="49" t="n">
        <v>46322</v>
      </c>
      <c r="G12" s="51" t="n">
        <v>5</v>
      </c>
      <c r="H12" s="29" t="inlineStr">
        <is>
          <t>Taslak</t>
        </is>
      </c>
    </row>
    <row r="13" ht="54" customHeight="1">
      <c r="A13" s="29" t="inlineStr">
        <is>
          <t>malaga:term:006</t>
        </is>
      </c>
      <c r="B13" s="29" t="inlineStr">
        <is>
          <t>malaga</t>
        </is>
      </c>
      <c r="C13" s="29" t="inlineStr">
        <is>
          <t>NIE (Número de Identidad de Extranjero)</t>
        </is>
      </c>
      <c r="D13" s="29" t="inlineStr">
        <is>
          <t>Yabancılara verilen kimlik numarası. İspanya ile ekonomik, mesleki ya da sosyal bağı olan yabancılar, atanmasını Emniyet Genel Müdürlüğü'nden (Dirección General de la Policía) ister.</t>
        </is>
      </c>
      <c r="E13" s="29" t="inlineStr">
        <is>
          <t>malaga:kaynak:001</t>
        </is>
      </c>
      <c r="F13" s="49" t="n">
        <v>46322</v>
      </c>
      <c r="G13" s="51" t="n">
        <v>6</v>
      </c>
      <c r="H13" s="29" t="inlineStr">
        <is>
          <t>Taslak</t>
        </is>
      </c>
    </row>
    <row r="14" ht="54" customHeight="1">
      <c r="A14" s="29" t="inlineStr">
        <is>
          <t>malaga:term:007</t>
        </is>
      </c>
      <c r="B14" s="29" t="inlineStr">
        <is>
          <t>malaga</t>
        </is>
      </c>
      <c r="C14" s="29" t="inlineStr">
        <is>
          <t>Formulario EX-15 ve tasa modelo 790 código 012</t>
        </is>
      </c>
      <c r="D14" s="29" t="inlineStr">
        <is>
          <t>NIE ve sertifika başvurusunda kullanılan form EX-15 ile ödeme belgesi olan 790 numaralı harç (modelo 790, código 012).</t>
        </is>
      </c>
      <c r="E14" s="29" t="inlineStr">
        <is>
          <t>malaga:kaynak:001</t>
        </is>
      </c>
      <c r="F14" s="49" t="n">
        <v>46322</v>
      </c>
      <c r="G14" s="51" t="n">
        <v>7</v>
      </c>
      <c r="H14" s="29" t="inlineStr">
        <is>
          <t>Taslak</t>
        </is>
      </c>
    </row>
    <row r="15" ht="54" customHeight="1">
      <c r="A15" s="29" t="inlineStr">
        <is>
          <t>malaga:term:008</t>
        </is>
      </c>
      <c r="B15" s="29" t="inlineStr">
        <is>
          <t>malaga</t>
        </is>
      </c>
      <c r="C15" s="29" t="inlineStr">
        <is>
          <t>TIE (Tarjeta de Identidad de Extranjero)</t>
        </is>
      </c>
      <c r="D15" s="29" t="inlineStr">
        <is>
          <t>Yabancılar için oturum kartı. İlk oturum izni, yenileme gibi her işlem türü için ayrı bir TIE işlemi ve harcı vardır.</t>
        </is>
      </c>
      <c r="E15" s="29" t="inlineStr">
        <is>
          <t>malaga:kaynak:004</t>
        </is>
      </c>
      <c r="F15" s="49" t="n">
        <v>46322</v>
      </c>
      <c r="G15" s="51" t="n">
        <v>8</v>
      </c>
      <c r="H15" s="29" t="inlineStr">
        <is>
          <t>Taslak</t>
        </is>
      </c>
    </row>
    <row r="16" ht="54" customHeight="1">
      <c r="A16" s="29" t="inlineStr">
        <is>
          <t>malaga:term:009</t>
        </is>
      </c>
      <c r="B16" s="29" t="inlineStr">
        <is>
          <t>malaga</t>
        </is>
      </c>
      <c r="C16" s="29" t="inlineStr">
        <is>
          <t>Certificado de Registro de Ciudadano de la Unión</t>
        </is>
      </c>
      <c r="D16" s="29" t="inlineStr">
        <is>
          <t>AB ya da AEA ülkesi vatandaşının Merkezi Yabancılar Sicili'ne (Registro Central de Extranjeros) kaydını kanıtlayan belge. İspanya'da üç aydan uzun süre oturacak AB/AEA vatandaşları için söz konusudur.</t>
        </is>
      </c>
      <c r="E16" s="29" t="inlineStr">
        <is>
          <t>malaga:kaynak:003</t>
        </is>
      </c>
      <c r="F16" s="49" t="n">
        <v>46322</v>
      </c>
      <c r="G16" s="51" t="n">
        <v>9</v>
      </c>
      <c r="H16" s="29" t="inlineStr">
        <is>
          <t>Taslak</t>
        </is>
      </c>
    </row>
    <row r="17" ht="54" customHeight="1">
      <c r="A17" s="29" t="inlineStr">
        <is>
          <t>malaga:term:010</t>
        </is>
      </c>
      <c r="B17" s="29" t="inlineStr">
        <is>
          <t>malaga</t>
        </is>
      </c>
      <c r="C17" s="29" t="inlineStr">
        <is>
          <t>Visado (vize)</t>
        </is>
      </c>
      <c r="D17" s="29" t="inlineStr">
        <is>
          <t>Giriş ve kalış için alınan vize. Yabancılar yönetmeliğine göre havalimanı transit, kısa süreli kalış ve uzun süreli kalış vizesi olmak üzere türleri vardır.</t>
        </is>
      </c>
      <c r="E17" s="29" t="inlineStr">
        <is>
          <t>malaga:kaynak:005</t>
        </is>
      </c>
      <c r="F17" s="49" t="n">
        <v>46322</v>
      </c>
      <c r="G17" s="51" t="n">
        <v>10</v>
      </c>
      <c r="H17" s="29" t="inlineStr">
        <is>
          <t>Taslak</t>
        </is>
      </c>
    </row>
    <row r="18" ht="54" customHeight="1">
      <c r="A18" s="29" t="inlineStr">
        <is>
          <t>malaga:term:011</t>
        </is>
      </c>
      <c r="B18" s="29" t="inlineStr">
        <is>
          <t>malaga</t>
        </is>
      </c>
      <c r="C18" s="29" t="inlineStr">
        <is>
          <t>Apostilla</t>
        </is>
      </c>
      <c r="D18" s="29" t="inlineStr">
        <is>
          <t>Yurt dışında düzenlenmiş resmî bir belgenin imzasının gerçekliğini onaylayan, belgenin üzerine konan Lahey Sözleşmesi şerhi (apostil). Sözleşmeye taraf ülkelerin belgelerinde yasallaştırma yerine kullanılır.</t>
        </is>
      </c>
      <c r="E18" s="29" t="inlineStr">
        <is>
          <t>malaga:kaynak:026;malaga:kaynak:252</t>
        </is>
      </c>
      <c r="F18" s="49" t="n">
        <v>46322</v>
      </c>
      <c r="G18" s="51" t="n">
        <v>11</v>
      </c>
      <c r="H18" s="29" t="inlineStr">
        <is>
          <t>Taslak</t>
        </is>
      </c>
    </row>
    <row r="19" ht="54" customHeight="1">
      <c r="A19" s="29" t="inlineStr">
        <is>
          <t>malaga:term:012</t>
        </is>
      </c>
      <c r="B19" s="29" t="inlineStr">
        <is>
          <t>malaga</t>
        </is>
      </c>
      <c r="C19" s="29" t="inlineStr">
        <is>
          <t>Traducción jurada</t>
        </is>
      </c>
      <c r="D19" s="29" t="inlineStr">
        <is>
          <t>Yeminli çevirmenin yaptığı resmî İspanyolca çeviri. İspanya'nın İstanbul Başkonsolosluğu, uzaktan çalışma (teletrabajo) vizesi başvurusunda başka dilde yazılmış belgelerin yeminli çeviriyle birlikte verilmesini ister.</t>
        </is>
      </c>
      <c r="E19" s="29" t="inlineStr">
        <is>
          <t>malaga:kaynak:008</t>
        </is>
      </c>
      <c r="F19" s="49" t="n">
        <v>46322</v>
      </c>
      <c r="G19" s="51" t="n">
        <v>12</v>
      </c>
      <c r="H19" s="29" t="inlineStr">
        <is>
          <t>Taslak</t>
        </is>
      </c>
    </row>
    <row r="20" ht="54" customHeight="1">
      <c r="A20" s="29" t="inlineStr">
        <is>
          <t>malaga:term:013</t>
        </is>
      </c>
      <c r="B20" s="29" t="inlineStr">
        <is>
          <t>malaga</t>
        </is>
      </c>
      <c r="C20" s="29" t="inlineStr">
        <is>
          <t>Libro de familia</t>
        </is>
      </c>
      <c r="D20" s="29" t="inlineStr">
        <is>
          <t>İspanya'da aile cüzdanı. Soybağını göstermek için libro de familia ya da Registro Civil'den alınan doğum belgesi sunulur; ikisi alternatiftir. Ör. Ingreso Mínimo Vital başvurusunda belge listesinde böyle sayılır.</t>
        </is>
      </c>
      <c r="E20" s="29" t="inlineStr">
        <is>
          <t>malaga:kaynak:106</t>
        </is>
      </c>
      <c r="F20" s="49" t="n">
        <v>46322</v>
      </c>
      <c r="G20" s="51" t="n">
        <v>13</v>
      </c>
      <c r="H20" s="29" t="inlineStr">
        <is>
          <t>Taslak</t>
        </is>
      </c>
    </row>
    <row r="21" ht="54" customHeight="1">
      <c r="A21" s="29" t="inlineStr">
        <is>
          <t>malaga:term:014</t>
        </is>
      </c>
      <c r="B21" s="29" t="inlineStr">
        <is>
          <t>malaga</t>
        </is>
      </c>
      <c r="C21" s="29" t="inlineStr">
        <is>
          <t>Registro Civil</t>
        </is>
      </c>
      <c r="D21" s="29" t="inlineStr">
        <is>
          <t>Kişinin medeni hâline ilişkin olayların (doğum, soybağı, ad ve soyadı ile değişiklikleri gibi) kaydedildiği sicil. Registro Civil'in verdiği belgeler ücretsizdir.</t>
        </is>
      </c>
      <c r="E21" s="29" t="inlineStr">
        <is>
          <t>malaga:kaynak:029</t>
        </is>
      </c>
      <c r="F21" s="49" t="n">
        <v>46322</v>
      </c>
      <c r="G21" s="51" t="n">
        <v>14</v>
      </c>
      <c r="H21" s="29" t="inlineStr">
        <is>
          <t>Taslak</t>
        </is>
      </c>
    </row>
    <row r="22" ht="54" customHeight="1">
      <c r="A22" s="29" t="inlineStr">
        <is>
          <t>malaga:term:015</t>
        </is>
      </c>
      <c r="B22" s="29" t="inlineStr">
        <is>
          <t>malaga</t>
        </is>
      </c>
      <c r="C22" s="29" t="inlineStr">
        <is>
          <t>NUSS / NAF (Seguridad Social numarası)</t>
        </is>
      </c>
      <c r="D22" s="29" t="inlineStr">
        <is>
          <t>Sosyal güvenlik numarası; Número de la Seguridad Social (NUSS) ya da Número de Afiliación (NAF) diye anılır ve kişiyi Seguridad Social'da tanıtır. Ev işçisi kaydı gibi işlemlerde istenir.</t>
        </is>
      </c>
      <c r="E22" s="29" t="inlineStr">
        <is>
          <t>malaga:kaynak:093;malaga:kaynak:019</t>
        </is>
      </c>
      <c r="F22" s="49" t="n">
        <v>46322</v>
      </c>
      <c r="G22" s="51" t="n">
        <v>15</v>
      </c>
      <c r="H22" s="29" t="inlineStr">
        <is>
          <t>Taslak</t>
        </is>
      </c>
    </row>
    <row r="23" ht="54" customHeight="1">
      <c r="A23" s="29" t="inlineStr">
        <is>
          <t>malaga:term:016</t>
        </is>
      </c>
      <c r="B23" s="29" t="inlineStr">
        <is>
          <t>malaga</t>
        </is>
      </c>
      <c r="C23" s="29" t="inlineStr">
        <is>
          <t>Vida laboral</t>
        </is>
      </c>
      <c r="D23" s="29" t="inlineStr">
        <is>
          <t>Sosyal güvenlik rejimlerindeki tüm alta (kayıt) ve baja (kayıt sonu) durumlarını ve kayıtlı kalınan gün sayısını gösteren rapor (Informe de vida laboral). Seguridad Social'ın internet hizmetinden sorgulanır.</t>
        </is>
      </c>
      <c r="E23" s="29" t="inlineStr">
        <is>
          <t>malaga:kaynak:020</t>
        </is>
      </c>
      <c r="F23" s="49" t="n">
        <v>46322</v>
      </c>
      <c r="G23" s="51" t="n">
        <v>16</v>
      </c>
      <c r="H23" s="29" t="inlineStr">
        <is>
          <t>Taslak</t>
        </is>
      </c>
    </row>
    <row r="24" ht="54" customHeight="1">
      <c r="A24" s="29" t="inlineStr">
        <is>
          <t>malaga:term:017</t>
        </is>
      </c>
      <c r="B24" s="29" t="inlineStr">
        <is>
          <t>malaga</t>
        </is>
      </c>
      <c r="C24" s="29" t="inlineStr">
        <is>
          <t>NIF (número de identificación fiscal)</t>
        </is>
      </c>
      <c r="D24" s="29" t="inlineStr">
        <is>
          <t>Vergi kimlik numarası. Vergi açısından önem taşıyan işlem yapan gerçek kişinin NIF'i olmalıdır; genelde DNI ya da NIE ile aynıdır.</t>
        </is>
      </c>
      <c r="E24" s="29" t="inlineStr">
        <is>
          <t>malaga:kaynak:021</t>
        </is>
      </c>
      <c r="F24" s="49" t="n">
        <v>46322</v>
      </c>
      <c r="G24" s="51" t="n">
        <v>17</v>
      </c>
      <c r="H24" s="29" t="inlineStr">
        <is>
          <t>Taslak</t>
        </is>
      </c>
    </row>
    <row r="25" ht="54" customHeight="1">
      <c r="A25" s="29" t="inlineStr">
        <is>
          <t>malaga:term:018</t>
        </is>
      </c>
      <c r="B25" s="29" t="inlineStr">
        <is>
          <t>malaga</t>
        </is>
      </c>
      <c r="C25" s="29" t="inlineStr">
        <is>
          <t>Autónomo</t>
        </is>
      </c>
      <c r="D25" s="29" t="inlineStr">
        <is>
          <t>Kendi hesabına çalışan serbest çalışan. Autónomo olarak Seguridad Social'a kayıt, kendi işini başlatmanın ilk adımıdır ve Importass uygulamasıyla cep telefonundan yapılabilir.</t>
        </is>
      </c>
      <c r="E25" s="29" t="inlineStr">
        <is>
          <t>malaga:kaynak:064</t>
        </is>
      </c>
      <c r="F25" s="49" t="n">
        <v>46322</v>
      </c>
      <c r="G25" s="51" t="n">
        <v>18</v>
      </c>
      <c r="H25" s="29" t="inlineStr">
        <is>
          <t>Taslak</t>
        </is>
      </c>
    </row>
    <row r="26" ht="54" customHeight="1">
      <c r="A26" s="29" t="inlineStr">
        <is>
          <t>malaga:term:019</t>
        </is>
      </c>
      <c r="B26" s="29" t="inlineStr">
        <is>
          <t>malaga</t>
        </is>
      </c>
      <c r="C26" s="29" t="inlineStr">
        <is>
          <t>IAE (Impuesto de Actividades Económicas)</t>
        </is>
      </c>
      <c r="D26" s="29" t="inlineStr">
        <is>
          <t>Ekonomik faaliyetler vergisi. Autónomo olarak Seguridad Social'a kayıttan önce bu vergiye kayıt gerekir; işlem Agencia Tributaria ya da oturulan yere göre Agencias Forales'te yapılır.</t>
        </is>
      </c>
      <c r="E26" s="29" t="inlineStr">
        <is>
          <t>malaga:kaynak:064</t>
        </is>
      </c>
      <c r="F26" s="49" t="n">
        <v>46322</v>
      </c>
      <c r="G26" s="51" t="n">
        <v>19</v>
      </c>
      <c r="H26" s="29" t="inlineStr">
        <is>
          <t>Taslak</t>
        </is>
      </c>
    </row>
    <row r="27" ht="54" customHeight="1">
      <c r="A27" s="29" t="inlineStr">
        <is>
          <t>malaga:term:020</t>
        </is>
      </c>
      <c r="B27" s="29" t="inlineStr">
        <is>
          <t>malaga</t>
        </is>
      </c>
      <c r="C27" s="29" t="inlineStr">
        <is>
          <t>Mutua (mutua aseguradora)</t>
        </is>
      </c>
      <c r="D27" s="29" t="inlineStr">
        <is>
          <t>Autónomo kaydında seçilen ve çalışanın sosyal güvenlik kapsamının yönetimini üstlenen sigorta kuruluşu.</t>
        </is>
      </c>
      <c r="E27" s="29" t="inlineStr">
        <is>
          <t>malaga:kaynak:064</t>
        </is>
      </c>
      <c r="F27" s="49" t="n">
        <v>46322</v>
      </c>
      <c r="G27" s="51" t="n">
        <v>20</v>
      </c>
      <c r="H27" s="29" t="inlineStr">
        <is>
          <t>Taslak</t>
        </is>
      </c>
    </row>
    <row r="28" ht="54" customHeight="1">
      <c r="A28" s="29" t="inlineStr">
        <is>
          <t>malaga:term:021</t>
        </is>
      </c>
      <c r="B28" s="29" t="inlineStr">
        <is>
          <t>malaga</t>
        </is>
      </c>
      <c r="C28" s="29" t="inlineStr">
        <is>
          <t>SEPE (Servicio Público de Empleo Estatal)</t>
        </is>
      </c>
      <c r="D28" s="29" t="inlineStr">
        <is>
          <t>Devlet istihdam kurumu; işsizlik ödeneklerinin yönetimi ve denetimini yürütür. Denizciler Özel Sosyal Güvenlik Rejimi kapsamındaki çalışanların işsizlik ödeneklerinin yönetimini ise Instituto Social de la Marina yapar.</t>
        </is>
      </c>
      <c r="E28" s="29" t="inlineStr">
        <is>
          <t>malaga:kaynak:061</t>
        </is>
      </c>
      <c r="F28" s="49" t="n">
        <v>46322</v>
      </c>
      <c r="G28" s="51" t="n">
        <v>21</v>
      </c>
      <c r="H28" s="29" t="inlineStr">
        <is>
          <t>Taslak</t>
        </is>
      </c>
    </row>
    <row r="29" ht="54" customHeight="1">
      <c r="A29" s="29" t="inlineStr">
        <is>
          <t>malaga:term:022</t>
        </is>
      </c>
      <c r="B29" s="29" t="inlineStr">
        <is>
          <t>malaga</t>
        </is>
      </c>
      <c r="C29" s="29" t="inlineStr">
        <is>
          <t>Cl@ve</t>
        </is>
      </c>
      <c r="D29" s="29" t="inlineStr">
        <is>
          <t>Kamu kurumlarında internetten kimlik doğrulama sistemi. Kayıt internetten davet mektubu istenerek (CSV) ya da dijital imzayla (sertifika veya elektronik DNI) yapılabilir; uygulamayla videoyla kimlik doğrulama şu an yalnız geçerli DNI'si olan İspanyol vatandaşları içindir. Diğerleri yetkili bir kayıt ofisine gider.</t>
        </is>
      </c>
      <c r="E29" s="29" t="inlineStr">
        <is>
          <t>malaga:kaynak:248</t>
        </is>
      </c>
      <c r="F29" s="49" t="n">
        <v>46322</v>
      </c>
      <c r="G29" s="51" t="n">
        <v>22</v>
      </c>
      <c r="H29" s="29" t="inlineStr">
        <is>
          <t>Taslak</t>
        </is>
      </c>
    </row>
    <row r="30" ht="54" customHeight="1">
      <c r="A30" s="29" t="inlineStr">
        <is>
          <t>malaga:term:023</t>
        </is>
      </c>
      <c r="B30" s="29" t="inlineStr">
        <is>
          <t>malaga</t>
        </is>
      </c>
      <c r="C30" s="29" t="inlineStr">
        <is>
          <t>IBI (Impuesto sobre Bienes Inmuebles)</t>
        </is>
      </c>
      <c r="D30" s="29" t="inlineStr">
        <is>
          <t>Taşınmaz (gayrimenkul) vergisi; taşınmazın değerine konan doğrudan vergi. Ödenecek tutar taşınmazın valor catastral değerinden hesaplanır.</t>
        </is>
      </c>
      <c r="E30" s="29" t="inlineStr">
        <is>
          <t>malaga:kaynak:175</t>
        </is>
      </c>
      <c r="F30" s="49" t="n">
        <v>46322</v>
      </c>
      <c r="G30" s="51" t="n">
        <v>23</v>
      </c>
      <c r="H30" s="29" t="inlineStr">
        <is>
          <t>Taslak</t>
        </is>
      </c>
    </row>
    <row r="31" ht="54" customHeight="1">
      <c r="A31" s="29" t="inlineStr">
        <is>
          <t>malaga:term:024</t>
        </is>
      </c>
      <c r="B31" s="29" t="inlineStr">
        <is>
          <t>malaga</t>
        </is>
      </c>
      <c r="C31" s="29" t="inlineStr">
        <is>
          <t>Valor catastral</t>
        </is>
      </c>
      <c r="D31" s="29" t="inlineStr">
        <is>
          <t>Taşınmazın kadastro değeri; IBI'nin vergi matrahıdır. Dirección General del Catastro belirler ve arsa ile (varsa) yapı değerinden oluşur.</t>
        </is>
      </c>
      <c r="E31" s="29" t="inlineStr">
        <is>
          <t>malaga:kaynak:175</t>
        </is>
      </c>
      <c r="F31" s="49" t="n">
        <v>46322</v>
      </c>
      <c r="G31" s="51" t="n">
        <v>24</v>
      </c>
      <c r="H31" s="29" t="inlineStr">
        <is>
          <t>Taslak</t>
        </is>
      </c>
    </row>
    <row r="32" ht="54" customHeight="1">
      <c r="A32" s="29" t="inlineStr">
        <is>
          <t>malaga:term:025</t>
        </is>
      </c>
      <c r="B32" s="29" t="inlineStr">
        <is>
          <t>malaga</t>
        </is>
      </c>
      <c r="C32" s="29" t="inlineStr">
        <is>
          <t>Plusvalía (IIVTNU)</t>
        </is>
      </c>
      <c r="D32" s="29" t="inlineStr">
        <is>
          <t>Impuesto sobre el Incremento del Valor de los Terrenos de Naturaleza Urbana: kentsel arsanın değer artışına konan vergi; taşınmaz devrinde gündeme gelir. Málaga'da bu hizmet için randevu (cita previa) şarttır.</t>
        </is>
      </c>
      <c r="E32" s="29" t="inlineStr">
        <is>
          <t>malaga:kaynak:179;malaga:kaynak:242</t>
        </is>
      </c>
      <c r="F32" s="49" t="n">
        <v>46322</v>
      </c>
      <c r="G32" s="51" t="n">
        <v>25</v>
      </c>
      <c r="H32" s="29" t="inlineStr">
        <is>
          <t>Taslak</t>
        </is>
      </c>
    </row>
    <row r="33" ht="54" customHeight="1">
      <c r="A33" s="29" t="inlineStr">
        <is>
          <t>malaga:term:026</t>
        </is>
      </c>
      <c r="B33" s="29" t="inlineStr">
        <is>
          <t>malaga</t>
        </is>
      </c>
      <c r="C33" s="29" t="inlineStr">
        <is>
          <t>IVTM (Impuesto sobre Vehículos de Tracción Mecánica)</t>
        </is>
      </c>
      <c r="D33" s="29" t="inlineStr">
        <is>
          <t>Taşıt vergisi; yolda kullanılabilen araçların sahipliğine konan vergi. Araç sahipleri karşılaşır.</t>
        </is>
      </c>
      <c r="E33" s="29" t="inlineStr">
        <is>
          <t>malaga:kaynak:176</t>
        </is>
      </c>
      <c r="F33" s="49" t="n">
        <v>46322</v>
      </c>
      <c r="G33" s="51" t="n">
        <v>26</v>
      </c>
      <c r="H33" s="29" t="inlineStr">
        <is>
          <t>Taslak</t>
        </is>
      </c>
    </row>
    <row r="34" ht="54" customHeight="1">
      <c r="A34" s="29" t="inlineStr">
        <is>
          <t>malaga:term:027</t>
        </is>
      </c>
      <c r="B34" s="29" t="inlineStr">
        <is>
          <t>malaga</t>
        </is>
      </c>
      <c r="C34" s="29" t="inlineStr">
        <is>
          <t>IVA (KDV)</t>
        </is>
      </c>
      <c r="D34" s="29" t="inlineStr">
        <is>
          <t>Katma değer vergisi. Genel oran yüzde 21, indirimli oranlar yüzde 10 ve yüzde 4'tür; bazı işlemlere yüzde 0 uygulanır.</t>
        </is>
      </c>
      <c r="E34" s="29" t="inlineStr">
        <is>
          <t>malaga:kaynak:040</t>
        </is>
      </c>
      <c r="F34" s="49" t="n">
        <v>46322</v>
      </c>
      <c r="G34" s="51" t="n">
        <v>27</v>
      </c>
      <c r="H34" s="29" t="inlineStr">
        <is>
          <t>Taslak</t>
        </is>
      </c>
    </row>
    <row r="35" ht="54" customHeight="1">
      <c r="A35" s="29" t="inlineStr">
        <is>
          <t>malaga:term:028</t>
        </is>
      </c>
      <c r="B35" s="29" t="inlineStr">
        <is>
          <t>malaga</t>
        </is>
      </c>
      <c r="C35" s="29" t="inlineStr">
        <is>
          <t>Declaración de la Renta (IRPF)</t>
        </is>
      </c>
      <c r="D35" s="29" t="inlineStr">
        <is>
          <t>Yıllık kişisel gelir vergisi beyanı; halk arasında Renta denir. 2025 yılı gelirleri için taslak (borrador) ve beyan 8 Nisan - 30 Haziran 2026 arasında verilir. Agencia Tributaria, belirli gelir türleri ve sınırlar içinde kalan mükelleflerin beyanını randevuyla hazırlar.</t>
        </is>
      </c>
      <c r="E35" s="29" t="inlineStr">
        <is>
          <t>malaga:kaynak:181;malaga:kaynak:042</t>
        </is>
      </c>
      <c r="F35" s="49" t="n">
        <v>46322</v>
      </c>
      <c r="G35" s="51" t="n">
        <v>28</v>
      </c>
      <c r="H35" s="29" t="inlineStr">
        <is>
          <t>Taslak</t>
        </is>
      </c>
    </row>
    <row r="36" ht="54" customHeight="1">
      <c r="A36" s="29" t="inlineStr">
        <is>
          <t>malaga:term:029</t>
        </is>
      </c>
      <c r="B36" s="29" t="inlineStr">
        <is>
          <t>malaga</t>
        </is>
      </c>
      <c r="C36" s="29" t="inlineStr">
        <is>
          <t>Tarjeta sanitaria</t>
        </is>
      </c>
      <c r="D36" s="29" t="inlineStr">
        <is>
          <t>Andalucía'da kişiyi Servicio Andaluz de Salud karşısında tek tek tanıtan sağlık kartı. İlk kez isteyen kişi sağlık merkezine (centro de salud) başvurur.</t>
        </is>
      </c>
      <c r="E36" s="29" t="inlineStr">
        <is>
          <t>malaga:kaynak:188;malaga:kaynak:128</t>
        </is>
      </c>
      <c r="F36" s="49" t="n">
        <v>46322</v>
      </c>
      <c r="G36" s="51" t="n">
        <v>29</v>
      </c>
      <c r="H36" s="29" t="inlineStr">
        <is>
          <t>Taslak</t>
        </is>
      </c>
    </row>
    <row r="37" ht="54" customHeight="1">
      <c r="A37" s="29" t="inlineStr">
        <is>
          <t>malaga:term:030</t>
        </is>
      </c>
      <c r="B37" s="29" t="inlineStr">
        <is>
          <t>malaga</t>
        </is>
      </c>
      <c r="C37" s="29" t="inlineStr">
        <is>
          <t>Centro de salud</t>
        </is>
      </c>
      <c r="D37" s="29" t="inlineStr">
        <is>
          <t>Birinci basamak sağlık merkezi (centro de atención primaria). Sağlık kartı ilk kez burada istenir; adres değişirse sağlık merkezi de değiştirilebilir.</t>
        </is>
      </c>
      <c r="E37" s="29" t="inlineStr">
        <is>
          <t>malaga:kaynak:128;malaga:kaynak:129</t>
        </is>
      </c>
      <c r="F37" s="49" t="n">
        <v>46322</v>
      </c>
      <c r="G37" s="51" t="n">
        <v>30</v>
      </c>
      <c r="H37" s="29" t="inlineStr">
        <is>
          <t>Taslak</t>
        </is>
      </c>
    </row>
    <row r="38" ht="54" customHeight="1">
      <c r="A38" s="29" t="inlineStr">
        <is>
          <t>malaga:term:031</t>
        </is>
      </c>
      <c r="B38" s="29" t="inlineStr">
        <is>
          <t>malaga</t>
        </is>
      </c>
      <c r="C38" s="29" t="inlineStr">
        <is>
          <t>SAS (Servicio Andaluz de Salud)</t>
        </is>
      </c>
      <c r="D38" s="29" t="inlineStr">
        <is>
          <t>Andalucía bölgesinin kamu sağlık hizmeti kurumu. Sağlık kartı (tarjeta sanitaria), kullanıcıyı SAS karşısında bireysel olarak tanıtan belgedir; acil ve ivedi sağlık hizmetleri ağı da SAS'a bağlıdır.</t>
        </is>
      </c>
      <c r="E38" s="29" t="inlineStr">
        <is>
          <t>malaga:kaynak:194;malaga:kaynak:188</t>
        </is>
      </c>
      <c r="F38" s="49" t="n">
        <v>46322</v>
      </c>
      <c r="G38" s="51" t="n">
        <v>31</v>
      </c>
      <c r="H38" s="29" t="inlineStr">
        <is>
          <t>Taslak</t>
        </is>
      </c>
    </row>
    <row r="39" ht="54" customHeight="1">
      <c r="A39" s="29" t="inlineStr">
        <is>
          <t>malaga:term:032</t>
        </is>
      </c>
      <c r="B39" s="29" t="inlineStr">
        <is>
          <t>malaga</t>
        </is>
      </c>
      <c r="C39" s="29" t="inlineStr">
        <is>
          <t>Salud Responde</t>
        </is>
      </c>
      <c r="D39" s="29" t="inlineStr">
        <is>
          <t>SAS'ın telefon hattı ve mobil uygulamasıyla çok kanallı sunduğu sağlık hizmeti. Bilgi ve idari-sağlık işlemleri için günün 24 saati, yılın her günü ulaşılır; uygulamasıyla birinci basamak randevusu alınır.</t>
        </is>
      </c>
      <c r="E39" s="29" t="inlineStr">
        <is>
          <t>malaga:kaynak:265;malaga:kaynak:193;malaga:kaynak:192</t>
        </is>
      </c>
      <c r="F39" s="49" t="n">
        <v>46322</v>
      </c>
      <c r="G39" s="51" t="n">
        <v>32</v>
      </c>
      <c r="H39" s="29" t="inlineStr">
        <is>
          <t>Taslak</t>
        </is>
      </c>
    </row>
    <row r="40" ht="54" customHeight="1">
      <c r="A40" s="29" t="inlineStr">
        <is>
          <t>malaga:term:033</t>
        </is>
      </c>
      <c r="B40" s="29" t="inlineStr">
        <is>
          <t>malaga</t>
        </is>
      </c>
      <c r="C40" s="29" t="inlineStr">
        <is>
          <t>ClicSalud+</t>
        </is>
      </c>
      <c r="D40" s="29" t="inlineStr">
        <is>
          <t>SAS'ın internet hizmeti; kişisel verilerle ya da certificado digital, DNIe veya Cl@ve ile kimlik doğrulayıp birinci basamak randevusu alınır.</t>
        </is>
      </c>
      <c r="E40" s="29" t="inlineStr">
        <is>
          <t>malaga:kaynak:192</t>
        </is>
      </c>
      <c r="F40" s="49" t="n">
        <v>46322</v>
      </c>
      <c r="G40" s="51" t="n">
        <v>33</v>
      </c>
      <c r="H40" s="29" t="inlineStr">
        <is>
          <t>Taslak</t>
        </is>
      </c>
    </row>
    <row r="41" ht="54" customHeight="1">
      <c r="A41" s="29" t="inlineStr">
        <is>
          <t>malaga:term:034</t>
        </is>
      </c>
      <c r="B41" s="29" t="inlineStr">
        <is>
          <t>malaga</t>
        </is>
      </c>
      <c r="C41" s="29" t="inlineStr">
        <is>
          <t>112 (acil durum numarası, CECEM)</t>
        </is>
      </c>
      <c r="D41" s="29" t="inlineStr">
        <is>
          <t>Andalucía'da sağlık, yangın söndürme ve kurtarma, kamu güvenliği ve sivil koruma acil durumları için tek ve ücretsiz acil durum numarası. Centro de Coordinación de Emergencias (CECEM 112 Andalucía) kesintisiz yanıt verir.</t>
        </is>
      </c>
      <c r="E41" s="29" t="inlineStr">
        <is>
          <t>malaga:kaynak:264</t>
        </is>
      </c>
      <c r="F41" s="49" t="n">
        <v>46322</v>
      </c>
      <c r="G41" s="51" t="n">
        <v>34</v>
      </c>
      <c r="H41" s="29" t="inlineStr">
        <is>
          <t>Taslak</t>
        </is>
      </c>
    </row>
    <row r="42" ht="54" customHeight="1">
      <c r="A42" s="29" t="inlineStr">
        <is>
          <t>malaga:term:035</t>
        </is>
      </c>
      <c r="B42" s="29" t="inlineStr">
        <is>
          <t>malaga</t>
        </is>
      </c>
      <c r="C42" s="29" t="inlineStr">
        <is>
          <t>Bono social (elektrik indirimi)</t>
        </is>
      </c>
      <c r="D42" s="29" t="inlineStr">
        <is>
          <t>Hükümetin belirlediği, ekonomik ya da sosyal açıdan daha savunmasız tüketicilere elektrik faturasında uygulanan indirim. İndirim, PVPC tarifesi üzerinden belirli bir enerji sınırına kadar işler.</t>
        </is>
      </c>
      <c r="E42" s="29" t="inlineStr">
        <is>
          <t>malaga:kaynak:173</t>
        </is>
      </c>
      <c r="F42" s="49" t="n">
        <v>46322</v>
      </c>
      <c r="G42" s="51" t="n">
        <v>35</v>
      </c>
      <c r="H42" s="29" t="inlineStr">
        <is>
          <t>Taslak</t>
        </is>
      </c>
    </row>
    <row r="43" ht="54" customHeight="1">
      <c r="A43" s="29" t="inlineStr">
        <is>
          <t>malaga:term:036</t>
        </is>
      </c>
      <c r="B43" s="29" t="inlineStr">
        <is>
          <t>malaga</t>
        </is>
      </c>
      <c r="C43" s="29" t="inlineStr">
        <is>
          <t>PVPC (precio voluntario para el pequeño consumidor)</t>
        </is>
      </c>
      <c r="D43" s="29" t="inlineStr">
        <is>
          <t>Küçük tüketici için gönüllü fiyat; elektrik faturasında bono social indiriminin uygulandığı tarife.</t>
        </is>
      </c>
      <c r="E43" s="29" t="inlineStr">
        <is>
          <t>malaga:kaynak:173</t>
        </is>
      </c>
      <c r="F43" s="49" t="n">
        <v>46322</v>
      </c>
      <c r="G43" s="51" t="n">
        <v>36</v>
      </c>
      <c r="H43" s="29" t="inlineStr">
        <is>
          <t>Taslak</t>
        </is>
      </c>
    </row>
    <row r="44" ht="54" customHeight="1">
      <c r="A44" s="29" t="inlineStr">
        <is>
          <t>malaga:term:037</t>
        </is>
      </c>
      <c r="B44" s="29" t="inlineStr">
        <is>
          <t>malaga</t>
        </is>
      </c>
      <c r="C44" s="29" t="inlineStr">
        <is>
          <t>EMASA (Empresa Municipal de Aguas)</t>
        </is>
      </c>
      <c r="D44" s="29" t="inlineStr">
        <is>
          <t>Belediye su şirketi; su temini (abastecimiento), kanalizasyon (saneamiento) ve arıtma (depuración) hizmetlerinin ve tarifelerinin bağlı olduğu kuruluş. Su faturası ve Fondo Social bu kuruluşla ilgilidir.</t>
        </is>
      </c>
      <c r="E44" s="29" t="inlineStr">
        <is>
          <t>malaga:kaynak:164</t>
        </is>
      </c>
      <c r="F44" s="49" t="n">
        <v>46322</v>
      </c>
      <c r="G44" s="51" t="n">
        <v>37</v>
      </c>
      <c r="H44" s="29" t="inlineStr">
        <is>
          <t>Taslak</t>
        </is>
      </c>
    </row>
    <row r="45" ht="54" customHeight="1">
      <c r="A45" s="29" t="inlineStr">
        <is>
          <t>malaga:term:038</t>
        </is>
      </c>
      <c r="B45" s="29" t="inlineStr">
        <is>
          <t>malaga</t>
        </is>
      </c>
      <c r="C45" s="29" t="inlineStr">
        <is>
          <t>Fondo Social Emasa</t>
        </is>
      </c>
      <c r="D45" s="29" t="inlineStr">
        <is>
          <t>Emasa'nın, su faturasını ödemekte zorlanan haneler için sağladığı yardım. Başvuran 18 yaşından büyük olmalı, geçerli DNI ya da NIE'ye sahip olmalı, Málaga belediyesinde kayıtlı olmalı ve konutun su ya da kanalizasyon sözleşmesinin sahibi olmalıdır. Bunlara ek olarak Servicios Sociales'in sosyal ve ekonomik kırılganlık durumunu tanımış olması, son yardımın onayından bu yana 1 yıl geçmiş olması, Emasa'ya başka borcunun olmaması (borcu varsa ödeme anlaşması yapmış olması) ve önceki ödeme anlaşmalarını bozmamış olması gerekir.</t>
        </is>
      </c>
      <c r="E45" s="29" t="inlineStr">
        <is>
          <t>malaga:kaynak:162</t>
        </is>
      </c>
      <c r="F45" s="49" t="n">
        <v>46322</v>
      </c>
      <c r="G45" s="51" t="n">
        <v>38</v>
      </c>
      <c r="H45" s="29" t="inlineStr">
        <is>
          <t>Taslak</t>
        </is>
      </c>
    </row>
    <row r="46" ht="54" customHeight="1">
      <c r="A46" s="29" t="inlineStr">
        <is>
          <t>malaga:term:039</t>
        </is>
      </c>
      <c r="B46" s="29" t="inlineStr">
        <is>
          <t>malaga</t>
        </is>
      </c>
      <c r="C46" s="29" t="inlineStr">
        <is>
          <t>Punto limpio</t>
        </is>
      </c>
      <c r="D46" s="29" t="inlineStr">
        <is>
          <t>Konut atıklarının kabul edildiği belediye atık merkezi. Normal çöp konteynerlerine uygun olmayan atıklar burada ayrıştırılır ve geçici olarak depolanır; yalnız evsel atık kabul edilir.</t>
        </is>
      </c>
      <c r="E46" s="29" t="inlineStr">
        <is>
          <t>malaga:kaynak:168</t>
        </is>
      </c>
      <c r="F46" s="49" t="n">
        <v>46322</v>
      </c>
      <c r="G46" s="51" t="n">
        <v>39</v>
      </c>
      <c r="H46" s="29" t="inlineStr">
        <is>
          <t>Taslak</t>
        </is>
      </c>
    </row>
    <row r="47" ht="54" customHeight="1">
      <c r="A47" s="29" t="inlineStr">
        <is>
          <t>malaga:term:040</t>
        </is>
      </c>
      <c r="B47" s="29" t="inlineStr">
        <is>
          <t>malaga</t>
        </is>
      </c>
      <c r="C47" s="29" t="inlineStr">
        <is>
          <t>Consorcio de Transporte Metropolitano del Área de Málaga</t>
        </is>
      </c>
      <c r="D47" s="29" t="inlineStr">
        <is>
          <t>Málaga çevresindeki metropoliten ulaşım otoritesi. Consorcio kartı ile Renfe Cercanías (C-1 ve C-2), otobüs ve Metro de Málaga arasında aktarma yapılabilir.</t>
        </is>
      </c>
      <c r="E47" s="29" t="inlineStr">
        <is>
          <t>malaga:kaynak:255;malaga:kaynak:230</t>
        </is>
      </c>
      <c r="F47" s="49" t="n">
        <v>46322</v>
      </c>
      <c r="G47" s="51" t="n">
        <v>40</v>
      </c>
      <c r="H47" s="29" t="inlineStr">
        <is>
          <t>Taslak</t>
        </is>
      </c>
    </row>
    <row r="48" ht="54" customHeight="1">
      <c r="A48" s="29" t="inlineStr">
        <is>
          <t>malaga:term:041</t>
        </is>
      </c>
      <c r="B48" s="29" t="inlineStr">
        <is>
          <t>malaga</t>
        </is>
      </c>
      <c r="C48" s="29" t="inlineStr">
        <is>
          <t>Tarjeta Consorcio (kişiye özel olmayan kart)</t>
        </is>
      </c>
      <c r="D48" s="29" t="inlineStr">
        <is>
          <t>Consorcio'ya bağlı, kişiye özel olmayan ulaşım kartı; elinde bulunduran herkes kullanabilir. EMT otobüslerinde kullanılır.</t>
        </is>
      </c>
      <c r="E48" s="29" t="inlineStr">
        <is>
          <t>malaga:kaynak:255</t>
        </is>
      </c>
      <c r="F48" s="49" t="n">
        <v>46322</v>
      </c>
      <c r="G48" s="51" t="n">
        <v>41</v>
      </c>
      <c r="H48" s="29" t="inlineStr">
        <is>
          <t>Taslak</t>
        </is>
      </c>
    </row>
    <row r="49" ht="54" customHeight="1">
      <c r="A49" s="29" t="inlineStr">
        <is>
          <t>malaga:term:042</t>
        </is>
      </c>
      <c r="B49" s="29" t="inlineStr">
        <is>
          <t>malaga</t>
        </is>
      </c>
      <c r="C49" s="29" t="inlineStr">
        <is>
          <t>Billete único</t>
        </is>
      </c>
      <c r="D49" s="29" t="inlineStr">
        <is>
          <t>Temassız çipli bir cüzdan kart; tek bilete göre daha yüksek indirim sağlar. Kart, kullanıcının en sık yaptığı yolculuk türüne göre kişiselleştirilir.</t>
        </is>
      </c>
      <c r="E49" s="29" t="inlineStr">
        <is>
          <t>malaga:kaynak:255</t>
        </is>
      </c>
      <c r="F49" s="49" t="n">
        <v>46322</v>
      </c>
      <c r="G49" s="51" t="n">
        <v>42</v>
      </c>
      <c r="H49" s="29" t="inlineStr">
        <is>
          <t>Taslak</t>
        </is>
      </c>
    </row>
    <row r="50" ht="54" customHeight="1">
      <c r="A50" s="29" t="inlineStr">
        <is>
          <t>malaga:term:043</t>
        </is>
      </c>
      <c r="B50" s="29" t="inlineStr">
        <is>
          <t>malaga</t>
        </is>
      </c>
      <c r="C50" s="29" t="inlineStr">
        <is>
          <t>EMT (Empresa Malagueña de Transportes)</t>
        </is>
      </c>
      <c r="D50" s="29" t="inlineStr">
        <is>
          <t>Málaga'nın şehir içi otobüs işletmesi. Otobüslerde temassız banka kartı ya da telefonla tek bilet ödenir; EMT Málaga uygulamasıyla NFC yüklemesi yapılabilir.</t>
        </is>
      </c>
      <c r="E50" s="29" t="inlineStr">
        <is>
          <t>malaga:kaynak:256;malaga:kaynak:227</t>
        </is>
      </c>
      <c r="F50" s="49" t="n">
        <v>46322</v>
      </c>
      <c r="G50" s="51" t="n">
        <v>43</v>
      </c>
      <c r="H50" s="29" t="inlineStr">
        <is>
          <t>Taslak</t>
        </is>
      </c>
    </row>
    <row r="51" ht="54" customHeight="1">
      <c r="A51" s="29" t="inlineStr">
        <is>
          <t>malaga:term:044</t>
        </is>
      </c>
      <c r="B51" s="29" t="inlineStr">
        <is>
          <t>malaga</t>
        </is>
      </c>
      <c r="C51" s="29" t="inlineStr">
        <is>
          <t>Metro Pay / Metro Pay Plus</t>
        </is>
      </c>
      <c r="D51" s="29" t="inlineStr">
        <is>
          <t>Metro de Málaga'da bilet almadan temassız banka kartıyla ödeme sistemi. Kayıt gerektirmeyen Metro Pay ile kayıt ve fiziksel banka kartı gerektiren, kademeli indirim sağlayan Metro Pay Plus seçenekleri vardır.</t>
        </is>
      </c>
      <c r="E51" s="29" t="inlineStr">
        <is>
          <t>malaga:kaynak:233</t>
        </is>
      </c>
      <c r="F51" s="49" t="n">
        <v>46322</v>
      </c>
      <c r="G51" s="51" t="n">
        <v>44</v>
      </c>
      <c r="H51" s="29" t="inlineStr">
        <is>
          <t>Taslak</t>
        </is>
      </c>
    </row>
    <row r="52" ht="54" customHeight="1">
      <c r="A52" s="29" t="inlineStr">
        <is>
          <t>malaga:term:045</t>
        </is>
      </c>
      <c r="B52" s="29" t="inlineStr">
        <is>
          <t>malaga</t>
        </is>
      </c>
      <c r="C52" s="29" t="inlineStr">
        <is>
          <t>Transbordo (EMT aktarması)</t>
        </is>
      </c>
      <c r="D52" s="29" t="inlineStr">
        <is>
          <t>EMT otobüslerinde, bus kartına 10, 20 ya da 30 seferlik Multiviajes yüklenmişse son biniş sonrası 1 saat içinde farklı hatlara istenilen sayıda binme olanağı veren, ücretsiz aktarma hizmeti. Tek bilet (billete ordinario) ve ORO kart ile geçerli değildir; aynı hatta geri biniş ve Havalimanı hattı kapsam dışıdır.</t>
        </is>
      </c>
      <c r="E52" s="29" t="inlineStr">
        <is>
          <t>malaga:kaynak:435</t>
        </is>
      </c>
      <c r="F52" s="49" t="n">
        <v>46322</v>
      </c>
      <c r="G52" s="51" t="n">
        <v>45</v>
      </c>
      <c r="H52" s="29" t="inlineStr">
        <is>
          <t>Taslak</t>
        </is>
      </c>
    </row>
    <row r="53" ht="54" customHeight="1">
      <c r="A53" s="29" t="inlineStr">
        <is>
          <t>malaga:term:046</t>
        </is>
      </c>
      <c r="B53" s="29" t="inlineStr">
        <is>
          <t>malaga</t>
        </is>
      </c>
      <c r="C53" s="29" t="inlineStr">
        <is>
          <t>Cercanías (Renfe)</t>
        </is>
      </c>
      <c r="D53" s="29" t="inlineStr">
        <is>
          <t>Renfe'nin banliyö treni. Málaga'da iki hat vardır: C-1 (Málaga-Fuengirola) ve C-2 (Málaga-Álora). Consorcio kartı bu hatlarda da geçerlidir.</t>
        </is>
      </c>
      <c r="E53" s="29" t="inlineStr">
        <is>
          <t>malaga:kaynak:230</t>
        </is>
      </c>
      <c r="F53" s="49" t="n">
        <v>46322</v>
      </c>
      <c r="G53" s="51" t="n">
        <v>46</v>
      </c>
      <c r="H53" s="29" t="inlineStr">
        <is>
          <t>Taslak</t>
        </is>
      </c>
    </row>
    <row r="54" ht="54" customHeight="1">
      <c r="A54" s="29" t="inlineStr">
        <is>
          <t>malaga:term:047</t>
        </is>
      </c>
      <c r="B54" s="29" t="inlineStr">
        <is>
          <t>malaga</t>
        </is>
      </c>
      <c r="C54" s="29" t="inlineStr">
        <is>
          <t>DGT (Dirección General de Tráfico)</t>
        </is>
      </c>
      <c r="D54" s="29" t="inlineStr">
        <is>
          <t>Trafik Genel Müdürlüğü; araç tescili ve sürücü belgesi işlemlerinin yürütüldüğü devlet kurumu. Hizmetini yerel ve il şubeleri aracılığıyla verir.</t>
        </is>
      </c>
      <c r="E54" s="29" t="inlineStr">
        <is>
          <t>malaga:kaynak:412;malaga:kaynak:032</t>
        </is>
      </c>
      <c r="F54" s="49" t="n">
        <v>46322</v>
      </c>
      <c r="G54" s="51" t="n">
        <v>47</v>
      </c>
      <c r="H54" s="29" t="inlineStr">
        <is>
          <t>Taslak</t>
        </is>
      </c>
    </row>
    <row r="55" ht="54" customHeight="1">
      <c r="A55" s="29" t="inlineStr">
        <is>
          <t>malaga:term:048</t>
        </is>
      </c>
      <c r="B55" s="29" t="inlineStr">
        <is>
          <t>malaga</t>
        </is>
      </c>
      <c r="C55" s="29" t="inlineStr">
        <is>
          <t>Canje del permiso de conducir</t>
        </is>
      </c>
      <c r="D55" s="29" t="inlineStr">
        <is>
          <t>Yabancı ülkede alınmış geçerli sürücü belgesinin, ülke ile anlaşma varsa ve idari şartlar sağlanırsa İspanyol belgesiyle değiştirilmesi. Orijinal belge her zaman teslim edilir; işlemi İspanya'da yaşayan kişi isteyebilir. Anlaşma imzalandıktan sonra, kişi zaten İspanya'da yasal yerleşikken alınmış yabancı belgeler değiştirilemez.</t>
        </is>
      </c>
      <c r="E55" s="29" t="inlineStr">
        <is>
          <t>malaga:kaynak:142</t>
        </is>
      </c>
      <c r="F55" s="49" t="n">
        <v>46322</v>
      </c>
      <c r="G55" s="51" t="n">
        <v>48</v>
      </c>
      <c r="H55" s="29" t="inlineStr">
        <is>
          <t>Taslak</t>
        </is>
      </c>
    </row>
    <row r="56" ht="54" customHeight="1">
      <c r="A56" s="29" t="inlineStr">
        <is>
          <t>malaga:term:049</t>
        </is>
      </c>
      <c r="B56" s="29" t="inlineStr">
        <is>
          <t>malaga</t>
        </is>
      </c>
      <c r="C56" s="29" t="inlineStr">
        <is>
          <t>Matriculación (araç tescili)</t>
        </is>
      </c>
      <c r="D56" s="29" t="inlineStr">
        <is>
          <t>Aracın tescili. Tescil, araçla yolda dolaşmanın ön koşuludur; DGT tescil işlemini en çok 3 ay içinde yapar, bu sürede yanıt gelmezse işlem yapılmamış sayılır.</t>
        </is>
      </c>
      <c r="E56" s="29" t="inlineStr">
        <is>
          <t>malaga:kaynak:032</t>
        </is>
      </c>
      <c r="F56" s="49" t="n">
        <v>46322</v>
      </c>
      <c r="G56" s="51" t="n">
        <v>49</v>
      </c>
      <c r="H56" s="29" t="inlineStr">
        <is>
          <t>Taslak</t>
        </is>
      </c>
    </row>
    <row r="57" ht="54" customHeight="1">
      <c r="A57" s="29" t="inlineStr">
        <is>
          <t>malaga:term:050</t>
        </is>
      </c>
      <c r="B57" s="29" t="inlineStr">
        <is>
          <t>malaga</t>
        </is>
      </c>
      <c r="C57" s="29" t="inlineStr">
        <is>
          <t>Zona de Bajas Emisiones (ZBE)</t>
        </is>
      </c>
      <c r="D57" s="29" t="inlineStr">
        <is>
          <t>Málaga'da hava kalitesini ve gürültüyü iyileştirmek için özel araç trafiğini azaltmayı amaçlayan, dolaşımın sınırlandırıldığı bölge; 404,03 hektarlık alanı kapsar. DGT çevre etiketini ayrıca edinmek zorunlu değildir; ancak bölgeye erişim aracın çevresel sınıflandırmasına göre denetlenir.</t>
        </is>
      </c>
      <c r="E57" s="29" t="inlineStr">
        <is>
          <t>malaga:kaynak:304</t>
        </is>
      </c>
      <c r="F57" s="49" t="n">
        <v>46322</v>
      </c>
      <c r="G57" s="51" t="n">
        <v>50</v>
      </c>
      <c r="H57" s="29" t="inlineStr">
        <is>
          <t>Taslak</t>
        </is>
      </c>
    </row>
    <row r="58" ht="54" customHeight="1">
      <c r="A58" s="29" t="inlineStr">
        <is>
          <t>malaga:term:051</t>
        </is>
      </c>
      <c r="B58" s="29" t="inlineStr">
        <is>
          <t>malaga</t>
        </is>
      </c>
      <c r="C58" s="29" t="inlineStr">
        <is>
          <t>Fianza (kira depozitosu)</t>
        </is>
      </c>
      <c r="D58" s="29" t="inlineStr">
        <is>
          <t>Kira sözleşmesinde kiracının ev sahibine nakit olarak bıraktığı depozito. Konut kirasında bir aylık kira tutarındadır.</t>
        </is>
      </c>
      <c r="E58" s="29" t="inlineStr">
        <is>
          <t>malaga:kaynak:150</t>
        </is>
      </c>
      <c r="F58" s="49" t="n">
        <v>46322</v>
      </c>
      <c r="G58" s="51" t="n">
        <v>51</v>
      </c>
      <c r="H58" s="29" t="inlineStr">
        <is>
          <t>Taslak</t>
        </is>
      </c>
    </row>
    <row r="59" ht="54" customHeight="1">
      <c r="A59" s="29" t="inlineStr">
        <is>
          <t>malaga:term:052</t>
        </is>
      </c>
      <c r="B59" s="29" t="inlineStr">
        <is>
          <t>malaga</t>
        </is>
      </c>
      <c r="C59" s="29" t="inlineStr">
        <is>
          <t>Contrato de arrendamiento (kira sözleşmesi)</t>
        </is>
      </c>
      <c r="D59" s="29" t="inlineStr">
        <is>
          <t>Kira sözleşmesi. Süresi taraflarca serbestçe belirlenir; 5 yıldan kısa sözleşme, gerçek kişi söz konusuysa 5 yıla, tüzel kişi söz konusuysa 7 yıla kadar uzatılabilir. Sözleşmede süre, fianza, kira bedeli, giderler ve sona erme biçimi açıkça yazılmalıdır.</t>
        </is>
      </c>
      <c r="E59" s="29" t="inlineStr">
        <is>
          <t>malaga:kaynak:150</t>
        </is>
      </c>
      <c r="F59" s="49" t="n">
        <v>46322</v>
      </c>
      <c r="G59" s="51" t="n">
        <v>52</v>
      </c>
      <c r="H59" s="29" t="inlineStr">
        <is>
          <t>Taslak</t>
        </is>
      </c>
    </row>
    <row r="60" ht="54" customHeight="1">
      <c r="A60" s="29" t="inlineStr">
        <is>
          <t>malaga:term:053</t>
        </is>
      </c>
      <c r="B60" s="29" t="inlineStr">
        <is>
          <t>malaga</t>
        </is>
      </c>
      <c r="C60" s="29" t="inlineStr">
        <is>
          <t>Nota simple (nota simple informativa)</t>
        </is>
      </c>
      <c r="D60" s="29" t="inlineStr">
        <is>
          <t>Registro de la Propiedad'dan alınan, taşınmazın kayıt durumunu gösteren özet bilgi belgesi. Konut turizmi bildirimine güncel hâli eklenir. İcra ihalesinde (subasta) mahkeme görevlisi de güncel kayıt durumunu kontrol etmek için güncel nota simple'ı resen isteyebilir.</t>
        </is>
      </c>
      <c r="E60" s="29" t="inlineStr">
        <is>
          <t>malaga:kaynak:157;malaga:kaynak:012</t>
        </is>
      </c>
      <c r="F60" s="49" t="n">
        <v>46322</v>
      </c>
      <c r="G60" s="51" t="n">
        <v>53</v>
      </c>
      <c r="H60" s="29" t="inlineStr">
        <is>
          <t>Taslak</t>
        </is>
      </c>
    </row>
    <row r="61" ht="54" customHeight="1">
      <c r="A61" s="29" t="inlineStr">
        <is>
          <t>malaga:term:054</t>
        </is>
      </c>
      <c r="B61" s="29" t="inlineStr">
        <is>
          <t>malaga</t>
        </is>
      </c>
      <c r="C61" s="29" t="inlineStr">
        <is>
          <t>Registro de Demandantes de Vivienda Protegida</t>
        </is>
      </c>
      <c r="D61" s="29" t="inlineStr">
        <is>
          <t>Belediyenin korumalı konut (vivienda protegida) talep edenler sicili. Belediyenin R12 Universidad kiralık konut kampanyasında (202 konut) başvuru için sicile başvurmuş olmak, başvuru tarihinde Málaga'da bir yıllık Padrón kaydı ve konutun kalıcı ikamet olması aranmıştı; başvuru süresi 13-31 Temmuz 2026'da bitti. Bu şartlar o kampanyaya özgüdür, sicilin genel şartı değildir.</t>
        </is>
      </c>
      <c r="E61" s="29" t="inlineStr">
        <is>
          <t>malaga:kaynak:147</t>
        </is>
      </c>
      <c r="F61" s="49" t="n">
        <v>46322</v>
      </c>
      <c r="G61" s="51" t="n">
        <v>54</v>
      </c>
      <c r="H61" s="29" t="inlineStr">
        <is>
          <t>Taslak</t>
        </is>
      </c>
    </row>
    <row r="62" ht="54" customHeight="1">
      <c r="A62" s="29" t="inlineStr">
        <is>
          <t>malaga:term:055</t>
        </is>
      </c>
      <c r="B62" s="29" t="inlineStr">
        <is>
          <t>malaga</t>
        </is>
      </c>
      <c r="C62" s="29" t="inlineStr">
        <is>
          <t>Libro del Edificio</t>
        </is>
      </c>
      <c r="D62" s="29" t="inlineStr">
        <is>
          <t>Bina kitabı: yapılan inşaatın çizim ve yazılı belgelerini bir araya getiren, binanın fiziksel ve teknik özelliklerinin bilinmesini sağlayan belge. Andalucía Konut Yasası'nın 31. maddesinde düzenlenir.</t>
        </is>
      </c>
      <c r="E62" s="29" t="inlineStr">
        <is>
          <t>malaga:kaynak:158</t>
        </is>
      </c>
      <c r="F62" s="49" t="n">
        <v>46322</v>
      </c>
      <c r="G62" s="51" t="n">
        <v>55</v>
      </c>
      <c r="H62" s="29" t="inlineStr">
        <is>
          <t>Taslak</t>
        </is>
      </c>
    </row>
    <row r="63" ht="54" customHeight="1">
      <c r="A63" s="29" t="inlineStr">
        <is>
          <t>malaga:term:056</t>
        </is>
      </c>
      <c r="B63" s="29" t="inlineStr">
        <is>
          <t>malaga</t>
        </is>
      </c>
      <c r="C63" s="29" t="inlineStr">
        <is>
          <t>Ingreso Mínimo Vital (IMV)</t>
        </is>
      </c>
      <c r="D63" s="29" t="inlineStr">
        <is>
          <t>Yoksulluk ve sosyal dışlanma riskini önlemeyi amaçlayan, temel ihtiyaçlarını karşılayacak geliri olmayan kişilere yönelik Seguridad Social ödeneği. Başvuruda İspanya'daki adres certificado de empadronamiento ile, çocukla bağ libro de familia ya da doğum belgesiyle gösterilir.</t>
        </is>
      </c>
      <c r="E63" s="29" t="inlineStr">
        <is>
          <t>malaga:kaynak:106</t>
        </is>
      </c>
      <c r="F63" s="49" t="n">
        <v>46322</v>
      </c>
      <c r="G63" s="51" t="n">
        <v>56</v>
      </c>
      <c r="H63" s="29" t="inlineStr">
        <is>
          <t>Taslak</t>
        </is>
      </c>
    </row>
    <row r="64" ht="54" customHeight="1">
      <c r="A64" s="29" t="inlineStr">
        <is>
          <t>malaga:term:057</t>
        </is>
      </c>
      <c r="B64" s="29" t="inlineStr">
        <is>
          <t>malaga</t>
        </is>
      </c>
      <c r="C64" s="29" t="inlineStr">
        <is>
          <t>Escolarización (okula kayıt ve yerleştirme)</t>
        </is>
      </c>
      <c r="D64" s="29" t="inlineStr">
        <is>
          <t>Okula kayıt ve yerleştirme (admisión) süreci. Andalucía'da kamu ve anlaşmalı özel okullara Educación Infantil'in ikinci devresi, Educación Primaria, ESO ve Bachillerato için başvurular 1-31 Mart arasında alınır. 3 yaşını 31 Aralık'tan önce dolduran çocuk Infantil'in ikinci devresine, 6 yaşını 31 Aralık'tan önce dolduran Educación Primaria'ya başlar; Primaria için özel izin istisnası vardır.</t>
        </is>
      </c>
      <c r="E64" s="29" t="inlineStr">
        <is>
          <t>malaga:kaynak:136</t>
        </is>
      </c>
      <c r="F64" s="49" t="n">
        <v>46322</v>
      </c>
      <c r="G64" s="51" t="n">
        <v>57</v>
      </c>
      <c r="H64" s="29" t="inlineStr">
        <is>
          <t>Taslak</t>
        </is>
      </c>
    </row>
    <row r="65" ht="54" customHeight="1">
      <c r="A65" s="29" t="inlineStr">
        <is>
          <t>malaga:term:058</t>
        </is>
      </c>
      <c r="B65" s="29" t="inlineStr">
        <is>
          <t>malaga</t>
        </is>
      </c>
      <c r="C65" s="29" t="inlineStr">
        <is>
          <t>Beca (Eğitim Bakanlığı bursu)</t>
        </is>
      </c>
      <c r="D65" s="29" t="inlineStr">
        <is>
          <t>Eğitim Bakanlığı'nın öğrencilere verdiği burs. Başvuru tümüyle Bakanlığın elektronik ofisinden (sede electrónica) yapılır; genel, ekonomik ve akademik koşulların hepsinin sağlanması gerekir.</t>
        </is>
      </c>
      <c r="E65" s="29" t="inlineStr">
        <is>
          <t>malaga:kaynak:109;malaga:kaynak:108</t>
        </is>
      </c>
      <c r="F65" s="49" t="n">
        <v>46322</v>
      </c>
      <c r="G65" s="51" t="n">
        <v>58</v>
      </c>
      <c r="H65" s="29" t="inlineStr">
        <is>
          <t>Taslak</t>
        </is>
      </c>
    </row>
    <row r="66" ht="54" customHeight="1">
      <c r="A66" s="29" t="inlineStr">
        <is>
          <t>malaga:term:059</t>
        </is>
      </c>
      <c r="B66" s="29" t="inlineStr">
        <is>
          <t>malaga</t>
        </is>
      </c>
      <c r="C66" s="29" t="inlineStr">
        <is>
          <t>Homologación (yurt dışı diploma denkliği)</t>
        </is>
      </c>
      <c r="D66" s="29" t="inlineStr">
        <is>
          <t>Yurt dışında alınmış üniversite eğitiminin İspanya'da tanınması. Mevzuat homologación (denklik onayı), declaración de equivalencia ve convalidación yollarını ayrı ayrı düzenler.</t>
        </is>
      </c>
      <c r="E66" s="29" t="inlineStr">
        <is>
          <t>malaga:kaynak:066</t>
        </is>
      </c>
      <c r="F66" s="49" t="n">
        <v>46322</v>
      </c>
      <c r="G66" s="51" t="n">
        <v>59</v>
      </c>
      <c r="H66" s="29" t="inlineStr">
        <is>
          <t>Taslak</t>
        </is>
      </c>
    </row>
    <row r="67" ht="54" customHeight="1">
      <c r="A67" s="29" t="inlineStr">
        <is>
          <t>malaga:term:060</t>
        </is>
      </c>
      <c r="B67" s="29" t="inlineStr">
        <is>
          <t>malaga</t>
        </is>
      </c>
      <c r="C67" s="29" t="inlineStr">
        <is>
          <t>Arraigo</t>
        </is>
      </c>
      <c r="D67" s="29" t="inlineStr">
        <is>
          <t>İstisnai koşullarda verilen geçici oturum izninin bir türü. Segunda oportunidad, sociolaboral, social, socioformativo ve familiar alt türleri vardır. Arraigo familiar yalnız başka bir AB/AEA devleti ve İsviçre vatandaşlarının ebeveynleri içindir; İspanyol vatandaşının yakınları arraigo familiar dışında ayrı bir oturum statüsü olarak düzenlenir.</t>
        </is>
      </c>
      <c r="E67" s="29" t="inlineStr">
        <is>
          <t>malaga:kaynak:002;malaga:kaynak:005</t>
        </is>
      </c>
      <c r="F67" s="49" t="n">
        <v>46322</v>
      </c>
      <c r="G67" s="51" t="n">
        <v>60</v>
      </c>
      <c r="H67" s="29" t="inlineStr">
        <is>
          <t>Taslak</t>
        </is>
      </c>
    </row>
    <row r="68" ht="54" customHeight="1">
      <c r="A68" s="29" t="inlineStr">
        <is>
          <t>malaga:term:061</t>
        </is>
      </c>
      <c r="B68" s="29" t="inlineStr">
        <is>
          <t>malaga</t>
        </is>
      </c>
      <c r="C68" s="29" t="inlineStr">
        <is>
          <t>Visado de teletrabajo (dijital göçebe vizesi)</t>
        </is>
      </c>
      <c r="D68" s="29" t="inlineStr">
        <is>
          <t>Uluslararası uzaktan çalışma vizesi; dijital göçebeler için yaratılmış yeni vize ve oturum izni kategorisidir. Vize en çok bir yıl İspanya'ya girip kalmaya izin verir; vize sahibi bir yılı doldurunca en çok 3 yıllık (2 yıl yenilenebilir) oturum izni isteyebilir ve 5. yılda kalıcı oturum alabilir.</t>
        </is>
      </c>
      <c r="E68" s="29" t="inlineStr">
        <is>
          <t>malaga:kaynak:143</t>
        </is>
      </c>
      <c r="F68" s="49" t="n">
        <v>46322</v>
      </c>
      <c r="G68" s="51" t="n">
        <v>61</v>
      </c>
      <c r="H68" s="29" t="inlineStr">
        <is>
          <t>Taslak</t>
        </is>
      </c>
    </row>
    <row r="69" ht="54" customHeight="1">
      <c r="A69" s="29" t="inlineStr">
        <is>
          <t>malaga:term:062</t>
        </is>
      </c>
      <c r="B69" s="29" t="inlineStr">
        <is>
          <t>malaga</t>
        </is>
      </c>
      <c r="C69" s="29" t="inlineStr">
        <is>
          <t>PAE (Punto de Atención al Emprendedor)</t>
        </is>
      </c>
      <c r="D69" s="29" t="inlineStr">
        <is>
          <t>Girişimciler için danışma ve şirket kurma noktası. Promálaga bu ağa bağlıdır ve şirket kuruluşu işlemlerini ücretsiz yürütür; Registro Mercantil ve noter giderlerini azaltmayı hedefler.</t>
        </is>
      </c>
      <c r="E69" s="29" t="inlineStr">
        <is>
          <t>malaga:kaynak:211</t>
        </is>
      </c>
      <c r="F69" s="49" t="n">
        <v>46322</v>
      </c>
      <c r="G69" s="51" t="n">
        <v>62</v>
      </c>
      <c r="H69" s="29" t="inlineStr">
        <is>
          <t>Taslak</t>
        </is>
      </c>
    </row>
    <row r="70" ht="54" customHeight="1">
      <c r="A70" s="29" t="n"/>
      <c r="B70" s="29" t="n"/>
      <c r="C70" s="29" t="n"/>
      <c r="D70" s="29" t="n"/>
      <c r="E70" s="29" t="n"/>
      <c r="F70" s="49" t="n"/>
      <c r="G70" s="51" t="n"/>
      <c r="H70" s="29" t="n"/>
    </row>
    <row r="71" ht="54" customHeight="1">
      <c r="A71" s="29" t="n"/>
      <c r="B71" s="29" t="n"/>
      <c r="C71" s="29" t="n"/>
      <c r="D71" s="29" t="n"/>
      <c r="E71" s="29" t="n"/>
      <c r="F71" s="49" t="n"/>
      <c r="G71" s="51" t="n"/>
      <c r="H71" s="29" t="n"/>
    </row>
    <row r="72" ht="54" customHeight="1">
      <c r="A72" s="29" t="n"/>
      <c r="B72" s="29" t="n"/>
      <c r="C72" s="29" t="n"/>
      <c r="D72" s="29" t="n"/>
      <c r="E72" s="29" t="n"/>
      <c r="F72" s="49" t="n"/>
      <c r="G72" s="51" t="n"/>
      <c r="H72" s="29" t="n"/>
    </row>
    <row r="73" ht="54" customHeight="1">
      <c r="A73" s="29" t="n"/>
      <c r="B73" s="29" t="n"/>
      <c r="C73" s="29" t="n"/>
      <c r="D73" s="29" t="n"/>
      <c r="E73" s="29" t="n"/>
      <c r="F73" s="49" t="n"/>
      <c r="G73" s="51" t="n"/>
      <c r="H73" s="29" t="n"/>
    </row>
    <row r="74" ht="54" customHeight="1">
      <c r="A74" s="29" t="n"/>
      <c r="B74" s="29" t="n"/>
      <c r="C74" s="29" t="n"/>
      <c r="D74" s="29" t="n"/>
      <c r="E74" s="29" t="n"/>
      <c r="F74" s="49" t="n"/>
      <c r="G74" s="51" t="n"/>
      <c r="H74" s="29" t="n"/>
    </row>
    <row r="75" ht="54" customHeight="1">
      <c r="A75" s="29" t="n"/>
      <c r="B75" s="29" t="n"/>
      <c r="C75" s="29" t="n"/>
      <c r="D75" s="29" t="n"/>
      <c r="E75" s="29" t="n"/>
      <c r="F75" s="49" t="n"/>
      <c r="G75" s="51" t="n"/>
      <c r="H75" s="29" t="n"/>
    </row>
    <row r="76" ht="54" customHeight="1">
      <c r="A76" s="29" t="n"/>
      <c r="B76" s="29" t="n"/>
      <c r="C76" s="29" t="n"/>
      <c r="D76" s="29" t="n"/>
      <c r="E76" s="29" t="n"/>
      <c r="F76" s="49" t="n"/>
      <c r="G76" s="51" t="n"/>
      <c r="H76" s="29" t="n"/>
    </row>
    <row r="77" ht="54" customHeight="1">
      <c r="A77" s="29" t="n"/>
      <c r="B77" s="29" t="n"/>
      <c r="C77" s="29" t="n"/>
      <c r="D77" s="29" t="n"/>
      <c r="E77" s="29" t="n"/>
      <c r="F77" s="49" t="n"/>
      <c r="G77" s="51" t="n"/>
      <c r="H77" s="29" t="n"/>
    </row>
    <row r="78" ht="54" customHeight="1">
      <c r="A78" s="29" t="n"/>
      <c r="B78" s="29" t="n"/>
      <c r="C78" s="29" t="n"/>
      <c r="D78" s="29" t="n"/>
      <c r="E78" s="29" t="n"/>
      <c r="F78" s="49" t="n"/>
      <c r="G78" s="51" t="n"/>
      <c r="H78" s="29" t="n"/>
    </row>
    <row r="79" ht="54" customHeight="1">
      <c r="A79" s="29" t="n"/>
      <c r="B79" s="29" t="n"/>
      <c r="C79" s="29" t="n"/>
      <c r="D79" s="29" t="n"/>
      <c r="E79" s="29" t="n"/>
      <c r="F79" s="49" t="n"/>
      <c r="G79" s="51" t="n"/>
      <c r="H79" s="29" t="n"/>
    </row>
    <row r="80" ht="54" customHeight="1">
      <c r="A80" s="29" t="n"/>
      <c r="B80" s="29" t="n"/>
      <c r="C80" s="29" t="n"/>
      <c r="D80" s="29" t="n"/>
      <c r="E80" s="29" t="n"/>
      <c r="F80" s="49" t="n"/>
      <c r="G80" s="51" t="n"/>
      <c r="H80" s="29" t="n"/>
    </row>
    <row r="81" ht="54" customHeight="1">
      <c r="A81" s="29" t="n"/>
      <c r="B81" s="29" t="n"/>
      <c r="C81" s="29" t="n"/>
      <c r="D81" s="29" t="n"/>
      <c r="E81" s="29" t="n"/>
      <c r="F81" s="49" t="n"/>
      <c r="G81" s="51" t="n"/>
      <c r="H81" s="29" t="n"/>
    </row>
    <row r="82" ht="54" customHeight="1">
      <c r="A82" s="29" t="n"/>
      <c r="B82" s="29" t="n"/>
      <c r="C82" s="29" t="n"/>
      <c r="D82" s="29" t="n"/>
      <c r="E82" s="29" t="n"/>
      <c r="F82" s="49" t="n"/>
      <c r="G82" s="51" t="n"/>
      <c r="H82" s="29" t="n"/>
    </row>
    <row r="83" ht="54" customHeight="1">
      <c r="A83" s="29" t="n"/>
      <c r="B83" s="29" t="n"/>
      <c r="C83" s="29" t="n"/>
      <c r="D83" s="29" t="n"/>
      <c r="E83" s="29" t="n"/>
      <c r="F83" s="49" t="n"/>
      <c r="G83" s="51" t="n"/>
      <c r="H83" s="29" t="n"/>
    </row>
    <row r="84" ht="54" customHeight="1">
      <c r="A84" s="29" t="n"/>
      <c r="B84" s="29" t="n"/>
      <c r="C84" s="29" t="n"/>
      <c r="D84" s="29" t="n"/>
      <c r="E84" s="29" t="n"/>
      <c r="F84" s="49" t="n"/>
      <c r="G84" s="51" t="n"/>
      <c r="H84" s="29" t="n"/>
    </row>
    <row r="85" ht="54" customHeight="1">
      <c r="A85" s="29" t="n"/>
      <c r="B85" s="29" t="n"/>
      <c r="C85" s="29" t="n"/>
      <c r="D85" s="29" t="n"/>
      <c r="E85" s="29" t="n"/>
      <c r="F85" s="49" t="n"/>
      <c r="G85" s="51" t="n"/>
      <c r="H85" s="29" t="n"/>
    </row>
    <row r="86" ht="54" customHeight="1">
      <c r="A86" s="29" t="n"/>
      <c r="B86" s="29" t="n"/>
      <c r="C86" s="29" t="n"/>
      <c r="D86" s="29" t="n"/>
      <c r="E86" s="29" t="n"/>
      <c r="F86" s="49" t="n"/>
      <c r="G86" s="51" t="n"/>
      <c r="H86" s="29" t="n"/>
    </row>
    <row r="87" ht="54" customHeight="1">
      <c r="A87" s="29" t="n"/>
      <c r="B87" s="29" t="n"/>
      <c r="C87" s="29" t="n"/>
      <c r="D87" s="29" t="n"/>
      <c r="E87" s="29" t="n"/>
      <c r="F87" s="49" t="n"/>
      <c r="G87" s="51" t="n"/>
      <c r="H87" s="29" t="n"/>
    </row>
    <row r="88" ht="54" customHeight="1">
      <c r="A88" s="29" t="n"/>
      <c r="B88" s="29" t="n"/>
      <c r="C88" s="29" t="n"/>
      <c r="D88" s="29" t="n"/>
      <c r="E88" s="29" t="n"/>
      <c r="F88" s="49" t="n"/>
      <c r="G88" s="51" t="n"/>
      <c r="H88" s="29" t="n"/>
    </row>
    <row r="89" ht="54" customHeight="1">
      <c r="A89" s="29" t="n"/>
      <c r="B89" s="29" t="n"/>
      <c r="C89" s="29" t="n"/>
      <c r="D89" s="29" t="n"/>
      <c r="E89" s="29" t="n"/>
      <c r="F89" s="49" t="n"/>
      <c r="G89" s="51" t="n"/>
      <c r="H89" s="29" t="n"/>
    </row>
    <row r="90" ht="54" customHeight="1">
      <c r="A90" s="29" t="n"/>
      <c r="B90" s="29" t="n"/>
      <c r="C90" s="29" t="n"/>
      <c r="D90" s="29" t="n"/>
      <c r="E90" s="29" t="n"/>
      <c r="F90" s="49" t="n"/>
      <c r="G90" s="51" t="n"/>
      <c r="H90" s="29" t="n"/>
    </row>
    <row r="91" ht="54" customHeight="1">
      <c r="A91" s="29" t="n"/>
      <c r="B91" s="29" t="n"/>
      <c r="C91" s="29" t="n"/>
      <c r="D91" s="29" t="n"/>
      <c r="E91" s="29" t="n"/>
      <c r="F91" s="49" t="n"/>
      <c r="G91" s="51" t="n"/>
      <c r="H91" s="29" t="n"/>
    </row>
    <row r="92" ht="54" customHeight="1">
      <c r="A92" s="29" t="n"/>
      <c r="B92" s="29" t="n"/>
      <c r="C92" s="29" t="n"/>
      <c r="D92" s="29" t="n"/>
      <c r="E92" s="29" t="n"/>
      <c r="F92" s="49" t="n"/>
      <c r="G92" s="51" t="n"/>
      <c r="H92" s="29" t="n"/>
    </row>
    <row r="93" ht="54" customHeight="1">
      <c r="A93" s="29" t="n"/>
      <c r="B93" s="29" t="n"/>
      <c r="C93" s="29" t="n"/>
      <c r="D93" s="29" t="n"/>
      <c r="E93" s="29" t="n"/>
      <c r="F93" s="49" t="n"/>
      <c r="G93" s="51" t="n"/>
      <c r="H93" s="29" t="n"/>
    </row>
    <row r="94" ht="54" customHeight="1">
      <c r="A94" s="29" t="n"/>
      <c r="B94" s="29" t="n"/>
      <c r="C94" s="29" t="n"/>
      <c r="D94" s="29" t="n"/>
      <c r="E94" s="29" t="n"/>
      <c r="F94" s="49" t="n"/>
      <c r="G94" s="51" t="n"/>
      <c r="H94" s="29" t="n"/>
    </row>
    <row r="95" ht="54" customHeight="1">
      <c r="A95" s="29" t="n"/>
      <c r="B95" s="29" t="n"/>
      <c r="C95" s="29" t="n"/>
      <c r="D95" s="29" t="n"/>
      <c r="E95" s="29" t="n"/>
      <c r="F95" s="49" t="n"/>
      <c r="G95" s="51" t="n"/>
      <c r="H95" s="29" t="n"/>
    </row>
    <row r="96" ht="54" customHeight="1">
      <c r="A96" s="29" t="n"/>
      <c r="B96" s="29" t="n"/>
      <c r="C96" s="29" t="n"/>
      <c r="D96" s="29" t="n"/>
      <c r="E96" s="29" t="n"/>
      <c r="F96" s="49" t="n"/>
      <c r="G96" s="51" t="n"/>
      <c r="H96" s="29" t="n"/>
    </row>
    <row r="97" ht="54" customHeight="1">
      <c r="A97" s="29" t="n"/>
      <c r="B97" s="29" t="n"/>
      <c r="C97" s="29" t="n"/>
      <c r="D97" s="29" t="n"/>
      <c r="E97" s="29" t="n"/>
      <c r="F97" s="49" t="n"/>
      <c r="G97" s="51" t="n"/>
      <c r="H97" s="29" t="n"/>
    </row>
    <row r="98" ht="54" customHeight="1">
      <c r="A98" s="29" t="n"/>
      <c r="B98" s="29" t="n"/>
      <c r="C98" s="29" t="n"/>
      <c r="D98" s="29" t="n"/>
      <c r="E98" s="29" t="n"/>
      <c r="F98" s="49" t="n"/>
      <c r="G98" s="51" t="n"/>
      <c r="H98" s="29" t="n"/>
    </row>
    <row r="99" ht="54" customHeight="1">
      <c r="A99" s="29" t="n"/>
      <c r="B99" s="29" t="n"/>
      <c r="C99" s="29" t="n"/>
      <c r="D99" s="29" t="n"/>
      <c r="E99" s="29" t="n"/>
      <c r="F99" s="49" t="n"/>
      <c r="G99" s="51" t="n"/>
      <c r="H99" s="29" t="n"/>
    </row>
    <row r="100" ht="54" customHeight="1">
      <c r="A100" s="29" t="n"/>
      <c r="B100" s="29" t="n"/>
      <c r="C100" s="29" t="n"/>
      <c r="D100" s="29" t="n"/>
      <c r="E100" s="29" t="n"/>
      <c r="F100" s="49" t="n"/>
      <c r="G100" s="51" t="n"/>
      <c r="H100" s="29" t="n"/>
    </row>
    <row r="101" ht="54" customHeight="1">
      <c r="A101" s="29" t="n"/>
      <c r="B101" s="29" t="n"/>
      <c r="C101" s="29" t="n"/>
      <c r="D101" s="29" t="n"/>
      <c r="E101" s="29" t="n"/>
      <c r="F101" s="49" t="n"/>
      <c r="G101" s="51" t="n"/>
      <c r="H101" s="29" t="n"/>
    </row>
    <row r="102" ht="54" customHeight="1">
      <c r="A102" s="29" t="n"/>
      <c r="B102" s="29" t="n"/>
      <c r="C102" s="29" t="n"/>
      <c r="D102" s="29" t="n"/>
      <c r="E102" s="29" t="n"/>
      <c r="F102" s="49" t="n"/>
      <c r="G102" s="51" t="n"/>
      <c r="H102" s="29" t="n"/>
    </row>
    <row r="103" ht="54" customHeight="1">
      <c r="A103" s="29" t="n"/>
      <c r="B103" s="29" t="n"/>
      <c r="C103" s="29" t="n"/>
      <c r="D103" s="29" t="n"/>
      <c r="E103" s="29" t="n"/>
      <c r="F103" s="49" t="n"/>
      <c r="G103" s="51" t="n"/>
      <c r="H103" s="29" t="n"/>
    </row>
    <row r="104" ht="54" customHeight="1">
      <c r="A104" s="29" t="n"/>
      <c r="B104" s="29" t="n"/>
      <c r="C104" s="29" t="n"/>
      <c r="D104" s="29" t="n"/>
      <c r="E104" s="29" t="n"/>
      <c r="F104" s="49" t="n"/>
      <c r="G104" s="51" t="n"/>
      <c r="H104" s="29" t="n"/>
    </row>
    <row r="105" ht="54" customHeight="1">
      <c r="A105" s="29" t="n"/>
      <c r="B105" s="29" t="n"/>
      <c r="C105" s="29" t="n"/>
      <c r="D105" s="29" t="n"/>
      <c r="E105" s="29" t="n"/>
      <c r="F105" s="49" t="n"/>
      <c r="G105" s="51" t="n"/>
      <c r="H105" s="29" t="n"/>
    </row>
    <row r="106" ht="54" customHeight="1">
      <c r="A106" s="29" t="n"/>
      <c r="B106" s="29" t="n"/>
      <c r="C106" s="29" t="n"/>
      <c r="D106" s="29" t="n"/>
      <c r="E106" s="29" t="n"/>
      <c r="F106" s="49" t="n"/>
      <c r="G106" s="51" t="n"/>
      <c r="H106" s="29" t="n"/>
    </row>
    <row r="107" ht="54" customHeight="1">
      <c r="A107" s="29" t="n"/>
      <c r="B107" s="29" t="n"/>
      <c r="C107" s="29" t="n"/>
      <c r="D107" s="29" t="n"/>
      <c r="E107" s="29" t="n"/>
      <c r="F107" s="49" t="n"/>
      <c r="G107" s="51" t="n"/>
      <c r="H107" s="29" t="n"/>
    </row>
  </sheetData>
  <mergeCells count="1">
    <mergeCell ref="A3:H3"/>
  </mergeCells>
  <conditionalFormatting sqref="A8:A107">
    <cfRule type="expression" priority="1" dxfId="1">
      <formula>AND($A8&lt;&gt;"",ISBLANK(A8))</formula>
    </cfRule>
  </conditionalFormatting>
  <conditionalFormatting sqref="B8:B107">
    <cfRule type="expression" priority="2" dxfId="1">
      <formula>AND($A8&lt;&gt;"",ISBLANK(B8))</formula>
    </cfRule>
  </conditionalFormatting>
  <conditionalFormatting sqref="C8:C107">
    <cfRule type="expression" priority="3" dxfId="1">
      <formula>AND($A8&lt;&gt;"",ISBLANK(C8))</formula>
    </cfRule>
  </conditionalFormatting>
  <conditionalFormatting sqref="D8:D107">
    <cfRule type="expression" priority="4" dxfId="1">
      <formula>AND($A8&lt;&gt;"",ISBLANK(D8))</formula>
    </cfRule>
  </conditionalFormatting>
  <conditionalFormatting sqref="E8:E107">
    <cfRule type="expression" priority="5" dxfId="1">
      <formula>AND($A8&lt;&gt;"",ISBLANK(E8))</formula>
    </cfRule>
  </conditionalFormatting>
  <conditionalFormatting sqref="F8:F107">
    <cfRule type="expression" priority="6" dxfId="1">
      <formula>AND($A8&lt;&gt;"",ISBLANK(F8))</formula>
    </cfRule>
  </conditionalFormatting>
  <conditionalFormatting sqref="G8:G107">
    <cfRule type="expression" priority="7" dxfId="1">
      <formula>AND($A8&lt;&gt;"",ISBLANK(G8))</formula>
    </cfRule>
  </conditionalFormatting>
  <conditionalFormatting sqref="H8:H107">
    <cfRule type="expression" priority="8" dxfId="1">
      <formula>AND($A8&lt;&gt;"",ISBLANK(H8))</formula>
    </cfRule>
  </conditionalFormatting>
  <dataValidations count="1">
    <dataValidation sqref="H8:H1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s>
  <sheetData>
    <row r="1" ht="30" customHeight="1">
      <c r="A1" s="2" t="n"/>
      <c r="B1" s="2" t="n"/>
      <c r="C1" s="2" t="n"/>
      <c r="D1" s="2" t="n"/>
      <c r="E1" s="2" t="n"/>
      <c r="F1" s="2" t="n"/>
      <c r="G1" s="2" t="n"/>
    </row>
    <row r="2" ht="30" customHeight="1">
      <c r="A2" s="19" t="inlineStr">
        <is>
          <t>Corteqs · Yerleşim yol haritası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Adım kimliği</t>
        </is>
      </c>
      <c r="B6" s="25" t="inlineStr">
        <is>
          <t>Şehir kimliği</t>
        </is>
      </c>
      <c r="C6" s="25" t="inlineStr">
        <is>
          <t>İçerik kimliği</t>
        </is>
      </c>
      <c r="D6" s="25" t="inlineStr">
        <is>
          <t>Adım başlığı</t>
        </is>
      </c>
      <c r="E6" s="25" t="inlineStr">
        <is>
          <t>Ne zaman</t>
        </is>
      </c>
      <c r="F6" s="25" t="inlineStr">
        <is>
          <t>Adım açıklaması</t>
        </is>
      </c>
      <c r="G6" s="25" t="inlineStr">
        <is>
          <t>Sıra</t>
        </is>
      </c>
    </row>
    <row r="7" ht="32" customHeight="1">
      <c r="A7" s="28" t="inlineStr">
        <is>
          <t>step_id</t>
        </is>
      </c>
      <c r="B7" s="28" t="inlineStr">
        <is>
          <t>city_id</t>
        </is>
      </c>
      <c r="C7" s="28" t="inlineStr">
        <is>
          <t>entry_id</t>
        </is>
      </c>
      <c r="D7" s="28" t="inlineStr">
        <is>
          <t>title</t>
        </is>
      </c>
      <c r="E7" s="28" t="inlineStr">
        <is>
          <t>when</t>
        </is>
      </c>
      <c r="F7" s="28" t="inlineStr">
        <is>
          <t>description</t>
        </is>
      </c>
      <c r="G7" s="28" t="inlineStr">
        <is>
          <t>order</t>
        </is>
      </c>
    </row>
    <row r="8" ht="54" customHeight="1">
      <c r="A8" s="29" t="inlineStr">
        <is>
          <t>malaga:step:1</t>
        </is>
      </c>
      <c r="B8" s="29" t="inlineStr">
        <is>
          <t>malaga</t>
        </is>
      </c>
      <c r="C8" s="29" t="inlineStr">
        <is>
          <t>malaga:havalimani-express-otobus-l-a-bilet-ve-duraklar</t>
        </is>
      </c>
      <c r="D8" s="29" t="inlineStr">
        <is>
          <t>Havalimanından şehre geç</t>
        </is>
      </c>
      <c r="E8" s="29" t="inlineStr">
        <is>
          <t>Varış günü</t>
        </is>
      </c>
      <c r="F8" s="29" t="inlineStr">
        <is>
          <t>Havalimanı ile merkez arasında EMT L-A otobüsüyle (tek yön 4 euro) ilerle; tren tercih edersen havalimanından Cercanías C1 kartındaki yolu izle.</t>
        </is>
      </c>
      <c r="G8" s="51" t="n">
        <v>1</v>
      </c>
    </row>
    <row r="9" ht="54" customHeight="1">
      <c r="A9" s="29" t="inlineStr">
        <is>
          <t>malaga:step:2</t>
        </is>
      </c>
      <c r="B9" s="29" t="inlineStr">
        <is>
          <t>malaga</t>
        </is>
      </c>
      <c r="C9" s="29" t="inlineStr">
        <is>
          <t>malaga:consorcio-ulasim-karti-alma-ve-yukleme</t>
        </is>
      </c>
      <c r="D9" s="29" t="inlineStr">
        <is>
          <t>Ulaşım kartını al ve yükle</t>
        </is>
      </c>
      <c r="E9" s="29" t="inlineStr">
        <is>
          <t>İlk günler</t>
        </is>
      </c>
      <c r="F9" s="29" t="inlineStr">
        <is>
          <t>Consorcio kartını bir estanco, kiosko ya da librería'dan al ve en az 5 euroyla yükle; kart otobüste, Cercanías'ta ve metroda geçer.</t>
        </is>
      </c>
      <c r="G9" s="51" t="n">
        <v>2</v>
      </c>
    </row>
    <row r="10" ht="54" customHeight="1">
      <c r="A10" s="29" t="inlineStr">
        <is>
          <t>malaga:step:3</t>
        </is>
      </c>
      <c r="B10" s="29" t="inlineStr">
        <is>
          <t>malaga</t>
        </is>
      </c>
      <c r="C10" s="29" t="inlineStr">
        <is>
          <t>malaga:malaga-padron-kaydi-gestion-tributaria-ofisi-ve-randevu</t>
        </is>
      </c>
      <c r="D10" s="29" t="inlineStr">
        <is>
          <t>Adres kaydı (padrón) için randevu al</t>
        </is>
      </c>
      <c r="E10" s="29" t="inlineStr">
        <is>
          <t>Kalacak adres belli olunca</t>
        </is>
      </c>
      <c r="F10" s="29" t="inlineStr">
        <is>
          <t>Gestión Tributaria'nın Tabacalera'daki ofisinde (Av. Sor Teresa Prat 17) padrón işlemi randevuyla yapılır; randevuyu 951 92 60 10 ya da 010 üzerinden veya internetten alırsın.</t>
        </is>
      </c>
      <c r="G10" s="51" t="n">
        <v>3</v>
      </c>
    </row>
    <row r="11" ht="54" customHeight="1">
      <c r="A11" s="29" t="inlineStr">
        <is>
          <t>malaga:step:4</t>
        </is>
      </c>
      <c r="B11" s="29" t="inlineStr">
        <is>
          <t>malaga</t>
        </is>
      </c>
      <c r="C11" s="29" t="inlineStr">
        <is>
          <t>malaga:clave-yuz-yuze-kayit-randevu-ve-gerekli-belgeler</t>
        </is>
      </c>
      <c r="D11" s="29" t="inlineStr">
        <is>
          <t>Cl@ve'e yüz yüze kaydol</t>
        </is>
      </c>
      <c r="E11" s="29" t="inlineStr">
        <is>
          <t>Adres kaydından sonra</t>
        </is>
      </c>
      <c r="F11" s="29" t="inlineStr">
        <is>
          <t>Cl@ve için randevuyu 91 333 5 333 numarasından al; randevuya kimlik belgeni, cep telefonu numaranı ve e-posta adresini götür.</t>
        </is>
      </c>
      <c r="G11" s="51" t="n">
        <v>4</v>
      </c>
    </row>
    <row r="12" ht="54" customHeight="1">
      <c r="A12" s="29" t="inlineStr">
        <is>
          <t>malaga:step:5</t>
        </is>
      </c>
      <c r="B12" s="29" t="inlineStr">
        <is>
          <t>malaga</t>
        </is>
      </c>
      <c r="C12" s="29" t="inlineStr">
        <is>
          <t>malaga:ilk-gunlerde-nuss-ve-temel-odeme-hesabi</t>
        </is>
      </c>
      <c r="D12" s="29" t="inlineStr">
        <is>
          <t>Sosyal güvenlik numarasını (NUSS) iste</t>
        </is>
      </c>
      <c r="E12" s="29" t="inlineStr">
        <is>
          <t>İlk haftalar</t>
        </is>
      </c>
      <c r="F12" s="29" t="inlineStr">
        <is>
          <t>Sosyal güvenlik numarası için başvuru yolunu ve gereken kimlik bilgilerini ilgili kartta bul ve başvuruna başla.</t>
        </is>
      </c>
      <c r="G12" s="51" t="n">
        <v>5</v>
      </c>
    </row>
    <row r="13" ht="54" customHeight="1">
      <c r="A13" s="29" t="inlineStr">
        <is>
          <t>malaga:step:6</t>
        </is>
      </c>
      <c r="B13" s="29" t="inlineStr">
        <is>
          <t>malaga</t>
        </is>
      </c>
      <c r="C13" s="29" t="inlineStr">
        <is>
          <t>malaga:endulus-saglik-karti-tarjeta-sanitaria-ve-aile-hekimi-secimi</t>
        </is>
      </c>
      <c r="D13" s="29" t="inlineStr">
        <is>
          <t>Sağlık kartı ve aile hekimi</t>
        </is>
      </c>
      <c r="E13" s="29" t="inlineStr">
        <is>
          <t>Yerleştikten sonra</t>
        </is>
      </c>
      <c r="F13" s="29" t="inlineStr">
        <is>
          <t>Endülüs sağlık kartı (tarjeta sanitaria) ve aile hekimi seçimi için ilgili karttaki adımları izle.</t>
        </is>
      </c>
      <c r="G13" s="51" t="n">
        <v>6</v>
      </c>
    </row>
    <row r="14" ht="54" customHeight="1">
      <c r="A14" s="29" t="n"/>
      <c r="B14" s="29" t="n"/>
      <c r="C14" s="29" t="n"/>
      <c r="D14" s="29" t="n"/>
      <c r="E14" s="29" t="n"/>
      <c r="F14" s="29" t="n"/>
      <c r="G14" s="51" t="n"/>
    </row>
    <row r="15" ht="54" customHeight="1">
      <c r="A15" s="29" t="n"/>
      <c r="B15" s="29" t="n"/>
      <c r="C15" s="29" t="n"/>
      <c r="D15" s="29" t="n"/>
      <c r="E15" s="29" t="n"/>
      <c r="F15" s="29" t="n"/>
      <c r="G15" s="51" t="n"/>
    </row>
    <row r="16" ht="54" customHeight="1">
      <c r="A16" s="29" t="n"/>
      <c r="B16" s="29" t="n"/>
      <c r="C16" s="29" t="n"/>
      <c r="D16" s="29" t="n"/>
      <c r="E16" s="29" t="n"/>
      <c r="F16" s="29" t="n"/>
      <c r="G16" s="51" t="n"/>
    </row>
    <row r="17" ht="54" customHeight="1">
      <c r="A17" s="29" t="n"/>
      <c r="B17" s="29" t="n"/>
      <c r="C17" s="29" t="n"/>
      <c r="D17" s="29" t="n"/>
      <c r="E17" s="29" t="n"/>
      <c r="F17" s="29" t="n"/>
      <c r="G17" s="51" t="n"/>
    </row>
    <row r="18" ht="54" customHeight="1">
      <c r="A18" s="29" t="n"/>
      <c r="B18" s="29" t="n"/>
      <c r="C18" s="29" t="n"/>
      <c r="D18" s="29" t="n"/>
      <c r="E18" s="29" t="n"/>
      <c r="F18" s="29" t="n"/>
      <c r="G18" s="51" t="n"/>
    </row>
    <row r="19" ht="54" customHeight="1">
      <c r="A19" s="29" t="n"/>
      <c r="B19" s="29" t="n"/>
      <c r="C19" s="29" t="n"/>
      <c r="D19" s="29" t="n"/>
      <c r="E19" s="29" t="n"/>
      <c r="F19" s="29" t="n"/>
      <c r="G19" s="51" t="n"/>
    </row>
    <row r="20" ht="54" customHeight="1">
      <c r="A20" s="29" t="n"/>
      <c r="B20" s="29" t="n"/>
      <c r="C20" s="29" t="n"/>
      <c r="D20" s="29" t="n"/>
      <c r="E20" s="29" t="n"/>
      <c r="F20" s="29" t="n"/>
      <c r="G20" s="51" t="n"/>
    </row>
    <row r="21" ht="54" customHeight="1">
      <c r="A21" s="29" t="n"/>
      <c r="B21" s="29" t="n"/>
      <c r="C21" s="29" t="n"/>
      <c r="D21" s="29" t="n"/>
      <c r="E21" s="29" t="n"/>
      <c r="F21" s="29" t="n"/>
      <c r="G21" s="51" t="n"/>
    </row>
    <row r="22" ht="54" customHeight="1">
      <c r="A22" s="29" t="n"/>
      <c r="B22" s="29" t="n"/>
      <c r="C22" s="29" t="n"/>
      <c r="D22" s="29" t="n"/>
      <c r="E22" s="29" t="n"/>
      <c r="F22" s="29" t="n"/>
      <c r="G22" s="51" t="n"/>
    </row>
    <row r="23" ht="54" customHeight="1">
      <c r="A23" s="29" t="n"/>
      <c r="B23" s="29" t="n"/>
      <c r="C23" s="29" t="n"/>
      <c r="D23" s="29" t="n"/>
      <c r="E23" s="29" t="n"/>
      <c r="F23" s="29" t="n"/>
      <c r="G23" s="51" t="n"/>
    </row>
    <row r="24" ht="54" customHeight="1">
      <c r="A24" s="29" t="n"/>
      <c r="B24" s="29" t="n"/>
      <c r="C24" s="29" t="n"/>
      <c r="D24" s="29" t="n"/>
      <c r="E24" s="29" t="n"/>
      <c r="F24" s="29" t="n"/>
      <c r="G24" s="51" t="n"/>
    </row>
    <row r="25" ht="54" customHeight="1">
      <c r="A25" s="29" t="n"/>
      <c r="B25" s="29" t="n"/>
      <c r="C25" s="29" t="n"/>
      <c r="D25" s="29" t="n"/>
      <c r="E25" s="29" t="n"/>
      <c r="F25" s="29" t="n"/>
      <c r="G25" s="51" t="n"/>
    </row>
    <row r="26" ht="54" customHeight="1">
      <c r="A26" s="29" t="n"/>
      <c r="B26" s="29" t="n"/>
      <c r="C26" s="29" t="n"/>
      <c r="D26" s="29" t="n"/>
      <c r="E26" s="29" t="n"/>
      <c r="F26" s="29" t="n"/>
      <c r="G26" s="51" t="n"/>
    </row>
    <row r="27" ht="54" customHeight="1">
      <c r="A27" s="29" t="n"/>
      <c r="B27" s="29" t="n"/>
      <c r="C27" s="29" t="n"/>
      <c r="D27" s="29" t="n"/>
      <c r="E27" s="29" t="n"/>
      <c r="F27" s="29" t="n"/>
      <c r="G27" s="51" t="n"/>
    </row>
    <row r="28" ht="54" customHeight="1">
      <c r="A28" s="29" t="n"/>
      <c r="B28" s="29" t="n"/>
      <c r="C28" s="29" t="n"/>
      <c r="D28" s="29" t="n"/>
      <c r="E28" s="29" t="n"/>
      <c r="F28" s="29" t="n"/>
      <c r="G28" s="51" t="n"/>
    </row>
    <row r="29" ht="54" customHeight="1">
      <c r="A29" s="29" t="n"/>
      <c r="B29" s="29" t="n"/>
      <c r="C29" s="29" t="n"/>
      <c r="D29" s="29" t="n"/>
      <c r="E29" s="29" t="n"/>
      <c r="F29" s="29" t="n"/>
      <c r="G29" s="51" t="n"/>
    </row>
    <row r="30" ht="54" customHeight="1">
      <c r="A30" s="29" t="n"/>
      <c r="B30" s="29" t="n"/>
      <c r="C30" s="29" t="n"/>
      <c r="D30" s="29" t="n"/>
      <c r="E30" s="29" t="n"/>
      <c r="F30" s="29" t="n"/>
      <c r="G30" s="51" t="n"/>
    </row>
    <row r="31" ht="54" customHeight="1">
      <c r="A31" s="29" t="n"/>
      <c r="B31" s="29" t="n"/>
      <c r="C31" s="29" t="n"/>
      <c r="D31" s="29" t="n"/>
      <c r="E31" s="29" t="n"/>
      <c r="F31" s="29" t="n"/>
      <c r="G31" s="51" t="n"/>
    </row>
    <row r="32" ht="54" customHeight="1">
      <c r="A32" s="29" t="n"/>
      <c r="B32" s="29" t="n"/>
      <c r="C32" s="29" t="n"/>
      <c r="D32" s="29" t="n"/>
      <c r="E32" s="29" t="n"/>
      <c r="F32" s="29" t="n"/>
      <c r="G32" s="51" t="n"/>
    </row>
    <row r="33" ht="54" customHeight="1">
      <c r="A33" s="29" t="n"/>
      <c r="B33" s="29" t="n"/>
      <c r="C33" s="29" t="n"/>
      <c r="D33" s="29" t="n"/>
      <c r="E33" s="29" t="n"/>
      <c r="F33" s="29" t="n"/>
      <c r="G33" s="51" t="n"/>
    </row>
    <row r="34" ht="54" customHeight="1">
      <c r="A34" s="29" t="n"/>
      <c r="B34" s="29" t="n"/>
      <c r="C34" s="29" t="n"/>
      <c r="D34" s="29" t="n"/>
      <c r="E34" s="29" t="n"/>
      <c r="F34" s="29" t="n"/>
      <c r="G34" s="51" t="n"/>
    </row>
    <row r="35" ht="54" customHeight="1">
      <c r="A35" s="29" t="n"/>
      <c r="B35" s="29" t="n"/>
      <c r="C35" s="29" t="n"/>
      <c r="D35" s="29" t="n"/>
      <c r="E35" s="29" t="n"/>
      <c r="F35" s="29" t="n"/>
      <c r="G35" s="51" t="n"/>
    </row>
    <row r="36" ht="54" customHeight="1">
      <c r="A36" s="29" t="n"/>
      <c r="B36" s="29" t="n"/>
      <c r="C36" s="29" t="n"/>
      <c r="D36" s="29" t="n"/>
      <c r="E36" s="29" t="n"/>
      <c r="F36" s="29" t="n"/>
      <c r="G36" s="51" t="n"/>
    </row>
    <row r="37" ht="54" customHeight="1">
      <c r="A37" s="29" t="n"/>
      <c r="B37" s="29" t="n"/>
      <c r="C37" s="29" t="n"/>
      <c r="D37" s="29" t="n"/>
      <c r="E37" s="29" t="n"/>
      <c r="F37" s="29" t="n"/>
      <c r="G37" s="51" t="n"/>
    </row>
    <row r="38" ht="54" customHeight="1">
      <c r="A38" s="29" t="n"/>
      <c r="B38" s="29" t="n"/>
      <c r="C38" s="29" t="n"/>
      <c r="D38" s="29" t="n"/>
      <c r="E38" s="29" t="n"/>
      <c r="F38" s="29" t="n"/>
      <c r="G38" s="51" t="n"/>
    </row>
    <row r="39" ht="54" customHeight="1">
      <c r="A39" s="29" t="n"/>
      <c r="B39" s="29" t="n"/>
      <c r="C39" s="29" t="n"/>
      <c r="D39" s="29" t="n"/>
      <c r="E39" s="29" t="n"/>
      <c r="F39" s="29" t="n"/>
      <c r="G39" s="51" t="n"/>
    </row>
    <row r="40" ht="54" customHeight="1">
      <c r="A40" s="29" t="n"/>
      <c r="B40" s="29" t="n"/>
      <c r="C40" s="29" t="n"/>
      <c r="D40" s="29" t="n"/>
      <c r="E40" s="29" t="n"/>
      <c r="F40" s="29" t="n"/>
      <c r="G40" s="51" t="n"/>
    </row>
    <row r="41" ht="54" customHeight="1">
      <c r="A41" s="29" t="n"/>
      <c r="B41" s="29" t="n"/>
      <c r="C41" s="29" t="n"/>
      <c r="D41" s="29" t="n"/>
      <c r="E41" s="29" t="n"/>
      <c r="F41" s="29" t="n"/>
      <c r="G41" s="51" t="n"/>
    </row>
    <row r="42" ht="54" customHeight="1">
      <c r="A42" s="29" t="n"/>
      <c r="B42" s="29" t="n"/>
      <c r="C42" s="29" t="n"/>
      <c r="D42" s="29" t="n"/>
      <c r="E42" s="29" t="n"/>
      <c r="F42" s="29" t="n"/>
      <c r="G42" s="51" t="n"/>
    </row>
    <row r="43" ht="54" customHeight="1">
      <c r="A43" s="29" t="n"/>
      <c r="B43" s="29" t="n"/>
      <c r="C43" s="29" t="n"/>
      <c r="D43" s="29" t="n"/>
      <c r="E43" s="29" t="n"/>
      <c r="F43" s="29" t="n"/>
      <c r="G43" s="51" t="n"/>
    </row>
    <row r="44" ht="54" customHeight="1">
      <c r="A44" s="29" t="n"/>
      <c r="B44" s="29" t="n"/>
      <c r="C44" s="29" t="n"/>
      <c r="D44" s="29" t="n"/>
      <c r="E44" s="29" t="n"/>
      <c r="F44" s="29" t="n"/>
      <c r="G44" s="51" t="n"/>
    </row>
    <row r="45" ht="54" customHeight="1">
      <c r="A45" s="29" t="n"/>
      <c r="B45" s="29" t="n"/>
      <c r="C45" s="29" t="n"/>
      <c r="D45" s="29" t="n"/>
      <c r="E45" s="29" t="n"/>
      <c r="F45" s="29" t="n"/>
      <c r="G45" s="51" t="n"/>
    </row>
    <row r="46" ht="54" customHeight="1">
      <c r="A46" s="29" t="n"/>
      <c r="B46" s="29" t="n"/>
      <c r="C46" s="29" t="n"/>
      <c r="D46" s="29" t="n"/>
      <c r="E46" s="29" t="n"/>
      <c r="F46" s="29" t="n"/>
      <c r="G46" s="51" t="n"/>
    </row>
    <row r="47" ht="54" customHeight="1">
      <c r="A47" s="29" t="n"/>
      <c r="B47" s="29" t="n"/>
      <c r="C47" s="29" t="n"/>
      <c r="D47" s="29" t="n"/>
      <c r="E47" s="29" t="n"/>
      <c r="F47" s="29" t="n"/>
      <c r="G47" s="51" t="n"/>
    </row>
  </sheetData>
  <mergeCells count="1">
    <mergeCell ref="A3:G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E8:E47">
    <cfRule type="expression" priority="5" dxfId="1">
      <formula>AND($A8&lt;&gt;"",ISBLANK(E8))</formula>
    </cfRule>
  </conditionalFormatting>
  <conditionalFormatting sqref="F8:F47">
    <cfRule type="expression" priority="6" dxfId="1">
      <formula>AND($A8&lt;&gt;"",ISBLANK(F8))</formula>
    </cfRule>
  </conditionalFormatting>
  <conditionalFormatting sqref="G8:G4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5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48" customWidth="1" min="5" max="5"/>
    <col width="20" customWidth="1" min="6" max="6"/>
    <col width="28" customWidth="1" min="7" max="7"/>
    <col width="58" customWidth="1" min="8" max="8"/>
    <col width="28" customWidth="1" min="9" max="9"/>
    <col width="28" customWidth="1" min="10" max="10"/>
    <col width="28" customWidth="1" min="11" max="11"/>
  </cols>
  <sheetData>
    <row r="1" ht="30" customHeight="1">
      <c r="A1" s="2" t="n"/>
      <c r="B1" s="2" t="n"/>
      <c r="C1" s="2" t="n"/>
      <c r="D1" s="2" t="n"/>
      <c r="E1" s="2" t="n"/>
      <c r="F1" s="2" t="n"/>
      <c r="G1" s="2" t="n"/>
      <c r="H1" s="2" t="n"/>
      <c r="I1" s="2" t="n"/>
      <c r="J1" s="2" t="n"/>
      <c r="K1" s="2" t="n"/>
    </row>
    <row r="2" ht="30" customHeight="1">
      <c r="A2" s="19" t="inlineStr">
        <is>
          <t>Corteqs · Birincil bilgi kaynakları</t>
        </is>
      </c>
      <c r="B2" s="2" t="n"/>
      <c r="C2" s="2" t="n"/>
      <c r="D2" s="2" t="n"/>
      <c r="E2" s="2" t="n"/>
      <c r="F2" s="2" t="n"/>
      <c r="G2" s="2" t="n"/>
      <c r="H2" s="2" t="n"/>
      <c r="I2" s="2" t="n"/>
      <c r="J2" s="2" t="n"/>
      <c r="K2" s="2" t="n"/>
    </row>
    <row r="3" ht="36" customHeight="1">
      <c r="A3" s="20" t="inlineStr">
        <is>
          <t>Türkçe başlığı okuyun; veriyi 8. satırdan yazın. 7. satırdaki alan adını ve sayfa adını değiştirmeyin.</t>
        </is>
      </c>
      <c r="I3" s="2" t="n"/>
      <c r="J3" s="2" t="n"/>
      <c r="K3" s="2" t="n"/>
    </row>
    <row r="4" ht="30" customHeight="1">
      <c r="A4" s="21" t="n"/>
      <c r="B4" s="21" t="n"/>
      <c r="C4" s="21" t="n"/>
      <c r="D4" s="21" t="n"/>
      <c r="E4" s="21" t="n"/>
      <c r="F4" s="21" t="n"/>
      <c r="G4" s="21" t="n"/>
      <c r="H4" s="21" t="n"/>
      <c r="I4" s="21" t="n"/>
      <c r="J4" s="21" t="n"/>
      <c r="K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İsteğe bağlı</t>
        </is>
      </c>
      <c r="H5" s="22" t="inlineStr">
        <is>
          <t>İsteğe bağlı</t>
        </is>
      </c>
      <c r="I5" s="22" t="inlineStr">
        <is>
          <t>Zorunlu</t>
        </is>
      </c>
      <c r="J5" s="22" t="inlineStr">
        <is>
          <t>İsteğe bağlı</t>
        </is>
      </c>
      <c r="K5" s="22" t="inlineStr">
        <is>
          <t>İsteğe bağlı</t>
        </is>
      </c>
    </row>
    <row r="6" ht="44" customHeight="1">
      <c r="A6" s="25" t="inlineStr">
        <is>
          <t>Kaynak kimliği</t>
        </is>
      </c>
      <c r="B6" s="25" t="inlineStr">
        <is>
          <t>Şehir kimliği</t>
        </is>
      </c>
      <c r="C6" s="25" t="inlineStr">
        <is>
          <t>Kaynak başlığı</t>
        </is>
      </c>
      <c r="D6" s="25" t="inlineStr">
        <is>
          <t>Yayıncı / kurum</t>
        </is>
      </c>
      <c r="E6" s="25" t="inlineStr">
        <is>
          <t>Kaynak bağlantısı</t>
        </is>
      </c>
      <c r="F6" s="25" t="inlineStr">
        <is>
          <t>Kaynak kontrol tarihi</t>
        </is>
      </c>
      <c r="G6" s="25" t="inlineStr">
        <is>
          <t>Araştırma konusu</t>
        </is>
      </c>
      <c r="H6" s="25" t="inlineStr">
        <is>
          <t>Türkçe araştırma notu</t>
        </is>
      </c>
      <c r="I6" s="25" t="inlineStr">
        <is>
          <t>Kaynak notu incelendi</t>
        </is>
      </c>
      <c r="J6" s="25" t="inlineStr">
        <is>
          <t>Varsa kaynak kanıt dosyası</t>
        </is>
      </c>
      <c r="K6" s="25" t="inlineStr">
        <is>
          <t>Varsa kanıt SHA-256</t>
        </is>
      </c>
    </row>
    <row r="7" ht="32" customHeight="1">
      <c r="A7" s="28" t="inlineStr">
        <is>
          <t>source_id</t>
        </is>
      </c>
      <c r="B7" s="28" t="inlineStr">
        <is>
          <t>city_id</t>
        </is>
      </c>
      <c r="C7" s="28" t="inlineStr">
        <is>
          <t>title</t>
        </is>
      </c>
      <c r="D7" s="28" t="inlineStr">
        <is>
          <t>publisher</t>
        </is>
      </c>
      <c r="E7" s="28" t="inlineStr">
        <is>
          <t>url</t>
        </is>
      </c>
      <c r="F7" s="28" t="inlineStr">
        <is>
          <t>checked_on</t>
        </is>
      </c>
      <c r="G7" s="28" t="inlineStr">
        <is>
          <t>topic</t>
        </is>
      </c>
      <c r="H7" s="28" t="inlineStr">
        <is>
          <t>summary</t>
        </is>
      </c>
      <c r="I7" s="28" t="inlineStr">
        <is>
          <t>verified</t>
        </is>
      </c>
      <c r="J7" s="28" t="inlineStr">
        <is>
          <t>snapshot_file</t>
        </is>
      </c>
      <c r="K7" s="28" t="inlineStr">
        <is>
          <t>snapshot_sha256</t>
        </is>
      </c>
    </row>
    <row r="8" ht="54" customHeight="1">
      <c r="A8" s="29" t="inlineStr">
        <is>
          <t>malaga:kaynak:001</t>
        </is>
      </c>
      <c r="B8" s="29" t="inlineStr">
        <is>
          <t>malaga</t>
        </is>
      </c>
      <c r="C8" s="29" t="inlineStr">
        <is>
          <t>Extranjería - Asignación de NIE a instancia de interesado - Sede Electrónica de la Policía Nacional</t>
        </is>
      </c>
      <c r="D8" s="29" t="inlineStr">
        <is>
          <t>Dirección General de la Policía (Policía Nacional) - Sede electrónica</t>
        </is>
      </c>
      <c r="E8" s="29" t="inlineStr">
        <is>
          <t>https://sede.policia.gob.es/portalCiudadano/_es/tramites_extranjeria_tramite_asignacion_nie.php</t>
        </is>
      </c>
      <c r="F8" s="49" t="n">
        <v>46319</v>
      </c>
      <c r="G8" s="29" t="inlineStr">
        <is>
          <t>malaga:oturum</t>
        </is>
      </c>
      <c r="H8" s="29" t="inlineStr">
        <is>
          <t>Kart 1: NIE nedir, kim talep eder (EX15 + tasa 790-012); sayfada yıl yok, NIE ücreti tasas sayfasinda</t>
        </is>
      </c>
      <c r="I8" s="29" t="inlineStr">
        <is>
          <t>Evet</t>
        </is>
      </c>
      <c r="J8" s="29" t="inlineStr">
        <is>
          <t>Lisans kanıtları/3e20ce2f8a8e98ef200e674b100dcce40fad7a8dfbba32a5d70918627315adef.html</t>
        </is>
      </c>
      <c r="K8" s="29" t="inlineStr">
        <is>
          <t>3e20ce2f8a8e98ef200e674b100dcce40fad7a8dfbba32a5d70918627315adef</t>
        </is>
      </c>
    </row>
    <row r="9" ht="54" customHeight="1">
      <c r="A9" s="29" t="inlineStr">
        <is>
          <t>malaga:kaynak:002</t>
        </is>
      </c>
      <c r="B9" s="29" t="inlineStr">
        <is>
          <t>malaga</t>
        </is>
      </c>
      <c r="C9" s="29" t="inlineStr">
        <is>
          <t xml:space="preserve">BOE-A-2025-12056 Orden PJC/617/2025, de 13 de junio, por la que se establece el importe de las tasas por tramitación de autorizaciones administrativas y documentos de identidad en </t>
        </is>
      </c>
      <c r="D9" s="29" t="inlineStr">
        <is>
          <t>Agencia Estatal Boletín Oficial del Estado (BOE)</t>
        </is>
      </c>
      <c r="E9" s="29" t="inlineStr">
        <is>
          <t>https://www.boe.es/buscar/doc.php?id=BOE-A-2025-12056</t>
        </is>
      </c>
      <c r="F9" s="49" t="n">
        <v>46319</v>
      </c>
      <c r="G9" s="29" t="inlineStr">
        <is>
          <t>malaga:oturum</t>
        </is>
      </c>
      <c r="H9" s="29" t="inlineStr">
        <is>
          <t>Kart 7 ücret: aile birleşimi tasası 10,94 EUR (Orden PJC/617/2025, 16.06.2025'ten beri; RD 316/2026 buna atıf yapıyor, yenisi bulunamadı)</t>
        </is>
      </c>
      <c r="I9" s="29" t="inlineStr">
        <is>
          <t>Evet</t>
        </is>
      </c>
      <c r="J9" s="29" t="inlineStr">
        <is>
          <t>Lisans kanıtları/3bfdcf55ef3d00c3986989886f8f289d1c3d82b16166f4e0a26d4160feacc248.html</t>
        </is>
      </c>
      <c r="K9" s="29" t="inlineStr">
        <is>
          <t>3bfdcf55ef3d00c3986989886f8f289d1c3d82b16166f4e0a26d4160feacc248</t>
        </is>
      </c>
    </row>
    <row r="10" ht="54" customHeight="1">
      <c r="A10" s="29" t="inlineStr">
        <is>
          <t>malaga:kaynak:003</t>
        </is>
      </c>
      <c r="B10" s="29" t="inlineStr">
        <is>
          <t>malaga</t>
        </is>
      </c>
      <c r="C10" s="29" t="inlineStr">
        <is>
          <t>Extranjería - Certificado de Registro de Ciudadano de la Unión Europea - Sede Electrónica de la Policía Nacional</t>
        </is>
      </c>
      <c r="D10" s="29" t="inlineStr">
        <is>
          <t>Dirección General de la Policía (Policía Nacional) - Sede electrónica</t>
        </is>
      </c>
      <c r="E10" s="29" t="inlineStr">
        <is>
          <t>https://sede.policia.gob.es/portalCiudadano/_es/tramites_extranjeria_tramite_certificadoregistro_ciudadanoue.php</t>
        </is>
      </c>
      <c r="F10" s="49" t="n">
        <v>46319</v>
      </c>
      <c r="G10" s="29" t="inlineStr">
        <is>
          <t>malaga:oturum</t>
        </is>
      </c>
      <c r="H10" s="29" t="inlineStr">
        <is>
          <t>Kart 1 ve 2: AB vatandaşı kayıt sertifikası (yeşil NIE): 3 ay içinde, anında verilir, EX18 + tasa 790-012, sertifikada NIE yer alır</t>
        </is>
      </c>
      <c r="I10" s="29" t="inlineStr">
        <is>
          <t>Evet</t>
        </is>
      </c>
      <c r="J10" s="29" t="inlineStr">
        <is>
          <t>Lisans kanıtları/4b0400f02808e37dfe79c80c2f63bde7cceac00cfa07e1500136c61f165a34ea.html</t>
        </is>
      </c>
      <c r="K10" s="29" t="inlineStr">
        <is>
          <t>4b0400f02808e37dfe79c80c2f63bde7cceac00cfa07e1500136c61f165a34ea</t>
        </is>
      </c>
    </row>
    <row r="11" ht="54" customHeight="1">
      <c r="A11" s="29" t="inlineStr">
        <is>
          <t>malaga:kaynak:004</t>
        </is>
      </c>
      <c r="B11" s="29" t="inlineStr">
        <is>
          <t>malaga</t>
        </is>
      </c>
      <c r="C11" s="29" t="inlineStr">
        <is>
          <t>Tasas de trámites de extranjería (Sede electrónica). Sitio web de la Policía Nacional España</t>
        </is>
      </c>
      <c r="D11" s="29" t="inlineStr">
        <is>
          <t>Dirección General de la Policía (Policía Nacional) - Sede electrónica</t>
        </is>
      </c>
      <c r="E11" s="29" t="inlineStr">
        <is>
          <t>https://sede.policia.gob.es/portalCiudadano/_es/tramites_extranjeria_tasas.php</t>
        </is>
      </c>
      <c r="F11" s="49" t="n">
        <v>46319</v>
      </c>
      <c r="G11" s="29" t="inlineStr">
        <is>
          <t>malaga:oturum</t>
        </is>
      </c>
      <c r="H11" s="29" t="inlineStr">
        <is>
          <t>Kart 2, 4, 6, 15 ücretler (sayfa 24.10.2026 tarihinde güncel, yıl etiketi yok; tutarlar Orden PJC/617/2025 ile aynı): AB kayıt sertifikası 12,00 EUR; TIE ilk 16,08; TIE yenileme 19,30; Brexit TIE 12,00</t>
        </is>
      </c>
      <c r="I11" s="29" t="inlineStr">
        <is>
          <t>Evet</t>
        </is>
      </c>
      <c r="J11" s="29" t="inlineStr">
        <is>
          <t>Lisans kanıtları/49fa384a5d2f0bdbb002b96ec7e0e11979ba77e29deda39e53832333cda3f1f5.html</t>
        </is>
      </c>
      <c r="K11" s="29" t="inlineStr">
        <is>
          <t>49fa384a5d2f0bdbb002b96ec7e0e11979ba77e29deda39e53832333cda3f1f5</t>
        </is>
      </c>
    </row>
    <row r="12" ht="54" customHeight="1">
      <c r="A12" s="29" t="inlineStr">
        <is>
          <t>malaga:kaynak:005</t>
        </is>
      </c>
      <c r="B12" s="29" t="inlineStr">
        <is>
          <t>malaga</t>
        </is>
      </c>
      <c r="C12" s="29" t="inlineStr">
        <is>
          <t>BOE-A-2024-24099 Real Decreto 1155/2024, de 19 de noviembre, por el que se aprueba el Reglamento de la Ley Orgánica 4/2000, de 11 de enero, sobre derechos y libertades de los extra</t>
        </is>
      </c>
      <c r="D12" s="29" t="inlineStr">
        <is>
          <t>Agencia Estatal Boletín Oficial del Estado (BOE)</t>
        </is>
      </c>
      <c r="E12" s="29" t="inlineStr">
        <is>
          <t>https://www.boe.es/buscar/act.php?id=BOE-A-2024-24099</t>
        </is>
      </c>
      <c r="F12" s="49" t="n">
        <v>46319</v>
      </c>
      <c r="G12" s="29" t="inlineStr">
        <is>
          <t>malaga:oturum</t>
        </is>
      </c>
      <c r="H12" s="29" t="inlineStr">
        <is>
          <t>Kart 6: yenileme süresi (bitişten önceki 2 ay, sonraki 3 ay içinde uzatma); konsolide metin 22/09/2026 güncel</t>
        </is>
      </c>
      <c r="I12" s="29" t="inlineStr">
        <is>
          <t>Evet</t>
        </is>
      </c>
      <c r="J12" s="29" t="inlineStr">
        <is>
          <t>Lisans kanıtları/5e089f91bc5332d4c5f27938f0351ca40faa08fefd4959e25458c7558e9789a6.html</t>
        </is>
      </c>
      <c r="K12" s="29" t="inlineStr">
        <is>
          <t>5e089f91bc5332d4c5f27938f0351ca40faa08fefd4959e25458c7558e9789a6</t>
        </is>
      </c>
    </row>
    <row r="13" ht="54" customHeight="1">
      <c r="A13" s="29" t="inlineStr">
        <is>
          <t>malaga:kaynak:006</t>
        </is>
      </c>
      <c r="B13" s="29" t="inlineStr">
        <is>
          <t>malaga</t>
        </is>
      </c>
      <c r="C13" s="29" t="inlineStr">
        <is>
          <t>BOE-A-2007-4184 Real Decreto 240/2007, de 16 de febrero, sobre entrada, libre circulación y residencia en España de ciudadanos de los Estados miembros de la Unión Europea y de otro</t>
        </is>
      </c>
      <c r="D13" s="29" t="inlineStr">
        <is>
          <t>Agencia Estatal Boletín Oficial del Estado (BOE)</t>
        </is>
      </c>
      <c r="E13" s="29" t="inlineStr">
        <is>
          <t>https://www.boe.es/buscar/act.php?id=BOE-A-2007-4184</t>
        </is>
      </c>
      <c r="F13" s="49" t="n">
        <v>46319</v>
      </c>
      <c r="G13" s="29" t="inlineStr">
        <is>
          <t>malaga:oturum</t>
        </is>
      </c>
      <c r="H13" s="29" t="inlineStr">
        <is>
          <t>Kart 5: AB vatandaşı işçi/serbest çalışan olarak 3 aydan uzun kalabilir, İspanyollarla aynı koşullar (art. 3 ve 7)</t>
        </is>
      </c>
      <c r="I13" s="29" t="inlineStr">
        <is>
          <t>Evet</t>
        </is>
      </c>
      <c r="J13" s="29" t="inlineStr">
        <is>
          <t>Lisans kanıtları/17910f67ec73d74619247e9da1e4222672a46596aca8e705d1e98409eb9c0497.html</t>
        </is>
      </c>
      <c r="K13" s="29" t="inlineStr">
        <is>
          <t>17910f67ec73d74619247e9da1e4222672a46596aca8e705d1e98409eb9c0497</t>
        </is>
      </c>
    </row>
    <row r="14" ht="54" customHeight="1">
      <c r="A14" s="29" t="inlineStr">
        <is>
          <t>malaga:kaynak:007</t>
        </is>
      </c>
      <c r="B14" s="29" t="inlineStr">
        <is>
          <t>malaga</t>
        </is>
      </c>
      <c r="C14" s="29" t="inlineStr">
        <is>
          <t>Extranjería - Autorización y renovación residencia temporal por circunstancias excepcionales - Sede Electrónica de la Policía Nacional</t>
        </is>
      </c>
      <c r="D14" s="29" t="inlineStr">
        <is>
          <t>Dirección General de la Policía (Policía Nacional) - Sede electrónica</t>
        </is>
      </c>
      <c r="E14" s="29" t="inlineStr">
        <is>
          <t>https://sede.policia.gob.es/portalCiudadano/_es/tramites_extranjeria_tramite_residenciatemporal_circunstanciasexcepcionales.php</t>
        </is>
      </c>
      <c r="F14" s="49" t="n">
        <v>46319</v>
      </c>
      <c r="G14" s="29" t="inlineStr">
        <is>
          <t>malaga:oturum</t>
        </is>
      </c>
      <c r="H14" s="29" t="inlineStr">
        <is>
          <t>Kart 9: arraigo başvurusu EX10 + tasa 790-012, şartlar RD 1155/2024 Título VII</t>
        </is>
      </c>
      <c r="I14" s="29" t="inlineStr">
        <is>
          <t>Evet</t>
        </is>
      </c>
      <c r="J14" s="29" t="inlineStr">
        <is>
          <t>Lisans kanıtları/5d3b72ce1509a66ca2f594b1c5d83d679b307298226409c53c36c60cf5105b6d.html</t>
        </is>
      </c>
      <c r="K14" s="29" t="inlineStr">
        <is>
          <t>5d3b72ce1509a66ca2f594b1c5d83d679b307298226409c53c36c60cf5105b6d</t>
        </is>
      </c>
    </row>
    <row r="15" ht="54" customHeight="1">
      <c r="A15" s="29" t="inlineStr">
        <is>
          <t>malaga:kaynak:008</t>
        </is>
      </c>
      <c r="B15" s="29" t="inlineStr">
        <is>
          <t>malaga</t>
        </is>
      </c>
      <c r="C15" s="29" t="inlineStr">
        <is>
          <t>Requisitos Visado Nómadas</t>
        </is>
      </c>
      <c r="D15" s="29" t="inlineStr">
        <is>
          <t>Ministerio de Asuntos Exteriores, Unión Europea y Cooperación (Consulado General en Estambul)</t>
        </is>
      </c>
      <c r="E15" s="29" t="inlineStr">
        <is>
          <t>https://www.exteriores.gob.es/Consulados/estambul/es/Comunicacion/Noticias/Paginas/Articulos/Requisitos-Visado-Teletrabajo.aspx</t>
        </is>
      </c>
      <c r="F15" s="49" t="n">
        <v>46319</v>
      </c>
      <c r="G15" s="29" t="inlineStr">
        <is>
          <t>malaga:oturum</t>
        </is>
      </c>
      <c r="H15" s="29" t="inlineStr">
        <is>
          <t>Kart 10 gelir eşiği: SMI'nin %200'ü (aile: ilk kişi %75, diğerleri %25); sayfa tarihi 7 Ocak 2025, 2026 SMI rakamı sayfada yok</t>
        </is>
      </c>
      <c r="I15" s="29" t="inlineStr">
        <is>
          <t>Evet</t>
        </is>
      </c>
      <c r="J15" s="29" t="inlineStr">
        <is>
          <t>Lisans kanıtları/0b16e2f5b518dabc9ddf8fa297df720813d778b0abe87ff192578eb832e9ef8a.html</t>
        </is>
      </c>
      <c r="K15" s="29" t="inlineStr">
        <is>
          <t>0b16e2f5b518dabc9ddf8fa297df720813d778b0abe87ff192578eb832e9ef8a</t>
        </is>
      </c>
    </row>
    <row r="16" ht="54" customHeight="1">
      <c r="A16" s="29" t="inlineStr">
        <is>
          <t>malaga:kaynak:009</t>
        </is>
      </c>
      <c r="B16" s="29" t="inlineStr">
        <is>
          <t>malaga</t>
        </is>
      </c>
      <c r="C16" s="29" t="inlineStr">
        <is>
          <t>BOE-A-2026-3815 Real Decreto 126/2026, de 18 de febrero, por el que se fija el salario mínimo interprofesional para 2026.</t>
        </is>
      </c>
      <c r="D16" s="29" t="inlineStr">
        <is>
          <t>Boletín Oficial del Estado</t>
        </is>
      </c>
      <c r="E16" s="29" t="inlineStr">
        <is>
          <t>https://www.boe.es/diario_boe/txt.php?id=BOE-A-2026-3815</t>
        </is>
      </c>
      <c r="F16" s="49" t="n">
        <v>46319</v>
      </c>
      <c r="G16" s="29" t="inlineStr">
        <is>
          <t>malaga:oturum</t>
        </is>
      </c>
      <c r="H16" s="29" t="inlineStr">
        <is>
          <t>2026 asgari ücret tutarı (dijital göçebe vizesi gelir şartı için).</t>
        </is>
      </c>
      <c r="I16" s="29" t="inlineStr">
        <is>
          <t>Evet</t>
        </is>
      </c>
      <c r="J16" s="29" t="inlineStr">
        <is>
          <t>Lisans kanıtları/a88d31e5dce050c16ee9d9ef701dc59bf5b839b2d1e2bbcc5349d3cf350601b6.html</t>
        </is>
      </c>
      <c r="K16" s="29" t="inlineStr">
        <is>
          <t>a88d31e5dce050c16ee9d9ef701dc59bf5b839b2d1e2bbcc5349d3cf350601b6</t>
        </is>
      </c>
    </row>
    <row r="17" ht="54" customHeight="1">
      <c r="A17" s="29" t="inlineStr">
        <is>
          <t>malaga:kaynak:010</t>
        </is>
      </c>
      <c r="B17" s="29" t="inlineStr">
        <is>
          <t>malaga</t>
        </is>
      </c>
      <c r="C17" s="29" t="inlineStr">
        <is>
          <t>Servicios consulares</t>
        </is>
      </c>
      <c r="D17" s="29" t="inlineStr">
        <is>
          <t>Ministerio de Asuntos Exteriores, Consulado General de España en Estambul</t>
        </is>
      </c>
      <c r="E17" s="29" t="inlineStr">
        <is>
          <t>https://www.exteriores.gob.es/Consulados/estambul/es/ServiciosConsulares/Paginas/index.aspx?scca=Visados&amp;scco=Turqu%C3%ADa&amp;scd=141&amp;scs=Visados+Nacionales+-+Visado+de+residencia+no+lucrativa</t>
        </is>
      </c>
      <c r="F17" s="49" t="n">
        <v>46319</v>
      </c>
      <c r="G17" s="29" t="inlineStr">
        <is>
          <t>malaga:oturum</t>
        </is>
      </c>
      <c r="H17" s="29" t="inlineStr">
        <is>
          <t>İstanbul Başkonsolosluğu'nun NLV şartları ve başvuru yolu.</t>
        </is>
      </c>
      <c r="I17" s="29" t="inlineStr">
        <is>
          <t>Evet</t>
        </is>
      </c>
      <c r="J17" s="29" t="inlineStr">
        <is>
          <t>Lisans kanıtları/894bd3ef10fca2eaa4ec3bb8f19f8f0f7af06f6d11e083622b3b93dc5769f3ff.html</t>
        </is>
      </c>
      <c r="K17" s="29" t="inlineStr">
        <is>
          <t>894bd3ef10fca2eaa4ec3bb8f19f8f0f7af06f6d11e083622b3b93dc5769f3ff</t>
        </is>
      </c>
    </row>
    <row r="18" ht="54" customHeight="1">
      <c r="A18" s="29" t="inlineStr">
        <is>
          <t>malaga:kaynak:011</t>
        </is>
      </c>
      <c r="B18" s="29" t="inlineStr">
        <is>
          <t>malaga</t>
        </is>
      </c>
      <c r="C18" s="29" t="inlineStr">
        <is>
          <t>Non-lucrative residence visa</t>
        </is>
      </c>
      <c r="D18" s="29" t="inlineStr">
        <is>
          <t>Ministerio de Asuntos Exteriores, Unión Europea y Cooperación (Embajada en Nueva Delhi)</t>
        </is>
      </c>
      <c r="E18" s="29" t="inlineStr">
        <is>
          <t>https://www.exteriores.gob.es/Embajadas/nuevadelhi/en/ServiciosConsulares/Paginas/Consular/Visado-de-residencia-no-lucrativa.aspx</t>
        </is>
      </c>
      <c r="F18" s="49" t="n">
        <v>46319</v>
      </c>
      <c r="G18" s="29" t="inlineStr">
        <is>
          <t>malaga:oturum</t>
        </is>
      </c>
      <c r="H18" s="29" t="inlineStr">
        <is>
          <t>Kart 11 gelir eşiği: IPREM %400 = 2.400 EUR/ay (2026), aile bireyi başına 600 EUR; sayfa 2026 yılını açıkça yazıyor (sayfa İngilizce)</t>
        </is>
      </c>
      <c r="I18" s="29" t="inlineStr">
        <is>
          <t>Evet</t>
        </is>
      </c>
      <c r="J18" s="29" t="inlineStr">
        <is>
          <t>Lisans kanıtları/9672ef220f15ec089885a85495831fa005f819140fb9394c31b9bb5ac8b3b11c.html</t>
        </is>
      </c>
      <c r="K18" s="29" t="inlineStr">
        <is>
          <t>9672ef220f15ec089885a85495831fa005f819140fb9394c31b9bb5ac8b3b11c</t>
        </is>
      </c>
    </row>
    <row r="19" ht="54" customHeight="1">
      <c r="A19" s="29" t="inlineStr">
        <is>
          <t>malaga:kaynak:012</t>
        </is>
      </c>
      <c r="B19" s="29" t="inlineStr">
        <is>
          <t>malaga</t>
        </is>
      </c>
      <c r="C19" s="29" t="inlineStr">
        <is>
          <t>BOE-A-2025-76 Ley Orgánica 1/2025, de 2 de enero, de medidas en materia de eficiencia del Servicio Público de Justicia.</t>
        </is>
      </c>
      <c r="D19" s="29" t="inlineStr">
        <is>
          <t>Agencia Estatal Boletín Oficial del Estado (BOE)</t>
        </is>
      </c>
      <c r="E19" s="29" t="inlineStr">
        <is>
          <t>https://www.boe.es/buscar/act.php?id=BOE-A-2025-76</t>
        </is>
      </c>
      <c r="F19" s="49" t="n">
        <v>46319</v>
      </c>
      <c r="G19" s="29" t="inlineStr">
        <is>
          <t>malaga:oturum</t>
        </is>
      </c>
      <c r="H19" s="29" t="inlineStr">
        <is>
          <t>Kart 12: yatırımcı/altın vize (Ley 14/2013 art. 63-67) yürürlükten kalktı; yürürlük 03/04/2025</t>
        </is>
      </c>
      <c r="I19" s="29" t="inlineStr">
        <is>
          <t>Evet</t>
        </is>
      </c>
      <c r="J19" s="29" t="inlineStr">
        <is>
          <t>Lisans kanıtları/e1ff140b426ba22a087a5a261cb8ffa04b512fef654677c9cd2163e3628344fa.html</t>
        </is>
      </c>
      <c r="K19" s="29" t="inlineStr">
        <is>
          <t>e1ff140b426ba22a087a5a261cb8ffa04b512fef654677c9cd2163e3628344fa</t>
        </is>
      </c>
    </row>
    <row r="20" ht="54" customHeight="1">
      <c r="A20" s="29" t="inlineStr">
        <is>
          <t>malaga:kaynak:013</t>
        </is>
      </c>
      <c r="B20" s="29" t="inlineStr">
        <is>
          <t>malaga</t>
        </is>
      </c>
      <c r="C20" s="29" t="inlineStr">
        <is>
          <t>La Moncloa. El 3 de abril entra en vigor el fin de las 'Golden Visa' | 02/04/2025 [Prensa/Actualidad/Vivienda y Agenda Urbana]</t>
        </is>
      </c>
      <c r="D20" s="29" t="inlineStr">
        <is>
          <t>La Moncloa - Gobierno de España</t>
        </is>
      </c>
      <c r="E20" s="29" t="inlineStr">
        <is>
          <t>https://www.lamoncloa.gob.es/serviciosdeprensa/notasprensa/vivienda-agenda-urbana/paginas/2025/020425-fin-golden-visa.aspx</t>
        </is>
      </c>
      <c r="F20" s="49" t="n">
        <v>46319</v>
      </c>
      <c r="G20" s="29" t="inlineStr">
        <is>
          <t>malaga:oturum</t>
        </is>
      </c>
      <c r="H20" s="29" t="inlineStr">
        <is>
          <t>Kart 12: resmi basın notu 02/04/2025, golden visa 3 Nisan 2025'te sona erdi</t>
        </is>
      </c>
      <c r="I20" s="29" t="inlineStr">
        <is>
          <t>Evet</t>
        </is>
      </c>
      <c r="J20" s="29" t="inlineStr">
        <is>
          <t>Lisans kanıtları/4183a8be0a21993076e5a45854fd7c9c42dba3da84f3054a007e584e3698cae3.html</t>
        </is>
      </c>
      <c r="K20" s="29" t="inlineStr">
        <is>
          <t>4183a8be0a21993076e5a45854fd7c9c42dba3da84f3054a007e584e3698cae3</t>
        </is>
      </c>
    </row>
    <row r="21" ht="54" customHeight="1">
      <c r="A21" s="29" t="inlineStr">
        <is>
          <t>malaga:kaynak:014</t>
        </is>
      </c>
      <c r="B21" s="29" t="inlineStr">
        <is>
          <t>malaga</t>
        </is>
      </c>
      <c r="C21" s="29" t="inlineStr">
        <is>
          <t>BOE-A-1889-4763 Real Decreto de 24 de julio de 1889 por el que se publica el Código Civil.</t>
        </is>
      </c>
      <c r="D21" s="29" t="inlineStr">
        <is>
          <t>Agencia Estatal Boletín Oficial del Estado (BOE)</t>
        </is>
      </c>
      <c r="E21" s="29" t="inlineStr">
        <is>
          <t>https://www.boe.es/buscar/act.php?id=BOE-A-1889-4763</t>
        </is>
      </c>
      <c r="F21" s="49" t="n">
        <v>46319</v>
      </c>
      <c r="G21" s="29" t="inlineStr">
        <is>
          <t>malaga:oturum</t>
        </is>
      </c>
      <c r="H21" s="29" t="inlineStr">
        <is>
          <t>Kart 14: vatandaşlık için 10 yıl (mülteci 5; İberoamerika/Andorra/Filipinler/Ekvator Ginesi/Portekiz/Sefarad 2 yıl)</t>
        </is>
      </c>
      <c r="I21" s="29" t="inlineStr">
        <is>
          <t>Evet</t>
        </is>
      </c>
      <c r="J21" s="29" t="inlineStr">
        <is>
          <t>Lisans kanıtları/b128a04d0de811a5533a933653e17871077bf5440787ab0f32b23f5b9e21886d.html</t>
        </is>
      </c>
      <c r="K21" s="29" t="inlineStr">
        <is>
          <t>b128a04d0de811a5533a933653e17871077bf5440787ab0f32b23f5b9e21886d</t>
        </is>
      </c>
    </row>
    <row r="22" ht="54" customHeight="1">
      <c r="A22" s="29" t="inlineStr">
        <is>
          <t>malaga:kaynak:015</t>
        </is>
      </c>
      <c r="B22" s="29" t="inlineStr">
        <is>
          <t>malaga</t>
        </is>
      </c>
      <c r="C22" s="29" t="inlineStr">
        <is>
          <t>BOE-A-2015-12047 Real Decreto 1004/2015, de 6 de noviembre, por el que se aprueba el Reglamento por el que se regula el procedimiento para la adquisición de la nacionalidad español</t>
        </is>
      </c>
      <c r="D22" s="29" t="inlineStr">
        <is>
          <t>Boletín Oficial del Estado</t>
        </is>
      </c>
      <c r="E22" s="29" t="inlineStr">
        <is>
          <t>https://www.boe.es/buscar/act.php?id=BOE-A-2015-12047</t>
        </is>
      </c>
      <c r="F22" s="49" t="n">
        <v>46319</v>
      </c>
      <c r="G22" s="29" t="inlineStr">
        <is>
          <t>malaga:oturum</t>
        </is>
      </c>
      <c r="H22" s="29" t="inlineStr">
        <is>
          <t>Vatandaşlıkta DELE A2 ve CCSE sınavı şartı.</t>
        </is>
      </c>
      <c r="I22" s="29" t="inlineStr">
        <is>
          <t>Evet</t>
        </is>
      </c>
      <c r="J22" s="29" t="inlineStr">
        <is>
          <t>Lisans kanıtları/cbbcf4d994205d4f9b3a3866ea9eb0c871d0d400fea2b11248f37c86b8900991.html</t>
        </is>
      </c>
      <c r="K22" s="29" t="inlineStr">
        <is>
          <t>cbbcf4d994205d4f9b3a3866ea9eb0c871d0d400fea2b11248f37c86b8900991</t>
        </is>
      </c>
    </row>
    <row r="23" ht="54" customHeight="1">
      <c r="A23" s="29" t="inlineStr">
        <is>
          <t>malaga:kaynak:016</t>
        </is>
      </c>
      <c r="B23" s="29" t="inlineStr">
        <is>
          <t>malaga</t>
        </is>
      </c>
      <c r="C23" s="29" t="inlineStr">
        <is>
          <t>BOE-A-2020-7276 Resolución de 2 de julio de 2020, de la Subsecretaría, por la que se publica la Instrucción conjunta de la Dirección General de Migraciones y de la Dirección Genera</t>
        </is>
      </c>
      <c r="D23" s="29" t="inlineStr">
        <is>
          <t>Agencia Estatal Boletín Oficial del Estado (BOE)</t>
        </is>
      </c>
      <c r="E23" s="29" t="inlineStr">
        <is>
          <t>https://www.boe.es/diario_boe/txt.php?id=BOE-A-2020-7276</t>
        </is>
      </c>
      <c r="F23" s="49" t="n">
        <v>46319</v>
      </c>
      <c r="G23" s="29" t="inlineStr">
        <is>
          <t>malaga:oturum</t>
        </is>
      </c>
      <c r="H23" s="29" t="inlineStr">
        <is>
          <t>Kart 15: Brexit sonrası İngiliz vatandaşı için Geri Çekilme Anlaşması art. 18.4 ikamet belgesi (2020 talimatı; ücret tasas sayfasında)</t>
        </is>
      </c>
      <c r="I23" s="29" t="inlineStr">
        <is>
          <t>Evet</t>
        </is>
      </c>
      <c r="J23" s="29" t="inlineStr">
        <is>
          <t>Lisans kanıtları/9c9ffb0d0ed4f74c698d2ed6087b0b1e81058f060b14451b8cace53f0380752d.html</t>
        </is>
      </c>
      <c r="K23" s="29" t="inlineStr">
        <is>
          <t>9c9ffb0d0ed4f74c698d2ed6087b0b1e81058f060b14451b8cace53f0380752d</t>
        </is>
      </c>
    </row>
    <row r="24" ht="54" customHeight="1">
      <c r="A24" s="29" t="inlineStr">
        <is>
          <t>malaga:kaynak:017</t>
        </is>
      </c>
      <c r="B24" s="29" t="inlineStr">
        <is>
          <t>malaga</t>
        </is>
      </c>
      <c r="C24" s="29" t="inlineStr">
        <is>
          <t>BOE-A-1985-5392 Ley 7/1985, de 2 de abril, Reguladora de las Bases del Régimen Local</t>
        </is>
      </c>
      <c r="D24" s="29" t="inlineStr">
        <is>
          <t>Agencia Estatal Boletín Oficial del Estado (BOE)</t>
        </is>
      </c>
      <c r="E24" s="29" t="inlineStr">
        <is>
          <t>https://www.boe.es/buscar/act.php?id=BOE-A-1985-5392</t>
        </is>
      </c>
      <c r="F24" s="49" t="n">
        <v>46319</v>
      </c>
      <c r="G24" s="29" t="inlineStr">
        <is>
          <t>malaga:resmi</t>
        </is>
      </c>
      <c r="H24" s="29" t="inlineStr">
        <is>
          <t>Kart 1: empadronamiento zorunlu; padrón belediye idari kaydı, ikametin kanıtı</t>
        </is>
      </c>
      <c r="I24" s="29" t="inlineStr">
        <is>
          <t>Evet</t>
        </is>
      </c>
      <c r="J24" s="29" t="inlineStr">
        <is>
          <t>Lisans kanıtları/c60f69f4fe90497e33ed040a89d04a2b7059273e34ffd1493ab9faaa0fd1decd.html</t>
        </is>
      </c>
      <c r="K24" s="29" t="inlineStr">
        <is>
          <t>c60f69f4fe90497e33ed040a89d04a2b7059273e34ffd1493ab9faaa0fd1decd</t>
        </is>
      </c>
    </row>
    <row r="25" ht="54" customHeight="1">
      <c r="A25" s="29" t="inlineStr">
        <is>
          <t>malaga:kaynak:018</t>
        </is>
      </c>
      <c r="B25" s="29" t="inlineStr">
        <is>
          <t>malaga</t>
        </is>
      </c>
      <c r="C25" s="29" t="inlineStr">
        <is>
          <t>BOE-A-2020-4784 Resolución de 29 de abril de 2020, de la Subsecretaría, por la que se publica la Resolución de 17 de febrero de 2020, de la Presidencia del Instituto Nacional de Es</t>
        </is>
      </c>
      <c r="D25" s="29" t="inlineStr">
        <is>
          <t>Agencia Estatal Boletín Oficial del Estado (BOE)</t>
        </is>
      </c>
      <c r="E25" s="29" t="inlineStr">
        <is>
          <t>https://www.boe.es/buscar/doc.php?id=BOE-A-2020-4784</t>
        </is>
      </c>
      <c r="F25" s="49" t="n">
        <v>46319</v>
      </c>
      <c r="G25" s="29" t="inlineStr">
        <is>
          <t>malaga:resmi</t>
        </is>
      </c>
      <c r="H25" s="29" t="inlineStr">
        <is>
          <t>Kart 2: certificado (kesin kanıt) ile volante (yalnız bilgilendirici) farkı</t>
        </is>
      </c>
      <c r="I25" s="29" t="inlineStr">
        <is>
          <t>Evet</t>
        </is>
      </c>
      <c r="J25" s="29" t="inlineStr">
        <is>
          <t>Lisans kanıtları/368697ed87bc228f3fa50f95f6d93d47537da5dd31dabcb9ab26acf35dc11416.html</t>
        </is>
      </c>
      <c r="K25" s="29" t="inlineStr">
        <is>
          <t>368697ed87bc228f3fa50f95f6d93d47537da5dd31dabcb9ab26acf35dc11416</t>
        </is>
      </c>
    </row>
    <row r="26" ht="54" customHeight="1">
      <c r="A26" s="29" t="inlineStr">
        <is>
          <t>malaga:kaynak:019</t>
        </is>
      </c>
      <c r="B26" s="29" t="inlineStr">
        <is>
          <t>malaga</t>
        </is>
      </c>
      <c r="C26" s="29" t="inlineStr">
        <is>
          <t>Seguridad Social: Afiliación</t>
        </is>
      </c>
      <c r="D26" s="29" t="inlineStr">
        <is>
          <t>Seguridad Social (Tesorería General de la Seguridad Social)</t>
        </is>
      </c>
      <c r="E26" s="29" t="inlineStr">
        <is>
          <t>https://www.seg-social.es/wps/portal/wss/internet/Trabajadores/Afiliacion/10817/31190/2194/160060?changeLanguage=es</t>
        </is>
      </c>
      <c r="F26" s="49" t="n">
        <v>46319</v>
      </c>
      <c r="G26" s="29" t="inlineStr">
        <is>
          <t>malaga:resmi</t>
        </is>
      </c>
      <c r="H26" s="29" t="inlineStr">
        <is>
          <t>Kart 3: SS numarası çevrimiçi servis veya TA.1 formu ile</t>
        </is>
      </c>
      <c r="I26" s="29" t="inlineStr">
        <is>
          <t>Evet</t>
        </is>
      </c>
      <c r="J26" s="29" t="inlineStr">
        <is>
          <t>Lisans kanıtları/3b2400542e4e5bdd299a40439c1cdd1e64b521d1080c78b54b558c40e1446cdf.html</t>
        </is>
      </c>
      <c r="K26" s="29" t="inlineStr">
        <is>
          <t>3b2400542e4e5bdd299a40439c1cdd1e64b521d1080c78b54b558c40e1446cdf</t>
        </is>
      </c>
    </row>
    <row r="27" ht="54" customHeight="1">
      <c r="A27" s="29" t="inlineStr">
        <is>
          <t>malaga:kaynak:020</t>
        </is>
      </c>
      <c r="B27" s="29" t="inlineStr">
        <is>
          <t>malaga</t>
        </is>
      </c>
      <c r="C27" s="29" t="inlineStr">
        <is>
          <t>Categorias</t>
        </is>
      </c>
      <c r="D27" s="29" t="inlineStr">
        <is>
          <t>Seguridad Social - Tesorería General (Import@ss)</t>
        </is>
      </c>
      <c r="E27" s="29" t="inlineStr">
        <is>
          <t>https://portal.seg-social.gob.es/wps/portal/importass/importass/Categorias/Vida+laboral+e+informes/Informes+sobre+tu+situacion+laboral/Informe+de+tu+vida+laboral</t>
        </is>
      </c>
      <c r="F27" s="49" t="n">
        <v>46319</v>
      </c>
      <c r="G27" s="29" t="inlineStr">
        <is>
          <t>malaga:resmi</t>
        </is>
      </c>
      <c r="H27" s="29" t="inlineStr">
        <is>
          <t>Kart 4: vida laboral raporu ne ve hangi kimlik doğrulamayla alınır</t>
        </is>
      </c>
      <c r="I27" s="29" t="inlineStr">
        <is>
          <t>Evet</t>
        </is>
      </c>
      <c r="J27" s="29" t="inlineStr">
        <is>
          <t>Lisans kanıtları/d532fcd15b230c0ce05a3747da15ebb81e8b1547b35f8e8312d7f5e9dd73a799.html</t>
        </is>
      </c>
      <c r="K27" s="29" t="inlineStr">
        <is>
          <t>d532fcd15b230c0ce05a3747da15ebb81e8b1547b35f8e8312d7f5e9dd73a799</t>
        </is>
      </c>
    </row>
    <row r="28" ht="54" customHeight="1">
      <c r="A28" s="29" t="inlineStr">
        <is>
          <t>malaga:kaynak:021</t>
        </is>
      </c>
      <c r="B28" s="29" t="inlineStr">
        <is>
          <t>malaga</t>
        </is>
      </c>
      <c r="C28" s="29" t="inlineStr">
        <is>
          <t>Agencia Tributaria: NIF Persona física</t>
        </is>
      </c>
      <c r="D28" s="29" t="inlineStr">
        <is>
          <t>Agencia Tributaria (AEAT)</t>
        </is>
      </c>
      <c r="E28" s="29" t="inlineStr">
        <is>
          <t>https://sede.agenciatributaria.gob.es/Sede/censos-nif-domicilio-fiscal/solicitar-nif/nif-persona-fisica.html</t>
        </is>
      </c>
      <c r="F28" s="49" t="n">
        <v>46319</v>
      </c>
      <c r="G28" s="29" t="inlineStr">
        <is>
          <t>malaga:resmi</t>
        </is>
      </c>
      <c r="H28" s="29" t="inlineStr">
        <is>
          <t>Kart 5: NIE yoksa vergi numarası (NIF) AEAT'tan; NIE varsa NIF=NIE</t>
        </is>
      </c>
      <c r="I28" s="29" t="inlineStr">
        <is>
          <t>Evet</t>
        </is>
      </c>
      <c r="J28" s="29" t="inlineStr">
        <is>
          <t>Lisans kanıtları/c2ecdbc7bbd8dbfa1f836abfa6f014a3869c697ebf40be683c85f5a6ac63c8a6.html</t>
        </is>
      </c>
      <c r="K28" s="29" t="inlineStr">
        <is>
          <t>c2ecdbc7bbd8dbfa1f836abfa6f014a3869c697ebf40be683c85f5a6ac63c8a6</t>
        </is>
      </c>
    </row>
    <row r="29" ht="54" customHeight="1">
      <c r="A29" s="29" t="inlineStr">
        <is>
          <t>malaga:kaynak:022</t>
        </is>
      </c>
      <c r="B29" s="29" t="inlineStr">
        <is>
          <t>malaga</t>
        </is>
      </c>
      <c r="C29" s="29" t="inlineStr">
        <is>
          <t>Cl@ve | ¿Qué es Cl@ve Permanente?</t>
        </is>
      </c>
      <c r="D29" s="29" t="inlineStr">
        <is>
          <t>Gobierno de España - Cl@ve (clave.gob.es)</t>
        </is>
      </c>
      <c r="E29" s="29" t="inlineStr">
        <is>
          <t>https://clave.gob.es/clave-permanente/que-es</t>
        </is>
      </c>
      <c r="F29" s="49" t="n">
        <v>46319</v>
      </c>
      <c r="G29" s="29" t="inlineStr">
        <is>
          <t>malaga:resmi</t>
        </is>
      </c>
      <c r="H29" s="29" t="inlineStr">
        <is>
          <t>Kart 6: Cl@ve Permanente kalıcı şifre ile (DNI/NIE + şifre)</t>
        </is>
      </c>
      <c r="I29" s="29" t="inlineStr">
        <is>
          <t>Evet</t>
        </is>
      </c>
      <c r="J29" s="29" t="inlineStr">
        <is>
          <t>Lisans kanıtları/60fac516ad088d98c87e1ffc38244027147f93f51b0a9f56186556f5f91c32b1.html</t>
        </is>
      </c>
      <c r="K29" s="29" t="inlineStr">
        <is>
          <t>60fac516ad088d98c87e1ffc38244027147f93f51b0a9f56186556f5f91c32b1</t>
        </is>
      </c>
    </row>
    <row r="30" ht="54" customHeight="1">
      <c r="A30" s="29" t="inlineStr">
        <is>
          <t>malaga:kaynak:023</t>
        </is>
      </c>
      <c r="B30" s="29" t="inlineStr">
        <is>
          <t>malaga</t>
        </is>
      </c>
      <c r="C30" s="29" t="inlineStr">
        <is>
          <t>Cl@ve | The Cl@ve app</t>
        </is>
      </c>
      <c r="D30" s="29" t="inlineStr">
        <is>
          <t>Gobierno de España, Cl@ve</t>
        </is>
      </c>
      <c r="E30" s="29" t="inlineStr">
        <is>
          <t>https://clave.gob.es/en/clave-movil/app-clave</t>
        </is>
      </c>
      <c r="F30" s="49" t="n">
        <v>46319</v>
      </c>
      <c r="G30" s="29" t="inlineStr">
        <is>
          <t>malaga:oturum</t>
        </is>
      </c>
      <c r="H30" s="29" t="inlineStr">
        <is>
          <t>Eski Cl@ve PIN uygulamasının yeni Cl@ve uygulamasına dönüşmesi ve Cl@ve Móvil.</t>
        </is>
      </c>
      <c r="I30" s="29" t="inlineStr">
        <is>
          <t>Evet</t>
        </is>
      </c>
      <c r="J30" s="29" t="inlineStr">
        <is>
          <t>Lisans kanıtları/c15a7ebe11d4d9349d6a0df1dff04536d7690f5c222c937283e78615c293ac59.html</t>
        </is>
      </c>
      <c r="K30" s="29" t="inlineStr">
        <is>
          <t>c15a7ebe11d4d9349d6a0df1dff04536d7690f5c222c937283e78615c293ac59</t>
        </is>
      </c>
    </row>
    <row r="31" ht="54" customHeight="1">
      <c r="A31" s="29" t="inlineStr">
        <is>
          <t>malaga:kaynak:024</t>
        </is>
      </c>
      <c r="B31" s="29" t="inlineStr">
        <is>
          <t>malaga</t>
        </is>
      </c>
      <c r="C31" s="29" t="inlineStr">
        <is>
          <t>Certificado con Acreditación Presencial - Sede</t>
        </is>
      </c>
      <c r="D31" s="29" t="inlineStr">
        <is>
          <t>Fábrica Nacional de Moneda y Timbre (FNMT)</t>
        </is>
      </c>
      <c r="E31" s="29" t="inlineStr">
        <is>
          <t>https://www.sede.fnmt.gob.es/certificados/persona-fisica/obtener-certificado-software</t>
        </is>
      </c>
      <c r="F31" s="49" t="n">
        <v>46319</v>
      </c>
      <c r="G31" s="29" t="inlineStr">
        <is>
          <t>malaga:resmi</t>
        </is>
      </c>
      <c r="H31" s="29" t="inlineStr">
        <is>
          <t>Kart 7: FNMT sertifikası adımları (başvuru kodu, ofiste kimlik doğrulama, indirme)</t>
        </is>
      </c>
      <c r="I31" s="29" t="inlineStr">
        <is>
          <t>Evet</t>
        </is>
      </c>
      <c r="J31" s="29" t="inlineStr">
        <is>
          <t>Lisans kanıtları/f9fa6b466c9febeb87d5eb6f1b65c6e376e5194eb7b941e7efe9436b71597070.html</t>
        </is>
      </c>
      <c r="K31" s="29" t="inlineStr">
        <is>
          <t>f9fa6b466c9febeb87d5eb6f1b65c6e376e5194eb7b941e7efe9436b71597070</t>
        </is>
      </c>
    </row>
    <row r="32" ht="54" customHeight="1">
      <c r="A32" s="29" t="inlineStr">
        <is>
          <t>malaga:kaynak:025</t>
        </is>
      </c>
      <c r="B32" s="29" t="inlineStr">
        <is>
          <t>malaga</t>
        </is>
      </c>
      <c r="C32" s="29" t="inlineStr">
        <is>
          <t>Traductores/as - Intérpretes Jurados/as</t>
        </is>
      </c>
      <c r="D32" s="29" t="inlineStr">
        <is>
          <t>Ministerio de Asuntos Exteriores, Unión Europea y Cooperación</t>
        </is>
      </c>
      <c r="E32" s="29" t="inlineStr">
        <is>
          <t>https://www.exteriores.gob.es/es/ServiciosAlCiudadano/Paginas/Traductores-Interpretes-Jurados.aspx</t>
        </is>
      </c>
      <c r="F32" s="49" t="n">
        <v>46319</v>
      </c>
      <c r="G32" s="29" t="inlineStr">
        <is>
          <t>malaga:resmi</t>
        </is>
      </c>
      <c r="H32" s="29" t="inlineStr">
        <is>
          <t>Kart 8: yeminli tercüme resmi geçerlidir; ücret serbest piyasa, sayfada tutar yok</t>
        </is>
      </c>
      <c r="I32" s="29" t="inlineStr">
        <is>
          <t>Evet</t>
        </is>
      </c>
      <c r="J32" s="29" t="inlineStr">
        <is>
          <t>Lisans kanıtları/15cf103501e9949d916abcf83589d731e0765f01108325dcb423cf656b06c6df.html</t>
        </is>
      </c>
      <c r="K32" s="29" t="inlineStr">
        <is>
          <t>15cf103501e9949d916abcf83589d731e0765f01108325dcb423cf656b06c6df</t>
        </is>
      </c>
    </row>
    <row r="33" ht="54" customHeight="1">
      <c r="A33" s="29" t="inlineStr">
        <is>
          <t>malaga:kaynak:026</t>
        </is>
      </c>
      <c r="B33" s="29" t="inlineStr">
        <is>
          <t>malaga</t>
        </is>
      </c>
      <c r="C33" s="29" t="inlineStr">
        <is>
          <t>Legalización Única o Apostilla de la Haya - Trámites y Gestiones Personales</t>
        </is>
      </c>
      <c r="D33" s="29" t="inlineStr">
        <is>
          <t>Ministerio de Justicia</t>
        </is>
      </c>
      <c r="E33" s="29" t="inlineStr">
        <is>
          <t>https://www.mjusticia.gob.es/es/ciudadania/tramites/legalizacion-unica-apostilla</t>
        </is>
      </c>
      <c r="F33" s="49" t="n">
        <v>46319</v>
      </c>
      <c r="G33" s="29" t="inlineStr">
        <is>
          <t>malaga:resmi</t>
        </is>
      </c>
      <c r="H33" s="29" t="inlineStr">
        <is>
          <t>Kart 8: apostil kimden alınır (noter belgeleri yalnız Colegio de Notarios); apostil ücreti sayfada yok</t>
        </is>
      </c>
      <c r="I33" s="29" t="inlineStr">
        <is>
          <t>Evet</t>
        </is>
      </c>
      <c r="J33" s="29" t="inlineStr">
        <is>
          <t>Lisans kanıtları/30bfe0df74ce4ef5f3db85b3f9e2a0d5d8376f3c01a7548a191fa8fdce568d70.html</t>
        </is>
      </c>
      <c r="K33" s="29" t="inlineStr">
        <is>
          <t>30bfe0df74ce4ef5f3db85b3f9e2a0d5d8376f3c01a7548a191fa8fdce568d70</t>
        </is>
      </c>
    </row>
    <row r="34" ht="54" customHeight="1">
      <c r="A34" s="29" t="inlineStr">
        <is>
          <t>malaga:kaynak:027</t>
        </is>
      </c>
      <c r="B34" s="29" t="inlineStr">
        <is>
          <t>malaga</t>
        </is>
      </c>
      <c r="C34" s="29" t="inlineStr">
        <is>
          <t>BOE-A-1989-28111 Real Decreto 1426/1989, de 17 de noviembre, por el que se aprueba el Arancel de los Notarios.</t>
        </is>
      </c>
      <c r="D34" s="29" t="inlineStr">
        <is>
          <t>Agencia Estatal Boletín Oficial del Estado (BOE)</t>
        </is>
      </c>
      <c r="E34" s="29" t="inlineStr">
        <is>
          <t>https://www.boe.es/buscar/act.php?id=BOE-A-1989-28111</t>
        </is>
      </c>
      <c r="F34" s="49" t="n">
        <v>46319</v>
      </c>
      <c r="G34" s="29" t="inlineStr">
        <is>
          <t>malaga:resmi</t>
        </is>
      </c>
      <c r="H34" s="29" t="inlineStr">
        <is>
          <t>Kart 9: noter harçları (vekaletname 30,050605 EUR, imza tasdiki 6,010121 EUR); konsolide metinde son değişiklik 17/11/2011, hâlâ yürürlükte; miktarlı işlemlerde oranlı tarife</t>
        </is>
      </c>
      <c r="I34" s="29" t="inlineStr">
        <is>
          <t>Evet</t>
        </is>
      </c>
      <c r="J34" s="29" t="inlineStr">
        <is>
          <t>Lisans kanıtları/7ac8b005a4cb8d0dfdf53a3cb0be22ebffddfa2320cad6e72631badbfef437fd.html</t>
        </is>
      </c>
      <c r="K34" s="29" t="inlineStr">
        <is>
          <t>7ac8b005a4cb8d0dfdf53a3cb0be22ebffddfa2320cad6e72631badbfef437fd</t>
        </is>
      </c>
    </row>
    <row r="35" ht="54" customHeight="1">
      <c r="A35" s="29" t="inlineStr">
        <is>
          <t>malaga:kaynak:028</t>
        </is>
      </c>
      <c r="B35" s="29" t="inlineStr">
        <is>
          <t>malaga</t>
        </is>
      </c>
      <c r="C35" s="29" t="inlineStr">
        <is>
          <t>BOE-A-2011-12628 Ley 20/2011, de 21 de julio, del Registro Civil.</t>
        </is>
      </c>
      <c r="D35" s="29" t="inlineStr">
        <is>
          <t>Agencia Estatal Boletín Oficial del Estado (BOE)</t>
        </is>
      </c>
      <c r="E35" s="29" t="inlineStr">
        <is>
          <t>https://www.boe.es/buscar/act.php?id=BOE-A-2011-12628</t>
        </is>
      </c>
      <c r="F35" s="49" t="n">
        <v>46319</v>
      </c>
      <c r="G35" s="29" t="inlineStr">
        <is>
          <t>malaga:resmi</t>
        </is>
      </c>
      <c r="H35" s="29" t="inlineStr">
        <is>
          <t>Kart 10: Libro de Familia yeni Registro Civil modelinde kaldırılıyor, etkileri geçici olarak sürüyor</t>
        </is>
      </c>
      <c r="I35" s="29" t="inlineStr">
        <is>
          <t>Evet</t>
        </is>
      </c>
      <c r="J35" s="29" t="inlineStr">
        <is>
          <t>Lisans kanıtları/b37e9fa3f69ef15d48fdf71f9e2fc21af9542c099143f54e2838e01ebc7c97da.html</t>
        </is>
      </c>
      <c r="K35" s="29" t="inlineStr">
        <is>
          <t>b37e9fa3f69ef15d48fdf71f9e2fc21af9542c099143f54e2838e01ebc7c97da</t>
        </is>
      </c>
    </row>
    <row r="36" ht="54" customHeight="1">
      <c r="A36" s="29" t="inlineStr">
        <is>
          <t>malaga:kaynak:029</t>
        </is>
      </c>
      <c r="B36" s="29" t="inlineStr">
        <is>
          <t>malaga</t>
        </is>
      </c>
      <c r="C36" s="29" t="inlineStr">
        <is>
          <t>El Registro Civil - Estado civil</t>
        </is>
      </c>
      <c r="D36" s="29" t="inlineStr">
        <is>
          <t>Ministerio de Justicia</t>
        </is>
      </c>
      <c r="E36" s="29" t="inlineStr">
        <is>
          <t>https://www.mjusticia.gob.es/es/ciudadania/estado-civil/registro-civil</t>
        </is>
      </c>
      <c r="F36" s="49" t="n">
        <v>46319</v>
      </c>
      <c r="G36" s="29" t="inlineStr">
        <is>
          <t>malaga:resmi</t>
        </is>
      </c>
      <c r="H36" s="29" t="inlineStr">
        <is>
          <t>Kart 11 (ve 10): Registro Civil ne kaydeder; sertifikalar ücretsiz</t>
        </is>
      </c>
      <c r="I36" s="29" t="inlineStr">
        <is>
          <t>Evet</t>
        </is>
      </c>
      <c r="J36" s="29" t="inlineStr">
        <is>
          <t>Lisans kanıtları/3bc527edf4bbfd807b5af80512af3f47f52d213d14fd21441791565b1c7e5ea8.html</t>
        </is>
      </c>
      <c r="K36" s="29" t="inlineStr">
        <is>
          <t>3bc527edf4bbfd807b5af80512af3f47f52d213d14fd21441791565b1c7e5ea8</t>
        </is>
      </c>
    </row>
    <row r="37" ht="54" customHeight="1">
      <c r="A37" s="29" t="inlineStr">
        <is>
          <t>malaga:kaynak:030</t>
        </is>
      </c>
      <c r="B37" s="29" t="inlineStr">
        <is>
          <t>malaga</t>
        </is>
      </c>
      <c r="C37" s="29" t="inlineStr">
        <is>
          <t>DGT - Canje de permisos de países extracomunitarios</t>
        </is>
      </c>
      <c r="D37" s="29" t="inlineStr">
        <is>
          <t>Dirección General de Tráfico (DGT)</t>
        </is>
      </c>
      <c r="E37" s="29" t="inlineStr">
        <is>
          <t>https://www.dgt.es/nuestros-servicios/permisos-de-conducir/permisos-extranjeros-y-de-fuerzas-y-cuerpos-de-seguridad/canjes-de-permisos/canjes-de-permisos-extranjeros/canje-de-permisos-de-otros-paises/</t>
        </is>
      </c>
      <c r="F37" s="49" t="n">
        <v>46319</v>
      </c>
      <c r="G37" s="29" t="inlineStr">
        <is>
          <t>malaga:resmi</t>
        </is>
      </c>
      <c r="H37" s="29" t="inlineStr">
        <is>
          <t>Kart 12: ehliyet İspanya'da yerleşik olmadan önce alınmış olmalı</t>
        </is>
      </c>
      <c r="I37" s="29" t="inlineStr">
        <is>
          <t>Evet</t>
        </is>
      </c>
      <c r="J37" s="29" t="inlineStr">
        <is>
          <t>Lisans kanıtları/7d94e3ec46e6b7a74379fe76a068151beca99c604c383d05bdcf90f2fd07768c.html</t>
        </is>
      </c>
      <c r="K37" s="29" t="inlineStr">
        <is>
          <t>7d94e3ec46e6b7a74379fe76a068151beca99c604c383d05bdcf90f2fd07768c</t>
        </is>
      </c>
    </row>
    <row r="38" ht="54" customHeight="1">
      <c r="A38" s="29" t="inlineStr">
        <is>
          <t>malaga:kaynak:031</t>
        </is>
      </c>
      <c r="B38" s="29" t="inlineStr">
        <is>
          <t>malaga</t>
        </is>
      </c>
      <c r="C38" s="29" t="inlineStr">
        <is>
          <t>BOE-A-2011-5606 Acuerdo entre el Reino de España y la República de Turquía sobre el reconocimiento recíproco y el canje de los permisos de conducción nacionales, hecho "ad referend</t>
        </is>
      </c>
      <c r="D38" s="29" t="inlineStr">
        <is>
          <t>Boletín Oficial del Estado</t>
        </is>
      </c>
      <c r="E38" s="29" t="inlineStr">
        <is>
          <t>https://www.boe.es/diario_boe/txt.php?id=BOE-A-2011-5606</t>
        </is>
      </c>
      <c r="F38" s="49" t="n">
        <v>46319</v>
      </c>
      <c r="G38" s="29" t="inlineStr">
        <is>
          <t>malaga:oturum</t>
        </is>
      </c>
      <c r="H38" s="29" t="inlineStr">
        <is>
          <t>Türkiye-İspanya ehliyet değişim anlaşması: sınıflar, sınav şartı, değiştirilemeyen sınıflar.</t>
        </is>
      </c>
      <c r="I38" s="29" t="inlineStr">
        <is>
          <t>Evet</t>
        </is>
      </c>
      <c r="J38" s="29" t="inlineStr">
        <is>
          <t>Lisans kanıtları/53b1243fa1db18f65495c1c59132d572f10a826e2de658252520f73df9a4326b.html</t>
        </is>
      </c>
      <c r="K38" s="29" t="inlineStr">
        <is>
          <t>53b1243fa1db18f65495c1c59132d572f10a826e2de658252520f73df9a4326b</t>
        </is>
      </c>
    </row>
    <row r="39" ht="54" customHeight="1">
      <c r="A39" s="29" t="inlineStr">
        <is>
          <t>malaga:kaynak:032</t>
        </is>
      </c>
      <c r="B39" s="29" t="inlineStr">
        <is>
          <t>malaga</t>
        </is>
      </c>
      <c r="C39" s="29" t="inlineStr">
        <is>
          <t>Sede Electrónica DGT - Matriculación de vehículos nuevos y vehículos provenientes del extranjero</t>
        </is>
      </c>
      <c r="D39" s="29" t="inlineStr">
        <is>
          <t>Dirección General de Tráfico (DGT) - Sede electrónica</t>
        </is>
      </c>
      <c r="E39" s="29" t="inlineStr">
        <is>
          <t>https://sede.dgt.gob.es/es/vehiculos/matriculaciones-de-vehiculos/matriculacion-ordinaria/</t>
        </is>
      </c>
      <c r="F39" s="49" t="n">
        <v>46319</v>
      </c>
      <c r="G39" s="29" t="inlineStr">
        <is>
          <t>malaga:resmi</t>
        </is>
      </c>
      <c r="H39" s="29" t="inlineStr">
        <is>
          <t>Kart 13: araç tescili, DGT azami 3 ay, tescil vergisi ödeme/muafiyat kanıtı gerekir</t>
        </is>
      </c>
      <c r="I39" s="29" t="inlineStr">
        <is>
          <t>Evet</t>
        </is>
      </c>
      <c r="J39" s="29" t="inlineStr">
        <is>
          <t>Lisans kanıtları/6f027c960fdb8de30dd8edc9db2d1bf3c0ee7e319d378dd59c5e4740b10e66e7.html</t>
        </is>
      </c>
      <c r="K39" s="29" t="inlineStr">
        <is>
          <t>6f027c960fdb8de30dd8edc9db2d1bf3c0ee7e319d378dd59c5e4740b10e66e7</t>
        </is>
      </c>
    </row>
    <row r="40" ht="54" customHeight="1">
      <c r="A40" s="29" t="inlineStr">
        <is>
          <t>malaga:kaynak:033</t>
        </is>
      </c>
      <c r="B40" s="29" t="inlineStr">
        <is>
          <t>malaga</t>
        </is>
      </c>
      <c r="C40" s="29" t="inlineStr">
        <is>
          <t>Agencia Tributaria: Impuesto de Matriculación</t>
        </is>
      </c>
      <c r="D40" s="29" t="inlineStr">
        <is>
          <t>Agencia Tributaria (AEAT)</t>
        </is>
      </c>
      <c r="E40" s="29" t="inlineStr">
        <is>
          <t>https://sede.agenciatributaria.gob.es/Sede/impuestos-tasas/impuesto-matriculacion.html</t>
        </is>
      </c>
      <c r="F40" s="49" t="n">
        <v>46319</v>
      </c>
      <c r="G40" s="29" t="inlineStr">
        <is>
          <t>malaga:resmi</t>
        </is>
      </c>
      <c r="H40" s="29" t="inlineStr">
        <is>
          <t>Kart 13 vergi: tescil vergisi Modelo 576 ile kendi beyan (vergi tutarı sayfada yok)</t>
        </is>
      </c>
      <c r="I40" s="29" t="inlineStr">
        <is>
          <t>Evet</t>
        </is>
      </c>
      <c r="J40" s="29" t="inlineStr">
        <is>
          <t>Lisans kanıtları/a7cf1a18d8f622adb3b18e4e5db0c0de87f388e37c160f4639a2bd92d5f38fe3.html</t>
        </is>
      </c>
      <c r="K40" s="29" t="inlineStr">
        <is>
          <t>a7cf1a18d8f622adb3b18e4e5db0c0de87f388e37c160f4639a2bd92d5f38fe3</t>
        </is>
      </c>
    </row>
    <row r="41" ht="54" customHeight="1">
      <c r="A41" s="29" t="inlineStr">
        <is>
          <t>malaga:kaynak:034</t>
        </is>
      </c>
      <c r="B41" s="29" t="inlineStr">
        <is>
          <t>malaga</t>
        </is>
      </c>
      <c r="C41" s="29" t="inlineStr">
        <is>
          <t>Solicitud de apertura de cuentas de pago - Cliente Bancario, Banco de España</t>
        </is>
      </c>
      <c r="D41" s="29" t="inlineStr">
        <is>
          <t>Banco de España - Cliente Bancario</t>
        </is>
      </c>
      <c r="E41" s="29" t="inlineStr">
        <is>
          <t>https://clientebancario.bde.es/pcb/es/blog/solicitud-de-apertura-de-cuentas-de-pago.html</t>
        </is>
      </c>
      <c r="F41" s="49" t="n">
        <v>46319</v>
      </c>
      <c r="G41" s="29" t="inlineStr">
        <is>
          <t>malaga:para</t>
        </is>
      </c>
      <c r="H41" s="29" t="inlineStr">
        <is>
          <t>Kart 1: banka hesap açmada serbest ama uyruk/ikamet gibi ayrımcı gerekçeyle reddedemez; zorluk olursa temel ödeme hesabı. Sayfa tarihi 11/11/2025. Belge listesi (NIE/pasaport) bu sayfada yok.</t>
        </is>
      </c>
      <c r="I41" s="29" t="inlineStr">
        <is>
          <t>Evet</t>
        </is>
      </c>
      <c r="J41" s="29" t="inlineStr">
        <is>
          <t>Lisans kanıtları/0e76e3344f719fedbca845c9fde389f0c68c82306f76d8b7f83c4da4dd97ee9c.html</t>
        </is>
      </c>
      <c r="K41" s="29" t="inlineStr">
        <is>
          <t>0e76e3344f719fedbca845c9fde389f0c68c82306f76d8b7f83c4da4dd97ee9c</t>
        </is>
      </c>
    </row>
    <row r="42" ht="54" customHeight="1">
      <c r="A42" s="29" t="inlineStr">
        <is>
          <t>malaga:kaynak:035</t>
        </is>
      </c>
      <c r="B42" s="29" t="inlineStr">
        <is>
          <t>malaga</t>
        </is>
      </c>
      <c r="C42" s="29" t="inlineStr">
        <is>
          <t>¿Quiénes pueden solicitarla? - Cliente Bancario, Banco de España</t>
        </is>
      </c>
      <c r="D42" s="29" t="inlineStr">
        <is>
          <t>Banco de España - Cliente Bancario</t>
        </is>
      </c>
      <c r="E42" s="29" t="inlineStr">
        <is>
          <t>https://clientebancario.bde.es/pcb/es/menu-horizontal/productosservici/cuentasdepositos/cuentascorriente/guia-textual/CuentadepagoBasica/quienes-pueden-solicitarla-.html</t>
        </is>
      </c>
      <c r="F42" s="49" t="n">
        <v>46319</v>
      </c>
      <c r="G42" s="29" t="inlineStr">
        <is>
          <t>malaga:para</t>
        </is>
      </c>
      <c r="H42" s="29" t="inlineStr">
        <is>
          <t>Kart 1: banka hesabı hakkı - AB'de yasal ikamet eden herkese temel ödeme hesabı sunma zorunluluğu (sabit adres şart değil).</t>
        </is>
      </c>
      <c r="I42" s="29" t="inlineStr">
        <is>
          <t>Evet</t>
        </is>
      </c>
      <c r="J42" s="29" t="inlineStr">
        <is>
          <t>Lisans kanıtları/77b469df8a2f5ec88100a830b6cd53e2b576a32109414c9f456d5b9c6bcc865b.html</t>
        </is>
      </c>
      <c r="K42" s="29" t="inlineStr">
        <is>
          <t>77b469df8a2f5ec88100a830b6cd53e2b576a32109414c9f456d5b9c6bcc865b</t>
        </is>
      </c>
    </row>
    <row r="43" ht="54" customHeight="1">
      <c r="A43" s="29" t="inlineStr">
        <is>
          <t>malaga:kaynak:036</t>
        </is>
      </c>
      <c r="B43" s="29" t="inlineStr">
        <is>
          <t>malaga</t>
        </is>
      </c>
      <c r="C43" s="29" t="inlineStr">
        <is>
          <t>Transferencia SEPA - Cliente Bancario, Banco de España</t>
        </is>
      </c>
      <c r="D43" s="29" t="inlineStr">
        <is>
          <t>Banco de España - Cliente Bancario</t>
        </is>
      </c>
      <c r="E43" s="29" t="inlineStr">
        <is>
          <t>https://clientebancario.bde.es/pcb/es/menu-horizontal/productosservici/serviciospago/traspasostransfe/guia-textual/tipos/Transferencia_SEPA.html</t>
        </is>
      </c>
      <c r="F43" s="49" t="n">
        <v>46319</v>
      </c>
      <c r="G43" s="29" t="inlineStr">
        <is>
          <t>malaga:para</t>
        </is>
      </c>
      <c r="H43" s="29" t="inlineStr">
        <is>
          <t>Kart 2: SEPA bölgesi (27 AB üyesi + IS, LI, NO) ve euro ödemelerin ulusal/sınır ötesi aynı koşullarda yapılması.</t>
        </is>
      </c>
      <c r="I43" s="29" t="inlineStr">
        <is>
          <t>Evet</t>
        </is>
      </c>
      <c r="J43" s="29" t="inlineStr">
        <is>
          <t>Lisans kanıtları/df9275d7450cd640c950f481ca12d6a0359adb48d04ed459a37eb117e9e6d70d.html</t>
        </is>
      </c>
      <c r="K43" s="29" t="inlineStr">
        <is>
          <t>df9275d7450cd640c950f481ca12d6a0359adb48d04ed459a37eb117e9e6d70d</t>
        </is>
      </c>
    </row>
    <row r="44" ht="54" customHeight="1">
      <c r="A44" s="29" t="inlineStr">
        <is>
          <t>malaga:kaynak:037</t>
        </is>
      </c>
      <c r="B44" s="29" t="inlineStr">
        <is>
          <t>malaga</t>
        </is>
      </c>
      <c r="C44" s="29" t="inlineStr">
        <is>
          <t>Upppsss…transferencia enviada al IBAN equivocado - Cliente Bancario, Banco de España</t>
        </is>
      </c>
      <c r="D44" s="29" t="inlineStr">
        <is>
          <t>Banco de España - Portal del Cliente Bancario</t>
        </is>
      </c>
      <c r="E44" s="29" t="inlineStr">
        <is>
          <t>https://clientebancario.bde.es/pcb/es/blog/upppssstransferencia-enviada-al-iban-equivocado.html</t>
        </is>
      </c>
      <c r="F44" s="49" t="n">
        <v>46319</v>
      </c>
      <c r="G44" s="29" t="inlineStr">
        <is>
          <t>malaga:para</t>
        </is>
      </c>
      <c r="H44" s="29" t="inlineStr">
        <is>
          <t>Kart 2 (IBAN): 19/02/2026 tarihli BdE sayfası; 9 Ekim'den beri alıcı adı doğrulama hizmeti (coincidente/casi coincidente/no coincidente); uyarıya rağmen havale gider</t>
        </is>
      </c>
      <c r="I44" s="29" t="inlineStr">
        <is>
          <t>Evet</t>
        </is>
      </c>
      <c r="J44" s="29" t="inlineStr">
        <is>
          <t>Lisans kanıtları/ac63ec4a3291141cfaa2a1515ef1dfb81b58d7fe452b175a27a573c6af591026.html</t>
        </is>
      </c>
      <c r="K44" s="29" t="inlineStr">
        <is>
          <t>ac63ec4a3291141cfaa2a1515ef1dfb81b58d7fe452b175a27a573c6af591026</t>
        </is>
      </c>
    </row>
    <row r="45" ht="54" customHeight="1">
      <c r="A45" s="29" t="inlineStr">
        <is>
          <t>malaga:kaynak:038</t>
        </is>
      </c>
      <c r="B45" s="29" t="inlineStr">
        <is>
          <t>malaga</t>
        </is>
      </c>
      <c r="C45" s="29" t="inlineStr">
        <is>
          <t>Agencia Tributaria: Gravamen estatal</t>
        </is>
      </c>
      <c r="D45" s="29" t="inlineStr">
        <is>
          <t>Agencia Tributaria (AEAT)</t>
        </is>
      </c>
      <c r="E45" s="29" t="inlineStr">
        <is>
          <t>https://sede.agenciatributaria.gob.es/Sede/ayuda/manuales-videos-folletos/manuales-practicos/irpf-2025/c15-calculo-impuesto-determinacion-cuotas-integras/gravamen-base-liquidable-general/gravamen-estatal.html</t>
        </is>
      </c>
      <c r="F45" s="49" t="n">
        <v>46319</v>
      </c>
      <c r="G45" s="29" t="inlineStr">
        <is>
          <t>malaga:para</t>
        </is>
      </c>
      <c r="H45" s="29" t="inlineStr">
        <is>
          <t>Kart 3: devlet IRPF ölçeği 9,50% (12.450 EUR'ya kadar) - 24,50% (300.000 EUR üstü); ölçek yaşanılan yerden bağımsız devlet payı. Manuel Renta 2025 (2026 baharında verilen beyan), sayfa 2026'da erişildi.</t>
        </is>
      </c>
      <c r="I45" s="29" t="inlineStr">
        <is>
          <t>Evet</t>
        </is>
      </c>
      <c r="J45" s="29" t="inlineStr">
        <is>
          <t>Lisans kanıtları/cf034579f6383a255d2b0682059fe338b68413dac26432b8e9214f9696e6526d.html</t>
        </is>
      </c>
      <c r="K45" s="29" t="inlineStr">
        <is>
          <t>cf034579f6383a255d2b0682059fe338b68413dac26432b8e9214f9696e6526d</t>
        </is>
      </c>
    </row>
    <row r="46" ht="54" customHeight="1">
      <c r="A46" s="29" t="inlineStr">
        <is>
          <t>malaga:kaynak:039</t>
        </is>
      </c>
      <c r="B46" s="29" t="inlineStr">
        <is>
          <t>malaga</t>
        </is>
      </c>
      <c r="C46" s="29" t="inlineStr">
        <is>
          <t>Agencia Tributaria: Gravamen autonómico</t>
        </is>
      </c>
      <c r="D46" s="29" t="inlineStr">
        <is>
          <t>Agencia Tributaria (AEAT)</t>
        </is>
      </c>
      <c r="E46" s="29" t="inlineStr">
        <is>
          <t>https://sede.agenciatributaria.gob.es/Sede/ayuda/manuales-videos-folletos/manuales-practicos/irpf-2025/c15-calculo-impuesto-determinacion-cuotas-integras/gravamen-base-liquidable-general/gravamen-autonomico.html</t>
        </is>
      </c>
      <c r="F46" s="49" t="n">
        <v>46319</v>
      </c>
      <c r="G46" s="29" t="inlineStr">
        <is>
          <t>malaga:para</t>
        </is>
      </c>
      <c r="H46" s="29" t="inlineStr">
        <is>
          <t>Kart 3: bölgesel dilimin her özerk bölge tarafından onaylanan ölçeğe göre değiştiği (bölgeye göre değişir) çerçevesi. Sayfa 'Para el ejercicio 2025', güncelleme 17/marzo/2026.</t>
        </is>
      </c>
      <c r="I46" s="29" t="inlineStr">
        <is>
          <t>Evet</t>
        </is>
      </c>
      <c r="J46" s="29" t="inlineStr">
        <is>
          <t>Lisans kanıtları/6aa585d2693f134d22ba162112676052af012014ffc0fe58011a4075f91dbb4b.html</t>
        </is>
      </c>
      <c r="K46" s="29" t="inlineStr">
        <is>
          <t>6aa585d2693f134d22ba162112676052af012014ffc0fe58011a4075f91dbb4b</t>
        </is>
      </c>
    </row>
    <row r="47" ht="54" customHeight="1">
      <c r="A47" s="29" t="inlineStr">
        <is>
          <t>malaga:kaynak:040</t>
        </is>
      </c>
      <c r="B47" s="29" t="inlineStr">
        <is>
          <t>malaga</t>
        </is>
      </c>
      <c r="C47" s="29" t="inlineStr">
        <is>
          <t>Agencia Tributaria: Tipos impositivos de IVA</t>
        </is>
      </c>
      <c r="D47" s="29" t="inlineStr">
        <is>
          <t>Agencia Tributaria (AEAT)</t>
        </is>
      </c>
      <c r="E47" s="29" t="inlineStr">
        <is>
          <t>https://sede.agenciatributaria.gob.es/Sede/iva/calculo-iva-repercutido-clientes/tipos-impositivos-iva.html</t>
        </is>
      </c>
      <c r="F47" s="49" t="n">
        <v>46319</v>
      </c>
      <c r="G47" s="29" t="inlineStr">
        <is>
          <t>malaga:para</t>
        </is>
      </c>
      <c r="H47" s="29" t="inlineStr">
        <is>
          <t>Kart 4: genel %21, indirimli %10 ve %4 (+ bazı işlemlerde %0). Sayfa güncelleme 13/octubre/2026. Not: sayfa 4'ü de 'reducido' diyor; 'süper azaltılmış' adı AEAT sözlüğünde. | 'Süper azaltılmış %4' adı AEAT sözlüğünde (sede.agenciatributaria.gob.es/.../glosario/sobre-iva.html: 'el superreducido del 4%').</t>
        </is>
      </c>
      <c r="I47" s="29" t="inlineStr">
        <is>
          <t>Evet</t>
        </is>
      </c>
      <c r="J47" s="29" t="inlineStr">
        <is>
          <t>Lisans kanıtları/60a68e7e314a612315304229d09b2054ce033f0776da5e41ba4fcd86bca54ac2.html</t>
        </is>
      </c>
      <c r="K47" s="29" t="inlineStr">
        <is>
          <t>60a68e7e314a612315304229d09b2054ce033f0776da5e41ba4fcd86bca54ac2</t>
        </is>
      </c>
    </row>
    <row r="48" ht="54" customHeight="1">
      <c r="A48" s="29" t="inlineStr">
        <is>
          <t>malaga:kaynak:041</t>
        </is>
      </c>
      <c r="B48" s="29" t="inlineStr">
        <is>
          <t>malaga</t>
        </is>
      </c>
      <c r="C48" s="29" t="inlineStr">
        <is>
          <t>: Territorio en el que se aplica el impuesto</t>
        </is>
      </c>
      <c r="D48" s="29" t="inlineStr">
        <is>
          <t>Agencia Tributaria (AEAT)</t>
        </is>
      </c>
      <c r="E48" s="29" t="inlineStr">
        <is>
          <t>https://sede.agenciatributaria.gob.es/Sede/ayuda/manuales-videos-folletos/manuales-practicos/manual-iva-2025/capitulo-02-introduccion/territorio-que-se-aplica-impuesto.html</t>
        </is>
      </c>
      <c r="F48" s="49" t="n">
        <v>46319</v>
      </c>
      <c r="G48" s="29" t="inlineStr">
        <is>
          <t>malaga:para</t>
        </is>
      </c>
      <c r="H48" s="29" t="inlineStr">
        <is>
          <t>Kart 4: IVA yalnız Yarımada ve Baleares'te; Canarias, Ceuta, Melilla kapsam dışı. Manuel IVA 2025.</t>
        </is>
      </c>
      <c r="I48" s="29" t="inlineStr">
        <is>
          <t>Evet</t>
        </is>
      </c>
      <c r="J48" s="29" t="inlineStr">
        <is>
          <t>Lisans kanıtları/b327da1005dfba23860bbf4a321dc2fac11e5a60480ef26073b3d732e91a66d3.html</t>
        </is>
      </c>
      <c r="K48" s="29" t="inlineStr">
        <is>
          <t>b327da1005dfba23860bbf4a321dc2fac11e5a60480ef26073b3d732e91a66d3</t>
        </is>
      </c>
    </row>
    <row r="49" ht="54" customHeight="1">
      <c r="A49" s="29" t="inlineStr">
        <is>
          <t>malaga:kaynak:042</t>
        </is>
      </c>
      <c r="B49" s="29" t="inlineStr">
        <is>
          <t>malaga</t>
        </is>
      </c>
      <c r="C49" s="29" t="inlineStr">
        <is>
          <t>Agencia Tributaria: Plazo y forma de presentación de las declaraciones</t>
        </is>
      </c>
      <c r="D49" s="29" t="inlineStr">
        <is>
          <t>Agencia Tributaria (AEAT)</t>
        </is>
      </c>
      <c r="E49" s="29" t="inlineStr">
        <is>
          <t>https://sede.agenciatributaria.gob.es/Sede/ayuda/manuales-videos-folletos/manuales-practicos/irpf-2025/c01-campana-declaracion-renta/confirmacion-borrador-presentacion-declaraciones/plazo-forma-presentacion.html</t>
        </is>
      </c>
      <c r="F49" s="49" t="n">
        <v>46319</v>
      </c>
      <c r="G49" s="29" t="inlineStr">
        <is>
          <t>malaga:para</t>
        </is>
      </c>
      <c r="H49" s="29" t="inlineStr">
        <is>
          <t>Kart 5: Renta 2025 kampanyası 8 Nisan - 30 Haziran 2026; banka talimatlı ödeme için 25 Haziran 2026; Renta WEB. Her yıl tarih değişir. | Kart 7: beyan Renta WEB ile mükellef kendisi internetten verebilir; colaboradores sociales (gestor/asesor) temsilci olarak aynı servisi kullanabilir.</t>
        </is>
      </c>
      <c r="I49" s="29" t="inlineStr">
        <is>
          <t>Evet</t>
        </is>
      </c>
      <c r="J49" s="29" t="inlineStr">
        <is>
          <t>Lisans kanıtları/c8eac1ccd523529e64bcb9525258b31b72022de3f20e5bb99fccf2e0a66993e5.html</t>
        </is>
      </c>
      <c r="K49" s="29" t="inlineStr">
        <is>
          <t>c8eac1ccd523529e64bcb9525258b31b72022de3f20e5bb99fccf2e0a66993e5</t>
        </is>
      </c>
    </row>
    <row r="50" ht="54" customHeight="1">
      <c r="A50" s="29" t="inlineStr">
        <is>
          <t>malaga:kaynak:043</t>
        </is>
      </c>
      <c r="B50" s="29" t="inlineStr">
        <is>
          <t>malaga</t>
        </is>
      </c>
      <c r="C50" s="29" t="inlineStr">
        <is>
          <t>Agencia Tributaria: Delimitación de la obligación de declarar en el IRPF</t>
        </is>
      </c>
      <c r="D50" s="29" t="inlineStr">
        <is>
          <t>Agencia Tributaria (AEAT)</t>
        </is>
      </c>
      <c r="E50" s="29" t="inlineStr">
        <is>
          <t>https://sede.agenciatributaria.gob.es/Sede/ayuda/manuales-videos-folletos/manuales-practicos/irpf-2025/c01-campana-declaracion-renta/quienes-estan-obligados-presentar-declaracion-irpf/delimitacion-obligacion-declarar-irpf.html</t>
        </is>
      </c>
      <c r="F50" s="49" t="n">
        <v>46319</v>
      </c>
      <c r="G50" s="29" t="inlineStr">
        <is>
          <t>malaga:para</t>
        </is>
      </c>
      <c r="H50" s="29" t="inlineStr">
        <is>
          <t>Kart 5: beyan zorunluluğu eşikleri (iş gelirinde tek ödeyici için 22.000 EUR, birden çok ödeyicide 15.876 EUR). Manuel Renta 2025 (2025 geliri).</t>
        </is>
      </c>
      <c r="I50" s="29" t="inlineStr">
        <is>
          <t>Evet</t>
        </is>
      </c>
      <c r="J50" s="29" t="inlineStr">
        <is>
          <t>Lisans kanıtları/829142ae4fb4e341294a296dd5e53bbb14ba64bea4382e95099cc2fe53da8ac8.html</t>
        </is>
      </c>
      <c r="K50" s="29" t="inlineStr">
        <is>
          <t>829142ae4fb4e341294a296dd5e53bbb14ba64bea4382e95099cc2fe53da8ac8</t>
        </is>
      </c>
    </row>
    <row r="51" ht="54" customHeight="1">
      <c r="A51" s="29" t="inlineStr">
        <is>
          <t>malaga:kaynak:044</t>
        </is>
      </c>
      <c r="B51" s="29" t="inlineStr">
        <is>
          <t>malaga</t>
        </is>
      </c>
      <c r="C51" s="29" t="inlineStr">
        <is>
          <t>Agencia Tributaria: Cómo consultar una devolución</t>
        </is>
      </c>
      <c r="D51" s="29" t="inlineStr">
        <is>
          <t>Agencia Tributaria (AEAT)</t>
        </is>
      </c>
      <c r="E51" s="29" t="inlineStr">
        <is>
          <t>https://sede.agenciatributaria.gob.es/Sede/irpf/declaraciones-presentadas/consultar-devolucion.html</t>
        </is>
      </c>
      <c r="F51" s="49" t="n">
        <v>46319</v>
      </c>
      <c r="G51" s="29" t="inlineStr">
        <is>
          <t>malaga:para</t>
        </is>
      </c>
      <c r="H51" s="29" t="inlineStr">
        <is>
          <t>Kart 6: vergi iadesi banka havalesiyle kendi hesabına; idarenin 6 ayı var, aşılırsa faiz. Sayfa güncelleme 09/abril/2026.</t>
        </is>
      </c>
      <c r="I51" s="29" t="inlineStr">
        <is>
          <t>Evet</t>
        </is>
      </c>
      <c r="J51" s="29" t="inlineStr">
        <is>
          <t>Lisans kanıtları/eeeb7e570933e633c86498f9c0268dd9d8e308e0736ac1b07216aa85fa58007e.html</t>
        </is>
      </c>
      <c r="K51" s="29" t="inlineStr">
        <is>
          <t>eeeb7e570933e633c86498f9c0268dd9d8e308e0736ac1b07216aa85fa58007e</t>
        </is>
      </c>
    </row>
    <row r="52" ht="54" customHeight="1">
      <c r="A52" s="29" t="inlineStr">
        <is>
          <t>malaga:kaynak:045</t>
        </is>
      </c>
      <c r="B52" s="29" t="inlineStr">
        <is>
          <t>malaga</t>
        </is>
      </c>
      <c r="C52" s="29" t="inlineStr">
        <is>
          <t>Agencia Tributaria: Preguntas frecuentes sobre colaboración social</t>
        </is>
      </c>
      <c r="D52" s="29" t="inlineStr">
        <is>
          <t>Agencia Tributaria (AEAT)</t>
        </is>
      </c>
      <c r="E52" s="29" t="inlineStr">
        <is>
          <t>https://sede.agenciatributaria.gob.es/Sede/colaborar-agencia-tributaria/colaboracion-social-presentacion-declaraciones/preguntas-frecuentes-sobre-colaboracion-social.html</t>
        </is>
      </c>
      <c r="F52" s="49" t="n">
        <v>46319</v>
      </c>
      <c r="G52" s="29" t="inlineStr">
        <is>
          <t>malaga:para</t>
        </is>
      </c>
      <c r="H52" s="29" t="inlineStr">
        <is>
          <t>Kart 7: gestor/asesor ancak AEAT ile işbirliği anlaşmalı meslek kuruluşları üyesi olarak üçüncü kişi adına elektronik beyan verebilir; zorunluluk getirmez. Sayfa güncelleme 19/junio/2023.</t>
        </is>
      </c>
      <c r="I52" s="29" t="inlineStr">
        <is>
          <t>Evet</t>
        </is>
      </c>
      <c r="J52" s="29" t="inlineStr">
        <is>
          <t>Lisans kanıtları/052be9aaf70897a2c0df96013b73b32867b073be973e18d08a1a8e3528767ca4.html</t>
        </is>
      </c>
      <c r="K52" s="29" t="inlineStr">
        <is>
          <t>052be9aaf70897a2c0df96013b73b32867b073be973e18d08a1a8e3528767ca4</t>
        </is>
      </c>
    </row>
    <row r="53" ht="54" customHeight="1">
      <c r="A53" s="29" t="inlineStr">
        <is>
          <t>malaga:kaynak:046</t>
        </is>
      </c>
      <c r="B53" s="29" t="inlineStr">
        <is>
          <t>malaga</t>
        </is>
      </c>
      <c r="C53" s="29" t="inlineStr">
        <is>
          <t>BOE-A-2004-18911 Real Decreto Legislativo 8/2004, de 29 de octubre, por el que se aprueba el texto refundido de la Ley sobre responsabilidad civil y seguro en la circulación de veh</t>
        </is>
      </c>
      <c r="D53" s="29" t="inlineStr">
        <is>
          <t>Boletín Oficial del Estado (BOE)</t>
        </is>
      </c>
      <c r="E53" s="29" t="inlineStr">
        <is>
          <t>https://www.boe.es/buscar/act.php?id=BOE-A-2004-18911</t>
        </is>
      </c>
      <c r="F53" s="49" t="n">
        <v>46319</v>
      </c>
      <c r="G53" s="29" t="inlineStr">
        <is>
          <t>malaga:para</t>
        </is>
      </c>
      <c r="H53" s="29" t="inlineStr">
        <is>
          <t>Kart 8: araç sigortası zorunluluğu (her araç için sözleşme). Konsolide metin (BOE).</t>
        </is>
      </c>
      <c r="I53" s="29" t="inlineStr">
        <is>
          <t>Evet</t>
        </is>
      </c>
      <c r="J53" s="29" t="inlineStr">
        <is>
          <t>Lisans kanıtları/e617fe30f892599071dd14dd20064a54aeaf9134d412fa3c44e5ec8b6f3e88c8.html</t>
        </is>
      </c>
      <c r="K53" s="29" t="inlineStr">
        <is>
          <t>e617fe30f892599071dd14dd20064a54aeaf9134d412fa3c44e5ec8b6f3e88c8</t>
        </is>
      </c>
    </row>
    <row r="54" ht="54" customHeight="1">
      <c r="A54" s="29" t="inlineStr">
        <is>
          <t>malaga:kaynak:047</t>
        </is>
      </c>
      <c r="B54" s="29" t="inlineStr">
        <is>
          <t>malaga</t>
        </is>
      </c>
      <c r="C54" s="29" t="inlineStr">
        <is>
          <t>Seguros hipotecarios - Cliente Bancario, Banco de España</t>
        </is>
      </c>
      <c r="D54" s="29" t="inlineStr">
        <is>
          <t>Banco de España - Cliente Bancario</t>
        </is>
      </c>
      <c r="E54" s="29" t="inlineStr">
        <is>
          <t>https://clientebancario.bde.es/pcb/es/menu-horizontal/productosservici/financiacion/hipotecas/guia-textual/primerospasoscon/Seguros_hipotecarios.html</t>
        </is>
      </c>
      <c r="F54" s="49" t="n">
        <v>46319</v>
      </c>
      <c r="G54" s="29" t="inlineStr">
        <is>
          <t>malaga:para</t>
        </is>
      </c>
      <c r="H54" s="29" t="inlineStr">
        <is>
          <t>Kart 8: hipotekle ilişkili sigortalar (hayat, yangın/multirriesgo hogar). DİKKAT: aynı sayfa yangın/hogar sigortasını 'hipotek alırken zorunlu' diyor, bağlı hayat sigortasını zorunlu değil gösteriyor; DGSFP ise yasal zorunluluk olmadığını söylüyor. Ev/hayat için net 'isteğe bağlı' cümlesi yok.</t>
        </is>
      </c>
      <c r="I54" s="29" t="inlineStr">
        <is>
          <t>Evet</t>
        </is>
      </c>
      <c r="J54" s="29" t="inlineStr">
        <is>
          <t>Lisans kanıtları/15b757e913013eb69c1ff23f4ff977b637cdba2aa29bb9b614e432b84ac01bef.html</t>
        </is>
      </c>
      <c r="K54" s="29" t="inlineStr">
        <is>
          <t>15b757e913013eb69c1ff23f4ff977b637cdba2aa29bb9b614e432b84ac01bef</t>
        </is>
      </c>
    </row>
    <row r="55" ht="54" customHeight="1">
      <c r="A55" s="29" t="inlineStr">
        <is>
          <t>malaga:kaynak:048</t>
        </is>
      </c>
      <c r="B55" s="29" t="inlineStr">
        <is>
          <t>malaga</t>
        </is>
      </c>
      <c r="C55" s="29" t="inlineStr">
        <is>
          <t>Seguridad Social: Prestaciones / Pensiones de Trabajadores</t>
        </is>
      </c>
      <c r="D55" s="29" t="inlineStr">
        <is>
          <t>Seguridad Social (seg-social.es)</t>
        </is>
      </c>
      <c r="E55" s="29" t="inlineStr">
        <is>
          <t>https://www.seg-social.es/wps/portal/wss/internet/Trabajadores/PrestacionesPensionesTrabajadores/10963/28393/28396/28472</t>
        </is>
      </c>
      <c r="F55" s="49" t="n">
        <v>46319</v>
      </c>
      <c r="G55" s="29" t="inlineStr">
        <is>
          <t>malaga:para</t>
        </is>
      </c>
      <c r="H55" s="29" t="inlineStr">
        <is>
          <t>Kart 9: 2026 için emeklilik yaşı tablosu (38 yıl 3 ay+ prim: 65; daha az: 66 yıl 10 ay; 2027'den itibaren 38 yıl 6 ay), asgari 15 yıl prim. Yıllık değişir.</t>
        </is>
      </c>
      <c r="I55" s="29" t="inlineStr">
        <is>
          <t>Evet</t>
        </is>
      </c>
      <c r="J55" s="29" t="inlineStr">
        <is>
          <t>Lisans kanıtları/43a3b34bab55deedef178dd6bb405f8dd183c56f0a923a46df881a89e41f8f7e.html</t>
        </is>
      </c>
      <c r="K55" s="29" t="inlineStr">
        <is>
          <t>43a3b34bab55deedef178dd6bb405f8dd183c56f0a923a46df881a89e41f8f7e</t>
        </is>
      </c>
    </row>
    <row r="56" ht="54" customHeight="1">
      <c r="A56" s="29" t="inlineStr">
        <is>
          <t>malaga:kaynak:049</t>
        </is>
      </c>
      <c r="B56" s="29" t="inlineStr">
        <is>
          <t>malaga</t>
        </is>
      </c>
      <c r="C56" s="29" t="inlineStr">
        <is>
          <t>BOE-A-2026-7296 Orden PJC/297/2026, de 30 de marzo, por la que se desarrollan las normas legales de cotización a la Seguridad Social, desempleo, protección por cese de actividad, F</t>
        </is>
      </c>
      <c r="D56" s="29" t="inlineStr">
        <is>
          <t>Boletín Oficial del Estado (BOE)</t>
        </is>
      </c>
      <c r="E56" s="29" t="inlineStr">
        <is>
          <t>https://www.boe.es/buscar/act.php?id=BOE-A-2026-7296</t>
        </is>
      </c>
      <c r="F56" s="49" t="n">
        <v>46319</v>
      </c>
      <c r="G56" s="29" t="inlineStr">
        <is>
          <t>malaga:para</t>
        </is>
      </c>
      <c r="H56" s="29" t="inlineStr">
        <is>
          <t>Kart 9: 2026 ortak risk (contingencias comunes) primi toplam %28,30: işveren %23,60, işçi %4,70. Ejercicio 2026.</t>
        </is>
      </c>
      <c r="I56" s="29" t="inlineStr">
        <is>
          <t>Evet</t>
        </is>
      </c>
      <c r="J56" s="29" t="inlineStr">
        <is>
          <t>Lisans kanıtları/4e1a433802ecadf73729ff92a7cbccf69184fff4759b467eb8cf4b456ef0eb88.html</t>
        </is>
      </c>
      <c r="K56" s="29" t="inlineStr">
        <is>
          <t>4e1a433802ecadf73729ff92a7cbccf69184fff4759b467eb8cf4b456ef0eb88</t>
        </is>
      </c>
    </row>
    <row r="57" ht="54" customHeight="1">
      <c r="A57" s="29" t="inlineStr">
        <is>
          <t>malaga:kaynak:050</t>
        </is>
      </c>
      <c r="B57" s="29" t="inlineStr">
        <is>
          <t>malaga</t>
        </is>
      </c>
      <c r="C57" s="29" t="inlineStr">
        <is>
          <t>Bizum: te contamos todos sus secretos - Cliente Bancario, Banco de España</t>
        </is>
      </c>
      <c r="D57" s="29" t="inlineStr">
        <is>
          <t>Banco de España - Cliente Bancario</t>
        </is>
      </c>
      <c r="E57" s="29" t="inlineStr">
        <is>
          <t>https://clientebancario.bde.es/pcb/es/blog/bizum--te-contamos-todos-sus-secretos.html</t>
        </is>
      </c>
      <c r="F57" s="49" t="n">
        <v>46319</v>
      </c>
      <c r="G57" s="29" t="inlineStr">
        <is>
          <t>malaga:para</t>
        </is>
      </c>
      <c r="H57" s="29" t="inlineStr">
        <is>
          <t>Kart 10: Bizum telefon numarasını hesaba bağlar, bankalar komisyon almaz, işlemler geri alınamaz. Sayfadaki limit rakamları (0,50-1.000 EUR) tarihsiz, karta yazılmasın.</t>
        </is>
      </c>
      <c r="I57" s="29" t="inlineStr">
        <is>
          <t>Evet</t>
        </is>
      </c>
      <c r="J57" s="29" t="inlineStr">
        <is>
          <t>Lisans kanıtları/13ca2935614c4d5742ae9e799ac0844c1dd3e1f5e877770fe1d3f1c040b6dd97.html</t>
        </is>
      </c>
      <c r="K57" s="29" t="inlineStr">
        <is>
          <t>13ca2935614c4d5742ae9e799ac0844c1dd3e1f5e877770fe1d3f1c040b6dd97</t>
        </is>
      </c>
    </row>
    <row r="58" ht="54" customHeight="1">
      <c r="A58" s="29" t="inlineStr">
        <is>
          <t>malaga:kaynak:051</t>
        </is>
      </c>
      <c r="B58" s="29" t="inlineStr">
        <is>
          <t>malaga</t>
        </is>
      </c>
      <c r="C58" s="29" t="inlineStr">
        <is>
          <t>Comisiones - Cliente Bancario, Banco de España</t>
        </is>
      </c>
      <c r="D58" s="29" t="inlineStr">
        <is>
          <t>Banco de España - Cliente Bancario</t>
        </is>
      </c>
      <c r="E58" s="29" t="inlineStr">
        <is>
          <t>https://clientebancario.bde.es/pcb/es/menu-horizontal/productosservici/relacionados/comisiones/</t>
        </is>
      </c>
      <c r="F58" s="49" t="n">
        <v>46319</v>
      </c>
      <c r="G58" s="29" t="inlineStr">
        <is>
          <t>malaga:para</t>
        </is>
      </c>
      <c r="H58" s="29" t="inlineStr">
        <is>
          <t>Kart 11: komisyonlar serbest (norm sınırlamadıkça), bankalar sık kullanılan hizmetlerin komisyonlarını yayımlamak zorunda.</t>
        </is>
      </c>
      <c r="I58" s="29" t="inlineStr">
        <is>
          <t>Evet</t>
        </is>
      </c>
      <c r="J58" s="29" t="inlineStr">
        <is>
          <t>Lisans kanıtları/1d29be37901dbd4e66f8cf41fca48c1acb952e89ee1dd1b50dae9ea0d3ed4834.html</t>
        </is>
      </c>
      <c r="K58" s="29" t="inlineStr">
        <is>
          <t>1d29be37901dbd4e66f8cf41fca48c1acb952e89ee1dd1b50dae9ea0d3ed4834</t>
        </is>
      </c>
    </row>
    <row r="59" ht="54" customHeight="1">
      <c r="A59" s="29" t="inlineStr">
        <is>
          <t>malaga:kaynak:052</t>
        </is>
      </c>
      <c r="B59" s="29" t="inlineStr">
        <is>
          <t>malaga</t>
        </is>
      </c>
      <c r="C59" s="29" t="inlineStr">
        <is>
          <t>Comisiones - Cliente Bancario, Banco de España</t>
        </is>
      </c>
      <c r="D59" s="29" t="inlineStr">
        <is>
          <t>Banco de España - Cliente Bancario</t>
        </is>
      </c>
      <c r="E59" s="29" t="inlineStr">
        <is>
          <t>https://clientebancario.bde.es/pcb/es/menu-horizontal/productosservici/cuentasdepositos/cuentascorriente/guia-textual/CuentadepagoBasica/comisiones.html</t>
        </is>
      </c>
      <c r="F59" s="49" t="n">
        <v>46319</v>
      </c>
      <c r="G59" s="29" t="inlineStr">
        <is>
          <t>malaga:para</t>
        </is>
      </c>
      <c r="H59" s="29" t="inlineStr">
        <is>
          <t>Kart 11: temel ödeme hesabı için yasal azami komisyon 3 EUR/ay (BdE iki yılda bir güncelleyebilir). Kart 1 için de yardımcı.</t>
        </is>
      </c>
      <c r="I59" s="29" t="inlineStr">
        <is>
          <t>Evet</t>
        </is>
      </c>
      <c r="J59" s="29" t="inlineStr">
        <is>
          <t>Lisans kanıtları/eb90ff95eaf3fda25d7a3cbf22c3e12e2c21796f95f69f428a0523cc6f834dfc.html</t>
        </is>
      </c>
      <c r="K59" s="29" t="inlineStr">
        <is>
          <t>eb90ff95eaf3fda25d7a3cbf22c3e12e2c21796f95f69f428a0523cc6f834dfc</t>
        </is>
      </c>
    </row>
    <row r="60" ht="54" customHeight="1">
      <c r="A60" s="29" t="inlineStr">
        <is>
          <t>malaga:kaynak:053</t>
        </is>
      </c>
      <c r="B60" s="29" t="inlineStr">
        <is>
          <t>malaga</t>
        </is>
      </c>
      <c r="C60" s="29" t="inlineStr">
        <is>
          <t>Agencia Tributaria: Ámbito de aplicación</t>
        </is>
      </c>
      <c r="D60" s="29" t="inlineStr">
        <is>
          <t>Agencia Tributaria (AEAT)</t>
        </is>
      </c>
      <c r="E60" s="29" t="inlineStr">
        <is>
          <t>https://sede.agenciatributaria.gob.es/Sede/ayuda/manuales-videos-folletos/manuales-practicos/irpf-2025/c02-irpf-cuestiones-generales/sujecion-irpf-aspectos-personales/regimen-fiscal-especial-aplicable-trabajadores-desplazados/regimen-aplicable-trabajadores-desplazados/ambito-aplicacion.html</t>
        </is>
      </c>
      <c r="F60" s="49" t="n">
        <v>46319</v>
      </c>
      <c r="G60" s="29" t="inlineStr">
        <is>
          <t>malaga:para</t>
        </is>
      </c>
      <c r="H60" s="29" t="inlineStr">
        <is>
          <t>Kart 12: Beckham kuralı şartları: önceki 5 vergi döneminde İspanya'da yerleşik olmama, iş sözleşmesi/işveren görevlendirmesi. Manuel Renta 2025.</t>
        </is>
      </c>
      <c r="I60" s="29" t="inlineStr">
        <is>
          <t>Evet</t>
        </is>
      </c>
      <c r="J60" s="29" t="inlineStr">
        <is>
          <t>Lisans kanıtları/069714f22a07d7085a0a6b6b55b43ae64673922630f05ae7061aaa16f04b1841.html</t>
        </is>
      </c>
      <c r="K60" s="29" t="inlineStr">
        <is>
          <t>069714f22a07d7085a0a6b6b55b43ae64673922630f05ae7061aaa16f04b1841</t>
        </is>
      </c>
    </row>
    <row r="61" ht="54" customHeight="1">
      <c r="A61" s="29" t="inlineStr">
        <is>
          <t>malaga:kaynak:054</t>
        </is>
      </c>
      <c r="B61" s="29" t="inlineStr">
        <is>
          <t>malaga</t>
        </is>
      </c>
      <c r="C61" s="29" t="inlineStr">
        <is>
          <t>Agencia Tributaria: Régimen fiscal especial aplicable a los trabajadores desplazados a territorio español</t>
        </is>
      </c>
      <c r="D61" s="29" t="inlineStr">
        <is>
          <t>Agencia Tributaria (AEAT)</t>
        </is>
      </c>
      <c r="E61" s="29" t="inlineStr">
        <is>
          <t>https://sede.agenciatributaria.gob.es/Sede/ayuda/manuales-videos-folletos/manuales-practicos/irpf-2025/c15-calculo-impuesto-determinacion-cuotas-integras/regimen-fiscal-especial-aplicable-trabajadores.html</t>
        </is>
      </c>
      <c r="F61" s="49" t="n">
        <v>46319</v>
      </c>
      <c r="G61" s="29" t="inlineStr">
        <is>
          <t>malaga:para</t>
        </is>
      </c>
      <c r="H61" s="29" t="inlineStr">
        <is>
          <t>Kart 12: rejim süresi (geliş yılı + sonraki 5 vergi dönemi) ve oran %24 (600.000 EUR'ya kadar). Manuel Renta 2025.</t>
        </is>
      </c>
      <c r="I61" s="29" t="inlineStr">
        <is>
          <t>Evet</t>
        </is>
      </c>
      <c r="J61" s="29" t="inlineStr">
        <is>
          <t>Lisans kanıtları/d5fe19403f93894545b14b5ae1a7ca8fb8c94711bc79fac4a164184c9ef19e89.html</t>
        </is>
      </c>
      <c r="K61" s="29" t="inlineStr">
        <is>
          <t>d5fe19403f93894545b14b5ae1a7ca8fb8c94711bc79fac4a164184c9ef19e89</t>
        </is>
      </c>
    </row>
    <row r="62" ht="54" customHeight="1">
      <c r="A62" s="29" t="inlineStr">
        <is>
          <t>malaga:kaynak:055</t>
        </is>
      </c>
      <c r="B62" s="29" t="inlineStr">
        <is>
          <t>malaga</t>
        </is>
      </c>
      <c r="C62" s="29" t="inlineStr">
        <is>
          <t>BOE-A-2015-11430 Real Decreto Legislativo 2/2015, de 23 de octubre, por el que se aprueba el texto refundido de la Ley del Estatuto de los Trabajadores.</t>
        </is>
      </c>
      <c r="D62" s="29" t="inlineStr">
        <is>
          <t>BOE (Agencia Estatal Boletín Oficial del Estado)</t>
        </is>
      </c>
      <c r="E62" s="29" t="inlineStr">
        <is>
          <t>https://www.boe.es/buscar/act.php?id=BOE-A-2015-11430</t>
        </is>
      </c>
      <c r="F62" s="49" t="n">
        <v>46319</v>
      </c>
      <c r="G62" s="29" t="inlineStr">
        <is>
          <t>malaga:is</t>
        </is>
      </c>
      <c r="H62" s="29" t="inlineStr">
        <is>
          <t>Kart 1: sözleşme türleri. Art. 15: sözleşme kural olarak belirsiz süreli sayılır; belirli süreli yalnız üretim koşulları (circunstancias de la producción) veya ikame (sustitución) nedeniyle yapılabilir (2021 reformu sonrası metin); fijo-discontinuo da aynı maddede geçer. Sayfa konsolide metin, son güncelleme 21/10/2026 görünümü; hukuki değeri olmayan bilgi amaçlı konsolide sürüm notu var.</t>
        </is>
      </c>
      <c r="I62" s="29" t="inlineStr">
        <is>
          <t>Evet</t>
        </is>
      </c>
      <c r="J62" s="29" t="inlineStr">
        <is>
          <t>Lisans kanıtları/d9a59a0ef368ee46722c67872526d743a2eaab871f316a5bbd0a600459859367.html</t>
        </is>
      </c>
      <c r="K62" s="29" t="inlineStr">
        <is>
          <t>d9a59a0ef368ee46722c67872526d743a2eaab871f316a5bbd0a600459859367</t>
        </is>
      </c>
    </row>
    <row r="63" ht="54" customHeight="1">
      <c r="A63" s="29" t="inlineStr">
        <is>
          <t>malaga:kaynak:056</t>
        </is>
      </c>
      <c r="B63" s="29" t="inlineStr">
        <is>
          <t>malaga</t>
        </is>
      </c>
      <c r="C63" s="29" t="inlineStr">
        <is>
          <t>BOE-A-2021-21788 Real Decreto-ley 32/2021, de 28 de diciembre, de medidas urgentes para la reforma laboral, la garantía de la estabilidad en el empleo y la transformación del merca</t>
        </is>
      </c>
      <c r="D63" s="29" t="inlineStr">
        <is>
          <t>BOE (Jefatura del Estado)</t>
        </is>
      </c>
      <c r="E63" s="29" t="inlineStr">
        <is>
          <t>https://www.boe.es/buscar/act.php?id=BOE-A-2021-21788</t>
        </is>
      </c>
      <c r="F63" s="49" t="n">
        <v>46319</v>
      </c>
      <c r="G63" s="29" t="inlineStr">
        <is>
          <t>malaga:is</t>
        </is>
      </c>
      <c r="H63" s="29" t="inlineStr">
        <is>
          <t>Kart 1: 2021 iş reformunun amacı ve kapsamı: sözleşme türlerinin sadeleştirilmesi, belirsiz süreli sözleşmenin genelleştirilmesi, belirli süreli sözleşmeye nedensellik şartı; formativo sözleşmenin iki türe ayrılması (preamble). Karta yazılacak güncel kural için Estatuto konsolide metnine bakılır; bu RD-ley reformun kaynağı (28/12/2021, yürürlük 31/12/2021 ve 30/03/2022).</t>
        </is>
      </c>
      <c r="I63" s="29" t="inlineStr">
        <is>
          <t>Evet</t>
        </is>
      </c>
      <c r="J63" s="29" t="inlineStr">
        <is>
          <t>Lisans kanıtları/dfe5e70920600958304226ad77c9adaa98f24986a719e2b878754e27b496dd67.html</t>
        </is>
      </c>
      <c r="K63" s="29" t="inlineStr">
        <is>
          <t>dfe5e70920600958304226ad77c9adaa98f24986a719e2b878754e27b496dd67</t>
        </is>
      </c>
    </row>
    <row r="64" ht="54" customHeight="1">
      <c r="A64" s="29" t="inlineStr">
        <is>
          <t>malaga:kaynak:057</t>
        </is>
      </c>
      <c r="B64" s="29" t="inlineStr">
        <is>
          <t>malaga</t>
        </is>
      </c>
      <c r="C64" s="29" t="inlineStr">
        <is>
          <t>BOE-A-2026-3815 Real Decreto 126/2026, de 18 de febrero, por el que se fija el salario mínimo interprofesional para 2026.</t>
        </is>
      </c>
      <c r="D64" s="29" t="inlineStr">
        <is>
          <t>BOE (Agencia Estatal Boletín Oficial del Estado)</t>
        </is>
      </c>
      <c r="E64" s="29" t="inlineStr">
        <is>
          <t>https://www.boe.es/eli/es/rd/2026/02/18/126/con</t>
        </is>
      </c>
      <c r="F64" s="49" t="n">
        <v>46319</v>
      </c>
      <c r="G64" s="29" t="inlineStr">
        <is>
          <t>malaga:is</t>
        </is>
      </c>
      <c r="H64" s="29" t="inlineStr">
        <is>
          <t>Kart 2: SMI 2026. RD 126/2026 (BOE 19/02/2026): günlük 40,70 euro veya aylık 1 221 euro (metinde 'euros/mes', 1 ile 221 arasında boşluk karakteri var); ev hizmetlisi saatlik 9,55 euro; 1 Ocak 2026'dan itibaren geçerli ('a partir del 1 de enero de 2026'). Yıllık 17.094 euro / 14 ödeme ifadesi metinde YOK (haber sitelerinden); karta yazılırsa 'metin yalnız günlük ve aylık tutarı verir' çerçevesinde. Konsolide metin 'Última actualización, publicada el 19/02/2026'.</t>
        </is>
      </c>
      <c r="I64" s="29" t="inlineStr">
        <is>
          <t>Evet</t>
        </is>
      </c>
      <c r="J64" s="29" t="inlineStr">
        <is>
          <t>Lisans kanıtları/0b05c22f8901dfeb74d9b999afed2ba617a34e953e9da6399d2b7ec2ad648ac1.html</t>
        </is>
      </c>
      <c r="K64" s="29" t="inlineStr">
        <is>
          <t>0b05c22f8901dfeb74d9b999afed2ba617a34e953e9da6399d2b7ec2ad648ac1</t>
        </is>
      </c>
    </row>
    <row r="65" ht="54" customHeight="1">
      <c r="A65" s="29" t="inlineStr">
        <is>
          <t>malaga:kaynak:058</t>
        </is>
      </c>
      <c r="B65" s="29" t="inlineStr">
        <is>
          <t>malaga</t>
        </is>
      </c>
      <c r="C65" s="29" t="inlineStr">
        <is>
          <t>BOE-A-2025-21667 Resolución de 17 de octubre de 2025, de la Dirección General de Trabajo, por la que se publica la relación de fiestas laborales para el año 2026.</t>
        </is>
      </c>
      <c r="D65" s="29" t="inlineStr">
        <is>
          <t>BOE (Ministerio de Trabajo y Economía Social, Dirección General de Trabajo)</t>
        </is>
      </c>
      <c r="E65" s="29" t="inlineStr">
        <is>
          <t>https://www.boe.es/diario_boe/txt.php?id=BOE-A-2025-21667</t>
        </is>
      </c>
      <c r="F65" s="49" t="n">
        <v>46319</v>
      </c>
      <c r="G65" s="29" t="inlineStr">
        <is>
          <t>malaga:is</t>
        </is>
      </c>
      <c r="H65" s="29" t="inlineStr">
        <is>
          <t>Kart 3: resmi tatiller. 2026 yılı iş bayramları listesi (ulusal + özerk bölge + Ceuta/Melilla), anexo 'Año 2026'; Yılbaşı, 6 Ocak (Epifanía), 1 Mayıs, 15 Ağustos, 12 Ekim vb. ulusal sütunlarda; bölgeye göre farklı günler ayrı sütun. Her yıl yeni resolución yayımlanır (2027 listesi Ekim 2026'da yayımlandı, bu karta 2026 resolución'u yazıldı; yıl damgası: 'para el año 2026').</t>
        </is>
      </c>
      <c r="I65" s="29" t="inlineStr">
        <is>
          <t>Evet</t>
        </is>
      </c>
      <c r="J65" s="29" t="inlineStr">
        <is>
          <t>Lisans kanıtları/48af8c3f9e3ab48e6d933e3575d5b38982bb57f59b0079f6ea8733d514e32078.html</t>
        </is>
      </c>
      <c r="K65" s="29" t="inlineStr">
        <is>
          <t>48af8c3f9e3ab48e6d933e3575d5b38982bb57f59b0079f6ea8733d514e32078</t>
        </is>
      </c>
    </row>
    <row r="66" ht="54" customHeight="1">
      <c r="A66" s="29" t="inlineStr">
        <is>
          <t>malaga:kaynak:059</t>
        </is>
      </c>
      <c r="B66" s="29" t="inlineStr">
        <is>
          <t>malaga</t>
        </is>
      </c>
      <c r="C66" s="29" t="inlineStr">
        <is>
          <t>BOE-A-1995-912 Orden de 27 de diciembre de 1994 por la que se aprueba el modelo de recibo individual de salarios.</t>
        </is>
      </c>
      <c r="D66" s="29" t="inlineStr">
        <is>
          <t>BOE (Ministerio de Trabajo, texto consolidado)</t>
        </is>
      </c>
      <c r="E66" s="29" t="inlineStr">
        <is>
          <t>https://www.boe.es/buscar/act.php?id=BOE-A-1995-912</t>
        </is>
      </c>
      <c r="F66" s="49" t="n">
        <v>46319</v>
      </c>
      <c r="G66" s="29" t="inlineStr">
        <is>
          <t>malaga:is</t>
        </is>
      </c>
      <c r="H66" s="29" t="inlineStr">
        <is>
          <t>Kart 4: nómina. Resmî bordro modeli: aylık (meses naturales); kazançlar ve kesintiler açık ve ayrı gösterilir; işçi imzası/banka dekontu; bordrolar en az 5 yıl saklanır (art. 3). Model tablosu (anexo) metinde değil, görsel; son güncelleme 11/11/2014 (Orden ESS/2098/2014).</t>
        </is>
      </c>
      <c r="I66" s="29" t="inlineStr">
        <is>
          <t>Evet</t>
        </is>
      </c>
      <c r="J66" s="29" t="inlineStr">
        <is>
          <t>Lisans kanıtları/cbd78d471d3d6af94a9ff28bbb3edbeefee1387f3bc8f6e92e534aa1aa88a4bd.html</t>
        </is>
      </c>
      <c r="K66" s="29" t="inlineStr">
        <is>
          <t>cbd78d471d3d6af94a9ff28bbb3edbeefee1387f3bc8f6e92e534aa1aa88a4bd</t>
        </is>
      </c>
    </row>
    <row r="67" ht="54" customHeight="1">
      <c r="A67" s="29" t="inlineStr">
        <is>
          <t>malaga:kaynak:060</t>
        </is>
      </c>
      <c r="B67" s="29" t="inlineStr">
        <is>
          <t>malaga</t>
        </is>
      </c>
      <c r="C67" s="29" t="inlineStr">
        <is>
          <t>BOE-A-2026-7296 Orden PJC/297/2026, de 30 de marzo, por la que se desarrollan las normas legales de cotización a la Seguridad Social, desempleo, protección por cese de actividad, F</t>
        </is>
      </c>
      <c r="D67" s="29" t="inlineStr">
        <is>
          <t>BOE (Ministerio de la Presidencia, Justicia y Relaciones con las Cortes)</t>
        </is>
      </c>
      <c r="E67" s="29" t="inlineStr">
        <is>
          <t>https://www.boe.es/diario_boe/txt.php?id=BOE-A-2026-7296</t>
        </is>
      </c>
      <c r="F67" s="49" t="n">
        <v>46319</v>
      </c>
      <c r="G67" s="29" t="inlineStr">
        <is>
          <t>malaga:is</t>
        </is>
      </c>
      <c r="H67" s="29" t="inlineStr">
        <is>
          <t>Kart 4: bordroda sosyal güvenlik kesintisi. 2026 genel rejim ortak risklerde (contingencias comunes) toplam %28,30: %23,60 işveren, %4,70 işçi. Orden yılı 2026. İşsizlik, FP, MEI işçi payı ayrı maddede (yazılacaksa o metinden doğrulanmalı).</t>
        </is>
      </c>
      <c r="I67" s="29" t="inlineStr">
        <is>
          <t>Evet</t>
        </is>
      </c>
      <c r="J67" s="29" t="inlineStr">
        <is>
          <t>Lisans kanıtları/b929bc7e92be30c91abf74ee2d8670bb1ed24d5a38506e36c21b5cba5d9dc732.html</t>
        </is>
      </c>
      <c r="K67" s="29" t="inlineStr">
        <is>
          <t>b929bc7e92be30c91abf74ee2d8670bb1ed24d5a38506e36c21b5cba5d9dc732</t>
        </is>
      </c>
    </row>
    <row r="68" ht="54" customHeight="1">
      <c r="A68" s="29" t="inlineStr">
        <is>
          <t>malaga:kaynak:061</t>
        </is>
      </c>
      <c r="B68" s="29" t="inlineStr">
        <is>
          <t>malaga</t>
        </is>
      </c>
      <c r="C68" s="29" t="inlineStr">
        <is>
          <t>Prestación contributiva - He trabajado más de un año</t>
        </is>
      </c>
      <c r="D68" s="29" t="inlineStr">
        <is>
          <t>SEPE (Servicio Público de Empleo Estatal)</t>
        </is>
      </c>
      <c r="E68" s="29" t="inlineStr">
        <is>
          <t>https://www.sepe.es/HomeSepe/prestaciones-desempleo/prestacion-contributiva/prestacion-contributiva-mas-de-un-anyo.html</t>
        </is>
      </c>
      <c r="F68" s="49" t="n">
        <v>46319</v>
      </c>
      <c r="G68" s="29" t="inlineStr">
        <is>
          <t>malaga:is</t>
        </is>
      </c>
      <c r="H68" s="29" t="inlineStr">
        <is>
          <t>Kart 7: paro. Şart: son 6 yılda en az 360 gün işsizlik primi; başvuru son çalışılan günden sonra 15 iş günü içinde (sayfada 'Solicitud ... plazo de los quince días hábiles'); tutar: ilk 180 gün baz matrahın %70'i, 181. günden sonra %60. Süre tablosu ayrı sayfada ('Ver tabla de la duración'). Tarih/yıl damgası sayfada yok.</t>
        </is>
      </c>
      <c r="I68" s="29" t="inlineStr">
        <is>
          <t>Evet</t>
        </is>
      </c>
      <c r="J68" s="29" t="inlineStr">
        <is>
          <t>Lisans kanıtları/fb293c47c327e19e6a754937bfde550ca6e7fc7b240379dec715ab545efab344.html</t>
        </is>
      </c>
      <c r="K68" s="29" t="inlineStr">
        <is>
          <t>fb293c47c327e19e6a754937bfde550ca6e7fc7b240379dec715ab545efab344</t>
        </is>
      </c>
    </row>
    <row r="69" ht="54" customHeight="1">
      <c r="A69" s="29" t="inlineStr">
        <is>
          <t>malaga:kaynak:062</t>
        </is>
      </c>
      <c r="B69" s="29" t="inlineStr">
        <is>
          <t>malaga</t>
        </is>
      </c>
      <c r="C69" s="29" t="inlineStr">
        <is>
          <t>Duración contributiva |Servicio Público de Empleo Estatal</t>
        </is>
      </c>
      <c r="D69" s="29" t="inlineStr">
        <is>
          <t>SEPE (Servicio Público de Empleo Estatal)</t>
        </is>
      </c>
      <c r="E69" s="29" t="inlineStr">
        <is>
          <t>https://www.sepe.es/HomeSepe/prestaciones-desempleo/duracion-prestacion-contributiva.html</t>
        </is>
      </c>
      <c r="F69" s="49" t="n">
        <v>46319</v>
      </c>
      <c r="G69" s="29" t="inlineStr">
        <is>
          <t>malaga:is</t>
        </is>
      </c>
      <c r="H69" s="29" t="inlineStr">
        <is>
          <t>Kart 7: paro süresi tablosu: 360-539 gün prim = 120 gün ödenek, 540-719 = 180, ... 2.160 ve üzeri = 720 gün (azami). Sayfada tek yıl damgası altbilgide '2023 SEPE' (telif); tablo kendisi tarihsiz.</t>
        </is>
      </c>
      <c r="I69" s="29" t="inlineStr">
        <is>
          <t>Evet</t>
        </is>
      </c>
      <c r="J69" s="29" t="inlineStr">
        <is>
          <t>Lisans kanıtları/31c9dd67af7079b8f061bc43880f4ac31f89b6badef4d44bb7d07296cc44b643.html</t>
        </is>
      </c>
      <c r="K69" s="29" t="inlineStr">
        <is>
          <t>31c9dd67af7079b8f061bc43880f4ac31f89b6badef4d44bb7d07296cc44b643</t>
        </is>
      </c>
    </row>
    <row r="70" ht="54" customHeight="1">
      <c r="A70" s="29" t="inlineStr">
        <is>
          <t>malaga:kaynak:063</t>
        </is>
      </c>
      <c r="B70" s="29" t="inlineStr">
        <is>
          <t>malaga</t>
        </is>
      </c>
      <c r="C70" s="29" t="inlineStr">
        <is>
          <t>BOE-A-2015-11724 Real Decreto Legislativo 8/2015, de 30 de octubre, por el que se aprueba el texto refundido de la Ley General de la Seguridad Social.</t>
        </is>
      </c>
      <c r="D70" s="29" t="inlineStr">
        <is>
          <t>BOE (Agencia Estatal Boletín Oficial del Estado)</t>
        </is>
      </c>
      <c r="E70" s="29" t="inlineStr">
        <is>
          <t>https://www.boe.es/buscar/act.php?id=BOE-A-2015-11724</t>
        </is>
      </c>
      <c r="F70" s="49" t="n">
        <v>46319</v>
      </c>
      <c r="G70" s="29" t="inlineStr">
        <is>
          <t>malaga:is</t>
        </is>
      </c>
      <c r="H70" s="29" t="inlineStr">
        <is>
          <t>Kart 8: iş kazası tanımı (art. 156: iş nedeniyle veya işle bağlantılı bedensel yaralanma; 156.2: işe gidiş-dönüş kazası da sayılır) ve geçici iş göremezlik azami süresi 365 gün + 180 gün (art. 169). Konsolide metin; meslek hastalığı tanımı art. 157.</t>
        </is>
      </c>
      <c r="I70" s="29" t="inlineStr">
        <is>
          <t>Evet</t>
        </is>
      </c>
      <c r="J70" s="29" t="inlineStr">
        <is>
          <t>Lisans kanıtları/2dd045fd02c01d2e30e4596fd91b85b44e0cde97b249887c294edcffb33ac6f1.html</t>
        </is>
      </c>
      <c r="K70" s="29" t="inlineStr">
        <is>
          <t>2dd045fd02c01d2e30e4596fd91b85b44e0cde97b249887c294edcffb33ac6f1</t>
        </is>
      </c>
    </row>
    <row r="71" ht="54" customHeight="1">
      <c r="A71" s="29" t="inlineStr">
        <is>
          <t>malaga:kaynak:064</t>
        </is>
      </c>
      <c r="B71" s="29" t="inlineStr">
        <is>
          <t>malaga</t>
        </is>
      </c>
      <c r="C71" s="29" t="inlineStr">
        <is>
          <t>Guía para darte de alta en la Seguridad Social como trabajador autónomo - Revista Seguridad Social</t>
        </is>
      </c>
      <c r="D71" s="29" t="inlineStr">
        <is>
          <t>Seguridad Social (Revista Seguridad Social, revista.seg-social.es)</t>
        </is>
      </c>
      <c r="E71" s="29" t="inlineStr">
        <is>
          <t>https://revista.seg-social.es/-/guia-para-darte-de-alta-en-la-seguridad-social-como-trabajador-autonomo</t>
        </is>
      </c>
      <c r="F71" s="49" t="n">
        <v>46319</v>
      </c>
      <c r="G71" s="29" t="inlineStr">
        <is>
          <t>malaga:is</t>
        </is>
      </c>
      <c r="H71" s="29" t="inlineStr">
        <is>
          <t>Kart 9: otonom kaydı. Sıra: önce IAE/vergi kaydı (Agencia Tributaria), sonra Seguridad Social'da RETA alta (Import@ss / Tu Seguridad Social, çevrimiçi); sırasında mutua seçilir, tarifa plana seçeneği sorulur, banka hesabı verilir. Sayfada yıl damgası yok; tarifa plana tutarı bu sayfada yok.</t>
        </is>
      </c>
      <c r="I71" s="29" t="inlineStr">
        <is>
          <t>Evet</t>
        </is>
      </c>
      <c r="J71" s="29" t="inlineStr">
        <is>
          <t>Lisans kanıtları/05ab5ffe4939f0ab5553de252f96fd3ba71074c896ee8f85cf035bbe936d59c6.html</t>
        </is>
      </c>
      <c r="K71" s="29" t="inlineStr">
        <is>
          <t>05ab5ffe4939f0ab5553de252f96fd3ba71074c896ee8f85cf035bbe936d59c6</t>
        </is>
      </c>
    </row>
    <row r="72" ht="54" customHeight="1">
      <c r="A72" s="29" t="inlineStr">
        <is>
          <t>malaga:kaynak:065</t>
        </is>
      </c>
      <c r="B72" s="29" t="inlineStr">
        <is>
          <t>malaga</t>
        </is>
      </c>
      <c r="C72" s="29" t="inlineStr">
        <is>
          <t>¿Qué puedo homologar o convalidar? - Homologación y convalidación de títulos y estudios extranjeros no universitarios | Ministerio de Educación, Formación Profesional y Deportes</t>
        </is>
      </c>
      <c r="D72" s="29" t="inlineStr">
        <is>
          <t>Ministerio de Educación, Formación Profesional y Deportes</t>
        </is>
      </c>
      <c r="E72" s="29" t="inlineStr">
        <is>
          <t>https://www.educacionfpydeportes.gob.es/mc/convalidacion-homologacion/convalidacion-no-universitaria/homologar-convalidar.html</t>
        </is>
      </c>
      <c r="F72" s="49" t="n">
        <v>46319</v>
      </c>
      <c r="G72" s="29" t="inlineStr">
        <is>
          <t>malaga:is</t>
        </is>
      </c>
      <c r="H72" s="29" t="inlineStr">
        <is>
          <t>Kart 11: yabancı okul/lise/MYO (üniversite DIŞI) diploma denkliği. Şart: ülkesinde resmî ve tamamlanmış olmalı, İspanyol karşılığıyla yeterli denklik; tek tek dersler, İspanya'dan zaten alınmış diplomalar ve yetkisiz yabancı okul diplomaları denklenmez. Sayfada yıl damgası yok; sayfa 'bilgilendirme, hukuki değeri yok' notlu.</t>
        </is>
      </c>
      <c r="I72" s="29" t="inlineStr">
        <is>
          <t>Evet</t>
        </is>
      </c>
      <c r="J72" s="29" t="inlineStr">
        <is>
          <t>Lisans kanıtları/0fef729b5e425c3e3fec9fe30f1c29c3d5a9979fda76a0338fa8c563af5ee3ff.html</t>
        </is>
      </c>
      <c r="K72" s="29" t="inlineStr">
        <is>
          <t>0fef729b5e425c3e3fec9fe30f1c29c3d5a9979fda76a0338fa8c563af5ee3ff</t>
        </is>
      </c>
    </row>
    <row r="73" ht="54" customHeight="1">
      <c r="A73" s="29" t="inlineStr">
        <is>
          <t>malaga:kaynak:066</t>
        </is>
      </c>
      <c r="B73" s="29" t="inlineStr">
        <is>
          <t>malaga</t>
        </is>
      </c>
      <c r="C73" s="29" t="inlineStr">
        <is>
          <t>BOE-A-2022-17045 Real Decreto 889/2022, de 18 de octubre, por el que se establecen las condiciones y los procedimientos de homologación, de declaración de equivalencia y de convali</t>
        </is>
      </c>
      <c r="D73" s="29" t="inlineStr">
        <is>
          <t>BOE (Ministerio de Universidades)</t>
        </is>
      </c>
      <c r="E73" s="29" t="inlineStr">
        <is>
          <t>https://www.boe.es/buscar/doc.php?id=BOE-A-2022-17045</t>
        </is>
      </c>
      <c r="F73" s="49" t="n">
        <v>46319</v>
      </c>
      <c r="G73" s="29" t="inlineStr">
        <is>
          <t>malaga:is</t>
        </is>
      </c>
      <c r="H73" s="29" t="inlineStr">
        <is>
          <t>Kart 11: yabancı ÜNİVERSİTE diploması. Art. 12: başvuru yalnız çevrimiçi, Ministerio de Universidades sede electrónica; homologación = düzenlenmiş meslek (profesión regulada) için, equivalencia = düzenlenmemiş için (art. 2 tanımları). Metin 2022 tarihli RD (BOE 19/10/2022), güncel sürümü sayfada.</t>
        </is>
      </c>
      <c r="I73" s="29" t="inlineStr">
        <is>
          <t>Evet</t>
        </is>
      </c>
      <c r="J73" s="29" t="inlineStr">
        <is>
          <t>Lisans kanıtları/069d8636e3be5530d9ef4babcadfb1dd09eb2a95d42bfe415b1efbe4ce476a60.html</t>
        </is>
      </c>
      <c r="K73" s="29" t="inlineStr">
        <is>
          <t>069d8636e3be5530d9ef4babcadfb1dd09eb2a95d42bfe415b1efbe4ce476a60</t>
        </is>
      </c>
    </row>
    <row r="74" ht="54" customHeight="1">
      <c r="A74" s="29" t="inlineStr">
        <is>
          <t>malaga:kaynak:067</t>
        </is>
      </c>
      <c r="B74" s="29" t="inlineStr">
        <is>
          <t>malaga</t>
        </is>
      </c>
      <c r="C74" s="29" t="inlineStr">
        <is>
          <t>Contratación y suministro</t>
        </is>
      </c>
      <c r="D74" s="29" t="inlineStr">
        <is>
          <t>MITECO (Ministerio para la Transición Ecológica y el Reto Demográfico)</t>
        </is>
      </c>
      <c r="E74" s="29" t="inlineStr">
        <is>
          <t>https://www.miteco.gob.es/es/energia/energia-electrica/electricidad/contratacion-suministro.html</t>
        </is>
      </c>
      <c r="F74" s="49" t="n">
        <v>46319</v>
      </c>
      <c r="G74" s="29" t="inlineStr">
        <is>
          <t>malaga:fatura</t>
        </is>
      </c>
      <c r="H74" s="29" t="inlineStr">
        <is>
          <t>Kart 1: serbest piyasa herkese açık, regüle piyasada (PVPC) yalnız &lt;=10 kW gerçek kişi/mikro işletme ve comercializadora de referencia ile. Sayfada yıl yok (canlı resmî sayfa).</t>
        </is>
      </c>
      <c r="I74" s="29" t="inlineStr">
        <is>
          <t>Evet</t>
        </is>
      </c>
      <c r="J74" s="29" t="inlineStr">
        <is>
          <t>Lisans kanıtları/4758e6434f52013ae23879e4c87817909b6c4ad061e3934e84387708b7518b98.html</t>
        </is>
      </c>
      <c r="K74" s="29" t="inlineStr">
        <is>
          <t>4758e6434f52013ae23879e4c87817909b6c4ad061e3934e84387708b7518b98</t>
        </is>
      </c>
    </row>
    <row r="75" ht="54" customHeight="1">
      <c r="A75" s="29" t="inlineStr">
        <is>
          <t>malaga:kaynak:068</t>
        </is>
      </c>
      <c r="B75" s="29" t="inlineStr">
        <is>
          <t>malaga</t>
        </is>
      </c>
      <c r="C75" s="29" t="inlineStr">
        <is>
          <t>Comercialización y suministro eléctrico | CNMC</t>
        </is>
      </c>
      <c r="D75" s="29" t="inlineStr">
        <is>
          <t>CNMC (Comisión Nacional de los Mercados y la Competencia)</t>
        </is>
      </c>
      <c r="E75" s="29" t="inlineStr">
        <is>
          <t>https://www.cnmc.es/facil-para-ti/que-hace-la-cnmc-para-consumidores/comercializacion-y-suministro-electrico</t>
        </is>
      </c>
      <c r="F75" s="49" t="n">
        <v>46319</v>
      </c>
      <c r="G75" s="29" t="inlineStr">
        <is>
          <t>malaga:fatura</t>
        </is>
      </c>
      <c r="H75" s="29" t="inlineStr">
        <is>
          <t>Kart 2: faturanın bileşenleri (sabit güç terimi, enerji terimi, peaje/cargo ayrı gösterilir, Impuesto especial de la electricidad + IVA). Kart 3: güç değişikliği comercializadora üzerinden istenir, 12 ayda bir yapılır (potencia contratada). Kart 1 için de PVPC'ye kimin girebildiğini söyler. Sayfa içinde yıl damgası yalnız 'Copyright 2024'; bölümlerin bir kısmı 'en proceso de elaboración/pendiente de actualización' notlu, yukarıdaki cümleler bunlardan bağımsız metin. Vergi oranları (IVA yüzdesi) sayfada yok.</t>
        </is>
      </c>
      <c r="I75" s="29" t="inlineStr">
        <is>
          <t>Evet</t>
        </is>
      </c>
      <c r="J75" s="29" t="inlineStr">
        <is>
          <t>Lisans kanıtları/38c0a92eb9f088b7647061ca862af284609dccd0bfd87af9c1385e9b9616db29.html</t>
        </is>
      </c>
      <c r="K75" s="29" t="inlineStr">
        <is>
          <t>38c0a92eb9f088b7647061ca862af284609dccd0bfd87af9c1385e9b9616db29</t>
        </is>
      </c>
    </row>
    <row r="76" ht="54" customHeight="1">
      <c r="A76" s="29" t="inlineStr">
        <is>
          <t>malaga:kaynak:069</t>
        </is>
      </c>
      <c r="B76" s="29" t="inlineStr">
        <is>
          <t>malaga</t>
        </is>
      </c>
      <c r="C76" s="29" t="inlineStr">
        <is>
          <t>Precio Voluntario para el Pequeño Consumidor (PVPC)</t>
        </is>
      </c>
      <c r="D76" s="29" t="inlineStr">
        <is>
          <t>MITECO (Ministerio para la Transición Ecológica y el Reto Demográfico)</t>
        </is>
      </c>
      <c r="E76" s="29" t="inlineStr">
        <is>
          <t>https://www.miteco.gob.es/es/energia/energia-electrica/electricidad/contratacion-suministro/precio-voluntario.html</t>
        </is>
      </c>
      <c r="F76" s="49" t="n">
        <v>46319</v>
      </c>
      <c r="G76" s="29" t="inlineStr">
        <is>
          <t>malaga:fatura</t>
        </is>
      </c>
      <c r="H76" s="29" t="inlineStr">
        <is>
          <t>Kart 1: PVPC saatlik değişen, toptan piyasaya endeksli fiyat (1 Nisan 2014'ten beri; 1 Ocak 2024'ten itibaren kısmen uzun vadeli sinyal içerir). Kart 2: PVPC'de potencia ve energía terimi var, vergi PVPC'nin üstüne ayrıca eklenir.</t>
        </is>
      </c>
      <c r="I76" s="29" t="inlineStr">
        <is>
          <t>Evet</t>
        </is>
      </c>
      <c r="J76" s="29" t="inlineStr">
        <is>
          <t>Lisans kanıtları/a45bf332451206ed7e7cea4d7f7bd4a68bd7042a9d3f7789208063aba5d21bde.html</t>
        </is>
      </c>
      <c r="K76" s="29" t="inlineStr">
        <is>
          <t>a45bf332451206ed7e7cea4d7f7bd4a68bd7042a9d3f7789208063aba5d21bde</t>
        </is>
      </c>
    </row>
    <row r="77" ht="54" customHeight="1">
      <c r="A77" s="29" t="inlineStr">
        <is>
          <t>malaga:kaynak:070</t>
        </is>
      </c>
      <c r="B77" s="29" t="inlineStr">
        <is>
          <t>malaga</t>
        </is>
      </c>
      <c r="C77" s="29" t="inlineStr">
        <is>
          <t>Consumidores de gas. Guía informativa | CNMC</t>
        </is>
      </c>
      <c r="D77" s="29" t="inlineStr">
        <is>
          <t>CNMC (Comisión Nacional de los Mercados y la Competencia)</t>
        </is>
      </c>
      <c r="E77" s="29" t="inlineStr">
        <is>
          <t>https://www.cnmc.es/facil-para-ti/que-hace-la-cnmc-para-consumidores/consumidores-gas</t>
        </is>
      </c>
      <c r="F77" s="49" t="n">
        <v>46319</v>
      </c>
      <c r="G77" s="29" t="inlineStr">
        <is>
          <t>malaga:fatura</t>
        </is>
      </c>
      <c r="H77" s="29" t="inlineStr">
        <is>
          <t>Kart 4: gaz serbest piyasa / TUR ayrımı, TUR hakkı (yıllık tüketim &lt;=50.000 kWh, &lt;=4 bar), TUR.1-3 kademeleri, TUR değişkeni Ocak-Nisan-Temmuz-Ekim'de üç ayda bir güncellenir, tedarikçi değişimi ücretsiz, uzaktan sözleşmede 14 gün cayma, fatura içeriği. Kart 7: comparador.cnmc.gob.es yalnız bilgi aracı, doğrudan sözleşme yaptırmaz. Sayfa 'Peajes de acceso para el año de gas 2026' anıyor (güncel); 'En 2024' ayrı ödenek tutarı eski, kullanma.</t>
        </is>
      </c>
      <c r="I77" s="29" t="inlineStr">
        <is>
          <t>Evet</t>
        </is>
      </c>
      <c r="J77" s="29" t="inlineStr">
        <is>
          <t>Lisans kanıtları/a68b126f14613861f0ec04861fb78e299b602b55a06b04f0f08bc4f95507b9f7.html</t>
        </is>
      </c>
      <c r="K77" s="29" t="inlineStr">
        <is>
          <t>a68b126f14613861f0ec04861fb78e299b602b55a06b04f0f08bc4f95507b9f7</t>
        </is>
      </c>
    </row>
    <row r="78" ht="54" customHeight="1">
      <c r="A78" s="29" t="inlineStr">
        <is>
          <t>malaga:kaynak:071</t>
        </is>
      </c>
      <c r="B78" s="29" t="inlineStr">
        <is>
          <t>malaga</t>
        </is>
      </c>
      <c r="C78" s="29" t="inlineStr">
        <is>
          <t>¿Cuáles son los requisitos para solicitarlo?</t>
        </is>
      </c>
      <c r="D78" s="29" t="inlineStr">
        <is>
          <t>MITECO (Ministerio para la Transición Ecológica y el Reto Demográfico)</t>
        </is>
      </c>
      <c r="E78" s="29" t="inlineStr">
        <is>
          <t>https://www.miteco.gob.es/es/energia/pobreza-energetica/pe-001/requisitos.html</t>
        </is>
      </c>
      <c r="F78" s="49" t="n">
        <v>46319</v>
      </c>
      <c r="G78" s="29" t="inlineStr">
        <is>
          <t>malaga:fatura</t>
        </is>
      </c>
      <c r="H78" s="29" t="inlineStr">
        <is>
          <t>Kart 5: bono social için PVPC + gerçek ikametgah + gelir/aile/emekli/IMV vb. kriterler (1,5 x IPREM 14 pagas, her ek yetişkin +0,3, her çocuk +0,5). Tarihe duyarlı: sayfa 'Hasta el 31 de diciembre de 2026 será de 42,5%' (geçici indirim) ve 'a partir del 31 de diciembre de 2025, en el 35%' (olağan indirim) diyor; sayfada TL/euro IPREM tutarları da yer alıyor (kart metninde sabit tutar yazma). 2026 sayfası.</t>
        </is>
      </c>
      <c r="I78" s="29" t="inlineStr">
        <is>
          <t>Evet</t>
        </is>
      </c>
      <c r="J78" s="29" t="inlineStr">
        <is>
          <t>Lisans kanıtları/2ba33e8b3440bf41e213bff5e0bed88c3bb71e30a6413946c4a40faacdb2a9e0.html</t>
        </is>
      </c>
      <c r="K78" s="29" t="inlineStr">
        <is>
          <t>2ba33e8b3440bf41e213bff5e0bed88c3bb71e30a6413946c4a40faacdb2a9e0</t>
        </is>
      </c>
    </row>
    <row r="79" ht="54" customHeight="1">
      <c r="A79" s="29" t="inlineStr">
        <is>
          <t>malaga:kaynak:072</t>
        </is>
      </c>
      <c r="B79" s="29" t="inlineStr">
        <is>
          <t>malaga</t>
        </is>
      </c>
      <c r="C79" s="29" t="inlineStr">
        <is>
          <t>BOE-A-2017-11505 Real Decreto 897/2017, de 6 de octubre, por el que se regula la figura del consumidor vulnerable, el bono social y otras medidas de protección para los consumidore</t>
        </is>
      </c>
      <c r="D79" s="29" t="inlineStr">
        <is>
          <t>BOE (Agencia Estatal Boletín Oficial del Estado)</t>
        </is>
      </c>
      <c r="E79" s="29" t="inlineStr">
        <is>
          <t>https://www.boe.es/buscar/act.php?id=BOE-A-2017-11505</t>
        </is>
      </c>
      <c r="F79" s="49" t="n">
        <v>46319</v>
      </c>
      <c r="G79" s="29" t="inlineStr">
        <is>
          <t>malaga:fatura</t>
        </is>
      </c>
      <c r="H79" s="29" t="inlineStr">
        <is>
          <t>Kart 5: yasal dayanak, madde 3 (vulnerable tüketici kriterleri). Konsolide metin 'Última actualización publicada el 28/01/2026'; madde 3 mevcut sürümü 01/11/2024'ten geçerli. Fiili 2026 indirim oranları bu metinde değil, MITECO sayfasında.</t>
        </is>
      </c>
      <c r="I79" s="29" t="inlineStr">
        <is>
          <t>Evet</t>
        </is>
      </c>
      <c r="J79" s="29" t="inlineStr">
        <is>
          <t>Lisans kanıtları/67230e4d4db4d5b0d3a8c0504501f4ef0b832716b61dc8b49e738b3c60984224.html</t>
        </is>
      </c>
      <c r="K79" s="29" t="inlineStr">
        <is>
          <t>67230e4d4db4d5b0d3a8c0504501f4ef0b832716b61dc8b49e738b3c60984224</t>
        </is>
      </c>
    </row>
    <row r="80" ht="54" customHeight="1">
      <c r="A80" s="29" t="inlineStr">
        <is>
          <t>malaga:kaynak:073</t>
        </is>
      </c>
      <c r="B80" s="29" t="inlineStr">
        <is>
          <t>malaga</t>
        </is>
      </c>
      <c r="C80" s="29" t="inlineStr">
        <is>
          <t>BOE-A-2022-10757 Ley 11/2022, de 28 de junio, General de Telecomunicaciones.</t>
        </is>
      </c>
      <c r="D80" s="29" t="inlineStr">
        <is>
          <t>BOE (Agencia Estatal Boletín Oficial del Estado)</t>
        </is>
      </c>
      <c r="E80" s="29" t="inlineStr">
        <is>
          <t>https://www.boe.es/buscar/act.php?id=BOE-A-2022-10757</t>
        </is>
      </c>
      <c r="F80" s="49" t="n">
        <v>46319</v>
      </c>
      <c r="G80" s="29" t="inlineStr">
        <is>
          <t>malaga:fatura</t>
        </is>
      </c>
      <c r="H80" s="29" t="inlineStr">
        <is>
          <t>Kart 6: tüketici-operatör sözleşmesi 24 aydan uzun olamaz (madde 67.7). Konsolide metin 'Última actualización publicada el 27/12/2025'.</t>
        </is>
      </c>
      <c r="I80" s="29" t="inlineStr">
        <is>
          <t>Evet</t>
        </is>
      </c>
      <c r="J80" s="29" t="inlineStr">
        <is>
          <t>Lisans kanıtları/8297453ff79fe6744adb2036528a6b2e84cfad0eb488f504b95bb1ff0aa0e0a5.html</t>
        </is>
      </c>
      <c r="K80" s="29" t="inlineStr">
        <is>
          <t>8297453ff79fe6744adb2036528a6b2e84cfad0eb488f504b95bb1ff0aa0e0a5</t>
        </is>
      </c>
    </row>
    <row r="81" ht="54" customHeight="1">
      <c r="A81" s="29" t="inlineStr">
        <is>
          <t>malaga:kaynak:074</t>
        </is>
      </c>
      <c r="B81" s="29" t="inlineStr">
        <is>
          <t>malaga</t>
        </is>
      </c>
      <c r="C81" s="29" t="inlineStr">
        <is>
          <t>BOE-A-2007-20555 Real Decreto Legislativo 1/2007, de 16 de noviembre, por el que se aprueba el texto refundido de la Ley General para la Defensa de los Consumidores y Usuarios y ot</t>
        </is>
      </c>
      <c r="D81" s="29" t="inlineStr">
        <is>
          <t>BOE (Agencia Estatal Boletín Oficial del Estado)</t>
        </is>
      </c>
      <c r="E81" s="29" t="inlineStr">
        <is>
          <t>https://www.boe.es/buscar/act.php?id=BOE-A-2007-20555</t>
        </is>
      </c>
      <c r="F81" s="49" t="n">
        <v>46319</v>
      </c>
      <c r="G81" s="29" t="inlineStr">
        <is>
          <t>malaga:fatura</t>
        </is>
      </c>
      <c r="H81" s="29" t="inlineStr">
        <is>
          <t>Kart 6: cayma hakkı, madde 102 (14 takvim günü, gerekçe göstermeden). Uzaktan/dükkân dışı sözleşmeler için geçerli, mağazada imzalanan sözleşmeye otomatik uygulanmaz. Konsolide metin 'Última actualización publicada el 28/02/2026'.</t>
        </is>
      </c>
      <c r="I81" s="29" t="inlineStr">
        <is>
          <t>Evet</t>
        </is>
      </c>
      <c r="J81" s="29" t="inlineStr">
        <is>
          <t>Lisans kanıtları/a3a4fb90c6fa1243cd9b7d6e1fea998090a873f6843c92a3a4d1314115b7be29.html</t>
        </is>
      </c>
      <c r="K81" s="29" t="inlineStr">
        <is>
          <t>a3a4fb90c6fa1243cd9b7d6e1fea998090a873f6843c92a3a4d1314115b7be29</t>
        </is>
      </c>
    </row>
    <row r="82" ht="54" customHeight="1">
      <c r="A82" s="29" t="inlineStr">
        <is>
          <t>malaga:kaynak:075</t>
        </is>
      </c>
      <c r="B82" s="29" t="inlineStr">
        <is>
          <t>malaga</t>
        </is>
      </c>
      <c r="C82" s="29" t="inlineStr">
        <is>
          <t>Energía | CNMC</t>
        </is>
      </c>
      <c r="D82" s="29" t="inlineStr">
        <is>
          <t>CNMC (Comisión Nacional de los Mercados y la Competencia)</t>
        </is>
      </c>
      <c r="E82" s="29" t="inlineStr">
        <is>
          <t>https://www.cnmc.es/facil-para-ti/herramientas-utiles/energia</t>
        </is>
      </c>
      <c r="F82" s="49" t="n">
        <v>46319</v>
      </c>
      <c r="G82" s="29" t="inlineStr">
        <is>
          <t>malaga:fatura</t>
        </is>
      </c>
      <c r="H82" s="29" t="inlineStr">
        <is>
          <t>Kart 7: CNMC karşılaştırma aracı elektrik ve doğalgaz tekliflerini karşılaştırır (adres comparador.cnmc.gob.es). Aynı sayfa 'Entiende tu factura' aracını (kart 2 için faydalı) ve PVPC fatura simülatörünü (&lt;=10 kW) tanıtır. Sayfadaki 'cerca de 800 ofertas de más de 80 comercializadoras' sayısı 2020 kaynaklı, kullanma.</t>
        </is>
      </c>
      <c r="I82" s="29" t="inlineStr">
        <is>
          <t>Evet</t>
        </is>
      </c>
      <c r="J82" s="29" t="inlineStr">
        <is>
          <t>Lisans kanıtları/c6ac86f0b12c95d3cb7532e78223f0294f4fa3afba9b837952f03b060ae1a7dd.html</t>
        </is>
      </c>
      <c r="K82" s="29" t="inlineStr">
        <is>
          <t>c6ac86f0b12c95d3cb7532e78223f0294f4fa3afba9b837952f03b060ae1a7dd</t>
        </is>
      </c>
    </row>
    <row r="83" ht="54" customHeight="1">
      <c r="A83" s="29" t="inlineStr">
        <is>
          <t>malaga:kaynak:076</t>
        </is>
      </c>
      <c r="B83" s="29" t="inlineStr">
        <is>
          <t>malaga</t>
        </is>
      </c>
      <c r="C83" s="29" t="inlineStr">
        <is>
          <t>Reclamaciones</t>
        </is>
      </c>
      <c r="D83" s="29" t="inlineStr">
        <is>
          <t>MITECO (Ministerio para la Transición Ecológica y el Reto Demográfico)</t>
        </is>
      </c>
      <c r="E83" s="29" t="inlineStr">
        <is>
          <t>https://www.miteco.gob.es/es/energia/energia-electrica/electricidad/contratacion-suministro/reclamaciones.html</t>
        </is>
      </c>
      <c r="F83" s="49" t="n">
        <v>46319</v>
      </c>
      <c r="G83" s="29" t="inlineStr">
        <is>
          <t>malaga:fatura</t>
        </is>
      </c>
      <c r="H83" s="29" t="inlineStr">
        <is>
          <t>Kart 8: elektrik şikâyeti önce comercializadora/distribuidora'ya, 15 iş günü yanıt süresi, sonra Defensor del cliente / Juntas Arbitrales de Consumo / Comunidades Autónomas; bono social reddinde Comunidad Autónoma. Sayfada yıl yok (canlı resmî sayfa).</t>
        </is>
      </c>
      <c r="I83" s="29" t="inlineStr">
        <is>
          <t>Evet</t>
        </is>
      </c>
      <c r="J83" s="29" t="inlineStr">
        <is>
          <t>Lisans kanıtları/5c028debd9cb90201d4376c6d79986c83760b370d259eafd24a7120d6515bf53.html</t>
        </is>
      </c>
      <c r="K83" s="29" t="inlineStr">
        <is>
          <t>5c028debd9cb90201d4376c6d79986c83760b370d259eafd24a7120d6515bf53</t>
        </is>
      </c>
    </row>
    <row r="84" ht="54" customHeight="1">
      <c r="A84" s="29" t="inlineStr">
        <is>
          <t>malaga:kaynak:077</t>
        </is>
      </c>
      <c r="B84" s="29" t="inlineStr">
        <is>
          <t>malaga</t>
        </is>
      </c>
      <c r="C84" s="29" t="inlineStr">
        <is>
          <t>Usuarios Teleco | Telefonía e Internet</t>
        </is>
      </c>
      <c r="D84" s="29" t="inlineStr">
        <is>
          <t>Secretaría de Estado de Telecomunicaciones e Infraestructuras Digitales (digital.gob.es)</t>
        </is>
      </c>
      <c r="E84" s="29" t="inlineStr">
        <is>
          <t>https://usuariosteleco.digital.gob.es/reclamaciones/telefonia-e-internet</t>
        </is>
      </c>
      <c r="F84" s="49" t="n">
        <v>46319</v>
      </c>
      <c r="G84" s="29" t="inlineStr">
        <is>
          <t>malaga:fatura</t>
        </is>
      </c>
      <c r="H84" s="29" t="inlineStr">
        <is>
          <t>Kart 8: telekom şikâyeti önce operatöre, 1 ay içinde yanıt yoksa/yetersizse OAUT'a, başvuru süresi 3 ay, OAUT 6 ayda karar verir. (SETSI'nin bugünkü adı: Secretaría de Estado de Telecomunicaciones e Infraestructuras Digitales.) Sayfada yıl yok (canlı resmî sayfa).</t>
        </is>
      </c>
      <c r="I84" s="29" t="inlineStr">
        <is>
          <t>Evet</t>
        </is>
      </c>
      <c r="J84" s="29" t="inlineStr">
        <is>
          <t>Lisans kanıtları/d8e0c0a5741768fef8c3367b641ac623cd21130016bd0c2c167eeb67a530c3cf.html</t>
        </is>
      </c>
      <c r="K84" s="29" t="inlineStr">
        <is>
          <t>d8e0c0a5741768fef8c3367b641ac623cd21130016bd0c2c167eeb67a530c3cf</t>
        </is>
      </c>
    </row>
    <row r="85" ht="54" customHeight="1">
      <c r="A85" s="29" t="inlineStr">
        <is>
          <t>malaga:kaynak:078</t>
        </is>
      </c>
      <c r="B85" s="29" t="inlineStr">
        <is>
          <t>malaga</t>
        </is>
      </c>
      <c r="C85" s="29" t="inlineStr">
        <is>
          <t>BOE-A-1960-10906 Ley 49/1960, de 21 de julio, sobre propiedad horizontal.</t>
        </is>
      </c>
      <c r="D85" s="29" t="inlineStr">
        <is>
          <t>BOE (Agencia Estatal Boletín Oficial del Estado)</t>
        </is>
      </c>
      <c r="E85" s="29" t="inlineStr">
        <is>
          <t>https://www.boe.es/buscar/act.php?id=BOE-A-1960-10906</t>
        </is>
      </c>
      <c r="F85" s="49" t="n">
        <v>46319</v>
      </c>
      <c r="G85" s="29" t="inlineStr">
        <is>
          <t>malaga:fatura</t>
        </is>
      </c>
      <c r="H85" s="29" t="inlineStr">
        <is>
          <t>Kart 9: ortak giderlere katılım (madde 9.1.e, katılım payına göre), yıllık Junta toplantısı (madde 16.1), organlar ve başkanın seçimi/rotasyonu (madde 13). Konsolide metin 'Última actualización publicada el 03/10/2026'. Fondo de reserva en az yıllık bütçenin %10'u (madde 9.1.f).</t>
        </is>
      </c>
      <c r="I85" s="29" t="inlineStr">
        <is>
          <t>Evet</t>
        </is>
      </c>
      <c r="J85" s="29" t="inlineStr">
        <is>
          <t>Lisans kanıtları/8b98f88f1721781f0fa8de601a0ad842dd9d521ea42f27557f22792c8fcce6b7.html</t>
        </is>
      </c>
      <c r="K85" s="29" t="inlineStr">
        <is>
          <t>8b98f88f1721781f0fa8de601a0ad842dd9d521ea42f27557f22792c8fcce6b7</t>
        </is>
      </c>
    </row>
    <row r="86" ht="54" customHeight="1">
      <c r="A86" s="29" t="inlineStr">
        <is>
          <t>malaga:kaynak:079</t>
        </is>
      </c>
      <c r="B86" s="29" t="inlineStr">
        <is>
          <t>malaga</t>
        </is>
      </c>
      <c r="C86" s="29" t="inlineStr">
        <is>
          <t>BOE-A-2006-11130 Ley 5/2006, de 10 de mayo, del libro quinto del Código Civil de Cataluña, relativo a los derechos reales.</t>
        </is>
      </c>
      <c r="D86" s="29" t="inlineStr">
        <is>
          <t>Boletín Oficial del Estado (BOE)</t>
        </is>
      </c>
      <c r="E86" s="29" t="inlineStr">
        <is>
          <t>https://www.boe.es/buscar/act.php?id=BOE-A-2006-11130</t>
        </is>
      </c>
      <c r="F86" s="49" t="n">
        <v>46319</v>
      </c>
      <c r="G86" s="29" t="inlineStr">
        <is>
          <t>malaga:fatura</t>
        </is>
      </c>
      <c r="H86" s="29" t="inlineStr">
        <is>
          <t>Katalonya'da kat mülkiyeti (propiedad horizontal) kendi medeni kanununun 5. kitabıyla düzenlenir; yedek fon oranı md. 553-6'da.</t>
        </is>
      </c>
      <c r="I86" s="29" t="inlineStr">
        <is>
          <t>Evet</t>
        </is>
      </c>
      <c r="J86" s="29" t="inlineStr">
        <is>
          <t>Lisans kanıtları/0a5c17642c3dc78dae6624c9ef658a5d1256ee4559abdcb12c91ff05c0c0d8c1.html</t>
        </is>
      </c>
      <c r="K86" s="29" t="inlineStr">
        <is>
          <t>0a5c17642c3dc78dae6624c9ef658a5d1256ee4559abdcb12c91ff05c0c0d8c1</t>
        </is>
      </c>
    </row>
    <row r="87" ht="54" customHeight="1">
      <c r="A87" s="29" t="inlineStr">
        <is>
          <t>malaga:kaynak:080</t>
        </is>
      </c>
      <c r="B87" s="29" t="inlineStr">
        <is>
          <t>malaga</t>
        </is>
      </c>
      <c r="C87" s="29" t="inlineStr">
        <is>
          <t>BOE-A-2018-10752 Real Decreto-ley 7/2018, de 27 de julio, sobre el acceso universal al Sistema Nacional de Salud.</t>
        </is>
      </c>
      <c r="D87" s="29" t="inlineStr">
        <is>
          <t>Boletín Oficial del Estado (BOE)</t>
        </is>
      </c>
      <c r="E87" s="29" t="inlineStr">
        <is>
          <t>https://www.boe.es/buscar/act.php?id=BOE-A-2018-10752</t>
        </is>
      </c>
      <c r="F87" s="49" t="n">
        <v>46319</v>
      </c>
      <c r="G87" s="29" t="inlineStr">
        <is>
          <t>malaga:saglik</t>
        </is>
      </c>
      <c r="H87" s="29" t="inlineStr">
        <is>
          <t>Kart 1: evrensel erişim; SNS hak sahipleri (art. 3.1) ve ikamet izni olmayan yabancıların aynı koşullarda hakkı (art. 3 ter). Orijinal metin BOE 30/07/2018, yürürlük 31/07/2018 (norm Real Decreto-ley'dir; 'RD 7/2018' değil). Hak sahipliği şart ayrıntısı seg-social sayfasında.</t>
        </is>
      </c>
      <c r="I87" s="29" t="inlineStr">
        <is>
          <t>Evet</t>
        </is>
      </c>
      <c r="J87" s="29" t="inlineStr">
        <is>
          <t>Lisans kanıtları/3c773a3241780ea2318bc94464c03c362f8e05670ed46bb4f2c8a770eab8cfe5.html</t>
        </is>
      </c>
      <c r="K87" s="29" t="inlineStr">
        <is>
          <t>3c773a3241780ea2318bc94464c03c362f8e05670ed46bb4f2c8a770eab8cfe5</t>
        </is>
      </c>
    </row>
    <row r="88" ht="54" customHeight="1">
      <c r="A88" s="29" t="inlineStr">
        <is>
          <t>malaga:kaynak:081</t>
        </is>
      </c>
      <c r="B88" s="29" t="inlineStr">
        <is>
          <t>malaga</t>
        </is>
      </c>
      <c r="C88" s="29" t="inlineStr">
        <is>
          <t>Seguridad Social: Prestaciones / Pensiones de Trabajadores</t>
        </is>
      </c>
      <c r="D88" s="29" t="inlineStr">
        <is>
          <t>Seguridad Social (Tesorería/INSS)</t>
        </is>
      </c>
      <c r="E88" s="29" t="inlineStr">
        <is>
          <t>https://www.seg-social.es/wps/portal/wss/internet/Trabajadores/PrestacionesPensionesTrabajadores/10938/30476</t>
        </is>
      </c>
      <c r="F88" s="49" t="n">
        <v>46319</v>
      </c>
      <c r="G88" s="29" t="inlineStr">
        <is>
          <t>malaga:saglik</t>
        </is>
      </c>
      <c r="H88" s="29" t="inlineStr">
        <is>
          <t>Kart 1: SNS hak sahipleri (İspanyol vatandaşı + İspanya'da ikamet eden yabancı; yabancı için yasal ve mutat ikamet, başka yoldan zorunlu sağlık güvencesi olmaması), ikamet izni olmayanlar (art. 3 ter) ve bölge sorumluluğu ('competencia ... corresponde a las CCAA/Servicios Públicos de Salud'). Sayfa Seguridad Social © 2026, JS gerekmeden okunuyor.</t>
        </is>
      </c>
      <c r="I88" s="29" t="inlineStr">
        <is>
          <t>Evet</t>
        </is>
      </c>
      <c r="J88" s="29" t="inlineStr">
        <is>
          <t>Lisans kanıtları/653dfa628d869103285c1e99a554b4905b439e95e032c60e84ffa4d297130e1d.html</t>
        </is>
      </c>
      <c r="K88" s="29" t="inlineStr">
        <is>
          <t>653dfa628d869103285c1e99a554b4905b439e95e032c60e84ffa4d297130e1d</t>
        </is>
      </c>
    </row>
    <row r="89" ht="54" customHeight="1">
      <c r="A89" s="29" t="inlineStr">
        <is>
          <t>malaga:kaynak:082</t>
        </is>
      </c>
      <c r="B89" s="29" t="inlineStr">
        <is>
          <t>malaga</t>
        </is>
      </c>
      <c r="C89" s="29" t="inlineStr">
        <is>
          <t>Ministerio de Sanidad, Consumo y Bienestar Social - Servicios al Ciudadano - Vacantes en organismos internacionales</t>
        </is>
      </c>
      <c r="D89" s="29" t="inlineStr">
        <is>
          <t>Ministerio de Sanidad</t>
        </is>
      </c>
      <c r="E89" s="29" t="inlineStr">
        <is>
          <t>https://www.sanidad.gob.es/servCiudadanos/internacional/convenioEspecial.htm</t>
        </is>
      </c>
      <c r="F89" s="49" t="n">
        <v>46319</v>
      </c>
      <c r="G89" s="29" t="inlineStr">
        <is>
          <t>malaga:saglik</t>
        </is>
      </c>
      <c r="H89" s="29" t="inlineStr">
        <is>
          <t>Kart 2: SNS güvencesi olmayanlar için convenio especial: şartlar (1 yıl kesintisiz fiili ikamet, padrón, başka kamu güvencesi olmaması) ve aylık ücret (65 yaş altı 60 euro, 65 ve üstü 157 euro). Tarihe duyarlı: ücretler RD 576/2013 sabit tutarı; BOE metni 'bölgeler ek hizmet eklerse ücret artırılabilir' diyor (bölgeye göre değişir). Sayfada yıl yok. Sayfa &lt;title&gt; alanı hatalı ('Vacantes en organismos internacionales'); içerik doğru.</t>
        </is>
      </c>
      <c r="I89" s="29" t="inlineStr">
        <is>
          <t>Evet</t>
        </is>
      </c>
      <c r="J89" s="29" t="inlineStr">
        <is>
          <t>Lisans kanıtları/03b1f8622180fb21466ad6eb7e5e527bdfdc981b52603f5f31aba289b4c751a8.html</t>
        </is>
      </c>
      <c r="K89" s="29" t="inlineStr">
        <is>
          <t>03b1f8622180fb21466ad6eb7e5e527bdfdc981b52603f5f31aba289b4c751a8</t>
        </is>
      </c>
    </row>
    <row r="90" ht="54" customHeight="1">
      <c r="A90" s="29" t="inlineStr">
        <is>
          <t>malaga:kaynak:083</t>
        </is>
      </c>
      <c r="B90" s="29" t="inlineStr">
        <is>
          <t>malaga</t>
        </is>
      </c>
      <c r="C90" s="29" t="inlineStr">
        <is>
          <t>BOE-A-2015-8343 Real Decreto Legislativo 1/2015, de 24 de julio, por el que se aprueba el texto refundido de la Ley de garantías y uso racional de los medicamentos y productos sani</t>
        </is>
      </c>
      <c r="D90" s="29" t="inlineStr">
        <is>
          <t>Boletín Oficial del Estado (BOE)</t>
        </is>
      </c>
      <c r="E90" s="29" t="inlineStr">
        <is>
          <t>https://www.boe.es/buscar/act.php?id=BOE-A-2015-8343</t>
        </is>
      </c>
      <c r="F90" s="49" t="n">
        <v>46319</v>
      </c>
      <c r="G90" s="29" t="inlineStr">
        <is>
          <t>malaga:saglik</t>
        </is>
      </c>
      <c r="H90" s="29" t="inlineStr">
        <is>
          <t>Kart 3: reçeteli ilaç katılım payı (copago), art. 102, gelire göre: %60 (gelir &gt;=100.000 euro), %50 (60.000-100.000), %45 (18.000-60.000), %40 diğer aktif sigortalılar, %10 SS emeklileri; ikamet izinsiz yabancılar için %40; aylık tavanlar var. Tarihe duyarlı: konsolide sayfa 'Última actualización 31/07/2026'; oranlar 24/10/2026 itibarıyla sayfadaki güncel metin. Ulusal kural.</t>
        </is>
      </c>
      <c r="I90" s="29" t="inlineStr">
        <is>
          <t>Evet</t>
        </is>
      </c>
      <c r="J90" s="29" t="inlineStr">
        <is>
          <t>Lisans kanıtları/2bbda3e30529b78824f668bb999ae4d3183053addf1e1c8dac234ccda3a88cc6.html</t>
        </is>
      </c>
      <c r="K90" s="29" t="inlineStr">
        <is>
          <t>2bbda3e30529b78824f668bb999ae4d3183053addf1e1c8dac234ccda3a88cc6</t>
        </is>
      </c>
    </row>
    <row r="91" ht="54" customHeight="1">
      <c r="A91" s="29" t="inlineStr">
        <is>
          <t>malaga:kaynak:084</t>
        </is>
      </c>
      <c r="B91" s="29" t="inlineStr">
        <is>
          <t>malaga</t>
        </is>
      </c>
      <c r="C91" s="29" t="inlineStr">
        <is>
          <t>Ministerio de Sanidad - Profesionales - Cartera de Servicios comunes del SNS</t>
        </is>
      </c>
      <c r="D91" s="29" t="inlineStr">
        <is>
          <t>Ministerio de Sanidad</t>
        </is>
      </c>
      <c r="E91" s="29" t="inlineStr">
        <is>
          <t>https://www.sanidad.gob.es/profesionales/prestacionesSanitarias/CarteraDeServicios/home.htm</t>
        </is>
      </c>
      <c r="F91" s="49" t="n">
        <v>46319</v>
      </c>
      <c r="G91" s="29" t="inlineStr">
        <is>
          <t>malaga:saglik</t>
        </is>
      </c>
      <c r="H91" s="29" t="inlineStr">
        <is>
          <t>Kart 3: temel ortak paket tamamen kamu finansmanlı; ilaç, ortopedi, diyet ürünleri ve acil olmayan sağlık nakli 'aportación del usuario'na tabi. Sayfada ayrıca menü bağlantısı 'Cartera de servicios complementaria de las comunidades autónomas' (bölgeye göre değişir çerçevesi). Sayfada yıl yok; norm listesi Orden SND/715/2026 (8 Temmuz 2026)'ya kadar güncel.</t>
        </is>
      </c>
      <c r="I91" s="29" t="inlineStr">
        <is>
          <t>Evet</t>
        </is>
      </c>
      <c r="J91" s="29" t="inlineStr">
        <is>
          <t>Lisans kanıtları/adfa80d17723c88c851d3d4f49994d5ef1a5422340e2d096ef4afc21206cdbe0.html</t>
        </is>
      </c>
      <c r="K91" s="29" t="inlineStr">
        <is>
          <t>adfa80d17723c88c851d3d4f49994d5ef1a5422340e2d096ef4afc21206cdbe0</t>
        </is>
      </c>
    </row>
    <row r="92" ht="54" customHeight="1">
      <c r="A92" s="29" t="inlineStr">
        <is>
          <t>malaga:kaynak:085</t>
        </is>
      </c>
      <c r="B92" s="29" t="inlineStr">
        <is>
          <t>malaga</t>
        </is>
      </c>
      <c r="C92" s="29" t="inlineStr">
        <is>
          <t>BOE-A-1997-14058 Real Decreto 903/1997, de 16 de junio, por el que se regula el acceso, mediante redes de telecomunicaciones, al servicio de atención de llamadas de urgencia a trav</t>
        </is>
      </c>
      <c r="D92" s="29" t="inlineStr">
        <is>
          <t>Boletín Oficial del Estado (BOE)</t>
        </is>
      </c>
      <c r="E92" s="29" t="inlineStr">
        <is>
          <t>https://www.boe.es/buscar/doc.php?id=BOE-A-1997-14058</t>
        </is>
      </c>
      <c r="F92" s="49" t="n">
        <v>46319</v>
      </c>
      <c r="G92" s="29" t="inlineStr">
        <is>
          <t>malaga:saglik</t>
        </is>
      </c>
      <c r="H92" s="29" t="inlineStr">
        <is>
          <t>Kart 4: 112 tek acil numara, ücretsiz; aramalar coğrafi alana göre ilgili merkeze yönlendirilir (hizmeti özerk bölgeler yürütür = bölgeye göre değişir). 061 (sağlık acil) için ulusal resmî derin sayfa BULUNAMADI, bkz. gaps.md. Orijinal metin 27/06/1997.</t>
        </is>
      </c>
      <c r="I92" s="29" t="inlineStr">
        <is>
          <t>Evet</t>
        </is>
      </c>
      <c r="J92" s="29" t="inlineStr">
        <is>
          <t>Lisans kanıtları/b33e9a95c2e6c4e28768862118210659efcbd7843897ed6765ec4d7b27d280e8.html</t>
        </is>
      </c>
      <c r="K92" s="29" t="inlineStr">
        <is>
          <t>b33e9a95c2e6c4e28768862118210659efcbd7843897ed6765ec4d7b27d280e8</t>
        </is>
      </c>
    </row>
    <row r="93" ht="54" customHeight="1">
      <c r="A93" s="29" t="inlineStr">
        <is>
          <t>malaga:kaynak:086</t>
        </is>
      </c>
      <c r="B93" s="29" t="inlineStr">
        <is>
          <t>malaga</t>
        </is>
      </c>
      <c r="C93" s="29" t="inlineStr">
        <is>
          <t>Ministerio de Sanidad - Áreas - Promoción de la salud y prevención - Vacunas y programas de vacunación - Calendario de vacunación a lo largo de toda la vida 2026</t>
        </is>
      </c>
      <c r="D93" s="29" t="inlineStr">
        <is>
          <t>Ministerio de Sanidad</t>
        </is>
      </c>
      <c r="E93" s="29" t="inlineStr">
        <is>
          <t>https://www.sanidad.gob.es/areas/promocionPrevencion/vacunaciones/calendario/home.htm</t>
        </is>
      </c>
      <c r="F93" s="49" t="n">
        <v>46319</v>
      </c>
      <c r="G93" s="29" t="inlineStr">
        <is>
          <t>malaga:saglik</t>
        </is>
      </c>
      <c r="H93" s="29" t="inlineStr">
        <is>
          <t>Kart 5: CISNS ortak aşı takvimi; sayfa başlığında yıl 2026; 'Calendario común de vacunación a lo largo de toda la vida del Consejo Interterritorial del Sistema Nacional de Salud (CISNS)'; uygulama özerk bölgelerin yetkisi (bölgeye göre değişir). Takvim PDF'i ayrı bağlantı (okunmadı).</t>
        </is>
      </c>
      <c r="I93" s="29" t="inlineStr">
        <is>
          <t>Evet</t>
        </is>
      </c>
      <c r="J93" s="29" t="inlineStr">
        <is>
          <t>Lisans kanıtları/80e85eab0e66886ce11c2bf913991e3f1d49d085d674318d5df2642b192ae28c.html</t>
        </is>
      </c>
      <c r="K93" s="29" t="inlineStr">
        <is>
          <t>80e85eab0e66886ce11c2bf913991e3f1d49d085d674318d5df2642b192ae28c</t>
        </is>
      </c>
    </row>
    <row r="94" ht="54" customHeight="1">
      <c r="A94" s="29" t="inlineStr">
        <is>
          <t>malaga:kaynak:087</t>
        </is>
      </c>
      <c r="B94" s="29" t="inlineStr">
        <is>
          <t>malaga</t>
        </is>
      </c>
      <c r="C94" s="29" t="inlineStr">
        <is>
          <t>BOE-A-2006-16212 Real Decreto 1030/2006, de 15 de septiembre, por el que se establece la cartera de servicios comunes del Sistema Nacional de Salud y el procedimiento para su actua</t>
        </is>
      </c>
      <c r="D94" s="29" t="inlineStr">
        <is>
          <t>Boletín Oficial del Estado (BOE)</t>
        </is>
      </c>
      <c r="E94" s="29" t="inlineStr">
        <is>
          <t>https://www.boe.es/buscar/act.php?id=BOE-A-2006-16212</t>
        </is>
      </c>
      <c r="F94" s="49" t="n">
        <v>46319</v>
      </c>
      <c r="G94" s="29" t="inlineStr">
        <is>
          <t>malaga:saglik</t>
        </is>
      </c>
      <c r="H94" s="29" t="inlineStr">
        <is>
          <t>Kart 6: ortak hizmet paketinde hamilelik ve lohusalık bakımı (ilk trimesterde yakalama, riskli hamilelik, doğum hazırlığı, doğum sonrası ilk ay lohusa ziyareti); metin 'según la organización del correspondiente servicio de salud' (bölgeye göre değişir). Konsolide metin son güncelleme 31/07/2026. Çocuk sağlığı: aynı sayfada '6.1 Servicios de atención a la infancia'.</t>
        </is>
      </c>
      <c r="I94" s="29" t="inlineStr">
        <is>
          <t>Evet</t>
        </is>
      </c>
      <c r="J94" s="29" t="inlineStr">
        <is>
          <t>Lisans kanıtları/fbc920770543f568959de73d76188e9bb39cab48e2be4ded8869261fcff260ce.html</t>
        </is>
      </c>
      <c r="K94" s="29" t="inlineStr">
        <is>
          <t>fbc920770543f568959de73d76188e9bb39cab48e2be4ded8869261fcff260ce</t>
        </is>
      </c>
    </row>
    <row r="95" ht="54" customHeight="1">
      <c r="A95" s="29" t="inlineStr">
        <is>
          <t>malaga:kaynak:088</t>
        </is>
      </c>
      <c r="B95" s="29" t="inlineStr">
        <is>
          <t>malaga</t>
        </is>
      </c>
      <c r="C95" s="29" t="inlineStr">
        <is>
          <t>Seguridad Social: Prestaciones / Pensiones de Trabajadores</t>
        </is>
      </c>
      <c r="D95" s="29" t="inlineStr">
        <is>
          <t>Seguridad Social (INSS)</t>
        </is>
      </c>
      <c r="E95" s="29" t="inlineStr">
        <is>
          <t>https://www.seg-social.es/wps/portal/wss/internet/Trabajadores/PrestacionesPensionesTrabajadores/6b96a085-4dc0-47af-b2cb-97e00716791e/requisitos+19-c021</t>
        </is>
      </c>
      <c r="F95" s="49" t="n">
        <v>46319</v>
      </c>
      <c r="G95" s="29" t="inlineStr">
        <is>
          <t>malaga:saglik</t>
        </is>
      </c>
      <c r="H95" s="29" t="inlineStr">
        <is>
          <t>Kart 6: doğum ve bakım izni/ödeneği ulusal çerçeve (RDL 9/2025 ile izin uzatıldı, yürürlük 31/07/2025; ödenek düzenleyici matrahın %100'ü). Bu alıntılarda hafta sayısı yok (Duración bölümü ET art. 48'e atıf yapıyor); kartta süre rakamı yazılacaksa ET/BOE'den ayrıca doğrulanmalı. Sağlık değil Seguridad Social ödeneği.</t>
        </is>
      </c>
      <c r="I95" s="29" t="inlineStr">
        <is>
          <t>Evet</t>
        </is>
      </c>
      <c r="J95" s="29" t="inlineStr">
        <is>
          <t>Lisans kanıtları/cce848cf59c456f4e10127c5c8266685b0ae9c1785df50848de7101af738fe28.html</t>
        </is>
      </c>
      <c r="K95" s="29" t="inlineStr">
        <is>
          <t>cce848cf59c456f4e10127c5c8266685b0ae9c1785df50848de7101af738fe28</t>
        </is>
      </c>
    </row>
    <row r="96" ht="54" customHeight="1">
      <c r="A96" s="29" t="inlineStr">
        <is>
          <t>malaga:kaynak:089</t>
        </is>
      </c>
      <c r="B96" s="29" t="inlineStr">
        <is>
          <t>malaga</t>
        </is>
      </c>
      <c r="C96" s="29" t="inlineStr">
        <is>
          <t>BOE-A-2006-21990 Ley 39/2006, de 14 de diciembre, de Promoción de la Autonomía Personal y Atención a las personas en situación de dependencia.</t>
        </is>
      </c>
      <c r="D96" s="29" t="inlineStr">
        <is>
          <t>Boletín Oficial del Estado (BOE)</t>
        </is>
      </c>
      <c r="E96" s="29" t="inlineStr">
        <is>
          <t>https://www.boe.es/buscar/act.php?id=BOE-A-2006-21990</t>
        </is>
      </c>
      <c r="F96" s="49" t="n">
        <v>46319</v>
      </c>
      <c r="G96" s="29" t="inlineStr">
        <is>
          <t>malaga:saglik</t>
        </is>
      </c>
      <c r="H96" s="29" t="inlineStr">
        <is>
          <t>Kart 7 (yaşlı bakımı/bağımlılık): SAAD; devlet asgari ortak hak içeriğini garanti eder, uygulama özerk bölgelerle birlikte (bölgeye göre değişir; art. 1.2). Hak sahipliği art. 5: bağımlılık derecesi + 5 yıl ikamet (son 2 yıl kesintisiz); yabancılar LO 4/2000'e tabi. TARİHE DUYARLI: art. 5 Ley 4/2026 (1 Ekim 2026) ile değişti, yürürlük 23/10/2026; sayfa 'Última actualización 03/10/2026'. Kart yazılırken art. 5 güncel metni yeniden okunmalı.</t>
        </is>
      </c>
      <c r="I96" s="29" t="inlineStr">
        <is>
          <t>Evet</t>
        </is>
      </c>
      <c r="J96" s="29" t="inlineStr">
        <is>
          <t>Lisans kanıtları/ad5a1a83a938796cf4581cb6837fdb4be56f9a2d9982efda06f6812675f5b215.html</t>
        </is>
      </c>
      <c r="K96" s="29" t="inlineStr">
        <is>
          <t>ad5a1a83a938796cf4581cb6837fdb4be56f9a2d9982efda06f6812675f5b215</t>
        </is>
      </c>
    </row>
    <row r="97" ht="54" customHeight="1">
      <c r="A97" s="29" t="inlineStr">
        <is>
          <t>malaga:kaynak:090</t>
        </is>
      </c>
      <c r="B97" s="29" t="inlineStr">
        <is>
          <t>malaga</t>
        </is>
      </c>
      <c r="C97" s="29" t="inlineStr">
        <is>
          <t>BOE-A-1994-26003 Ley 29/1994, de 24 de noviembre, de Arrendamientos Urbanos.</t>
        </is>
      </c>
      <c r="D97" s="29" t="inlineStr">
        <is>
          <t>Boletín Oficial del Estado (BOE)</t>
        </is>
      </c>
      <c r="E97" s="29" t="inlineStr">
        <is>
          <t>https://www.boe.es/buscar/act.php?id=BOE-A-1994-26003</t>
        </is>
      </c>
      <c r="F97" s="49" t="n">
        <v>46319</v>
      </c>
      <c r="G97" s="29" t="inlineStr">
        <is>
          <t>malaga:ev</t>
        </is>
      </c>
      <c r="H97" s="29" t="inlineStr">
        <is>
          <t>Kart 1: LAU md. 9.1 - süre özgürce kararlaştırılır; 5 yıldan kısaysa (kiraya veren tüzel kişiyse 7 yıldan kısaysa) yıllık zorunlu uzatma; kiracı 30 gün önceden bildirerek yenilememe hakkı. Konsolide metin 'última actualización publicada el 07/10/2026'. UYARI: md. 10 (zımni uzatma, 4/2 ay ihbar, +3 yıl) RDL 28/2026 ile 15/11/2026'dan itibaren değişecek (6 ay ihbar, 5 yıllık uzatma, tazminat); RDL 29/2026 (6 Ekim 2026) md. 9.4, 9 bis (geçici konut) ekledi - kart yazılırken md. 9.1 çekirdeğiyle sınırlı kal.</t>
        </is>
      </c>
      <c r="I97" s="29" t="inlineStr">
        <is>
          <t>Evet</t>
        </is>
      </c>
      <c r="J97" s="29" t="inlineStr">
        <is>
          <t>Lisans kanıtları/664e61e793162d4c30a7f5003c913ddb99b4ac86833d14266770102a0a1353bc.html</t>
        </is>
      </c>
      <c r="K97" s="29" t="inlineStr">
        <is>
          <t>664e61e793162d4c30a7f5003c913ddb99b4ac86833d14266770102a0a1353bc</t>
        </is>
      </c>
    </row>
    <row r="98" ht="54" customHeight="1">
      <c r="A98" s="29" t="inlineStr">
        <is>
          <t>malaga:kaynak:091</t>
        </is>
      </c>
      <c r="B98" s="29" t="inlineStr">
        <is>
          <t>malaga</t>
        </is>
      </c>
      <c r="C98" s="29" t="inlineStr">
        <is>
          <t>INEbase / Nivel y condiciones de vida (IPC) /Índices de precios de consumo y vivienda /Índice de referencia de arrendamientos de vivienda / Últimos datos</t>
        </is>
      </c>
      <c r="D98" s="29" t="inlineStr">
        <is>
          <t>Instituto Nacional de Estadística (INE)</t>
        </is>
      </c>
      <c r="E98" s="29" t="inlineStr">
        <is>
          <t>https://ine.es/dyngs/INEbase/operacion.htm?c=Estadistica_C&amp;cid=1254736177110&amp;idp=1254735976607&amp;menu=ultiDatos</t>
        </is>
      </c>
      <c r="F98" s="49" t="n">
        <v>46319</v>
      </c>
      <c r="G98" s="29" t="inlineStr">
        <is>
          <t>malaga:ev</t>
        </is>
      </c>
      <c r="H98" s="29" t="inlineStr">
        <is>
          <t>Kart 3 (tarihe duyarlı): INE IRAV sayfası - 26 Mayıs 2023 sonrası sözleşmeler IRAV'a göre güncellenir; endeks = IPC, çekirdek IPC ve ayarlı ortalama oranlarının en düşüğü. Sayfadaki son veri: 'Septiembre 2026', yayın 14/10/2026, yıllık değişim 2,54 % (her ay değişir - kartta rakam yazma ya da tarihle yaz).</t>
        </is>
      </c>
      <c r="I98" s="29" t="inlineStr">
        <is>
          <t>Evet</t>
        </is>
      </c>
      <c r="J98" s="29" t="inlineStr">
        <is>
          <t>Lisans kanıtları/ca1f5c565144f1122bb26fbba26fb9394ae0f36bee62010c4417f7e5c870393b.html</t>
        </is>
      </c>
      <c r="K98" s="29" t="inlineStr">
        <is>
          <t>ca1f5c565144f1122bb26fbba26fb9394ae0f36bee62010c4417f7e5c870393b</t>
        </is>
      </c>
    </row>
    <row r="99" ht="54" customHeight="1">
      <c r="A99" s="29" t="inlineStr">
        <is>
          <t>malaga:kaynak:092</t>
        </is>
      </c>
      <c r="B99" s="29" t="inlineStr">
        <is>
          <t>malaga</t>
        </is>
      </c>
      <c r="C99" s="29" t="inlineStr">
        <is>
          <t>Estafas en alquileres de viviendas | Ciudadanía | INCIBE</t>
        </is>
      </c>
      <c r="D99" s="29" t="inlineStr">
        <is>
          <t>INCIBE (Instituto Nacional de Ciberseguridad, Ciudadanía/OSI)</t>
        </is>
      </c>
      <c r="E99" s="29" t="inlineStr">
        <is>
          <t>https://www.incibe.es/ciudadania/estafas-alquileres</t>
        </is>
      </c>
      <c r="F99" s="49" t="n">
        <v>46319</v>
      </c>
      <c r="G99" s="29" t="inlineStr">
        <is>
          <t>malaga:ev</t>
        </is>
      </c>
      <c r="H99" s="29" t="inlineStr">
        <is>
          <t>Kart 6: resmî siber güvenlik kurumundan sahte kiralık ilan uyarıları - çok düşük fiyat, kopyalanmış fotoğraf, yurtdışında oturduğu için evi gösteremeyen ev sahibi, anahtar/sözleşme için aracı, acele, anonim para gönderme (MoneyGram/Western Union) ve ev sahibinin ülkesi dışı banka havalesi. Sayfa tarihsiz ve eski tarz (örnek hikaye Dublin) ama ilke geçerli; policia.es sayfaları JS/boş, interior.gob.es 403 verdi.</t>
        </is>
      </c>
      <c r="I99" s="29" t="inlineStr">
        <is>
          <t>Evet</t>
        </is>
      </c>
      <c r="J99" s="29" t="inlineStr">
        <is>
          <t>Lisans kanıtları/f62be0a46694aba2d1eae580468ff41dce608668f8d49aee4b1f6cde2841a4d9.html</t>
        </is>
      </c>
      <c r="K99" s="29" t="inlineStr">
        <is>
          <t>f62be0a46694aba2d1eae580468ff41dce608668f8d49aee4b1f6cde2841a4d9</t>
        </is>
      </c>
    </row>
    <row r="100" ht="54" customHeight="1">
      <c r="A100" s="29" t="inlineStr">
        <is>
          <t>malaga:kaynak:093</t>
        </is>
      </c>
      <c r="B100" s="29" t="inlineStr">
        <is>
          <t>malaga</t>
        </is>
      </c>
      <c r="C100" s="29" t="inlineStr">
        <is>
          <t>Categorias</t>
        </is>
      </c>
      <c r="D100" s="29" t="inlineStr">
        <is>
          <t>Tesorería General de la Seguridad Social</t>
        </is>
      </c>
      <c r="E100" s="29" t="inlineStr">
        <is>
          <t>https://portal.seg-social.gob.es/wps/portal/importass/importass/Categorias/Altas,+bajas+y+modificaciones/Altas+y+afiliacion+de+trabajadores/Solicitar+el+numero+de+la+Seguridad+Social</t>
        </is>
      </c>
      <c r="F100" s="49" t="n">
        <v>46319</v>
      </c>
      <c r="G100" s="29" t="inlineStr">
        <is>
          <t>malaga:planlama</t>
        </is>
      </c>
      <c r="H100" s="29" t="inlineStr">
        <is>
          <t>Kart 3: ilk günlerde sosyal güvenlik numarası (NUSS) adımı; NIE ile başvurulur, sağlık kartı için de kullanılır. Sayfa tarihsiz.</t>
        </is>
      </c>
      <c r="I100" s="29" t="inlineStr">
        <is>
          <t>Evet</t>
        </is>
      </c>
      <c r="J100" s="29" t="inlineStr">
        <is>
          <t>Lisans kanıtları/416ecdff4ad58afc1a7bba19b4b6d1108e2452529b9505f80f44579957550da1.html</t>
        </is>
      </c>
      <c r="K100" s="29" t="inlineStr">
        <is>
          <t>416ecdff4ad58afc1a7bba19b4b6d1108e2452529b9505f80f44579957550da1</t>
        </is>
      </c>
    </row>
    <row r="101" ht="54" customHeight="1">
      <c r="A101" s="29" t="inlineStr">
        <is>
          <t>malaga:kaynak:094</t>
        </is>
      </c>
      <c r="B101" s="29" t="inlineStr">
        <is>
          <t>malaga</t>
        </is>
      </c>
      <c r="C101" s="29" t="inlineStr">
        <is>
          <t>: Medios de pago</t>
        </is>
      </c>
      <c r="D101" s="29" t="inlineStr">
        <is>
          <t>Agencia Tributaria (AEAT) - Aduanas</t>
        </is>
      </c>
      <c r="E101" s="29" t="inlineStr">
        <is>
          <t>https://sede.agenciatributaria.gob.es/Sede/viajeros-trabajadores-desplazados-fronterizos/viajeros/medios-pago.html</t>
        </is>
      </c>
      <c r="F101" s="49" t="n">
        <v>46319</v>
      </c>
      <c r="G101" s="29" t="inlineStr">
        <is>
          <t>malaga:planlama</t>
        </is>
      </c>
      <c r="H101" s="29" t="inlineStr">
        <is>
          <t>Kart 4: nakit/ödeme aracı taşıma eşiği (10.000 euro), AB içi için S1, AB dışı için E1 modeli. Sayfa 'Página actualizada: 23/septiembre/2026'.</t>
        </is>
      </c>
      <c r="I101" s="29" t="inlineStr">
        <is>
          <t>Evet</t>
        </is>
      </c>
      <c r="J101" s="29" t="inlineStr">
        <is>
          <t>Lisans kanıtları/733dcfb4bc205771c0fe323a310d81de0999dfb67d370771207e61bc5f263ad3.html</t>
        </is>
      </c>
      <c r="K101" s="29" t="inlineStr">
        <is>
          <t>733dcfb4bc205771c0fe323a310d81de0999dfb67d370771207e61bc5f263ad3</t>
        </is>
      </c>
    </row>
    <row r="102" ht="54" customHeight="1">
      <c r="A102" s="29" t="inlineStr">
        <is>
          <t>malaga:kaynak:095</t>
        </is>
      </c>
      <c r="B102" s="29" t="inlineStr">
        <is>
          <t>malaga</t>
        </is>
      </c>
      <c r="C102" s="29" t="inlineStr">
        <is>
          <t>Agencia Tributaria: Traslado de actividad empresarial, de residencia y otros - Traslado de residencia. Franquicias y ...</t>
        </is>
      </c>
      <c r="D102" s="29" t="inlineStr">
        <is>
          <t>Agencia Tributaria (AEAT) - Aduanas</t>
        </is>
      </c>
      <c r="E102" s="29" t="inlineStr">
        <is>
          <t>https://sede.agenciatributaria.gob.es/Sede/no-residentes/exenciones-viajeros-embajadas-otros/traslado-actividad-empresarial-residencia-otros/traslado-residencia-franquicias-exencion-impuestos.html</t>
        </is>
      </c>
      <c r="F102" s="49" t="n">
        <v>46319</v>
      </c>
      <c r="G102" s="29" t="inlineStr">
        <is>
          <t>malaga:planlama</t>
        </is>
      </c>
      <c r="H102" s="29" t="inlineStr">
        <is>
          <t>Kart 4 (ev eşyası taşıma): AB dışından ikamet taşıyan kişinin eşyası için gümrük/KDV muafiyeti koşulları (12 ay yurt dışı ikamet, 6 ay eşya sahipliği). Sayfa 'Página actualizada: 12/mayo/2026'.</t>
        </is>
      </c>
      <c r="I102" s="29" t="inlineStr">
        <is>
          <t>Evet</t>
        </is>
      </c>
      <c r="J102" s="29" t="inlineStr">
        <is>
          <t>Lisans kanıtları/512df17a25bf9d3fb972ad90c08f886b4ba6d8a28eddad2e9af2a009eb3773a4.html</t>
        </is>
      </c>
      <c r="K102" s="29" t="inlineStr">
        <is>
          <t>512df17a25bf9d3fb972ad90c08f886b4ba6d8a28eddad2e9af2a009eb3773a4</t>
        </is>
      </c>
    </row>
    <row r="103" ht="54" customHeight="1">
      <c r="A103" s="29" t="inlineStr">
        <is>
          <t>malaga:kaynak:096</t>
        </is>
      </c>
      <c r="B103" s="29" t="inlineStr">
        <is>
          <t>malaga</t>
        </is>
      </c>
      <c r="C103" s="29" t="inlineStr">
        <is>
          <t>Agencia Tributaria: Mascotas. Animales de compañía</t>
        </is>
      </c>
      <c r="D103" s="29" t="inlineStr">
        <is>
          <t>Agencia Tributaria (AEAT) - Aduanas</t>
        </is>
      </c>
      <c r="E103" s="29" t="inlineStr">
        <is>
          <t>https://sede.agenciatributaria.gob.es/Sede/viajeros-trabajadores-desplazados-fronterizos/viajeros/mascotas-animales-compania.html</t>
        </is>
      </c>
      <c r="F103" s="49" t="n">
        <v>46319</v>
      </c>
      <c r="G103" s="29" t="inlineStr">
        <is>
          <t>malaga:planlama</t>
        </is>
      </c>
      <c r="H103" s="29" t="inlineStr">
        <is>
          <t>Kart 5: AB dışı ülkeden (Türkiye dahil) evcil hayvanla giriş: mikroçip, kuduz aşısı, serolojik test, zoosanitario sertifika/pasaport, giriş noktası. Sayfa 'Página actualizada: 23/septiembre/2026'. Not: sayfa Reglamento 577/2013 Anexo II'ye atıf yapıyor; MAPA sayfası 2026/636'ya atıf yapıyor (güncel liste için bkz. gaps).</t>
        </is>
      </c>
      <c r="I103" s="29" t="inlineStr">
        <is>
          <t>Evet</t>
        </is>
      </c>
      <c r="J103" s="29" t="inlineStr">
        <is>
          <t>Lisans kanıtları/de292a74d87b29a8ee293845e8db8a567d7f53515765fa840f9fa6b3b39e4675.html</t>
        </is>
      </c>
      <c r="K103" s="29" t="inlineStr">
        <is>
          <t>de292a74d87b29a8ee293845e8db8a567d7f53515765fa840f9fa6b3b39e4675</t>
        </is>
      </c>
    </row>
    <row r="104" ht="54" customHeight="1">
      <c r="A104" s="29" t="inlineStr">
        <is>
          <t>malaga:kaynak:097</t>
        </is>
      </c>
      <c r="B104" s="29" t="inlineStr">
        <is>
          <t>malaga</t>
        </is>
      </c>
      <c r="C104" s="29" t="inlineStr">
        <is>
          <t>Reglamento Delegado (UE) 2026/131 de la Comisión (DOUE L 2026/131, 27.3.2026)</t>
        </is>
      </c>
      <c r="D104" s="29" t="inlineStr">
        <is>
          <t>Oficina de Publicaciones de la Unión Europea (Diario Oficial de la UE)</t>
        </is>
      </c>
      <c r="E104" s="29" t="inlineStr">
        <is>
          <t>https://publications.europa.eu/resource/cellar/12bce2c0-297f-11f1-8803-01aa75ed71a1.0007.03/DOC_1</t>
        </is>
      </c>
      <c r="F104" s="49" t="n">
        <v>46319</v>
      </c>
      <c r="G104" s="29" t="inlineStr">
        <is>
          <t>malaga:planlama</t>
        </is>
      </c>
      <c r="H104" s="29" t="inlineStr">
        <is>
          <t>Evcil hayvan kartı: 577/2013 yerine 22.4.2026'dan beri geçerli kurallar; art. 14 c) üçüncü ülkeden gelen köpek/kedi/hurón için kuduz antikor testi.</t>
        </is>
      </c>
      <c r="I104" s="29" t="inlineStr">
        <is>
          <t>Evet</t>
        </is>
      </c>
      <c r="J104" s="29" t="inlineStr">
        <is>
          <t>Lisans kanıtları/79da971b5974151c5ab8c30fc8421bb9000868304b94c7fd44de42fdbe266de2.html</t>
        </is>
      </c>
      <c r="K104" s="29" t="inlineStr">
        <is>
          <t>79da971b5974151c5ab8c30fc8421bb9000868304b94c7fd44de42fdbe266de2</t>
        </is>
      </c>
    </row>
    <row r="105" ht="54" customHeight="1">
      <c r="A105" s="29" t="inlineStr">
        <is>
          <t>malaga:kaynak:098</t>
        </is>
      </c>
      <c r="B105" s="29" t="inlineStr">
        <is>
          <t>malaga</t>
        </is>
      </c>
      <c r="C105" s="29" t="inlineStr">
        <is>
          <t>Servicios consulares</t>
        </is>
      </c>
      <c r="D105" s="29" t="inlineStr">
        <is>
          <t>Ministerio de Asuntos Exteriores, UE y Cooperación (Consulado General de España en Estambul)</t>
        </is>
      </c>
      <c r="E105" s="29" t="inlineStr">
        <is>
          <t>https://www.exteriores.gob.es/Consulados/estambul/es/ServiciosConsulares/Paginas/index.aspx?scca=Visados&amp;scco=Turqu%C3%ADa&amp;scd=141&amp;scs=Visados+Nacionales+-+Visado+de+estudios</t>
        </is>
      </c>
      <c r="F105" s="49" t="n">
        <v>46319</v>
      </c>
      <c r="G105" s="29" t="inlineStr">
        <is>
          <t>malaga:planlama</t>
        </is>
      </c>
      <c r="H105" s="29" t="inlineStr">
        <is>
          <t>Kart 6: öğrenci vizesi için sağlık sigortası şartı (kalış süresince geçerli, SNS ortak temel hizmet paketine benzer kapsam). Sayfa tarihsiz; 2026-10-24'te açıldı.</t>
        </is>
      </c>
      <c r="I105" s="29" t="inlineStr">
        <is>
          <t>Evet</t>
        </is>
      </c>
      <c r="J105" s="29" t="inlineStr">
        <is>
          <t>Lisans kanıtları/a97f38046d900f9faeb0661b530a2eba79a22a8a1ecc3abda10ba2f0371050b8.html</t>
        </is>
      </c>
      <c r="K105" s="29" t="inlineStr">
        <is>
          <t>a97f38046d900f9faeb0661b530a2eba79a22a8a1ecc3abda10ba2f0371050b8</t>
        </is>
      </c>
    </row>
    <row r="106" ht="54" customHeight="1">
      <c r="A106" s="29" t="inlineStr">
        <is>
          <t>malaga:kaynak:099</t>
        </is>
      </c>
      <c r="B106" s="29" t="inlineStr">
        <is>
          <t>malaga</t>
        </is>
      </c>
      <c r="C106" s="29" t="inlineStr">
        <is>
          <t>Monedas en euros - Banco de España</t>
        </is>
      </c>
      <c r="D106" s="29" t="inlineStr">
        <is>
          <t>Banco de España</t>
        </is>
      </c>
      <c r="E106" s="29" t="inlineStr">
        <is>
          <t>https://www.bde.es/wbe/es/areas-actuacion/billetes-monedas/monedas-euros/</t>
        </is>
      </c>
      <c r="F106" s="49" t="n">
        <v>46319</v>
      </c>
      <c r="G106" s="29" t="inlineStr">
        <is>
          <t>malaga:planlama</t>
        </is>
      </c>
      <c r="H106" s="29" t="inlineStr">
        <is>
          <t>Kart 7: para birimi euro (euro bozuk paralar zona euro'da yasal ödeme aracı; İspanya'da FNMT basıyor, Banco de España dolaşıma sokuyor). Sayfa tarihsiz; güncel (2026-10-24'te açıldı).</t>
        </is>
      </c>
      <c r="I106" s="29" t="inlineStr">
        <is>
          <t>Evet</t>
        </is>
      </c>
      <c r="J106" s="29" t="inlineStr">
        <is>
          <t>Lisans kanıtları/3c5b55850a19928d9273b158299b437894f83769b2210ab600ecba5cde1dd528.html</t>
        </is>
      </c>
      <c r="K106" s="29" t="inlineStr">
        <is>
          <t>3c5b55850a19928d9273b158299b437894f83769b2210ab600ecba5cde1dd528</t>
        </is>
      </c>
    </row>
    <row r="107" ht="54" customHeight="1">
      <c r="A107" s="29" t="inlineStr">
        <is>
          <t>malaga:kaynak:100</t>
        </is>
      </c>
      <c r="B107" s="29" t="inlineStr">
        <is>
          <t>malaga</t>
        </is>
      </c>
      <c r="C107" s="29" t="inlineStr">
        <is>
          <t>BOE-A-1978-31229 Constitución Española.</t>
        </is>
      </c>
      <c r="D107" s="29" t="inlineStr">
        <is>
          <t>Agencia Estatal Boletín Oficial del Estado</t>
        </is>
      </c>
      <c r="E107" s="29" t="inlineStr">
        <is>
          <t>https://www.boe.es/buscar/act.php?id=BOE-A-1978-31229</t>
        </is>
      </c>
      <c r="F107" s="49" t="n">
        <v>46319</v>
      </c>
      <c r="G107" s="29" t="inlineStr">
        <is>
          <t>malaga:planlama</t>
        </is>
      </c>
      <c r="H107" s="29" t="inlineStr">
        <is>
          <t>Kart 7: resmî diller (Kastilyaca devlet dili; diğer İspanyol dilleri özerk bölgelerde ortak resmî dil).</t>
        </is>
      </c>
      <c r="I107" s="29" t="inlineStr">
        <is>
          <t>Evet</t>
        </is>
      </c>
      <c r="J107" s="29" t="inlineStr">
        <is>
          <t>Lisans kanıtları/9c471bb536ef77b418b7ad4c51de8d268c4e650b25b77a16ac09ddd62a8acbea.html</t>
        </is>
      </c>
      <c r="K107" s="29" t="inlineStr">
        <is>
          <t>9c471bb536ef77b418b7ad4c51de8d268c4e650b25b77a16ac09ddd62a8acbea</t>
        </is>
      </c>
    </row>
    <row r="108" ht="54" customHeight="1">
      <c r="A108" s="29" t="inlineStr">
        <is>
          <t>malaga:kaynak:101</t>
        </is>
      </c>
      <c r="B108" s="29" t="inlineStr">
        <is>
          <t>malaga</t>
        </is>
      </c>
      <c r="C108" s="29" t="inlineStr">
        <is>
          <t>BOE-A-2002-4221 Real Decreto 236/2002, de 1 de marzo, por el que se establece la hora de verano.</t>
        </is>
      </c>
      <c r="D108" s="29" t="inlineStr">
        <is>
          <t>Agencia Estatal Boletín Oficial del Estado</t>
        </is>
      </c>
      <c r="E108" s="29" t="inlineStr">
        <is>
          <t>https://www.boe.es/buscar/doc.php?id=BOE-A-2002-4221</t>
        </is>
      </c>
      <c r="F108" s="49" t="n">
        <v>46319</v>
      </c>
      <c r="G108" s="29" t="inlineStr">
        <is>
          <t>malaga:planlama</t>
        </is>
      </c>
      <c r="H108" s="29" t="inlineStr">
        <is>
          <t>Kart 7: iki resmî saat (Yarımada+Balear / Kanarya), yaz saati kuralı (Mart son pazar - Ekim son pazar). Sayfa 'texto original' 2002 tarihli ve yürürlükte; 2026 takvimi Orden PCM/186/2022 ile (bu yıl 25 Ekim 2026'da bitiyor).</t>
        </is>
      </c>
      <c r="I108" s="29" t="inlineStr">
        <is>
          <t>Evet</t>
        </is>
      </c>
      <c r="J108" s="29" t="inlineStr">
        <is>
          <t>Lisans kanıtları/40cc31504eb7ad4e9c7ebf2e92f99fdaecb13e6a042f3f672a73b0fe8ec4d1aa.html</t>
        </is>
      </c>
      <c r="K108" s="29" t="inlineStr">
        <is>
          <t>40cc31504eb7ad4e9c7ebf2e92f99fdaecb13e6a042f3f672a73b0fe8ec4d1aa</t>
        </is>
      </c>
    </row>
    <row r="109" ht="54" customHeight="1">
      <c r="A109" s="29" t="inlineStr">
        <is>
          <t>malaga:kaynak:102</t>
        </is>
      </c>
      <c r="B109" s="29" t="inlineStr">
        <is>
          <t>malaga</t>
        </is>
      </c>
      <c r="C109" s="29" t="inlineStr">
        <is>
          <t>: Franquicias: Tabaco, alcohol y otras mercancías</t>
        </is>
      </c>
      <c r="D109" s="29" t="inlineStr">
        <is>
          <t>Agencia Tributaria (AEAT) - Aduanas</t>
        </is>
      </c>
      <c r="E109" s="29" t="inlineStr">
        <is>
          <t>https://sede.agenciatributaria.gob.es/Sede/viajeros-trabajadores-desplazados-fronterizos/viajeros/franquicias-tabaco-alcohol-otras-mercancias.html</t>
        </is>
      </c>
      <c r="F109" s="49" t="n">
        <v>46319</v>
      </c>
      <c r="G109" s="29" t="inlineStr">
        <is>
          <t>malaga:planlama</t>
        </is>
      </c>
      <c r="H109" s="29" t="inlineStr">
        <is>
          <t>Kart 4: AB dışından gelen yolcunun muafiyet tutarları (hava/deniz 430 euro, kara 300 euro). Sayfa 'Página actualizada: 23/septiembre/2026'.</t>
        </is>
      </c>
      <c r="I109" s="29" t="inlineStr">
        <is>
          <t>Evet</t>
        </is>
      </c>
      <c r="J109" s="29" t="inlineStr">
        <is>
          <t>Lisans kanıtları/5e542cbc850b6f2b4eb5d513f8db048eb6f620bdfd9e25543d83c21fd5db8f0f.html</t>
        </is>
      </c>
      <c r="K109" s="29" t="inlineStr">
        <is>
          <t>5e542cbc850b6f2b4eb5d513f8db048eb6f620bdfd9e25543d83c21fd5db8f0f</t>
        </is>
      </c>
    </row>
    <row r="110" ht="54" customHeight="1">
      <c r="A110" s="29" t="inlineStr">
        <is>
          <t>malaga:kaynak:103</t>
        </is>
      </c>
      <c r="B110" s="29" t="inlineStr">
        <is>
          <t>malaga</t>
        </is>
      </c>
      <c r="C110" s="29" t="inlineStr">
        <is>
          <t>BOE-A-2006-7899 Ley Orgánica 2/2006, de 3 de mayo, de Educación.</t>
        </is>
      </c>
      <c r="D110" s="29" t="inlineStr">
        <is>
          <t>BOE - Agencia Estatal Boletín Oficial del Estado</t>
        </is>
      </c>
      <c r="E110" s="29" t="inlineStr">
        <is>
          <t>https://www.boe.es/buscar/act.php?id=BOE-A-2006-7899</t>
        </is>
      </c>
      <c r="F110" s="49" t="n">
        <v>46319</v>
      </c>
      <c r="G110" s="29" t="inlineStr">
        <is>
          <t>malaga:aile</t>
        </is>
      </c>
      <c r="H110" s="29" t="inlineStr">
        <is>
          <t>Kart 1: zorunlu temel eğitim 6-16 yaş (art. 4), okul türleri público/privado/concertado (art. 108), kayıt/admisión çerçevesi ve bölge idarelerinin düzenlemesi (art. 84). Takvim ve puanlama bölgeye göre değişir. Konsolide metin.</t>
        </is>
      </c>
      <c r="I110" s="29" t="inlineStr">
        <is>
          <t>Evet</t>
        </is>
      </c>
      <c r="J110" s="29" t="inlineStr">
        <is>
          <t>Lisans kanıtları/c065b637450d90a21699d3fb9253aff01ff1d26abb42e17158a9e688ed3c3d5d.html</t>
        </is>
      </c>
      <c r="K110" s="29" t="inlineStr">
        <is>
          <t>c065b637450d90a21699d3fb9253aff01ff1d26abb42e17158a9e688ed3c3d5d</t>
        </is>
      </c>
    </row>
    <row r="111" ht="54" customHeight="1">
      <c r="A111" s="29" t="inlineStr">
        <is>
          <t>malaga:kaynak:104</t>
        </is>
      </c>
      <c r="B111" s="29" t="inlineStr">
        <is>
          <t>malaga</t>
        </is>
      </c>
      <c r="C111" s="29" t="inlineStr">
        <is>
          <t>BOE-A-2024-11858 Real Decreto 534/2024, de 11 de junio, por el que se regulan los requisitos de acceso a las enseñanzas universitarias oficiales de Grado, las características básic</t>
        </is>
      </c>
      <c r="D111" s="29" t="inlineStr">
        <is>
          <t>BOE</t>
        </is>
      </c>
      <c r="E111" s="29" t="inlineStr">
        <is>
          <t>https://www.boe.es/buscar/act.php?id=BOE-A-2024-11858</t>
        </is>
      </c>
      <c r="F111" s="49" t="n">
        <v>46319</v>
      </c>
      <c r="G111" s="29" t="inlineStr">
        <is>
          <t>malaga:aile</t>
        </is>
      </c>
      <c r="H111" s="29" t="inlineStr">
        <is>
          <t>Kart 2: yabancı liseliler için üniversiteye giriş (art. 6 prueba de acceso gerekmeyen sistemler, homologación gerekmez; DA 4a prueba zorunlu sistemler). Türkiye art. 6 listesinde yok (AB/anlaşmalı sistemler, AE okulları, IB). Konsolide metin.</t>
        </is>
      </c>
      <c r="I111" s="29" t="inlineStr">
        <is>
          <t>Evet</t>
        </is>
      </c>
      <c r="J111" s="29" t="inlineStr">
        <is>
          <t>Lisans kanıtları/d9306f1d6722c5704f223507b217d5a564aef18f64236f6f88df25c3ecb267ab.html</t>
        </is>
      </c>
      <c r="K111" s="29" t="inlineStr">
        <is>
          <t>d9306f1d6722c5704f223507b217d5a564aef18f64236f6f88df25c3ecb267ab</t>
        </is>
      </c>
    </row>
    <row r="112" ht="54" customHeight="1">
      <c r="A112" s="29" t="inlineStr">
        <is>
          <t>malaga:kaynak:105</t>
        </is>
      </c>
      <c r="B112" s="29" t="inlineStr">
        <is>
          <t>malaga</t>
        </is>
      </c>
      <c r="C112" s="29" t="inlineStr">
        <is>
          <t>Tipos de estudiantes internacionales</t>
        </is>
      </c>
      <c r="D112" s="29" t="inlineStr">
        <is>
          <t>UNED (universidad pública) - UNEDasiss</t>
        </is>
      </c>
      <c r="E112" s="29" t="inlineStr">
        <is>
          <t>https://unedasiss.uned.es/publico_destino</t>
        </is>
      </c>
      <c r="F112" s="49" t="n">
        <v>46319</v>
      </c>
      <c r="G112" s="29" t="inlineStr">
        <is>
          <t>malaga:aile</t>
        </is>
      </c>
      <c r="H112" s="29" t="inlineStr">
        <is>
          <t>Kart 2: acreditación UNEDasiss, calificación de acceso, PCE. Sayfa 'Unión Europea, EEES, IB, Escuelas Europeas, China y Colombia' grubunu açıklıyor (Türkiye listede yok; ülke bazlı sayfa ayrıca bakılmalı). Kamu üniversitesi sitesi, .gob.es değil.</t>
        </is>
      </c>
      <c r="I112" s="29" t="inlineStr">
        <is>
          <t>Evet</t>
        </is>
      </c>
      <c r="J112" s="29" t="inlineStr">
        <is>
          <t>Lisans kanıtları/a3be9197d91cd4f7cabc6d85197e0d933cfb6c4859214812c09833e151014435.html</t>
        </is>
      </c>
      <c r="K112" s="29" t="inlineStr">
        <is>
          <t>a3be9197d91cd4f7cabc6d85197e0d933cfb6c4859214812c09833e151014435</t>
        </is>
      </c>
    </row>
    <row r="113" ht="54" customHeight="1">
      <c r="A113" s="29" t="inlineStr">
        <is>
          <t>malaga:kaynak:106</t>
        </is>
      </c>
      <c r="B113" s="29" t="inlineStr">
        <is>
          <t>malaga</t>
        </is>
      </c>
      <c r="C113" s="29" t="inlineStr">
        <is>
          <t>Seguridad Social: Prestaciones / Pensiones de Trabajadores</t>
        </is>
      </c>
      <c r="D113" s="29" t="inlineStr">
        <is>
          <t>Seguridad Social (INSS)</t>
        </is>
      </c>
      <c r="E113" s="29" t="inlineStr">
        <is>
          <t>https://www.seg-social.es/wps/portal/wss/internet/Trabajadores/PrestacionesPensionesTrabajadores/65850d68-8d06-4645-bde7-05374ee42ac7</t>
        </is>
      </c>
      <c r="F113" s="49" t="n">
        <v>46319</v>
      </c>
      <c r="G113" s="29" t="inlineStr">
        <is>
          <t>malaga:aile</t>
        </is>
      </c>
      <c r="H113" s="29" t="inlineStr">
        <is>
          <t>Kart 4: IMV hak sahipleri, 1 yıl yasal ve fiili ikamet şartı, 2026 garantili gelir tablosu, complemento de ayuda para la infancia başvurusu; yabancı için residencia legal kanıtı (autorización de residencia). Seguridad Social © 2026.</t>
        </is>
      </c>
      <c r="I113" s="29" t="inlineStr">
        <is>
          <t>Evet</t>
        </is>
      </c>
      <c r="J113" s="29" t="inlineStr">
        <is>
          <t>Lisans kanıtları/549f5e9327e841c957212be272e6fb204af3c320665a4eac9dfc1eb16a0c7be2.html</t>
        </is>
      </c>
      <c r="K113" s="29" t="inlineStr">
        <is>
          <t>549f5e9327e841c957212be272e6fb204af3c320665a4eac9dfc1eb16a0c7be2</t>
        </is>
      </c>
    </row>
    <row r="114" ht="54" customHeight="1">
      <c r="A114" s="29" t="inlineStr">
        <is>
          <t>malaga:kaynak:107</t>
        </is>
      </c>
      <c r="B114" s="29" t="inlineStr">
        <is>
          <t>malaga</t>
        </is>
      </c>
      <c r="C114" s="29" t="inlineStr">
        <is>
          <t>BOE-A-2021-21007 Ley 19/2021, de 20 de diciembre, por la que se establece el ingreso mínimo vital.</t>
        </is>
      </c>
      <c r="D114" s="29" t="inlineStr">
        <is>
          <t>BOE</t>
        </is>
      </c>
      <c r="E114" s="29" t="inlineStr">
        <is>
          <t>https://www.boe.es/buscar/act.php?id=BOE-A-2021-21007</t>
        </is>
      </c>
      <c r="F114" s="49" t="n">
        <v>46319</v>
      </c>
      <c r="G114" s="29" t="inlineStr">
        <is>
          <t>malaga:aile</t>
        </is>
      </c>
      <c r="H114" s="29" t="inlineStr">
        <is>
          <t>Kart 4: IMV ve complemento de ayuda para la infancia yasal dayanağı (preámbulo). Konsolide metin.</t>
        </is>
      </c>
      <c r="I114" s="29" t="inlineStr">
        <is>
          <t>Evet</t>
        </is>
      </c>
      <c r="J114" s="29" t="inlineStr">
        <is>
          <t>Lisans kanıtları/1d2f68a0ef0516a3b52e1111fe26f7c6e2dfdfab12fb07ea2148f02b21fc9807.html</t>
        </is>
      </c>
      <c r="K114" s="29" t="inlineStr">
        <is>
          <t>1d2f68a0ef0516a3b52e1111fe26f7c6e2dfdfab12fb07ea2148f02b21fc9807</t>
        </is>
      </c>
    </row>
    <row r="115" ht="54" customHeight="1">
      <c r="A115" s="29" t="inlineStr">
        <is>
          <t>malaga:kaynak:108</t>
        </is>
      </c>
      <c r="B115" s="29" t="inlineStr">
        <is>
          <t>malaga</t>
        </is>
      </c>
      <c r="C115" s="29" t="inlineStr">
        <is>
          <t>Qué necesitas - Becas y ayudas para estudiantes | Ministerio de Educación, Formación Profesional y Deportes</t>
        </is>
      </c>
      <c r="D115" s="29" t="inlineStr">
        <is>
          <t>Ministerio de Educación, Formación Profesional y Deportes - Becas y ayudas</t>
        </is>
      </c>
      <c r="E115" s="29" t="inlineStr">
        <is>
          <t>https://www.becaseducacion.gob.es/becas-y-ayudas/universidad-grado-master/que-necesitas.html</t>
        </is>
      </c>
      <c r="F115" s="49" t="n">
        <v>46319</v>
      </c>
      <c r="G115" s="29" t="inlineStr">
        <is>
          <t>malaga:aile</t>
        </is>
      </c>
      <c r="H115" s="29" t="inlineStr">
        <is>
          <t>Kart 5: genel burs şartları, AB dışı yabancı için kural (18 yaş altı ya da 31/12/2025 itibarıyla ikamet izni; sadece estancia yetmez), 1.700 € renta / 2.700 € residencia / 50-125 € excelencia. Curso 2026/27.</t>
        </is>
      </c>
      <c r="I115" s="29" t="inlineStr">
        <is>
          <t>Evet</t>
        </is>
      </c>
      <c r="J115" s="29" t="inlineStr">
        <is>
          <t>Lisans kanıtları/dd26b7a4303fdf2c7db4ae564fda473a81ed0edd9edab2832f5b17bf1a53a548.html</t>
        </is>
      </c>
      <c r="K115" s="29" t="inlineStr">
        <is>
          <t>dd26b7a4303fdf2c7db4ae564fda473a81ed0edd9edab2832f5b17bf1a53a548</t>
        </is>
      </c>
    </row>
    <row r="116" ht="54" customHeight="1">
      <c r="A116" s="29" t="inlineStr">
        <is>
          <t>malaga:kaynak:109</t>
        </is>
      </c>
      <c r="B116" s="29" t="inlineStr">
        <is>
          <t>malaga</t>
        </is>
      </c>
      <c r="C116" s="29" t="inlineStr">
        <is>
          <t>Cómo solicitarla - Becas y ayudas para estudiantes | Ministerio de Educación, Formación Profesional y Deportes</t>
        </is>
      </c>
      <c r="D116" s="29" t="inlineStr">
        <is>
          <t>Ministerio de Educación, Formación Profesional y Deportes - Becas y ayudas</t>
        </is>
      </c>
      <c r="E116" s="29" t="inlineStr">
        <is>
          <t>https://www.becaseducacion.gob.es/becas-y-ayudas/fp-bachillerato-otros/como-solicitarla.html</t>
        </is>
      </c>
      <c r="F116" s="49" t="n">
        <v>46319</v>
      </c>
      <c r="G116" s="29" t="inlineStr">
        <is>
          <t>malaga:aile</t>
        </is>
      </c>
      <c r="H116" s="29" t="inlineStr">
        <is>
          <t>Kart 5: başvuru dönemi 19 Mayıs'ta kapandı (2026/27); sede electrónica adımları. Bölge bursları ayrı.</t>
        </is>
      </c>
      <c r="I116" s="29" t="inlineStr">
        <is>
          <t>Evet</t>
        </is>
      </c>
      <c r="J116" s="29" t="inlineStr">
        <is>
          <t>Lisans kanıtları/f35f84d4d2face3d29be98c22cc25fe3ee27e575220bd55611d2ff1ff83cfb9e.html</t>
        </is>
      </c>
      <c r="K116" s="29" t="inlineStr">
        <is>
          <t>f35f84d4d2face3d29be98c22cc25fe3ee27e575220bd55611d2ff1ff83cfb9e</t>
        </is>
      </c>
    </row>
    <row r="117" ht="54" customHeight="1">
      <c r="A117" s="29" t="inlineStr">
        <is>
          <t>malaga:kaynak:110</t>
        </is>
      </c>
      <c r="B117" s="29" t="inlineStr">
        <is>
          <t>malaga</t>
        </is>
      </c>
      <c r="C117" s="29" t="inlineStr">
        <is>
          <t>Renfe ▷ Los mejores precios en Trenes Ave y Larga Distancia</t>
        </is>
      </c>
      <c r="D117" s="29" t="inlineStr">
        <is>
          <t>Renfe Viajeros</t>
        </is>
      </c>
      <c r="E117" s="29" t="inlineStr">
        <is>
          <t>https://www.renfe.com/es/es/viajar/prepara-tu-viaje/billetes-ave-y-largadistancia/todos-los-billetes</t>
        </is>
      </c>
      <c r="F117" s="49" t="n">
        <v>46319</v>
      </c>
      <c r="G117" s="29" t="inlineStr">
        <is>
          <t>malaga:ulasim</t>
        </is>
      </c>
      <c r="H117" s="29" t="inlineStr">
        <is>
          <t>Kart 1: AVE/Larga Distancia tarife türleri (Básico, Elige Estándar/Confort, Prémium), değişiklik/iptal ekstraları, satın almadan sonra 2 saat içinde ücretsiz iptal, kimlik belgesi (Tarjeta de Residencia/Pasaporte). Tarih yok; tablo rakamları JSON içinde, düz metinde yalnız genel kurallar.</t>
        </is>
      </c>
      <c r="I117" s="29" t="inlineStr">
        <is>
          <t>Evet</t>
        </is>
      </c>
      <c r="J117" s="29" t="inlineStr">
        <is>
          <t>Lisans kanıtları/3483268d88f99708f715cb8a2d1f0c2e2f2a94374428c3b2928af01256e96601.html</t>
        </is>
      </c>
      <c r="K117" s="29" t="inlineStr">
        <is>
          <t>3483268d88f99708f715cb8a2d1f0c2e2f2a94374428c3b2928af01256e96601</t>
        </is>
      </c>
    </row>
    <row r="118" ht="54" customHeight="1">
      <c r="A118" s="29" t="inlineStr">
        <is>
          <t>malaga:kaynak:111</t>
        </is>
      </c>
      <c r="B118" s="29" t="inlineStr">
        <is>
          <t>malaga</t>
        </is>
      </c>
      <c r="C118" s="29" t="inlineStr">
        <is>
          <t>Descuentos hasta 30% en tren para jóvenes | Renfe</t>
        </is>
      </c>
      <c r="D118" s="29" t="inlineStr">
        <is>
          <t>Renfe Viajeros</t>
        </is>
      </c>
      <c r="E118" s="29" t="inlineStr">
        <is>
          <t>https://www.renfe.com/es/es/viajar/prepara-tu-viaje/descuentos/Jovenes.html</t>
        </is>
      </c>
      <c r="F118" s="49" t="n">
        <v>46319</v>
      </c>
      <c r="G118" s="29" t="inlineStr">
        <is>
          <t>malaga:ulasim</t>
        </is>
      </c>
      <c r="H118" s="29" t="inlineStr">
        <is>
          <t>Kart 1: Más Renfe Joven (14-25 yaş, 50 EUR, AVE/LD %30, Avant/MD/Cercanías %25), Carné Joven (AVE/LD %5, Avant/MD %20), EYCA/ISIC kartları geçerli.</t>
        </is>
      </c>
      <c r="I118" s="29" t="inlineStr">
        <is>
          <t>Evet</t>
        </is>
      </c>
      <c r="J118" s="29" t="inlineStr">
        <is>
          <t>Lisans kanıtları/61df790960424b9b8568d65fe9205b1ae237310dcb11fcd9cd760975173e8fbc.html</t>
        </is>
      </c>
      <c r="K118" s="29" t="inlineStr">
        <is>
          <t>61df790960424b9b8568d65fe9205b1ae237310dcb11fcd9cd760975173e8fbc</t>
        </is>
      </c>
    </row>
    <row r="119" ht="54" customHeight="1">
      <c r="A119" s="29" t="inlineStr">
        <is>
          <t>malaga:kaynak:112</t>
        </is>
      </c>
      <c r="B119" s="29" t="inlineStr">
        <is>
          <t>malaga</t>
        </is>
      </c>
      <c r="C119" s="29" t="inlineStr">
        <is>
          <t>BOE.es - DOUE-L-2011-80347 Reglamento (UE) nº 181/2011 del Parlamento Europeo y del Consejo, de 16 de febrero de 2011, sobre los derechos de los viajeros de autobús y autocar y por</t>
        </is>
      </c>
      <c r="D119" s="29" t="inlineStr">
        <is>
          <t>BOE (DOUE)</t>
        </is>
      </c>
      <c r="E119" s="29" t="inlineStr">
        <is>
          <t>https://www.boe.es/buscar/doc.php?id=DOUE-L-2011-80347</t>
        </is>
      </c>
      <c r="F119" s="49" t="n">
        <v>46319</v>
      </c>
      <c r="G119" s="29" t="inlineStr">
        <is>
          <t>malaga:ulasim</t>
        </is>
      </c>
      <c r="H119" s="29" t="inlineStr">
        <is>
          <t>Kart 2: otobüs yolcu hakları AB çerçevesi; 250 km ve üzeri düzenli hatlarda tam kapsam, daha kısa hatlarda sınırlı maddeler.</t>
        </is>
      </c>
      <c r="I119" s="29" t="inlineStr">
        <is>
          <t>Evet</t>
        </is>
      </c>
      <c r="J119" s="29" t="inlineStr">
        <is>
          <t>Lisans kanıtları/c897873a91954ea8eaac6c4bcd06298c6afde926e3d9bbb2e95f6bf757aecf79.html</t>
        </is>
      </c>
      <c r="K119" s="29" t="inlineStr">
        <is>
          <t>c897873a91954ea8eaac6c4bcd06298c6afde926e3d9bbb2e95f6bf757aecf79</t>
        </is>
      </c>
    </row>
    <row r="120" ht="54" customHeight="1">
      <c r="A120" s="29" t="inlineStr">
        <is>
          <t>malaga:kaynak:113</t>
        </is>
      </c>
      <c r="B120" s="29" t="inlineStr">
        <is>
          <t>malaga</t>
        </is>
      </c>
      <c r="C120" s="29" t="inlineStr">
        <is>
          <t>Road transport | Centro Europeo del Consumidor en España - Ministerio de Consumo</t>
        </is>
      </c>
      <c r="D120" s="29" t="inlineStr">
        <is>
          <t>Centro Europeo del Consumidor en España (Ministerio de Consumo)</t>
        </is>
      </c>
      <c r="E120" s="29" t="inlineStr">
        <is>
          <t>https://portal-cec.consumo.gob.es/en/informacion-general/viajes/transporte-por-carretera</t>
        </is>
      </c>
      <c r="F120" s="49" t="n">
        <v>46319</v>
      </c>
      <c r="G120" s="29" t="inlineStr">
        <is>
          <t>malaga:ulasim</t>
        </is>
      </c>
      <c r="H120" s="29" t="inlineStr">
        <is>
          <t>Kart 2: otobüs yolcu hakları, İngilizce resmî sayfa (lang en). Alternatif/ikincil.</t>
        </is>
      </c>
      <c r="I120" s="29" t="inlineStr">
        <is>
          <t>Evet</t>
        </is>
      </c>
      <c r="J120" s="29" t="inlineStr">
        <is>
          <t>Lisans kanıtları/b68cd4d4a855259a65e34f65863d15d2dfd5c8cc437ddb5717f08e9fe21c8fb6.html</t>
        </is>
      </c>
      <c r="K120" s="29" t="inlineStr">
        <is>
          <t>b68cd4d4a855259a65e34f65863d15d2dfd5c8cc437ddb5717f08e9fe21c8fb6</t>
        </is>
      </c>
    </row>
    <row r="121" ht="54" customHeight="1">
      <c r="A121" s="29" t="inlineStr">
        <is>
          <t>malaga:kaynak:114</t>
        </is>
      </c>
      <c r="B121" s="29" t="inlineStr">
        <is>
          <t>malaga</t>
        </is>
      </c>
      <c r="C121" s="29" t="inlineStr">
        <is>
          <t>BOE-A-2003-23514 Real Decreto 1428/2003, de 21 de noviembre, por el que se aprueba el Reglamento General de Circulación para la aplicación y desarrollo del texto articulado de la L</t>
        </is>
      </c>
      <c r="D121" s="29" t="inlineStr">
        <is>
          <t>BOE</t>
        </is>
      </c>
      <c r="E121" s="29" t="inlineStr">
        <is>
          <t>https://www.boe.es/buscar/act.php?id=BOE-A-2003-23514</t>
        </is>
      </c>
      <c r="F121" s="49" t="n">
        <v>46319</v>
      </c>
      <c r="G121" s="29" t="inlineStr">
        <is>
          <t>malaga:ulasim</t>
        </is>
      </c>
      <c r="H121" s="29" t="inlineStr">
        <is>
          <t>Kart 3: art.20 alkol (0,5 g/l kan, 0,25 mg/l hava; profesyonel/ağır vasıta 0,3 g/l), art.48 şehir dışı hız (otoyol/otovía turismo 120, konvansiyonel 90), art.50 şehir içi 20/30/50. Konsolide metin; art.50 değişikliği 01/10/2026 yürürlük notu var. Tarih: konsolide.</t>
        </is>
      </c>
      <c r="I121" s="29" t="inlineStr">
        <is>
          <t>Evet</t>
        </is>
      </c>
      <c r="J121" s="29" t="inlineStr">
        <is>
          <t>Lisans kanıtları/58ceead1c94be577495fee9f0a2227cc5c956523e16e93fcba2a2b578f4e3983.html</t>
        </is>
      </c>
      <c r="K121" s="29" t="inlineStr">
        <is>
          <t>58ceead1c94be577495fee9f0a2227cc5c956523e16e93fcba2a2b578f4e3983</t>
        </is>
      </c>
    </row>
    <row r="122" ht="54" customHeight="1">
      <c r="A122" s="29" t="inlineStr">
        <is>
          <t>malaga:kaynak:115</t>
        </is>
      </c>
      <c r="B122" s="29" t="inlineStr">
        <is>
          <t>malaga</t>
        </is>
      </c>
      <c r="C122" s="29" t="inlineStr">
        <is>
          <t>DGT - ¿Cómo funciona el permiso por puntos?</t>
        </is>
      </c>
      <c r="D122" s="29" t="inlineStr">
        <is>
          <t>Dirección General de Tráfico (DGT)</t>
        </is>
      </c>
      <c r="E122" s="29" t="inlineStr">
        <is>
          <t>https://www.dgt.es/nuestros-servicios/permisos-de-conducir/tus-puntos-y-tus-permisos/como-funciona-el-permiso-por-puntos/</t>
        </is>
      </c>
      <c r="F122" s="49" t="n">
        <v>46319</v>
      </c>
      <c r="G122" s="29" t="inlineStr">
        <is>
          <t>malaga:ulasim</t>
        </is>
      </c>
      <c r="H122" s="29" t="inlineStr">
        <is>
          <t>Kart 3: ehliyet puan sistemi: 12 puan başlangıç, acemi/yeniden alan 8, 3 yılda ihlalsiz +2 (en çok 15), puan 0 olunca ehliyet kaybı.</t>
        </is>
      </c>
      <c r="I122" s="29" t="inlineStr">
        <is>
          <t>Evet</t>
        </is>
      </c>
      <c r="J122" s="29" t="inlineStr">
        <is>
          <t>Lisans kanıtları/b9ab11e9193e6cb0ad3d22179169fcb2d2eee9bedc742d2f505485fe2701b8b8.html</t>
        </is>
      </c>
      <c r="K122" s="29" t="inlineStr">
        <is>
          <t>b9ab11e9193e6cb0ad3d22179169fcb2d2eee9bedc742d2f505485fe2701b8b8</t>
        </is>
      </c>
    </row>
    <row r="123" ht="54" customHeight="1">
      <c r="A123" s="29" t="inlineStr">
        <is>
          <t>malaga:kaynak:116</t>
        </is>
      </c>
      <c r="B123" s="29" t="inlineStr">
        <is>
          <t>malaga</t>
        </is>
      </c>
      <c r="C123" s="29" t="inlineStr">
        <is>
          <t>BOE-A-2017-12841 Real Decreto 920/2017, de 23 de octubre, por el que se regula la inspección técnica de vehículos.</t>
        </is>
      </c>
      <c r="D123" s="29" t="inlineStr">
        <is>
          <t>BOE</t>
        </is>
      </c>
      <c r="E123" s="29" t="inlineStr">
        <is>
          <t>https://www.boe.es/buscar/act.php?id=BOE-A-2017-12841</t>
        </is>
      </c>
      <c r="F123" s="49" t="n">
        <v>46319</v>
      </c>
      <c r="G123" s="29" t="inlineStr">
        <is>
          <t>malaga:ulasim</t>
        </is>
      </c>
      <c r="H123" s="29" t="inlineStr">
        <is>
          <t>Kart 4: ITV periyotları (art.6): otomobil (M1) 4 yıla kadar muaf, 4 yıldan sonra 2 yılda bir, 10 yıldan sonra yıllık; motosiklet/ağır vasıta/otobüs farklı. Son güncelleme 18/09/2024 (yürürlük 01/10/2024).</t>
        </is>
      </c>
      <c r="I123" s="29" t="inlineStr">
        <is>
          <t>Evet</t>
        </is>
      </c>
      <c r="J123" s="29" t="inlineStr">
        <is>
          <t>Lisans kanıtları/a214e6a2b5d61c94488ab8eac68290bc4f8c51f9c73d09ab51fe7aeea3de4eae.html</t>
        </is>
      </c>
      <c r="K123" s="29" t="inlineStr">
        <is>
          <t>a214e6a2b5d61c94488ab8eac68290bc4f8c51f9c73d09ab51fe7aeea3de4eae</t>
        </is>
      </c>
    </row>
    <row r="124" ht="54" customHeight="1">
      <c r="A124" s="29" t="inlineStr">
        <is>
          <t>malaga:kaynak:117</t>
        </is>
      </c>
      <c r="B124" s="29" t="inlineStr">
        <is>
          <t>malaga</t>
        </is>
      </c>
      <c r="C124" s="29" t="inlineStr">
        <is>
          <t>Reclamaciones por cancelaciones, retrasos, denegaciones de embarque y PMR en el transporte aéreo para vuelos posteriores al 02/06/2023 incluido (resolución alternativa de litigios)</t>
        </is>
      </c>
      <c r="D124" s="29" t="inlineStr">
        <is>
          <t>AESA - Sede electrónica</t>
        </is>
      </c>
      <c r="E124" s="29" t="inlineStr">
        <is>
          <t>https://sede.seguridadaerea.gob.es/sede-aesa/catalogo-de-procedimientos/reclamaciones-por-cancelaciones-retrasos-denegaciones-de-embarque-y-pmr</t>
        </is>
      </c>
      <c r="F124" s="49" t="n">
        <v>46319</v>
      </c>
      <c r="G124" s="29" t="inlineStr">
        <is>
          <t>malaga:ulasim</t>
        </is>
      </c>
      <c r="H124" s="29" t="inlineStr">
        <is>
          <t>Kart 5: AESA şikayet süreci: önce havayolu (olaydan 5 yıl içinde), 1 ay yanıt yoksa AESA; işlem süreleri gecikmeli uyarısı.</t>
        </is>
      </c>
      <c r="I124" s="29" t="inlineStr">
        <is>
          <t>Evet</t>
        </is>
      </c>
      <c r="J124" s="29" t="inlineStr">
        <is>
          <t>Lisans kanıtları/5c20e1503a5e40bde1ba50647232e19cb64ffc9f4dcc0c40dc34caed9729fe41.html</t>
        </is>
      </c>
      <c r="K124" s="29" t="inlineStr">
        <is>
          <t>5c20e1503a5e40bde1ba50647232e19cb64ffc9f4dcc0c40dc34caed9729fe41</t>
        </is>
      </c>
    </row>
    <row r="125" ht="54" customHeight="1">
      <c r="A125" s="29" t="inlineStr">
        <is>
          <t>malaga:kaynak:118</t>
        </is>
      </c>
      <c r="B125" s="29" t="inlineStr">
        <is>
          <t>malaga</t>
        </is>
      </c>
      <c r="C125" s="29" t="inlineStr">
        <is>
          <t>Preguntas frecuentes sobre derechos de los pasajeros | AESA-Agencia Estatal de Seguridad Aérea - MTMS</t>
        </is>
      </c>
      <c r="D125" s="29" t="inlineStr">
        <is>
          <t>AESA - Agencia Estatal de Seguridad Aérea</t>
        </is>
      </c>
      <c r="E125" s="29" t="inlineStr">
        <is>
          <t>https://www.seguridadaerea.gob.es/es/preguntas-frecuentes-derechos-pasajeros</t>
        </is>
      </c>
      <c r="F125" s="49" t="n">
        <v>46319</v>
      </c>
      <c r="G125" s="29" t="inlineStr">
        <is>
          <t>malaga:ulasim</t>
        </is>
      </c>
      <c r="H125" s="29" t="inlineStr">
        <is>
          <t>Kart 5: uçuş yolcu hakları SSS: 3+ saat gecikme tazminatı 250-600 EUR, olağanüstü durum, iptal/ret.</t>
        </is>
      </c>
      <c r="I125" s="29" t="inlineStr">
        <is>
          <t>Evet</t>
        </is>
      </c>
      <c r="J125" s="29" t="inlineStr">
        <is>
          <t>Lisans kanıtları/a4f6b03dd2edd08bf825d1ce3255894f8452d444f174066a312e88f5ec00c4a4.html</t>
        </is>
      </c>
      <c r="K125" s="29" t="inlineStr">
        <is>
          <t>a4f6b03dd2edd08bf825d1ce3255894f8452d444f174066a312e88f5ec00c4a4</t>
        </is>
      </c>
    </row>
    <row r="126" ht="54" customHeight="1">
      <c r="A126" s="29" t="inlineStr">
        <is>
          <t>malaga:kaynak:119</t>
        </is>
      </c>
      <c r="B126" s="29" t="inlineStr">
        <is>
          <t>malaga</t>
        </is>
      </c>
      <c r="C126" s="29" t="inlineStr">
        <is>
          <t>BOE-A-2018-10651 Real Decreto 949/2018, de 27 de julio, por el que se modifica la cuantía de la subvención al transporte regular, aéreo y marítimo, de los residentes en los territo</t>
        </is>
      </c>
      <c r="D126" s="29" t="inlineStr">
        <is>
          <t>BOE</t>
        </is>
      </c>
      <c r="E126" s="29" t="inlineStr">
        <is>
          <t>https://www.boe.es/buscar/doc.php?id=BOE-A-2018-10651</t>
        </is>
      </c>
      <c r="F126" s="49" t="n">
        <v>46319</v>
      </c>
      <c r="G126" s="29" t="inlineStr">
        <is>
          <t>malaga:ulasim</t>
        </is>
      </c>
      <c r="H126" s="29" t="inlineStr">
        <is>
          <t>Kart 5: yerleşik indirimi %75 (adalar/Ceuta/Melilla - anakara doğrudan hatlar). Yalnız orada ikamet edenler; AB dışı için bkz. Ley 19/1994 art.6 kaynağı.</t>
        </is>
      </c>
      <c r="I126" s="29" t="inlineStr">
        <is>
          <t>Evet</t>
        </is>
      </c>
      <c r="J126" s="29" t="inlineStr">
        <is>
          <t>Lisans kanıtları/6e1cbafe566f8a4650c4b25fcea2fa1d298ea6179b77e535de6fcd1599599789.html</t>
        </is>
      </c>
      <c r="K126" s="29" t="inlineStr">
        <is>
          <t>6e1cbafe566f8a4650c4b25fcea2fa1d298ea6179b77e535de6fcd1599599789</t>
        </is>
      </c>
    </row>
    <row r="127" ht="54" customHeight="1">
      <c r="A127" s="29" t="inlineStr">
        <is>
          <t>malaga:kaynak:120</t>
        </is>
      </c>
      <c r="B127" s="29" t="inlineStr">
        <is>
          <t>malaga</t>
        </is>
      </c>
      <c r="C127" s="29" t="inlineStr">
        <is>
          <t>BOE-A-2012-15651 Ley 17/2012, de 27 de diciembre, de Presupuestos Generales del Estado para el año 2013.</t>
        </is>
      </c>
      <c r="D127" s="29" t="inlineStr">
        <is>
          <t>Boletín Oficial del Estado (BOE)</t>
        </is>
      </c>
      <c r="E127" s="29" t="inlineStr">
        <is>
          <t>https://www.boe.es/buscar/act.php?id=BOE-A-2012-15651</t>
        </is>
      </c>
      <c r="F127" s="49" t="n">
        <v>46319</v>
      </c>
      <c r="G127" s="29" t="inlineStr">
        <is>
          <t>malaga:ulasim</t>
        </is>
      </c>
      <c r="H127" s="29" t="inlineStr">
        <is>
          <t>Ulaşım kart 6 (yerleşik indirimi): DA 13ª dört bölge (Canarias, Illes Balears, Ceuta, Melilla) için hak sahipleri (AB vatandaşının üçüncü ülke aile üyesi, uzun dönem oturumlu üçüncü ülke vatandaşı) ve %75 hava indirimi. G3 denetimi 6.1/6.2.</t>
        </is>
      </c>
      <c r="I127" s="29" t="inlineStr">
        <is>
          <t>Evet</t>
        </is>
      </c>
      <c r="J127" s="29" t="inlineStr">
        <is>
          <t>Lisans kanıtları/440d6b299c37f0d05c34b3a97acb37f5bc781259bb73701b79cb84dbc292b55d.html</t>
        </is>
      </c>
      <c r="K127" s="29" t="inlineStr">
        <is>
          <t>440d6b299c37f0d05c34b3a97acb37f5bc781259bb73701b79cb84dbc292b55d</t>
        </is>
      </c>
    </row>
    <row r="128" ht="54" customHeight="1">
      <c r="A128" s="29" t="inlineStr">
        <is>
          <t>malaga:kaynak:121</t>
        </is>
      </c>
      <c r="B128" s="29" t="inlineStr">
        <is>
          <t>malaga</t>
        </is>
      </c>
      <c r="C128" s="29" t="inlineStr">
        <is>
          <t>BOE-A-2026-21254 Resolución de 8 de octubre de 2026, de la Dirección General de Trabajo, por la que se publica relación de fiestas laborales para el año 2027.</t>
        </is>
      </c>
      <c r="D128" s="29" t="inlineStr">
        <is>
          <t>BOE / Dirección General de Trabajo</t>
        </is>
      </c>
      <c r="E128" s="29" t="inlineStr">
        <is>
          <t>https://www.boe.es/buscar/doc.php?id=BOE-A-2026-21254</t>
        </is>
      </c>
      <c r="F128" s="49" t="n">
        <v>46319</v>
      </c>
      <c r="G128" s="29" t="inlineStr">
        <is>
          <t>malaga:gunluk</t>
        </is>
      </c>
      <c r="H128" s="29" t="inlineStr">
        <is>
          <t>Kart 1: 2027 ulusal + özerk bölge + Ceuta/Melilla tatil listesi (BOE núm. 254, 13/10/2026). Mevcut 2026 kartı (es:kaynak:077, Resolución 17/10/2025) ile çakışmaz; yeni açı = 2027. Madde 37.2 ET/RD 2001/1983: 14 gün tavanı, 12 ulusal/özerk + 2 yerel. Yerel tatiller (2 gün) belediye bazlı, bu sayfada yok. Sayfa doc.php biçiminde okunuyor (diario_boe/txt.php bu ortamda boş döndü).</t>
        </is>
      </c>
      <c r="I128" s="29" t="inlineStr">
        <is>
          <t>Evet</t>
        </is>
      </c>
      <c r="J128" s="29" t="inlineStr">
        <is>
          <t>Lisans kanıtları/89939ca0e21782e0aeba64bffef6da3891c93c5207bbc1c0fa1f06d133403be4.html</t>
        </is>
      </c>
      <c r="K128" s="29" t="inlineStr">
        <is>
          <t>89939ca0e21782e0aeba64bffef6da3891c93c5207bbc1c0fa1f06d133403be4</t>
        </is>
      </c>
    </row>
    <row r="129" ht="54" customHeight="1">
      <c r="A129" s="29" t="inlineStr">
        <is>
          <t>malaga:kaynak:122</t>
        </is>
      </c>
      <c r="B129" s="29" t="inlineStr">
        <is>
          <t>malaga</t>
        </is>
      </c>
      <c r="C129" s="29" t="inlineStr">
        <is>
          <t>BOE-A-2004-21421 Ley 1/2004, de 21 de diciembre, de Horarios Comerciales.</t>
        </is>
      </c>
      <c r="D129" s="29" t="inlineStr">
        <is>
          <t>BOE</t>
        </is>
      </c>
      <c r="E129" s="29" t="inlineStr">
        <is>
          <t>https://www.boe.es/buscar/act.php?id=BOE-A-2004-21421</t>
        </is>
      </c>
      <c r="F129" s="49" t="n">
        <v>46319</v>
      </c>
      <c r="G129" s="29" t="inlineStr">
        <is>
          <t>malaga:gunluk</t>
        </is>
      </c>
      <c r="H129" s="29" t="inlineStr">
        <is>
          <t>Kart 2: ulusal çerçeve. Art. 1 serbest saat, art. 3 küresel saat (bölge en az 90 saat/hafta altına indiremez), art. 4 pazar/tatil (ulusal asgari 16, bölge değiştirebilir, 10'un altına inemez), art. 5 serbest rejim (bakkal-fırın-gazete-akaryakıt, istasyon, turistik bölge, 300 m2 altı küçük mağaza, tiendas de conveniencia). Rakamlar bölgeye göre değişir.</t>
        </is>
      </c>
      <c r="I129" s="29" t="inlineStr">
        <is>
          <t>Evet</t>
        </is>
      </c>
      <c r="J129" s="29" t="inlineStr">
        <is>
          <t>Lisans kanıtları/928585589dce9e7d71d6572fb50fdb5ab0bb3bb5bef77d70cf459cc4c2f89120.html</t>
        </is>
      </c>
      <c r="K129" s="29" t="inlineStr">
        <is>
          <t>928585589dce9e7d71d6572fb50fdb5ab0bb3bb5bef77d70cf459cc4c2f89120</t>
        </is>
      </c>
    </row>
    <row r="130" ht="54" customHeight="1">
      <c r="A130" s="29" t="inlineStr">
        <is>
          <t>malaga:kaynak:123</t>
        </is>
      </c>
      <c r="B130" s="29" t="inlineStr">
        <is>
          <t>malaga</t>
        </is>
      </c>
      <c r="C130" s="29" t="inlineStr">
        <is>
          <t>: Índice - Envíos por un valor de hasta 150 euros</t>
        </is>
      </c>
      <c r="D130" s="29" t="inlineStr">
        <is>
          <t>Agencia Tributaria (AEAT)</t>
        </is>
      </c>
      <c r="E130" s="29" t="inlineStr">
        <is>
          <t>https://sede.agenciatributaria.gob.es/Sede/aduanas/comercio-electronico-pipe-envios-particulares/compras-internet-envios-particulares/envios-valor-hasta-150-euros.html</t>
        </is>
      </c>
      <c r="F130" s="49" t="n">
        <v>46319</v>
      </c>
      <c r="G130" s="29" t="inlineStr">
        <is>
          <t>malaga:gunluk</t>
        </is>
      </c>
      <c r="H130" s="29" t="inlineStr">
        <is>
          <t>Kart 3: AB dışından internet alışverişi: IVA %21 (IOSS ya da taşıyıcı tahsili), 1 Temmuz 2026'dan itibaren 150 euro altı için kategori başına sabit 3 euro gümrük vergisi. Sayfa 2026 değişikliğini içeriyor (güncel).</t>
        </is>
      </c>
      <c r="I130" s="29" t="inlineStr">
        <is>
          <t>Evet</t>
        </is>
      </c>
      <c r="J130" s="29" t="inlineStr">
        <is>
          <t>Lisans kanıtları/e986cc4745c35dd70613ae9781d5170b8adcebac709ada2230668da16ae3a702.html</t>
        </is>
      </c>
      <c r="K130" s="29" t="inlineStr">
        <is>
          <t>e986cc4745c35dd70613ae9781d5170b8adcebac709ada2230668da16ae3a702</t>
        </is>
      </c>
    </row>
    <row r="131" ht="54" customHeight="1">
      <c r="A131" s="29" t="inlineStr">
        <is>
          <t>malaga:kaynak:124</t>
        </is>
      </c>
      <c r="B131" s="29" t="inlineStr">
        <is>
          <t>malaga</t>
        </is>
      </c>
      <c r="C131" s="29" t="inlineStr">
        <is>
          <t>Información de aduanas DUA importación | Correos.es</t>
        </is>
      </c>
      <c r="D131" s="29" t="inlineStr">
        <is>
          <t>Correos (kamu şirketi)</t>
        </is>
      </c>
      <c r="E131" s="29" t="inlineStr">
        <is>
          <t>https://www.correos.es/es/es/atencion-al-cliente/informacion-aduanera</t>
        </is>
      </c>
      <c r="F131" s="49" t="n">
        <v>46319</v>
      </c>
      <c r="G131" s="29" t="inlineStr">
        <is>
          <t>malaga:gunluk</t>
        </is>
      </c>
      <c r="H131" s="29" t="inlineStr">
        <is>
          <t>Kart 3: Correos'ta AB dışı/Canarias/Ceuta/Melilla'dan gelen paketin gümrük kontrolü, alıcı ödemeden paket teslim edilmez. Sayfa tarihi yok.</t>
        </is>
      </c>
      <c r="I131" s="29" t="inlineStr">
        <is>
          <t>Evet</t>
        </is>
      </c>
      <c r="J131" s="29" t="inlineStr">
        <is>
          <t>Lisans kanıtları/b6e24c216f07d28f88cc1fd1fa7b28839e7076ffd78d928db0a211300cf8d138.html</t>
        </is>
      </c>
      <c r="K131" s="29" t="inlineStr">
        <is>
          <t>b6e24c216f07d28f88cc1fd1fa7b28839e7076ffd78d928db0a211300cf8d138</t>
        </is>
      </c>
    </row>
    <row r="132" ht="54" customHeight="1">
      <c r="A132" s="29" t="inlineStr">
        <is>
          <t>malaga:kaynak:125</t>
        </is>
      </c>
      <c r="B132" s="29" t="inlineStr">
        <is>
          <t>malaga</t>
        </is>
      </c>
      <c r="C132" s="29" t="inlineStr">
        <is>
          <t>Accede a líneas telefónicas especializadas para atención, apoyo y protección en casos de violencia de género, LGTBIfobia o discriminación racial - Ministerio de Igualdad %</t>
        </is>
      </c>
      <c r="D132" s="29" t="inlineStr">
        <is>
          <t>Ministerio de Igualdad</t>
        </is>
      </c>
      <c r="E132" s="29" t="inlineStr">
        <is>
          <t>https://www.igualdad.gob.es/accede-a-lineas-telefonicas-especializadas-para-atencion-apoyo-y-proteccion-en-casos-de-violencia-de-genero-lgtbifobia-o-discriminacion-racial/</t>
        </is>
      </c>
      <c r="F132" s="49" t="n">
        <v>46319</v>
      </c>
      <c r="G132" s="29" t="inlineStr">
        <is>
          <t>malaga:gunluk</t>
        </is>
      </c>
      <c r="H132" s="29" t="inlineStr">
        <is>
          <t>Kart 4 (diğer resmî hatlar): 016 (kadına şiddet, 600 000 016 WhatsApp, 24 saat bilgi, hukuki danışmanlık 8-22), 021 (ırkçılık/ayrımcılık), 028 (LGTBI), ATENPRO 900 22 22 92, 900 19 10 10 kadın hakları. Ayrıntılı 016 sayfası alternatif/ek: https://violenciagenero.igualdad.gob.es/informacion-3/recursos/telefono016/ (53 dil telefonda, ücretsiz, gizli; 'Atención en 53 idiomas por teléfono (24 horas)'). Tarih yok.</t>
        </is>
      </c>
      <c r="I132" s="29" t="inlineStr">
        <is>
          <t>Evet</t>
        </is>
      </c>
      <c r="J132" s="29" t="inlineStr">
        <is>
          <t>Lisans kanıtları/43e5d0bbb8ddf982036afc68820b57acadf6ad8404e0af86002e657d33829b6e.html</t>
        </is>
      </c>
      <c r="K132" s="29" t="inlineStr">
        <is>
          <t>43e5d0bbb8ddf982036afc68820b57acadf6ad8404e0af86002e657d33829b6e</t>
        </is>
      </c>
    </row>
    <row r="133" ht="54" customHeight="1">
      <c r="A133" s="29" t="inlineStr">
        <is>
          <t>malaga:kaynak:126</t>
        </is>
      </c>
      <c r="B133" s="29" t="inlineStr">
        <is>
          <t>malaga</t>
        </is>
      </c>
      <c r="C133" s="29" t="inlineStr">
        <is>
          <t>Ministerio de Sanidad - 024. Línea de atención a la conducta suicida</t>
        </is>
      </c>
      <c r="D133" s="29" t="inlineStr">
        <is>
          <t>Ministerio de Sanidad</t>
        </is>
      </c>
      <c r="E133" s="29" t="inlineStr">
        <is>
          <t>https://www.sanidad.gob.es/linea024/home.htm</t>
        </is>
      </c>
      <c r="F133" s="49" t="n">
        <v>46319</v>
      </c>
      <c r="G133" s="29" t="inlineStr">
        <is>
          <t>malaga:gunluk</t>
        </is>
      </c>
      <c r="H133" s="29" t="inlineStr">
        <is>
          <t>Kart 4: 024 intihar önleme hattı; ulusal, ücretsiz, gizli, 7/24; acil durumda 112. Sayfada 2026 aylık raporlar listeli (güncel).</t>
        </is>
      </c>
      <c r="I133" s="29" t="inlineStr">
        <is>
          <t>Evet</t>
        </is>
      </c>
      <c r="J133" s="29" t="inlineStr">
        <is>
          <t>Lisans kanıtları/3cca233cba092e0274f0cb335bb4a1d07a4b6d1853777066d1b5696a80227d3a.html</t>
        </is>
      </c>
      <c r="K133" s="29" t="inlineStr">
        <is>
          <t>3cca233cba092e0274f0cb335bb4a1d07a4b6d1853777066d1b5696a80227d3a</t>
        </is>
      </c>
    </row>
    <row r="134" ht="54" customHeight="1">
      <c r="A134" s="29" t="inlineStr">
        <is>
          <t>malaga:kaynak:127</t>
        </is>
      </c>
      <c r="B134" s="29" t="inlineStr">
        <is>
          <t>malaga</t>
        </is>
      </c>
      <c r="C134" s="29" t="inlineStr">
        <is>
          <t>Moneda en España. Dónde cambiar y formas de pago | spain.info</t>
        </is>
      </c>
      <c r="D134" s="29" t="inlineStr">
        <is>
          <t>spain.info (Turespaña, portal oficial de turismo de España)</t>
        </is>
      </c>
      <c r="E134" s="29" t="inlineStr">
        <is>
          <t>https://www.spain.info/es/consejos-viaje/moneda-billetes/</t>
        </is>
      </c>
      <c r="F134" s="49" t="n">
        <v>46319</v>
      </c>
      <c r="G134" s="29" t="inlineStr">
        <is>
          <t>malaga:gunluk</t>
        </is>
      </c>
      <c r="H134" s="29" t="inlineStr">
        <is>
          <t>Kart 5: bahşiş resmî turizm portalında var: zorunlu değil (servis fiyata dahil), bar/restoran/otel/taksi'de yaygın, %5-%10; kart ödemede ~10 euro asgari tutar olabilir; pazarlık kabul edilmez. Tarih yok. Genel görgü kuralları (selamlaşma, öğün saatleri) için resmî derin sayfa aranmadı.</t>
        </is>
      </c>
      <c r="I134" s="29" t="inlineStr">
        <is>
          <t>Evet</t>
        </is>
      </c>
      <c r="J134" s="29" t="inlineStr">
        <is>
          <t>Lisans kanıtları/65800930545c6f3e37ac9cbfc7a689e31819ceba1861bf422039ed275fe6b232.html</t>
        </is>
      </c>
      <c r="K134" s="29" t="inlineStr">
        <is>
          <t>65800930545c6f3e37ac9cbfc7a689e31819ceba1861bf422039ed275fe6b232</t>
        </is>
      </c>
    </row>
    <row r="135" ht="54" customHeight="1">
      <c r="A135" s="29" t="inlineStr">
        <is>
          <t>malaga:kaynak:128</t>
        </is>
      </c>
      <c r="B135" s="29" t="inlineStr">
        <is>
          <t>malaga</t>
        </is>
      </c>
      <c r="C135" s="29" t="inlineStr">
        <is>
          <t>Tarjeta sanitaria - Junta de Andalucía</t>
        </is>
      </c>
      <c r="D135" s="29" t="inlineStr">
        <is>
          <t>Junta de Andalucía</t>
        </is>
      </c>
      <c r="E135" s="29" t="inlineStr">
        <is>
          <t>https://www.juntadeandalucia.es/temas/salud/servicios/tarjeta.html</t>
        </is>
      </c>
      <c r="F135" s="49" t="n">
        <v>46319</v>
      </c>
      <c r="G135" s="29" t="inlineStr">
        <is>
          <t>malaga:saglik</t>
        </is>
      </c>
      <c r="H135" s="29" t="inlineStr">
        <is>
          <t>Kart 1: ilk tarjeta sanitaria başvurusu merkezde yapılır; belgeler (başvuru formu, kimlik, INSS'ten sigortalı/yararlanıcı belgesi, empadronamiento); çevrim içi yalnız kayıp/hasar/ulaşmama yenilemesi; sanal kart 26.03.2026. Sayfada tarih yok, 2026 içeriği.</t>
        </is>
      </c>
      <c r="I135" s="29" t="inlineStr">
        <is>
          <t>Evet</t>
        </is>
      </c>
      <c r="J135" s="29" t="inlineStr">
        <is>
          <t>Lisans kanıtları/86c350f4dab3a8262f8b8ac2a86fc8c6c08dfa516486c0cfa0b8d9c2553fb151.html</t>
        </is>
      </c>
      <c r="K135" s="29" t="inlineStr">
        <is>
          <t>86c350f4dab3a8262f8b8ac2a86fc8c6c08dfa516486c0cfa0b8d9c2553fb151</t>
        </is>
      </c>
    </row>
    <row r="136" ht="54" customHeight="1">
      <c r="A136" s="29" t="inlineStr">
        <is>
          <t>malaga:kaynak:129</t>
        </is>
      </c>
      <c r="B136" s="29" t="inlineStr">
        <is>
          <t>malaga</t>
        </is>
      </c>
      <c r="C136" s="29" t="inlineStr">
        <is>
          <t>Libertad de elección - Junta de Andalucía</t>
        </is>
      </c>
      <c r="D136" s="29" t="inlineStr">
        <is>
          <t>Junta de Andalucía (Servicio Andaluz de Salud)</t>
        </is>
      </c>
      <c r="E136" s="29" t="inlineStr">
        <is>
          <t>https://www.juntadeandalucia.es/temas/salud/derechos/eleccion.html</t>
        </is>
      </c>
      <c r="F136" s="49" t="n">
        <v>46319</v>
      </c>
      <c r="G136" s="29" t="inlineStr">
        <is>
          <t>malaga:saglik</t>
        </is>
      </c>
      <c r="H136" s="29" t="inlineStr">
        <is>
          <t>Kart 1: aile hekimi/merkez seçimi (ilçe sağlık bölgesi içinde, merkezde başvuru 45 gün, Cl@ve ile çevrim içi); sayfa tarihsiz.</t>
        </is>
      </c>
      <c r="I136" s="29" t="inlineStr">
        <is>
          <t>Evet</t>
        </is>
      </c>
      <c r="J136" s="29" t="inlineStr">
        <is>
          <t>Lisans kanıtları/cd2b4f8f4be159150a5e298afae576da71e8eb902e310b6858b9770fcc921dcb.html</t>
        </is>
      </c>
      <c r="K136" s="29" t="inlineStr">
        <is>
          <t>cd2b4f8f4be159150a5e298afae576da71e8eb902e310b6858b9770fcc921dcb</t>
        </is>
      </c>
    </row>
    <row r="137" ht="54" customHeight="1">
      <c r="A137" s="29" t="inlineStr">
        <is>
          <t>malaga:kaynak:130</t>
        </is>
      </c>
      <c r="B137" s="29" t="inlineStr">
        <is>
          <t>malaga</t>
        </is>
      </c>
      <c r="C137" s="29" t="inlineStr">
        <is>
          <t>BOE-A-2021-17915 Ley 5/2021, de 20 de octubre, de Tributos Cedidos de la Comunidad Autónoma de Andalucía.</t>
        </is>
      </c>
      <c r="D137" s="29" t="inlineStr">
        <is>
          <t>BOE / BOJA</t>
        </is>
      </c>
      <c r="E137" s="29" t="inlineStr">
        <is>
          <t>https://www.boe.es/buscar/act.php?id=BOE-A-2021-17915</t>
        </is>
      </c>
      <c r="F137" s="49" t="n">
        <v>46319</v>
      </c>
      <c r="G137" s="29" t="inlineStr">
        <is>
          <t>malaga:para</t>
        </is>
      </c>
      <c r="H137" s="29" t="inlineStr">
        <is>
          <t>Kart 2: art. 23 Endülüs IRPF bölge dilim cetveli (%9,5/12/15/18,5/22,5; 60.000 euro üstü %22,5), Decreto-ley 7/2022 ile 01.01.2022'den itibaren; art. 23 bis bölge kişisel/aile asgarisi; konsolide metin son güncelleme 31/12/2025.</t>
        </is>
      </c>
      <c r="I137" s="29" t="inlineStr">
        <is>
          <t>Evet</t>
        </is>
      </c>
      <c r="J137" s="29" t="inlineStr">
        <is>
          <t>Lisans kanıtları/ab69026e85b5e47d39abbd605b811a19778b6554e8a8aeb40fd222482b560262.html</t>
        </is>
      </c>
      <c r="K137" s="29" t="inlineStr">
        <is>
          <t>ab69026e85b5e47d39abbd605b811a19778b6554e8a8aeb40fd222482b560262</t>
        </is>
      </c>
    </row>
    <row r="138" ht="54" customHeight="1">
      <c r="A138" s="29" t="inlineStr">
        <is>
          <t>malaga:kaynak:131</t>
        </is>
      </c>
      <c r="B138" s="29" t="inlineStr">
        <is>
          <t>malaga</t>
        </is>
      </c>
      <c r="C138" s="29" t="inlineStr">
        <is>
          <t>Medidas vigentes IRPF 2025 - Junta de Andalucía</t>
        </is>
      </c>
      <c r="D138" s="29" t="inlineStr">
        <is>
          <t>Junta de Andalucía (Consejería de Economía, Hacienda y Fondos Europeos)</t>
        </is>
      </c>
      <c r="E138" s="29" t="inlineStr">
        <is>
          <t>https://www.juntadeandalucia.es/organismos/economiahaciendayfondoseuropeos/areas/tributos-juego/tributos/paginas/medidasautirpf25.html</t>
        </is>
      </c>
      <c r="F138" s="49" t="n">
        <v>46319</v>
      </c>
      <c r="G138" s="29" t="inlineStr">
        <is>
          <t>malaga:para</t>
        </is>
      </c>
      <c r="H138" s="29" t="inlineStr">
        <is>
          <t>Kart 2: 2025 gelir yılı (beyan 8 Nisan - 30 Haziran 2026) Endülüs bölgesel indirimleri listesi (kira, doğum/evlat edinme, aile, büyük aile, eğitim, engelli, ev yardımı, spor, veteriner vb.).</t>
        </is>
      </c>
      <c r="I138" s="29" t="inlineStr">
        <is>
          <t>Evet</t>
        </is>
      </c>
      <c r="J138" s="29" t="inlineStr">
        <is>
          <t>Lisans kanıtları/7107774255aef0d6d4f3d9396b95438c9a465bd67447afb1821d0bdc7af4a755.html</t>
        </is>
      </c>
      <c r="K138" s="29" t="inlineStr">
        <is>
          <t>7107774255aef0d6d4f3d9396b95438c9a465bd67447afb1821d0bdc7af4a755</t>
        </is>
      </c>
    </row>
    <row r="139" ht="54" customHeight="1">
      <c r="A139" s="29" t="inlineStr">
        <is>
          <t>malaga:kaynak:132</t>
        </is>
      </c>
      <c r="B139" s="29" t="inlineStr">
        <is>
          <t>malaga</t>
        </is>
      </c>
      <c r="C139" s="29" t="inlineStr">
        <is>
          <t>Tipo reducido para promover una política social de vivienda - Junta de Andalucía</t>
        </is>
      </c>
      <c r="D139" s="29" t="inlineStr">
        <is>
          <t>Junta de Andalucía (Consejería de Economía, Hacienda y Fondos Europeos)</t>
        </is>
      </c>
      <c r="E139" s="29" t="inlineStr">
        <is>
          <t>https://www.juntadeandalucia.es/organismos/economiahaciendayfondoseuropeos/areas/tributos-juego/tributos/paginas/polit-social.html</t>
        </is>
      </c>
      <c r="F139" s="49" t="n">
        <v>46319</v>
      </c>
      <c r="G139" s="29" t="inlineStr">
        <is>
          <t>malaga:para</t>
        </is>
      </c>
      <c r="H139" s="29" t="inlineStr">
        <is>
          <t>Kart 3: ITP indirimli oranlar (%6 limit 150.000 euro; %3,5 35 yaş altı/engelli/büyük aile/mağdur/nüfus azalan belediye; limitler 150.000-250.000); sayfa tarihsiz, 2026 belediye listesine kadar güncel.</t>
        </is>
      </c>
      <c r="I139" s="29" t="inlineStr">
        <is>
          <t>Evet</t>
        </is>
      </c>
      <c r="J139" s="29" t="inlineStr">
        <is>
          <t>Lisans kanıtları/f5196985c6f78da19f5464917aa4b300475a7cef1f80c8720b2a3e9775ad50dc.html</t>
        </is>
      </c>
      <c r="K139" s="29" t="inlineStr">
        <is>
          <t>f5196985c6f78da19f5464917aa4b300475a7cef1f80c8720b2a3e9775ad50dc</t>
        </is>
      </c>
    </row>
    <row r="140" ht="54" customHeight="1">
      <c r="A140" s="29" t="inlineStr">
        <is>
          <t>malaga:kaynak:133</t>
        </is>
      </c>
      <c r="B140" s="29" t="inlineStr">
        <is>
          <t>malaga</t>
        </is>
      </c>
      <c r="C140" s="29" t="inlineStr">
        <is>
          <t>Novedades en las fianzas de arrendamiento - Junta de Andalucía</t>
        </is>
      </c>
      <c r="D140" s="29" t="inlineStr">
        <is>
          <t>AVRA - Junta de Andalucía</t>
        </is>
      </c>
      <c r="E140" s="29" t="inlineStr">
        <is>
          <t>https://www.juntadeandalucia.es/organismos/avra/areas/fianzas/notas-ley-vivienda-andalucia-2025.html</t>
        </is>
      </c>
      <c r="F140" s="49" t="n">
        <v>46319</v>
      </c>
      <c r="G140" s="29" t="inlineStr">
        <is>
          <t>malaga:ev</t>
        </is>
      </c>
      <c r="H140" s="29" t="inlineStr">
        <is>
          <t>Kart 4: 24.01.2026'dan itibaren yeni kira sözleşmelerinde AVRA'ya depozito yatırma zorunluluğu kaldırıldı (Ley 5/2025 DA 6a); 23.01.2026 dahil öncesi sözleşmelerde zorunluluk sürer; eski depozitoların iadesi için 1 ay. Sayfa tarihsiz, yürürlük 24/01/2026.</t>
        </is>
      </c>
      <c r="I140" s="29" t="inlineStr">
        <is>
          <t>Evet</t>
        </is>
      </c>
      <c r="J140" s="29" t="inlineStr">
        <is>
          <t>Lisans kanıtları/5bb917717d38ec33112d2fa88693f028555498d0e0def283f1aebe1ef47aa70e.html</t>
        </is>
      </c>
      <c r="K140" s="29" t="inlineStr">
        <is>
          <t>5bb917717d38ec33112d2fa88693f028555498d0e0def283f1aebe1ef47aa70e</t>
        </is>
      </c>
    </row>
    <row r="141" ht="54" customHeight="1">
      <c r="A141" s="29" t="inlineStr">
        <is>
          <t>malaga:kaynak:134</t>
        </is>
      </c>
      <c r="B141" s="29" t="inlineStr">
        <is>
          <t>malaga</t>
        </is>
      </c>
      <c r="C141" s="29" t="inlineStr">
        <is>
          <t>Quiero inscribirme como demandante de servicios de empleo | Área de Gestión del SAE</t>
        </is>
      </c>
      <c r="D141" s="29" t="inlineStr">
        <is>
          <t>Servicio Andaluz de Empleo (SAE) - Junta de Andalucía</t>
        </is>
      </c>
      <c r="E141" s="29" t="inlineStr">
        <is>
          <t>https://ws054.juntadeandalucia.es/portalsae/quiero-trabajar/inscribirme-como-demandante-empleo</t>
        </is>
      </c>
      <c r="F141" s="49" t="n">
        <v>46319</v>
      </c>
      <c r="G141" s="29" t="inlineStr">
        <is>
          <t>malaga:is</t>
        </is>
      </c>
      <c r="H141" s="29" t="inlineStr">
        <is>
          <t>Kart 5: SAE ilk kayıt şartları (16 yaş, uyruk/AB dışı için idari izin, Endülüs'te ikamet), formda NIE/pasaport, sertifika/Cl@ve ile anında, yoksa randevu; SEPE işsizlik maaşı için ön şart. Sayfa güncelleme tarihi 06/03/2025.</t>
        </is>
      </c>
      <c r="I141" s="29" t="inlineStr">
        <is>
          <t>Evet</t>
        </is>
      </c>
      <c r="J141" s="29" t="inlineStr">
        <is>
          <t>Lisans kanıtları/1fa8a57f2248a5357e948d780971f11393c683192d474ee1789330e916410d61.html</t>
        </is>
      </c>
      <c r="K141" s="29" t="inlineStr">
        <is>
          <t>1fa8a57f2248a5357e948d780971f11393c683192d474ee1789330e916410d61</t>
        </is>
      </c>
    </row>
    <row r="142" ht="54" customHeight="1">
      <c r="A142" s="29" t="inlineStr">
        <is>
          <t>malaga:kaynak:135</t>
        </is>
      </c>
      <c r="B142" s="29" t="inlineStr">
        <is>
          <t>malaga</t>
        </is>
      </c>
      <c r="C142" s="29" t="inlineStr">
        <is>
          <t>Soy de fuera de la UE y quiero trabajar en Andalucía | Área de Gestión del SAE</t>
        </is>
      </c>
      <c r="D142" s="29" t="inlineStr">
        <is>
          <t>Servicio Andaluz de Empleo (SAE) - Junta de Andalucía</t>
        </is>
      </c>
      <c r="E142" s="29" t="inlineStr">
        <is>
          <t>https://ws054.juntadeandalucia.es/portalsae/quiero-trabajar/trabajar-en-andalucia-extranjero-ue</t>
        </is>
      </c>
      <c r="F142" s="49" t="n">
        <v>46319</v>
      </c>
      <c r="G142" s="29" t="inlineStr">
        <is>
          <t>malaga:is</t>
        </is>
      </c>
      <c r="H142" s="29" t="inlineStr">
        <is>
          <t>Kart 5: AB dışı yabancı için sıra: önce çalışma izni/vize, sonra SAE demanda; elektronik araç yoksa oficina randevusu. Güncelleme tarihi 24/03/2025.</t>
        </is>
      </c>
      <c r="I142" s="29" t="inlineStr">
        <is>
          <t>Evet</t>
        </is>
      </c>
      <c r="J142" s="29" t="inlineStr">
        <is>
          <t>Lisans kanıtları/1897d3a87d9e05310bd4befb851747d62990a4580d5df2be5a00f39fb74002e6.html</t>
        </is>
      </c>
      <c r="K142" s="29" t="inlineStr">
        <is>
          <t>1897d3a87d9e05310bd4befb851747d62990a4580d5df2be5a00f39fb74002e6</t>
        </is>
      </c>
    </row>
    <row r="143" ht="54" customHeight="1">
      <c r="A143" s="29" t="inlineStr">
        <is>
          <t>malaga:kaynak:136</t>
        </is>
      </c>
      <c r="B143" s="29" t="inlineStr">
        <is>
          <t>malaga</t>
        </is>
      </c>
      <c r="C143" s="29" t="inlineStr">
        <is>
          <t>FAQ: Infantil a Bachillerato - Escolarización 2026/2027 - Educación</t>
        </is>
      </c>
      <c r="D143" s="29" t="inlineStr">
        <is>
          <t>Junta de Andalucía - Consejería de Desarrollo Educativo y Formación Profesional</t>
        </is>
      </c>
      <c r="E143" s="29" t="inlineStr">
        <is>
          <t>https://www.juntadeandalucia.es/educacion/portales/web/escolarizacion/infantil-a-bachillerato/preguntas-frecuentes</t>
        </is>
      </c>
      <c r="F143" s="49" t="n">
        <v>46319</v>
      </c>
      <c r="G143" s="29" t="inlineStr">
        <is>
          <t>malaga:aile</t>
        </is>
      </c>
      <c r="H143" s="29" t="inlineStr">
        <is>
          <t>Kart 6: başvuru dönemi (genel kural Mart) ve Secretaría Virtual. Not: 2026/27 için süre uzatıldı (keşif gaps.md).</t>
        </is>
      </c>
      <c r="I143" s="29" t="inlineStr">
        <is>
          <t>Evet</t>
        </is>
      </c>
      <c r="J143" s="29" t="inlineStr">
        <is>
          <t>Lisans kanıtları/a9b5e745cd84b940c39ee7d0f25ee1e1d26973a3d27df2f15ebd1b9c593642a5.html</t>
        </is>
      </c>
      <c r="K143" s="29" t="inlineStr">
        <is>
          <t>a9b5e745cd84b940c39ee7d0f25ee1e1d26973a3d27df2f15ebd1b9c593642a5</t>
        </is>
      </c>
    </row>
    <row r="144" ht="54" customHeight="1">
      <c r="A144" s="29" t="inlineStr">
        <is>
          <t>malaga:kaynak:137</t>
        </is>
      </c>
      <c r="B144" s="29" t="inlineStr">
        <is>
          <t>malaga</t>
        </is>
      </c>
      <c r="C144" s="29" t="inlineStr">
        <is>
          <t>Decreto 21/2020, de 17 de febrero, por el que se regulan los criterios y el procedimiento de admisión del alumnado en los centros docentes públicos y privados concertados para curs</t>
        </is>
      </c>
      <c r="D144" s="29" t="inlineStr">
        <is>
          <t>Boletín Oficial de la Junta de Andalucía (BOJA)</t>
        </is>
      </c>
      <c r="E144" s="29" t="inlineStr">
        <is>
          <t>https://www.juntadeandalucia.es/boja/2020/34/1</t>
        </is>
      </c>
      <c r="F144" s="49" t="n">
        <v>46319</v>
      </c>
      <c r="G144" s="29" t="inlineStr">
        <is>
          <t>malaga:aile</t>
        </is>
      </c>
      <c r="H144" s="29" t="inlineStr">
        <is>
          <t>Kart 6: yıl ortasında gelen (incorporación tardía) öğrencinin kaydı, md. 51 olağanüstü usul. PDF yerine BOJA HTML sürümü.</t>
        </is>
      </c>
      <c r="I144" s="29" t="inlineStr">
        <is>
          <t>Evet</t>
        </is>
      </c>
      <c r="J144" s="29" t="inlineStr">
        <is>
          <t>Lisans kanıtları/1d143b4673410ee320880be54dda1f13e43fcfaccb6646c276c510c0697450f0.html</t>
        </is>
      </c>
      <c r="K144" s="29" t="inlineStr">
        <is>
          <t>1d143b4673410ee320880be54dda1f13e43fcfaccb6646c276c510c0697450f0</t>
        </is>
      </c>
    </row>
    <row r="145" ht="54" customHeight="1">
      <c r="A145" s="29" t="inlineStr">
        <is>
          <t>malaga:kaynak:138</t>
        </is>
      </c>
      <c r="B145" s="29" t="inlineStr">
        <is>
          <t>malaga</t>
        </is>
      </c>
      <c r="C145" s="29" t="inlineStr">
        <is>
          <t>Interoperatividad – Consorcio de Transporte Metropolitano. Área de Granada</t>
        </is>
      </c>
      <c r="D145" s="29" t="inlineStr">
        <is>
          <t>Consorcio de Transporte Metropolitano del Área de Granada (Junta de Andalucía)</t>
        </is>
      </c>
      <c r="E145" s="29" t="inlineStr">
        <is>
          <t>https://ctagr.es/sistema-tarifario/interoperatividad</t>
        </is>
      </c>
      <c r="F145" s="49" t="n">
        <v>46319</v>
      </c>
      <c r="G145" s="29" t="inlineStr">
        <is>
          <t>malaga:ulasim</t>
        </is>
      </c>
      <c r="H145" s="29" t="inlineStr">
        <is>
          <t>Kart 8: tek Consorcio kartının diğer metropol alanlarında (Málaga, Cádiz, Sevilla, Almería, Jaén, Córdoba, Huelva, Campo de Gibraltar) geçerliliği; tarife kuralı (varış sorulur; Granada'da sabit 2 salto), her satış noktasında yükleme (min. 5 euro). Sayfa tarihi yok; Granada konsorsiyumu sitesi.</t>
        </is>
      </c>
      <c r="I145" s="29" t="inlineStr">
        <is>
          <t>Evet</t>
        </is>
      </c>
      <c r="J145" s="29" t="inlineStr">
        <is>
          <t>Lisans kanıtları/5eff10ef48caa6e132fd8dc2afd8e4d01ac4cafe54ab6e3e408086c528e10057.html</t>
        </is>
      </c>
      <c r="K145" s="29" t="inlineStr">
        <is>
          <t>5eff10ef48caa6e132fd8dc2afd8e4d01ac4cafe54ab6e3e408086c528e10057</t>
        </is>
      </c>
    </row>
    <row r="146" ht="54" customHeight="1">
      <c r="A146" s="29" t="inlineStr">
        <is>
          <t>malaga:kaynak:139</t>
        </is>
      </c>
      <c r="B146" s="29" t="inlineStr">
        <is>
          <t>malaga</t>
        </is>
      </c>
      <c r="C146" s="29" t="inlineStr">
        <is>
          <t>Tarjeta de transporte - Consorcio de Transporte Metropolitano del Área de Málaga</t>
        </is>
      </c>
      <c r="D146" s="29" t="inlineStr">
        <is>
          <t>Consorcio de Transporte Metropolitano del Área de Málaga (Junta de Andalucía)</t>
        </is>
      </c>
      <c r="E146" s="29" t="inlineStr">
        <is>
          <t>https://ctmam.es/titulos-de-transporte/tarjeta-de-transporte/</t>
        </is>
      </c>
      <c r="F146" s="49" t="n">
        <v>46319</v>
      </c>
      <c r="G146" s="29" t="inlineStr">
        <is>
          <t>malaga:ulasim</t>
        </is>
      </c>
      <c r="H146" s="29" t="inlineStr">
        <is>
          <t>Kart 8: kart nereden alınır (puntos de venta, 1,50 euro düzenleme ücreti), min. 5 euro yükleme, 500 euro tavan, diğer konsorsiyumlarda interoperabilite. Sayfa 21/04/2026 güncelleme. Fiyat/ücretler Málaga'ya özgü, konsorsiyuma göre değişir.</t>
        </is>
      </c>
      <c r="I146" s="29" t="inlineStr">
        <is>
          <t>Evet</t>
        </is>
      </c>
      <c r="J146" s="29" t="inlineStr">
        <is>
          <t>Lisans kanıtları/bcbd7b8acf02a8bfe5ce3a84e2d111dd5362b93b16bfd39d2fa684b1b4934db3.html</t>
        </is>
      </c>
      <c r="K146" s="29" t="inlineStr">
        <is>
          <t>bcbd7b8acf02a8bfe5ce3a84e2d111dd5362b93b16bfd39d2fa684b1b4934db3</t>
        </is>
      </c>
    </row>
    <row r="147" ht="54" customHeight="1">
      <c r="A147" s="29" t="inlineStr">
        <is>
          <t>malaga:kaynak:140</t>
        </is>
      </c>
      <c r="B147" s="29" t="inlineStr">
        <is>
          <t>malaga</t>
        </is>
      </c>
      <c r="C147" s="29" t="inlineStr">
        <is>
          <t>Decreto 84/2026, de 29 de abril, por el que se determina el calendario de fiestas laborales de la Comunidad Autónoma de Andalucía para el año 2027.</t>
        </is>
      </c>
      <c r="D147" s="29" t="inlineStr">
        <is>
          <t>Boletín Oficial de la Junta de Andalucía (BOJA)</t>
        </is>
      </c>
      <c r="E147" s="29" t="inlineStr">
        <is>
          <t>https://www.juntadeandalucia.es/boja/2026/84/1</t>
        </is>
      </c>
      <c r="F147" s="49" t="n">
        <v>46319</v>
      </c>
      <c r="G147" s="29" t="inlineStr">
        <is>
          <t>malaga:gunluk</t>
        </is>
      </c>
      <c r="H147" s="29" t="inlineStr">
        <is>
          <t>Kart 9: Endülüs 2027 bölge tatilleri; Día de Andalucía 1 Mart'a, 15 Ağustos 16 Ağustos'a kayar; 2 yerel tatil. PDF yerine BOJA HTML.</t>
        </is>
      </c>
      <c r="I147" s="29" t="inlineStr">
        <is>
          <t>Evet</t>
        </is>
      </c>
      <c r="J147" s="29" t="inlineStr">
        <is>
          <t>Lisans kanıtları/9fcdea09e6b69f596bf99b9ec708e56d32c94fcf0d327995ed372775dc213e59.html</t>
        </is>
      </c>
      <c r="K147" s="29" t="inlineStr">
        <is>
          <t>9fcdea09e6b69f596bf99b9ec708e56d32c94fcf0d327995ed372775dc213e59</t>
        </is>
      </c>
    </row>
    <row r="148" ht="54" customHeight="1">
      <c r="A148" s="29" t="inlineStr">
        <is>
          <t>malaga:kaynak:141</t>
        </is>
      </c>
      <c r="B148" s="29" t="inlineStr">
        <is>
          <t>malaga</t>
        </is>
      </c>
      <c r="C148" s="29" t="inlineStr">
        <is>
          <t>Carpeta ciudadana - Junta de Andalucía</t>
        </is>
      </c>
      <c r="D148" s="29" t="inlineStr">
        <is>
          <t>Junta de Andalucía</t>
        </is>
      </c>
      <c r="E148" s="29" t="inlineStr">
        <is>
          <t>https://www.juntadeandalucia.es/servicios/carpeta-ciudadana.html</t>
        </is>
      </c>
      <c r="F148" s="49" t="n">
        <v>46319</v>
      </c>
      <c r="G148" s="29" t="inlineStr">
        <is>
          <t>malaga:resmi</t>
        </is>
      </c>
      <c r="H148" s="29" t="inlineStr">
        <is>
          <t>Kart 10: Carpeta Ciudadana (uygulama/web): belgeler, randevular, bildirimler, kartlar (familia numerosa, carné joven, tarjeta sanitaria), expedientes; Cl@ve veya dijital sertifika ile giriş. Sayfa tarihi yok.</t>
        </is>
      </c>
      <c r="I148" s="29" t="inlineStr">
        <is>
          <t>Evet</t>
        </is>
      </c>
      <c r="J148" s="29" t="inlineStr">
        <is>
          <t>Lisans kanıtları/abf287c64186e76a18335c74ab315db685f0a099991f01e710f555203b42f763.html</t>
        </is>
      </c>
      <c r="K148" s="29" t="inlineStr">
        <is>
          <t>abf287c64186e76a18335c74ab315db685f0a099991f01e710f555203b42f763</t>
        </is>
      </c>
    </row>
    <row r="149" ht="54" customHeight="1">
      <c r="A149" s="29" t="inlineStr">
        <is>
          <t>malaga:kaynak:142</t>
        </is>
      </c>
      <c r="B149" s="29" t="inlineStr">
        <is>
          <t>malaga</t>
        </is>
      </c>
      <c r="C149" s="29" t="inlineStr">
        <is>
          <t>Sede Electrónica DGT - Canje de permisos extranjeros</t>
        </is>
      </c>
      <c r="D149" s="29" t="inlineStr">
        <is>
          <t>Dirección General de Tráfico (DGT) - Sede electrónica</t>
        </is>
      </c>
      <c r="E149" s="29" t="inlineStr">
        <is>
          <t>https://sede.dgt.gob.es/es/permisos-de-conducir/canjes-de-permisos/canjes-de-permisos-extranjeros/</t>
        </is>
      </c>
      <c r="F149" s="49" t="n">
        <v>46319</v>
      </c>
      <c r="G149" s="29" t="inlineStr">
        <is>
          <t>malaga:resmi</t>
        </is>
      </c>
      <c r="H149" s="29" t="inlineStr">
        <is>
          <t>Kart 12: ehliyet değişimi yalnız anlaşmalı ülkeler, 6 ay kuralı</t>
        </is>
      </c>
      <c r="I149" s="29" t="inlineStr">
        <is>
          <t>Evet</t>
        </is>
      </c>
      <c r="J149" s="29" t="inlineStr">
        <is>
          <t>Lisans kanıtları/243acd8f019403a105d0d72472f75ee9d0880f76d1491327aef155e03df925d6.html</t>
        </is>
      </c>
      <c r="K149" s="29" t="inlineStr">
        <is>
          <t>243acd8f019403a105d0d72472f75ee9d0880f76d1491327aef155e03df925d6</t>
        </is>
      </c>
    </row>
    <row r="150" ht="54" customHeight="1">
      <c r="A150" s="29" t="inlineStr">
        <is>
          <t>malaga:kaynak:143</t>
        </is>
      </c>
      <c r="B150" s="29" t="inlineStr">
        <is>
          <t>malaga</t>
        </is>
      </c>
      <c r="C150" s="29" t="inlineStr">
        <is>
          <t>BOE-A-2022-21739 Ley 28/2022, de 21 de diciembre, de fomento del ecosistema de las empresas emergentes.</t>
        </is>
      </c>
      <c r="D150" s="29" t="inlineStr">
        <is>
          <t>Agencia Estatal Boletín Oficial del Estado (BOE)</t>
        </is>
      </c>
      <c r="E150" s="29" t="inlineStr">
        <is>
          <t>https://www.boe.es/buscar/act.php?id=BOE-A-2022-21739</t>
        </is>
      </c>
      <c r="F150" s="49" t="n">
        <v>46319</v>
      </c>
      <c r="G150" s="29" t="inlineStr">
        <is>
          <t>malaga:oturum</t>
        </is>
      </c>
      <c r="H150" s="29" t="inlineStr">
        <is>
          <t>Kart 10: dijital göçebe vizesinin yasal dayanağı, azami 1 yıl vize, art. 74 bis-ter şartları</t>
        </is>
      </c>
      <c r="I150" s="29" t="inlineStr">
        <is>
          <t>Evet</t>
        </is>
      </c>
      <c r="J150" s="29" t="inlineStr">
        <is>
          <t>Lisans kanıtları/2a74c28f28fffb00ff54a2c3e501fe9f4c7eb7871bf8ced7ced2ba69a38d8b07.html</t>
        </is>
      </c>
      <c r="K150" s="29" t="inlineStr">
        <is>
          <t>2a74c28f28fffb00ff54a2c3e501fe9f4c7eb7871bf8ced7ced2ba69a38d8b07</t>
        </is>
      </c>
    </row>
    <row r="151" ht="54" customHeight="1">
      <c r="A151" s="29" t="inlineStr">
        <is>
          <t>malaga:kaynak:144</t>
        </is>
      </c>
      <c r="B151" s="29" t="inlineStr">
        <is>
          <t>malaga</t>
        </is>
      </c>
      <c r="C151" s="29" t="inlineStr">
        <is>
          <t>Oficina del Derecho a la Vivienda</t>
        </is>
      </c>
      <c r="D151" s="29" t="inlineStr">
        <is>
          <t>Instituto Municipal de la Vivienda, Ayuntamiento de Málaga</t>
        </is>
      </c>
      <c r="E151" s="29" t="inlineStr">
        <is>
          <t>https://imv.malaga.eu/es/oficina-del-derecho-a-la-vivienda/</t>
        </is>
      </c>
      <c r="F151" s="49" t="n">
        <v>46320</v>
      </c>
      <c r="G151" s="29" t="inlineStr">
        <is>
          <t>malaga:ev</t>
        </is>
      </c>
      <c r="H151" s="29" t="inlineStr">
        <is>
          <t>ev/3: kira ödeyemeyen kiracı için Málaga belediyesi ofisi (C/ Saint Exupery 22), arabuluculuk ve FRES komitesi</t>
        </is>
      </c>
      <c r="I151" s="29" t="inlineStr">
        <is>
          <t>Evet</t>
        </is>
      </c>
      <c r="J151" s="29" t="inlineStr">
        <is>
          <t>Lisans kanıtları/bd4b31f847464224040f79761982bf430db2e00a9bdd0d5b676bd6cc310a89c7.html</t>
        </is>
      </c>
      <c r="K151" s="29" t="inlineStr">
        <is>
          <t>bd4b31f847464224040f79761982bf430db2e00a9bdd0d5b676bd6cc310a89c7</t>
        </is>
      </c>
    </row>
    <row r="152" ht="54" customHeight="1">
      <c r="A152" s="29" t="inlineStr">
        <is>
          <t>malaga:kaynak:145</t>
        </is>
      </c>
      <c r="B152" s="29" t="inlineStr">
        <is>
          <t>malaga</t>
        </is>
      </c>
      <c r="C152" s="29" t="inlineStr">
        <is>
          <t>Registro Municipal Demandantes</t>
        </is>
      </c>
      <c r="D152" s="29" t="inlineStr">
        <is>
          <t>Instituto Municipal de la Vivienda, Ayuntamiento de Málaga</t>
        </is>
      </c>
      <c r="E152" s="29" t="inlineStr">
        <is>
          <t>https://imv.malaga.eu/es/registro-municipal-demandantes/</t>
        </is>
      </c>
      <c r="F152" s="49" t="n">
        <v>46320</v>
      </c>
      <c r="G152" s="29" t="inlineStr">
        <is>
          <t>malaga:ev</t>
        </is>
      </c>
      <c r="H152" s="29" t="inlineStr">
        <is>
          <t>ev/1,4: korumalı konut (VPO) satış/kira için Málaga belediye talep kaydı ve kura</t>
        </is>
      </c>
      <c r="I152" s="29" t="inlineStr">
        <is>
          <t>Evet</t>
        </is>
      </c>
      <c r="J152" s="29" t="inlineStr">
        <is>
          <t>Lisans kanıtları/92df152af610ea47745c82de61ede916c1abbd211f57e072cf18fcaeb96e0bda.html</t>
        </is>
      </c>
      <c r="K152" s="29" t="inlineStr">
        <is>
          <t>92df152af610ea47745c82de61ede916c1abbd211f57e072cf18fcaeb96e0bda</t>
        </is>
      </c>
    </row>
    <row r="153" ht="54" customHeight="1">
      <c r="A153" s="29" t="inlineStr">
        <is>
          <t>malaga:kaynak:146</t>
        </is>
      </c>
      <c r="B153" s="29" t="inlineStr">
        <is>
          <t>malaga</t>
        </is>
      </c>
      <c r="C153" s="29" t="inlineStr">
        <is>
          <t>Oficina de información al ciudadano</t>
        </is>
      </c>
      <c r="D153" s="29" t="inlineStr">
        <is>
          <t>Instituto Municipal de la Vivienda, Ayuntamiento de Málaga</t>
        </is>
      </c>
      <c r="E153" s="29" t="inlineStr">
        <is>
          <t>https://imv.malaga.eu/es/ofi-info/index.html</t>
        </is>
      </c>
      <c r="F153" s="49" t="n">
        <v>46320</v>
      </c>
      <c r="G153" s="29" t="inlineStr">
        <is>
          <t>malaga:ev</t>
        </is>
      </c>
      <c r="H153" s="29" t="inlineStr">
        <is>
          <t>ev/1,3: IMV bilgi ofisi, randevu ve telefon yolu (951 926 010)</t>
        </is>
      </c>
      <c r="I153" s="29" t="inlineStr">
        <is>
          <t>Evet</t>
        </is>
      </c>
      <c r="J153" s="29" t="inlineStr">
        <is>
          <t>Lisans kanıtları/82e1d7c5792105bd1bf2cb643dd808194fdaf71f442b487cb6f3f3713a2cd7d9.html</t>
        </is>
      </c>
      <c r="K153" s="29" t="inlineStr">
        <is>
          <t>82e1d7c5792105bd1bf2cb643dd808194fdaf71f442b487cb6f3f3713a2cd7d9</t>
        </is>
      </c>
    </row>
    <row r="154" ht="54" customHeight="1">
      <c r="A154" s="29" t="inlineStr">
        <is>
          <t>malaga:kaynak:147</t>
        </is>
      </c>
      <c r="B154" s="29" t="inlineStr">
        <is>
          <t>malaga</t>
        </is>
      </c>
      <c r="C154" s="29" t="inlineStr">
        <is>
          <t>Promociones en venta o alquiler</t>
        </is>
      </c>
      <c r="D154" s="29" t="inlineStr">
        <is>
          <t>Instituto Municipal de la Vivienda, Ayuntamiento de Málaga</t>
        </is>
      </c>
      <c r="E154" s="29" t="inlineStr">
        <is>
          <t>https://imv.malaga.eu/es/promociones-venta-alquiler/index.html</t>
        </is>
      </c>
      <c r="F154" s="49" t="n">
        <v>46320</v>
      </c>
      <c r="G154" s="29" t="inlineStr">
        <is>
          <t>malaga:ev</t>
        </is>
      </c>
      <c r="H154" s="29" t="inlineStr">
        <is>
          <t>ev/1,4: Málaga'da güncel uygun fiyatlı kiralık konut projeleri, gelir eşikleri (IPREM katları) ve kira tavanı</t>
        </is>
      </c>
      <c r="I154" s="29" t="inlineStr">
        <is>
          <t>Evet</t>
        </is>
      </c>
      <c r="J154" s="29" t="inlineStr">
        <is>
          <t>Lisans kanıtları/631448cfa1a6aaf8a05483deac97e8a819b44280d8b6b4f47c338b34a3acbb04.html</t>
        </is>
      </c>
      <c r="K154" s="29" t="inlineStr">
        <is>
          <t>631448cfa1a6aaf8a05483deac97e8a819b44280d8b6b4f47c338b34a3acbb04</t>
        </is>
      </c>
    </row>
    <row r="155" ht="54" customHeight="1">
      <c r="A155" s="29" t="inlineStr">
        <is>
          <t>malaga:kaynak:150</t>
        </is>
      </c>
      <c r="B155" s="29" t="inlineStr">
        <is>
          <t>malaga</t>
        </is>
      </c>
      <c r="C155" s="29" t="inlineStr">
        <is>
          <t>Contrato de alquiler - Junta de Andalucía</t>
        </is>
      </c>
      <c r="D155" s="29" t="inlineStr">
        <is>
          <t>Junta de Andalucía</t>
        </is>
      </c>
      <c r="E155" s="29" t="inlineStr">
        <is>
          <t>https://www.juntadeandalucia.es/temas/vivienda-consumo/alquiler/contrato.html</t>
        </is>
      </c>
      <c r="F155" s="49" t="n">
        <v>46320</v>
      </c>
      <c r="G155" s="29" t="inlineStr">
        <is>
          <t>malaga:ev</t>
        </is>
      </c>
      <c r="H155" s="29" t="inlineStr">
        <is>
          <t>ev/2: Endülüs'te depozito tutarı (bir aylık kira) ve iadesi, yazılı sözleşme</t>
        </is>
      </c>
      <c r="I155" s="29" t="inlineStr">
        <is>
          <t>Evet</t>
        </is>
      </c>
      <c r="J155" s="29" t="inlineStr">
        <is>
          <t>Lisans kanıtları/80b7e03980710669ae5bb0124684278cf3a742ab575c1509936915fbb051e38b.html</t>
        </is>
      </c>
      <c r="K155" s="29" t="inlineStr">
        <is>
          <t>80b7e03980710669ae5bb0124684278cf3a742ab575c1509936915fbb051e38b</t>
        </is>
      </c>
    </row>
    <row r="156" ht="54" customHeight="1">
      <c r="A156" s="29" t="inlineStr">
        <is>
          <t>malaga:kaynak:151</t>
        </is>
      </c>
      <c r="B156" s="29" t="inlineStr">
        <is>
          <t>malaga</t>
        </is>
      </c>
      <c r="C156" s="29" t="inlineStr">
        <is>
          <t>Derechos y obligaciones de las partes de un contrato de alquiler - Junta de Andalucía</t>
        </is>
      </c>
      <c r="D156" s="29" t="inlineStr">
        <is>
          <t>Junta de Andalucía</t>
        </is>
      </c>
      <c r="E156" s="29" t="inlineStr">
        <is>
          <t>https://www.juntadeandalucia.es/temas/vivienda-consumo/alquiler/informacion/paginas/derechos-obligaciones.html</t>
        </is>
      </c>
      <c r="F156" s="49" t="n">
        <v>46320</v>
      </c>
      <c r="G156" s="29" t="inlineStr">
        <is>
          <t>malaga:ev</t>
        </is>
      </c>
      <c r="H156" s="29" t="inlineStr">
        <is>
          <t>ev/3: kiracı hakları ve yükümlülükleri (Endülüs Junta rehberi)</t>
        </is>
      </c>
      <c r="I156" s="29" t="inlineStr">
        <is>
          <t>Evet</t>
        </is>
      </c>
      <c r="J156" s="29" t="inlineStr">
        <is>
          <t>Lisans kanıtları/57047eb5d3f76985f1aed6568bdd68dfb8a2904f64da4a1d7c27516a51087db2.html</t>
        </is>
      </c>
      <c r="K156" s="29" t="inlineStr">
        <is>
          <t>57047eb5d3f76985f1aed6568bdd68dfb8a2904f64da4a1d7c27516a51087db2</t>
        </is>
      </c>
    </row>
    <row r="157" ht="54" customHeight="1">
      <c r="A157" s="29" t="inlineStr">
        <is>
          <t>malaga:kaynak:152</t>
        </is>
      </c>
      <c r="B157" s="29" t="inlineStr">
        <is>
          <t>malaga</t>
        </is>
      </c>
      <c r="C157" s="29" t="inlineStr">
        <is>
          <t>Bono Alquiler Joven en Andalucía 2026 - Junta de Andalucía</t>
        </is>
      </c>
      <c r="D157" s="29" t="inlineStr">
        <is>
          <t>Junta de Andalucía</t>
        </is>
      </c>
      <c r="E157" s="29" t="inlineStr">
        <is>
          <t>https://www.juntadeandalucia.es/organismos/fomentoarticulaciondelterritorioyvivienda/areas/vivienda-rehabilitacion/fomento-alquiler/bono-alquiler-joven/paginas/convocatoria-2025.html</t>
        </is>
      </c>
      <c r="F157" s="49" t="n">
        <v>46320</v>
      </c>
      <c r="G157" s="29" t="inlineStr">
        <is>
          <t>malaga:ev</t>
        </is>
      </c>
      <c r="H157" s="29" t="inlineStr">
        <is>
          <t>ev/4: gençlere kira yardımı (Bono Alquiler Joven), aylık 250 euro tavan, başvuru koşulları</t>
        </is>
      </c>
      <c r="I157" s="29" t="inlineStr">
        <is>
          <t>Evet</t>
        </is>
      </c>
      <c r="J157" s="29" t="inlineStr">
        <is>
          <t>Lisans kanıtları/6b9d8f09314d54a8ce15d3ee899cbc60ca2028d3e5bdea6be7ff352ca5345dd7.html</t>
        </is>
      </c>
      <c r="K157" s="29" t="inlineStr">
        <is>
          <t>6b9d8f09314d54a8ce15d3ee899cbc60ca2028d3e5bdea6be7ff352ca5345dd7</t>
        </is>
      </c>
    </row>
    <row r="158" ht="54" customHeight="1">
      <c r="A158" s="29" t="inlineStr">
        <is>
          <t>malaga:kaynak:155</t>
        </is>
      </c>
      <c r="B158" s="29" t="inlineStr">
        <is>
          <t>malaga</t>
        </is>
      </c>
      <c r="C158" s="29" t="inlineStr">
        <is>
          <t>Detalle del Comunicado</t>
        </is>
      </c>
      <c r="D158" s="29" t="inlineStr">
        <is>
          <t>Ayuntamiento de Málaga</t>
        </is>
      </c>
      <c r="E158" s="29" t="inlineStr">
        <is>
          <t>https://www.malaga.eu/el-ayuntamiento/notas-de-prensa/detalle-de-la-nota-de-prensa/index.html?id=174441</t>
        </is>
      </c>
      <c r="F158" s="49" t="n">
        <v>46320</v>
      </c>
      <c r="G158" s="29" t="inlineStr">
        <is>
          <t>malaga:ev</t>
        </is>
      </c>
      <c r="H158" s="29" t="inlineStr">
        <is>
          <t>ev/5: turistik daire sınırlaması (43 mahallede yasak), kiracı için konut stoğuna etkisi</t>
        </is>
      </c>
      <c r="I158" s="29" t="inlineStr">
        <is>
          <t>Evet</t>
        </is>
      </c>
      <c r="J158" s="29" t="inlineStr">
        <is>
          <t>Lisans kanıtları/5bcee63366f73283809c8e5659318cc63355d78017cfb8f8fc77e7a2fb4d9b46.html</t>
        </is>
      </c>
      <c r="K158" s="29" t="inlineStr">
        <is>
          <t>5bcee63366f73283809c8e5659318cc63355d78017cfb8f8fc77e7a2fb4d9b46</t>
        </is>
      </c>
    </row>
    <row r="159" ht="54" customHeight="1">
      <c r="A159" s="29" t="inlineStr">
        <is>
          <t>malaga:kaynak:156</t>
        </is>
      </c>
      <c r="B159" s="29" t="inlineStr">
        <is>
          <t>malaga</t>
        </is>
      </c>
      <c r="C159" s="29" t="inlineStr">
        <is>
          <t>Detalle del Comunicado</t>
        </is>
      </c>
      <c r="D159" s="29" t="inlineStr">
        <is>
          <t>Ayuntamiento de Málaga</t>
        </is>
      </c>
      <c r="E159" s="29" t="inlineStr">
        <is>
          <t>https://www.malaga.eu/el-ayuntamiento/notas-de-prensa/detalle-de-la-nota-de-prensa/index.html?id=173077</t>
        </is>
      </c>
      <c r="F159" s="49" t="n">
        <v>46320</v>
      </c>
      <c r="G159" s="29" t="inlineStr">
        <is>
          <t>malaga:ev</t>
        </is>
      </c>
      <c r="H159" s="29" t="inlineStr">
        <is>
          <t>ev/5: turistik daire kaydı için belediye talimatı (bağımsız giriş ve hizmetler)</t>
        </is>
      </c>
      <c r="I159" s="29" t="inlineStr">
        <is>
          <t>Evet</t>
        </is>
      </c>
      <c r="J159" s="29" t="inlineStr">
        <is>
          <t>Lisans kanıtları/c78f9737e89a47274a88228ff986581755b8993849b6ef89e35e1fddc31a12c0.html</t>
        </is>
      </c>
      <c r="K159" s="29" t="inlineStr">
        <is>
          <t>c78f9737e89a47274a88228ff986581755b8993849b6ef89e35e1fddc31a12c0</t>
        </is>
      </c>
    </row>
    <row r="160" ht="54" customHeight="1">
      <c r="A160" s="29" t="inlineStr">
        <is>
          <t>malaga:kaynak:157</t>
        </is>
      </c>
      <c r="B160" s="29" t="inlineStr">
        <is>
          <t>malaga</t>
        </is>
      </c>
      <c r="C160" s="29" t="inlineStr">
        <is>
          <t>Viviendas de uso turístico. Preguntas frecuentes - Junta de Andalucía</t>
        </is>
      </c>
      <c r="D160" s="29" t="inlineStr">
        <is>
          <t>Junta de Andalucía, Consejería de Turismo</t>
        </is>
      </c>
      <c r="E160" s="29" t="inlineStr">
        <is>
          <t>https://www.juntadeandalucia.es/organismos/turismoyandaluciaexterior/areas/registro-turismo/establecimientos-servicios/paginas/faq-viviendas-turismo.html</t>
        </is>
      </c>
      <c r="F160" s="49" t="n">
        <v>46320</v>
      </c>
      <c r="G160" s="29" t="inlineStr">
        <is>
          <t>malaga:ev</t>
        </is>
      </c>
      <c r="H160" s="29" t="inlineStr">
        <is>
          <t>ev/5: turistik kiralık daire kuralları, Turizm Sicili ve kanal kuralları</t>
        </is>
      </c>
      <c r="I160" s="29" t="inlineStr">
        <is>
          <t>Evet</t>
        </is>
      </c>
      <c r="J160" s="29" t="inlineStr">
        <is>
          <t>Lisans kanıtları/ebc68ba3cfcf1fcbbf95e1d38bae127c73961cf43780bc653be46646101a085d.html</t>
        </is>
      </c>
      <c r="K160" s="29" t="inlineStr">
        <is>
          <t>ebc68ba3cfcf1fcbbf95e1d38bae127c73961cf43780bc653be46646101a085d</t>
        </is>
      </c>
    </row>
    <row r="161" ht="54" customHeight="1">
      <c r="A161" s="29" t="inlineStr">
        <is>
          <t>malaga:kaynak:158</t>
        </is>
      </c>
      <c r="B161" s="29" t="inlineStr">
        <is>
          <t>malaga</t>
        </is>
      </c>
      <c r="C161" s="29" t="inlineStr">
        <is>
          <t>Ley 5/2025, de 16 de diciembre, de Vivienda de Andalucía.</t>
        </is>
      </c>
      <c r="D161" s="29" t="inlineStr">
        <is>
          <t>Junta de Andalucía, BOJA</t>
        </is>
      </c>
      <c r="E161" s="29" t="inlineStr">
        <is>
          <t>https://www.juntadeandalucia.es/boja/2025/247/1</t>
        </is>
      </c>
      <c r="F161" s="49" t="n">
        <v>46320</v>
      </c>
      <c r="G161" s="29" t="inlineStr">
        <is>
          <t>malaga:ev</t>
        </is>
      </c>
      <c r="H161" s="29" t="inlineStr">
        <is>
          <t>ev/2,3: Endülüs Konut Yasası, depozito yatırma yükümlülüğünün kalkması</t>
        </is>
      </c>
      <c r="I161" s="29" t="inlineStr">
        <is>
          <t>Evet</t>
        </is>
      </c>
      <c r="J161" s="29" t="inlineStr">
        <is>
          <t>Lisans kanıtları/3f88655987d030c8f2950f3f965a04b03638020fe4965d8f6eb40333943240d9.html</t>
        </is>
      </c>
      <c r="K161" s="29" t="inlineStr">
        <is>
          <t>3f88655987d030c8f2950f3f965a04b03638020fe4965d8f6eb40333943240d9</t>
        </is>
      </c>
    </row>
    <row r="162" ht="54" customHeight="1">
      <c r="A162" s="29" t="inlineStr">
        <is>
          <t>malaga:kaynak:159</t>
        </is>
      </c>
      <c r="B162" s="29" t="inlineStr">
        <is>
          <t>malaga</t>
        </is>
      </c>
      <c r="C162" s="29" t="inlineStr">
        <is>
          <t>Contacto – Emasa</t>
        </is>
      </c>
      <c r="D162" s="29" t="inlineStr">
        <is>
          <t>EMASA (Empresa Municipal Aguas de Málaga)</t>
        </is>
      </c>
      <c r="E162" s="29" t="inlineStr">
        <is>
          <t>https://www.emasa.es/contacto/</t>
        </is>
      </c>
      <c r="F162" s="49" t="n">
        <v>46320</v>
      </c>
      <c r="G162" s="29" t="inlineStr">
        <is>
          <t>malaga:fatura</t>
        </is>
      </c>
      <c r="H162" s="29" t="inlineStr">
        <is>
          <t>fatura/1: su aboneliği için randevu, ücretsiz telefon 900 777 420 ve Plaza del General Torrijos 2 ofisi</t>
        </is>
      </c>
      <c r="I162" s="29" t="inlineStr">
        <is>
          <t>Evet</t>
        </is>
      </c>
      <c r="J162" s="29" t="inlineStr">
        <is>
          <t>Lisans kanıtları/b9856e954ebc649655a116a8db15a7f269bddb368ff249b0e8a2c1c696f3b4c9.html</t>
        </is>
      </c>
      <c r="K162" s="29" t="inlineStr">
        <is>
          <t>b9856e954ebc649655a116a8db15a7f269bddb368ff249b0e8a2c1c696f3b4c9</t>
        </is>
      </c>
    </row>
    <row r="163" ht="54" customHeight="1">
      <c r="A163" s="29" t="inlineStr">
        <is>
          <t>malaga:kaynak:160</t>
        </is>
      </c>
      <c r="B163" s="29" t="inlineStr">
        <is>
          <t>malaga</t>
        </is>
      </c>
      <c r="C163" s="29" t="inlineStr">
        <is>
          <t>Formularios – Emasa</t>
        </is>
      </c>
      <c r="D163" s="29" t="inlineStr">
        <is>
          <t>EMASA (Empresa Municipal Aguas de Málaga)</t>
        </is>
      </c>
      <c r="E163" s="29" t="inlineStr">
        <is>
          <t>https://www.emasa.es/formularios/</t>
        </is>
      </c>
      <c r="F163" s="49" t="n">
        <v>46320</v>
      </c>
      <c r="G163" s="29" t="inlineStr">
        <is>
          <t>malaga:fatura</t>
        </is>
      </c>
      <c r="H163" s="29" t="inlineStr">
        <is>
          <t>fatura/1: su sözleşmesi, devir (cambio de titularidad), fesih ve fatura düzeltme formları</t>
        </is>
      </c>
      <c r="I163" s="29" t="inlineStr">
        <is>
          <t>Evet</t>
        </is>
      </c>
      <c r="J163" s="29" t="inlineStr">
        <is>
          <t>Lisans kanıtları/8c3c8e3420bd20adaf2b1b58fb0b2dd499bd0edbede974188bd2cf64b4baa360.html</t>
        </is>
      </c>
      <c r="K163" s="29" t="inlineStr">
        <is>
          <t>8c3c8e3420bd20adaf2b1b58fb0b2dd499bd0edbede974188bd2cf64b4baa360</t>
        </is>
      </c>
    </row>
    <row r="164" ht="54" customHeight="1">
      <c r="A164" s="29" t="inlineStr">
        <is>
          <t>malaga:kaynak:161</t>
        </is>
      </c>
      <c r="B164" s="29" t="inlineStr">
        <is>
          <t>malaga</t>
        </is>
      </c>
      <c r="C164" s="29" t="inlineStr">
        <is>
          <t>EMASA - Empresa Municipal Aguas de Málaga</t>
        </is>
      </c>
      <c r="D164" s="29" t="inlineStr">
        <is>
          <t>EMASA (Empresa Municipal Aguas de Málaga)</t>
        </is>
      </c>
      <c r="E164" s="29" t="inlineStr">
        <is>
          <t>https://www.emasa.es/ov/</t>
        </is>
      </c>
      <c r="F164" s="49" t="n">
        <v>46320</v>
      </c>
      <c r="G164" s="29" t="inlineStr">
        <is>
          <t>malaga:fatura</t>
        </is>
      </c>
      <c r="H164" s="29" t="inlineStr">
        <is>
          <t>fatura/1: su aboneliğini çevrimiçi açma/kapama, fatura ve otomatik ödeme</t>
        </is>
      </c>
      <c r="I164" s="29" t="inlineStr">
        <is>
          <t>Evet</t>
        </is>
      </c>
      <c r="J164" s="29" t="inlineStr">
        <is>
          <t>Lisans kanıtları/f1a9288ab6fd26c697994ea2b12367c187c81bcc3725e88c1499fb7ed1c4f01a.html</t>
        </is>
      </c>
      <c r="K164" s="29" t="inlineStr">
        <is>
          <t>f1a9288ab6fd26c697994ea2b12367c187c81bcc3725e88c1499fb7ed1c4f01a</t>
        </is>
      </c>
    </row>
    <row r="165" ht="54" customHeight="1">
      <c r="A165" s="29" t="inlineStr">
        <is>
          <t>malaga:kaynak:162</t>
        </is>
      </c>
      <c r="B165" s="29" t="inlineStr">
        <is>
          <t>malaga</t>
        </is>
      </c>
      <c r="C165" s="29" t="inlineStr">
        <is>
          <t>Fondo Social Emasa – La ayuda que necesitas para pagar tus facturas del agua</t>
        </is>
      </c>
      <c r="D165" s="29" t="inlineStr">
        <is>
          <t>EMASA (Empresa Municipal Aguas de Málaga)</t>
        </is>
      </c>
      <c r="E165" s="29" t="inlineStr">
        <is>
          <t>https://www.emasa.es/fondosocial/index.html</t>
        </is>
      </c>
      <c r="F165" s="49" t="n">
        <v>46320</v>
      </c>
      <c r="G165" s="29" t="inlineStr">
        <is>
          <t>malaga:fatura</t>
        </is>
      </c>
      <c r="H165" s="29" t="inlineStr">
        <is>
          <t>fatura/1: su faturasını ödemekte zorlanan haneler için EMASA sosyal fonu ve şartları (empadronamiento)</t>
        </is>
      </c>
      <c r="I165" s="29" t="inlineStr">
        <is>
          <t>Evet</t>
        </is>
      </c>
      <c r="J165" s="29" t="inlineStr">
        <is>
          <t>Lisans kanıtları/5722ffb4a9737c5b4a829b43816b199ad5055a2241332baf706b9cd96a6019f4.html</t>
        </is>
      </c>
      <c r="K165" s="29" t="inlineStr">
        <is>
          <t>5722ffb4a9737c5b4a829b43816b199ad5055a2241332baf706b9cd96a6019f4</t>
        </is>
      </c>
    </row>
    <row r="166" ht="54" customHeight="1">
      <c r="A166" s="29" t="inlineStr">
        <is>
          <t>malaga:kaynak:164</t>
        </is>
      </c>
      <c r="B166" s="29" t="inlineStr">
        <is>
          <t>malaga</t>
        </is>
      </c>
      <c r="C166" s="29" t="inlineStr">
        <is>
          <t>El Pleno aprueba de forma definitiva las nuevas tarifas de Emasa tras ocho años de congelación – Emasa</t>
        </is>
      </c>
      <c r="D166" s="29" t="inlineStr">
        <is>
          <t>EMASA (Empresa Municipal Aguas de Málaga)</t>
        </is>
      </c>
      <c r="E166" s="29" t="inlineStr">
        <is>
          <t>https://www.emasa.es/el-pleno-aprueba-de-forma-definitiva-las-nuevas-tarifas-de-emasa-tras-ocho-anos-de-congelacion/</t>
        </is>
      </c>
      <c r="F166" s="49" t="n">
        <v>46320</v>
      </c>
      <c r="G166" s="29" t="inlineStr">
        <is>
          <t>malaga:fatura</t>
        </is>
      </c>
      <c r="H166" s="29" t="inlineStr">
        <is>
          <t>fatura/1: Málaga su tarifaları, sekiz yıl sonra güncelleme, kademeli artış</t>
        </is>
      </c>
      <c r="I166" s="29" t="inlineStr">
        <is>
          <t>Evet</t>
        </is>
      </c>
      <c r="J166" s="29" t="inlineStr">
        <is>
          <t>Lisans kanıtları/2da09f671c6c519f0366031760b2b858e4a1b91ce74082e851d88344b020a131.html</t>
        </is>
      </c>
      <c r="K166" s="29" t="inlineStr">
        <is>
          <t>2da09f671c6c519f0366031760b2b858e4a1b91ce74082e851d88344b020a131</t>
        </is>
      </c>
    </row>
    <row r="167" ht="54" customHeight="1">
      <c r="A167" s="29" t="inlineStr">
        <is>
          <t>malaga:kaynak:165</t>
        </is>
      </c>
      <c r="B167" s="29" t="inlineStr">
        <is>
          <t>malaga</t>
        </is>
      </c>
      <c r="C167" s="29" t="inlineStr">
        <is>
          <t>El BOJA publica las nuevas tarifas de abastecimiento de agua tras ocho años de congelación – Emasa</t>
        </is>
      </c>
      <c r="D167" s="29" t="inlineStr">
        <is>
          <t>EMASA (Empresa Municipal Aguas de Málaga)</t>
        </is>
      </c>
      <c r="E167" s="29" t="inlineStr">
        <is>
          <t>https://www.emasa.es/el-boja-publica-las-nuevas-tarifas-de-abastecimiento-de-agua-tras-ocho-anos-de-congelacion/</t>
        </is>
      </c>
      <c r="F167" s="49" t="n">
        <v>46320</v>
      </c>
      <c r="G167" s="29" t="inlineStr">
        <is>
          <t>malaga:fatura</t>
        </is>
      </c>
      <c r="H167" s="29" t="inlineStr">
        <is>
          <t>fatura/1: yeni su tarifalarının yürürlüğe girişi (Temmuz 2024) ve hane başı ortalama artış</t>
        </is>
      </c>
      <c r="I167" s="29" t="inlineStr">
        <is>
          <t>Evet</t>
        </is>
      </c>
      <c r="J167" s="29" t="inlineStr">
        <is>
          <t>Lisans kanıtları/616dba882f87e6148fb2b52d8bd905a07a12a2405ee172a506c7621be2f813e0.html</t>
        </is>
      </c>
      <c r="K167" s="29" t="inlineStr">
        <is>
          <t>616dba882f87e6148fb2b52d8bd905a07a12a2405ee172a506c7621be2f813e0</t>
        </is>
      </c>
    </row>
    <row r="168" ht="54" customHeight="1">
      <c r="A168" s="29" t="inlineStr">
        <is>
          <t>malaga:kaynak:166</t>
        </is>
      </c>
      <c r="B168" s="29" t="inlineStr">
        <is>
          <t>malaga</t>
        </is>
      </c>
      <c r="C168" s="29" t="inlineStr">
        <is>
          <t>Recogida de muebles - Limpieza de Málaga</t>
        </is>
      </c>
      <c r="D168" s="29" t="inlineStr">
        <is>
          <t>Limpieza de Málaga S.A.M. (Limasam), Ayuntamiento de Málaga</t>
        </is>
      </c>
      <c r="E168" s="29" t="inlineStr">
        <is>
          <t>https://limpiezademalaga.es/recogida-de-muebles/</t>
        </is>
      </c>
      <c r="F168" s="49" t="n">
        <v>46320</v>
      </c>
      <c r="G168" s="29" t="inlineStr">
        <is>
          <t>malaga:fatura</t>
        </is>
      </c>
      <c r="H168" s="29" t="inlineStr">
        <is>
          <t>fatura/3: mobilya ve büyük eşya atma (mahalleye göre gün, 21:00-24:00, tel 900 900 000)</t>
        </is>
      </c>
      <c r="I168" s="29" t="inlineStr">
        <is>
          <t>Evet</t>
        </is>
      </c>
      <c r="J168" s="29" t="inlineStr">
        <is>
          <t>Lisans kanıtları/2a6b55eeda051a13a064c08c3f1f446291b8c67d92cb681366c7207e6c5de50d.html</t>
        </is>
      </c>
      <c r="K168" s="29" t="inlineStr">
        <is>
          <t>2a6b55eeda051a13a064c08c3f1f446291b8c67d92cb681366c7207e6c5de50d</t>
        </is>
      </c>
    </row>
    <row r="169" ht="54" customHeight="1">
      <c r="A169" s="29" t="inlineStr">
        <is>
          <t>malaga:kaynak:167</t>
        </is>
      </c>
      <c r="B169" s="29" t="inlineStr">
        <is>
          <t>malaga</t>
        </is>
      </c>
      <c r="C169" s="29" t="inlineStr">
        <is>
          <t>Reciclaje - Limpieza de Málaga</t>
        </is>
      </c>
      <c r="D169" s="29" t="inlineStr">
        <is>
          <t>Limpieza de Málaga S.A.M. (Limasam), Ayuntamiento de Málaga</t>
        </is>
      </c>
      <c r="E169" s="29" t="inlineStr">
        <is>
          <t>https://limpiezademalaga.es/gestion-y-desarrollo-sostenible/reciclaje/</t>
        </is>
      </c>
      <c r="F169" s="49" t="n">
        <v>46320</v>
      </c>
      <c r="G169" s="29" t="inlineStr">
        <is>
          <t>malaga:fatura</t>
        </is>
      </c>
      <c r="H169" s="29" t="inlineStr">
        <is>
          <t>fatura/3: çöp toplama sistemi, hangi atık hangi renk konteynere (yeşil, gri, kahverengi)</t>
        </is>
      </c>
      <c r="I169" s="29" t="inlineStr">
        <is>
          <t>Evet</t>
        </is>
      </c>
      <c r="J169" s="29" t="inlineStr">
        <is>
          <t>Lisans kanıtları/ba8805c0b0141e20a9ed0f71ba13582512048baa569655d806a1754ea6e9126c.html</t>
        </is>
      </c>
      <c r="K169" s="29" t="inlineStr">
        <is>
          <t>ba8805c0b0141e20a9ed0f71ba13582512048baa569655d806a1754ea6e9126c</t>
        </is>
      </c>
    </row>
    <row r="170" ht="54" customHeight="1">
      <c r="A170" s="29" t="inlineStr">
        <is>
          <t>malaga:kaynak:168</t>
        </is>
      </c>
      <c r="B170" s="29" t="inlineStr">
        <is>
          <t>malaga</t>
        </is>
      </c>
      <c r="C170" s="29" t="inlineStr">
        <is>
          <t>Punto limpio - Limpieza de Málaga</t>
        </is>
      </c>
      <c r="D170" s="29" t="inlineStr">
        <is>
          <t>Limpieza de Málaga S.A.M. (Limasam), Ayuntamiento de Málaga</t>
        </is>
      </c>
      <c r="E170" s="29" t="inlineStr">
        <is>
          <t>https://limpiezademalaga.es/punto-limpio/</t>
        </is>
      </c>
      <c r="F170" s="49" t="n">
        <v>46320</v>
      </c>
      <c r="G170" s="29" t="inlineStr">
        <is>
          <t>malaga:fatura</t>
        </is>
      </c>
      <c r="H170" s="29" t="inlineStr">
        <is>
          <t>fatura/3: sabit ve mahalle temiz noktaları (Hermanas Bronte, 7:00-21:00)</t>
        </is>
      </c>
      <c r="I170" s="29" t="inlineStr">
        <is>
          <t>Evet</t>
        </is>
      </c>
      <c r="J170" s="29" t="inlineStr">
        <is>
          <t>Lisans kanıtları/29f745bae625918640e7245b4c47643f94004fd5173b26587e18b28ef60fccfa.html</t>
        </is>
      </c>
      <c r="K170" s="29" t="inlineStr">
        <is>
          <t>29f745bae625918640e7245b4c47643f94004fd5173b26587e18b28ef60fccfa</t>
        </is>
      </c>
    </row>
    <row r="171" ht="54" customHeight="1">
      <c r="A171" s="29" t="inlineStr">
        <is>
          <t>malaga:kaynak:169</t>
        </is>
      </c>
      <c r="B171" s="29" t="inlineStr">
        <is>
          <t>malaga</t>
        </is>
      </c>
      <c r="C171" s="29" t="inlineStr">
        <is>
          <t>PPPNT</t>
        </is>
      </c>
      <c r="D171" s="29" t="inlineStr">
        <is>
          <t>Gestrisam, Ayuntamiento de Málaga</t>
        </is>
      </c>
      <c r="E171" s="29" t="inlineStr">
        <is>
          <t>https://gestrisam.malaga.eu/tributos/tributos-destacados/prestacion-patrimonial-de-caracter-publico-no-tributario-por-los-servicios-y-actividades-relacionadas-con-la-recogida-de-residuos-solidos-urbanos-generados-por-la-realizacion-de-actividades-economicas.-pppnt/</t>
        </is>
      </c>
      <c r="F171" s="49" t="n">
        <v>46320</v>
      </c>
      <c r="G171" s="29" t="inlineStr">
        <is>
          <t>malaga:fatura</t>
        </is>
      </c>
      <c r="H171" s="29" t="inlineStr">
        <is>
          <t>fatura/3: Málaga'da çöp ücreti konut dışı kullanım için; turistik kiralık daireler dahil</t>
        </is>
      </c>
      <c r="I171" s="29" t="inlineStr">
        <is>
          <t>Evet</t>
        </is>
      </c>
      <c r="J171" s="29" t="inlineStr">
        <is>
          <t>Lisans kanıtları/ca907eab35b3478beb46ab36e7fdbf0d11e62dd85203012033e59bb1789a4c4d.html</t>
        </is>
      </c>
      <c r="K171" s="29" t="inlineStr">
        <is>
          <t>ca907eab35b3478beb46ab36e7fdbf0d11e62dd85203012033e59bb1789a4c4d</t>
        </is>
      </c>
    </row>
    <row r="172" ht="54" customHeight="1">
      <c r="A172" s="29" t="inlineStr">
        <is>
          <t>malaga:kaynak:170</t>
        </is>
      </c>
      <c r="B172" s="29" t="inlineStr">
        <is>
          <t>malaga</t>
        </is>
      </c>
      <c r="C172" s="29" t="inlineStr">
        <is>
          <t>Oficina municipal de atención al consumidor</t>
        </is>
      </c>
      <c r="D172" s="29" t="inlineStr">
        <is>
          <t>Ayuntamiento de Málaga, Sanidad y Consumo</t>
        </is>
      </c>
      <c r="E172" s="29" t="inlineStr">
        <is>
          <t>https://sanidadyconsumo.malaga.eu/sanidad-y-consumo/consumo/oficina-municipal-de-atencion-al-consumidor/</t>
        </is>
      </c>
      <c r="F172" s="49" t="n">
        <v>46320</v>
      </c>
      <c r="G172" s="29" t="inlineStr">
        <is>
          <t>malaga:fatura</t>
        </is>
      </c>
      <c r="H172" s="29" t="inlineStr">
        <is>
          <t>fatura/5: fatura/operatör şikayeti için OMIC (Paseo Antonio Machado 12, randevu, tel 951 92 84 58)</t>
        </is>
      </c>
      <c r="I172" s="29" t="inlineStr">
        <is>
          <t>Evet</t>
        </is>
      </c>
      <c r="J172" s="29" t="inlineStr">
        <is>
          <t>Lisans kanıtları/b9a4b2e0c5bd05ccfe65a40cc071721988cf83ae028c4a6d8a3d6eefab6ce5af.html</t>
        </is>
      </c>
      <c r="K172" s="29" t="inlineStr">
        <is>
          <t>b9a4b2e0c5bd05ccfe65a40cc071721988cf83ae028c4a6d8a3d6eefab6ce5af</t>
        </is>
      </c>
    </row>
    <row r="173" ht="54" customHeight="1">
      <c r="A173" s="29" t="inlineStr">
        <is>
          <t>malaga:kaynak:171</t>
        </is>
      </c>
      <c r="B173" s="29" t="inlineStr">
        <is>
          <t>malaga</t>
        </is>
      </c>
      <c r="C173" s="29" t="inlineStr">
        <is>
          <t>Reclamaciones - Junta de Andalucía</t>
        </is>
      </c>
      <c r="D173" s="29" t="inlineStr">
        <is>
          <t>Junta de Andalucía</t>
        </is>
      </c>
      <c r="E173" s="29" t="inlineStr">
        <is>
          <t>https://www.juntadeandalucia.es/temas/vivienda-consumo/consumo/reclamaciones.html</t>
        </is>
      </c>
      <c r="F173" s="49" t="n">
        <v>46320</v>
      </c>
      <c r="G173" s="29" t="inlineStr">
        <is>
          <t>malaga:fatura</t>
        </is>
      </c>
      <c r="H173" s="29" t="inlineStr">
        <is>
          <t>fatura/5: resmî şikayet formu (hoja de reclamaciones) ve çevrimiçi başvuru</t>
        </is>
      </c>
      <c r="I173" s="29" t="inlineStr">
        <is>
          <t>Evet</t>
        </is>
      </c>
      <c r="J173" s="29" t="inlineStr">
        <is>
          <t>Lisans kanıtları/ddf0757e39a40159b827718269e6fec8fe840b9e2c676012cec075587f234354.html</t>
        </is>
      </c>
      <c r="K173" s="29" t="inlineStr">
        <is>
          <t>ddf0757e39a40159b827718269e6fec8fe840b9e2c676012cec075587f234354</t>
        </is>
      </c>
    </row>
    <row r="174" ht="54" customHeight="1">
      <c r="A174" s="29" t="inlineStr">
        <is>
          <t>malaga:kaynak:172</t>
        </is>
      </c>
      <c r="B174" s="29" t="inlineStr">
        <is>
          <t>malaga</t>
        </is>
      </c>
      <c r="C174" s="29" t="inlineStr">
        <is>
          <t>Usuarios Teleco | Celebración de su contrato</t>
        </is>
      </c>
      <c r="D174" s="29" t="inlineStr">
        <is>
          <t>Ministerio para la Transformación Digital, Oficina de Atención al Usuario de Telecomunicaciones</t>
        </is>
      </c>
      <c r="E174" s="29" t="inlineStr">
        <is>
          <t>https://usuariosteleco.digital.gob.es/te-interesa/consejos-practicos/celebracion-de-contrato</t>
        </is>
      </c>
      <c r="F174" s="49" t="n">
        <v>46320</v>
      </c>
      <c r="G174" s="29" t="inlineStr">
        <is>
          <t>malaga:fatura</t>
        </is>
      </c>
      <c r="H174" s="29" t="inlineStr">
        <is>
          <t>fatura/5: internet ve mobil hat sözleşmesi, taahhüt (permanencia) ve belge isteme hakkı</t>
        </is>
      </c>
      <c r="I174" s="29" t="inlineStr">
        <is>
          <t>Evet</t>
        </is>
      </c>
      <c r="J174" s="29" t="inlineStr">
        <is>
          <t>Lisans kanıtları/53c59633218692461ea32d1966002aed01ec8d4c0309919957ea969e0053e8d2.html</t>
        </is>
      </c>
      <c r="K174" s="29" t="inlineStr">
        <is>
          <t>53c59633218692461ea32d1966002aed01ec8d4c0309919957ea969e0053e8d2</t>
        </is>
      </c>
    </row>
    <row r="175" ht="54" customHeight="1">
      <c r="A175" s="29" t="inlineStr">
        <is>
          <t>malaga:kaynak:173</t>
        </is>
      </c>
      <c r="B175" s="29" t="inlineStr">
        <is>
          <t>malaga</t>
        </is>
      </c>
      <c r="C175" s="29" t="inlineStr">
        <is>
          <t>Bono social eléctrico | CNMC</t>
        </is>
      </c>
      <c r="D175" s="29" t="inlineStr">
        <is>
          <t>CNMC (Comisión Nacional de los Mercados y la Competencia)</t>
        </is>
      </c>
      <c r="E175" s="29" t="inlineStr">
        <is>
          <t>https://www.cnmc.es/facil-para-ti/que-hace-la-cnmc-para-consumidores/bono-social-electrico</t>
        </is>
      </c>
      <c r="F175" s="49" t="n">
        <v>46320</v>
      </c>
      <c r="G175" s="29" t="inlineStr">
        <is>
          <t>malaga:fatura</t>
        </is>
      </c>
      <c r="H175" s="29" t="inlineStr">
        <is>
          <t>fatura/4: bono social başvuru şartları (gerçek kişi, serbest piyasa değil PVPC)</t>
        </is>
      </c>
      <c r="I175" s="29" t="inlineStr">
        <is>
          <t>Evet</t>
        </is>
      </c>
      <c r="J175" s="29" t="inlineStr">
        <is>
          <t>Lisans kanıtları/c7992517a94030b67edc1564db683bbf76d4e4f260a3b33e794aa5365e68dd31.html</t>
        </is>
      </c>
      <c r="K175" s="29" t="inlineStr">
        <is>
          <t>c7992517a94030b67edc1564db683bbf76d4e4f260a3b33e794aa5365e68dd31</t>
        </is>
      </c>
    </row>
    <row r="176" ht="54" customHeight="1">
      <c r="A176" s="29" t="inlineStr">
        <is>
          <t>malaga:kaynak:175</t>
        </is>
      </c>
      <c r="B176" s="29" t="inlineStr">
        <is>
          <t>malaga</t>
        </is>
      </c>
      <c r="C176" s="29" t="inlineStr">
        <is>
          <t>I.B.I.</t>
        </is>
      </c>
      <c r="D176" s="29" t="inlineStr">
        <is>
          <t>Gestrisam, Ayuntamiento de Málaga</t>
        </is>
      </c>
      <c r="E176" s="29" t="inlineStr">
        <is>
          <t>https://gestrisam.malaga.eu/tributos/tributos-destacados/i.b.i./</t>
        </is>
      </c>
      <c r="F176" s="49" t="n">
        <v>46320</v>
      </c>
      <c r="G176" s="29" t="inlineStr">
        <is>
          <t>malaga:para</t>
        </is>
      </c>
      <c r="H176" s="29" t="inlineStr">
        <is>
          <t>para/3: Málaga'da emlak vergisi (IBI) ödeme yolu, gönüllü ödeme dönemi, Flexipago</t>
        </is>
      </c>
      <c r="I176" s="29" t="inlineStr">
        <is>
          <t>Evet</t>
        </is>
      </c>
      <c r="J176" s="29" t="inlineStr">
        <is>
          <t>Lisans kanıtları/a6f82d45962c20e807e58cc3def0a8f2ac1dbe9c8f0fc2aada071aeb69dbbbfb.html</t>
        </is>
      </c>
      <c r="K176" s="29" t="inlineStr">
        <is>
          <t>a6f82d45962c20e807e58cc3def0a8f2ac1dbe9c8f0fc2aada071aeb69dbbbfb</t>
        </is>
      </c>
    </row>
    <row r="177" ht="54" customHeight="1">
      <c r="A177" s="29" t="inlineStr">
        <is>
          <t>malaga:kaynak:176</t>
        </is>
      </c>
      <c r="B177" s="29" t="inlineStr">
        <is>
          <t>malaga</t>
        </is>
      </c>
      <c r="C177" s="29" t="inlineStr">
        <is>
          <t>I.V.T.M.</t>
        </is>
      </c>
      <c r="D177" s="29" t="inlineStr">
        <is>
          <t>Gestrisam, Ayuntamiento de Málaga</t>
        </is>
      </c>
      <c r="E177" s="29" t="inlineStr">
        <is>
          <t>https://gestrisam.malaga.eu/tributos/tributos-destacados/i.v.t.m./</t>
        </is>
      </c>
      <c r="F177" s="49" t="n">
        <v>46320</v>
      </c>
      <c r="G177" s="29" t="inlineStr">
        <is>
          <t>malaga:para</t>
        </is>
      </c>
      <c r="H177" s="29" t="inlineStr">
        <is>
          <t>para/3: araç vergisi (IVTM) kimden alınır, dönemlik hesaplama</t>
        </is>
      </c>
      <c r="I177" s="29" t="inlineStr">
        <is>
          <t>Evet</t>
        </is>
      </c>
      <c r="J177" s="29" t="inlineStr">
        <is>
          <t>Lisans kanıtları/9cf4f1763efd7865068bd7259cc79bb5b1882b161c3b880561d1c7476dc1dced.html</t>
        </is>
      </c>
      <c r="K177" s="29" t="inlineStr">
        <is>
          <t>9cf4f1763efd7865068bd7259cc79bb5b1882b161c3b880561d1c7476dc1dced</t>
        </is>
      </c>
    </row>
    <row r="178" ht="54" customHeight="1">
      <c r="A178" s="29" t="inlineStr">
        <is>
          <t>malaga:kaynak:177</t>
        </is>
      </c>
      <c r="B178" s="29" t="inlineStr">
        <is>
          <t>malaga</t>
        </is>
      </c>
      <c r="C178" s="29" t="inlineStr">
        <is>
          <t>Calendario fiscal y de pagos</t>
        </is>
      </c>
      <c r="D178" s="29" t="inlineStr">
        <is>
          <t>Gestrisam, Ayuntamiento de Málaga</t>
        </is>
      </c>
      <c r="E178" s="29" t="inlineStr">
        <is>
          <t>https://gestrisam.malaga.eu/tributos/calendario-fiscal-y-de-pagos/</t>
        </is>
      </c>
      <c r="F178" s="49" t="n">
        <v>46320</v>
      </c>
      <c r="G178" s="29" t="inlineStr">
        <is>
          <t>malaga:para</t>
        </is>
      </c>
      <c r="H178" s="29" t="inlineStr">
        <is>
          <t>para/3: 2026 IBI (1 Nisan-5 Haziran, 3 Ağustos-5 Ekim) ve IVTM (2 Mart-6 Mayıs) ödeme tarihleri</t>
        </is>
      </c>
      <c r="I178" s="29" t="inlineStr">
        <is>
          <t>Evet</t>
        </is>
      </c>
      <c r="J178" s="29" t="inlineStr">
        <is>
          <t>Lisans kanıtları/a71c5673f297a7d274b92e151456cc16cfed1ec22425f08f3a55c666f9e5cc8b.html</t>
        </is>
      </c>
      <c r="K178" s="29" t="inlineStr">
        <is>
          <t>a71c5673f297a7d274b92e151456cc16cfed1ec22425f08f3a55c666f9e5cc8b</t>
        </is>
      </c>
    </row>
    <row r="179" ht="54" customHeight="1">
      <c r="A179" s="29" t="inlineStr">
        <is>
          <t>malaga:kaynak:179</t>
        </is>
      </c>
      <c r="B179" s="29" t="inlineStr">
        <is>
          <t>malaga</t>
        </is>
      </c>
      <c r="C179" s="29" t="inlineStr">
        <is>
          <t>Plusvalía</t>
        </is>
      </c>
      <c r="D179" s="29" t="inlineStr">
        <is>
          <t>Gestrisam, Ayuntamiento de Málaga</t>
        </is>
      </c>
      <c r="E179" s="29" t="inlineStr">
        <is>
          <t>https://gestrisam.malaga.eu/tributos/tributos-destacados/plusvalia/</t>
        </is>
      </c>
      <c r="F179" s="49" t="n">
        <v>46320</v>
      </c>
      <c r="G179" s="29" t="inlineStr">
        <is>
          <t>malaga:para</t>
        </is>
      </c>
      <c r="H179" s="29" t="inlineStr">
        <is>
          <t>para/3: ev satarken/alırken belediye plusvalía vergisi hesabı</t>
        </is>
      </c>
      <c r="I179" s="29" t="inlineStr">
        <is>
          <t>Evet</t>
        </is>
      </c>
      <c r="J179" s="29" t="inlineStr">
        <is>
          <t>Lisans kanıtları/39bea9761cfa141699a5047d180c7a06ac94cc0505e37637b5be69137e196123.html</t>
        </is>
      </c>
      <c r="K179" s="29" t="inlineStr">
        <is>
          <t>39bea9761cfa141699a5047d180c7a06ac94cc0505e37637b5be69137e196123</t>
        </is>
      </c>
    </row>
    <row r="180" ht="54" customHeight="1">
      <c r="A180" s="29" t="inlineStr">
        <is>
          <t>malaga:kaynak:180</t>
        </is>
      </c>
      <c r="B180" s="29" t="inlineStr">
        <is>
          <t>malaga</t>
        </is>
      </c>
      <c r="C180" s="29" t="inlineStr">
        <is>
          <t>Agencia Tributaria: Málaga</t>
        </is>
      </c>
      <c r="D180" s="29" t="inlineStr">
        <is>
          <t>Agencia Tributaria (AEAT)</t>
        </is>
      </c>
      <c r="E180" s="29" t="inlineStr">
        <is>
          <t>https://sede.agenciatributaria.gob.es/Sede/buscador-oficinas/malaga.html</t>
        </is>
      </c>
      <c r="F180" s="49" t="n">
        <v>46320</v>
      </c>
      <c r="G180" s="29" t="inlineStr">
        <is>
          <t>malaga:para</t>
        </is>
      </c>
      <c r="H180" s="29" t="inlineStr">
        <is>
          <t>para/2: Málaga'daki vergi dairesi adresi (Héroe de Sostoa 11-13) ve yardım/randevu</t>
        </is>
      </c>
      <c r="I180" s="29" t="inlineStr">
        <is>
          <t>Evet</t>
        </is>
      </c>
      <c r="J180" s="29" t="inlineStr">
        <is>
          <t>Lisans kanıtları/a7e82a914ac36fef4ba3fb03e6a4510064594ec923876932391525aecd22f7f3.html</t>
        </is>
      </c>
      <c r="K180" s="29" t="inlineStr">
        <is>
          <t>a7e82a914ac36fef4ba3fb03e6a4510064594ec923876932391525aecd22f7f3</t>
        </is>
      </c>
    </row>
    <row r="181" ht="54" customHeight="1">
      <c r="A181" s="29" t="inlineStr">
        <is>
          <t>malaga:kaynak:181</t>
        </is>
      </c>
      <c r="B181" s="29" t="inlineStr">
        <is>
          <t>malaga</t>
        </is>
      </c>
      <c r="C181" s="29" t="inlineStr">
        <is>
          <t>Agencia Tributaria: Más información</t>
        </is>
      </c>
      <c r="D181" s="29" t="inlineStr">
        <is>
          <t>Agencia Tributaria (AEAT)</t>
        </is>
      </c>
      <c r="E181" s="29" t="inlineStr">
        <is>
          <t>https://sede.agenciatributaria.gob.es/Sede/cita-renta/informacion.html</t>
        </is>
      </c>
      <c r="F181" s="49" t="n">
        <v>46320</v>
      </c>
      <c r="G181" s="29" t="inlineStr">
        <is>
          <t>malaga:para</t>
        </is>
      </c>
      <c r="H181" s="29" t="inlineStr">
        <is>
          <t>para/2: Renta beyannamesi için ofiste randevu kuralları</t>
        </is>
      </c>
      <c r="I181" s="29" t="inlineStr">
        <is>
          <t>Evet</t>
        </is>
      </c>
      <c r="J181" s="29" t="inlineStr">
        <is>
          <t>Lisans kanıtları/831079259de2022d0b8b101565fba6ba1a7b8004941b82d41eb36664d899576e.html</t>
        </is>
      </c>
      <c r="K181" s="29" t="inlineStr">
        <is>
          <t>831079259de2022d0b8b101565fba6ba1a7b8004941b82d41eb36664d899576e</t>
        </is>
      </c>
    </row>
    <row r="182" ht="54" customHeight="1">
      <c r="A182" s="29" t="inlineStr">
        <is>
          <t>malaga:kaynak:183</t>
        </is>
      </c>
      <c r="B182" s="29" t="inlineStr">
        <is>
          <t>malaga</t>
        </is>
      </c>
      <c r="C182" s="29" t="inlineStr">
        <is>
          <t>Centros</t>
        </is>
      </c>
      <c r="D182" s="29" t="inlineStr">
        <is>
          <t>Área de Derechos Sociales, Ayuntamiento de Málaga</t>
        </is>
      </c>
      <c r="E182" s="29" t="inlineStr">
        <is>
          <t>https://derechossociales.malaga.eu/servicios-sociales-comunitarios/centros/</t>
        </is>
      </c>
      <c r="F182" s="49" t="n">
        <v>46320</v>
      </c>
      <c r="G182" s="29" t="inlineStr">
        <is>
          <t>malaga:para</t>
        </is>
      </c>
      <c r="H182" s="29" t="inlineStr">
        <is>
          <t>para/4: Málaga belediyesi sosyal yardım başvurusu için 12 merkez (adres, telefon, randevu)</t>
        </is>
      </c>
      <c r="I182" s="29" t="inlineStr">
        <is>
          <t>Evet</t>
        </is>
      </c>
      <c r="J182" s="29" t="inlineStr">
        <is>
          <t>Lisans kanıtları/44e00e587dea21eb01fb2ffaea2e3320bd046a29acb62d161d56fe7924257516.html</t>
        </is>
      </c>
      <c r="K182" s="29" t="inlineStr">
        <is>
          <t>44e00e587dea21eb01fb2ffaea2e3320bd046a29acb62d161d56fe7924257516</t>
        </is>
      </c>
    </row>
    <row r="183" ht="54" customHeight="1">
      <c r="A183" s="29" t="inlineStr">
        <is>
          <t>malaga:kaynak:184</t>
        </is>
      </c>
      <c r="B183" s="29" t="inlineStr">
        <is>
          <t>malaga</t>
        </is>
      </c>
      <c r="C183" s="29" t="inlineStr">
        <is>
          <t>Prestaciones</t>
        </is>
      </c>
      <c r="D183" s="29" t="inlineStr">
        <is>
          <t>Área de Derechos Sociales, Ayuntamiento de Málaga</t>
        </is>
      </c>
      <c r="E183" s="29" t="inlineStr">
        <is>
          <t>https://derechossociales.malaga.eu/servicios-sociales-comunitarios/prestaciones/</t>
        </is>
      </c>
      <c r="F183" s="49" t="n">
        <v>46320</v>
      </c>
      <c r="G183" s="29" t="inlineStr">
        <is>
          <t>malaga:para</t>
        </is>
      </c>
      <c r="H183" s="29" t="inlineStr">
        <is>
          <t>para/4: belediyenin ekonomik yardımları (sosyal acil yardım, aile yardımı) ve sınırları</t>
        </is>
      </c>
      <c r="I183" s="29" t="inlineStr">
        <is>
          <t>Evet</t>
        </is>
      </c>
      <c r="J183" s="29" t="inlineStr">
        <is>
          <t>Lisans kanıtları/2a5d943da4fe958efa87df6d6ecea28f7cd877594cf73af95398d6d938dd3b1c.html</t>
        </is>
      </c>
      <c r="K183" s="29" t="inlineStr">
        <is>
          <t>2a5d943da4fe958efa87df6d6ecea28f7cd877594cf73af95398d6d938dd3b1c</t>
        </is>
      </c>
    </row>
    <row r="184" ht="54" customHeight="1">
      <c r="A184" s="29" t="inlineStr">
        <is>
          <t>malaga:kaynak:186</t>
        </is>
      </c>
      <c r="B184" s="29" t="inlineStr">
        <is>
          <t>malaga</t>
        </is>
      </c>
      <c r="C184" s="29" t="inlineStr">
        <is>
          <t>Renta Mínima de Inserción Social en Andalucía - Junta de Andalucía</t>
        </is>
      </c>
      <c r="D184" s="29" t="inlineStr">
        <is>
          <t>Junta de Andalucía</t>
        </is>
      </c>
      <c r="E184" s="29" t="inlineStr">
        <is>
          <t>https://www.juntadeandalucia.es/organismos/inclusionsocialjuventudfamiliaseigualdad/areas/inclusion/rmi.html</t>
        </is>
      </c>
      <c r="F184" s="49" t="n">
        <v>46320</v>
      </c>
      <c r="G184" s="29" t="inlineStr">
        <is>
          <t>malaga:para</t>
        </is>
      </c>
      <c r="H184" s="29" t="inlineStr">
        <is>
          <t>para/5: Endülüs asgari gelir desteği (RMISA) şartları</t>
        </is>
      </c>
      <c r="I184" s="29" t="inlineStr">
        <is>
          <t>Evet</t>
        </is>
      </c>
      <c r="J184" s="29" t="inlineStr">
        <is>
          <t>Lisans kanıtları/b28370fba06d30eabf3ff8155c5095792be3c8bbdcca4740ed005a05800d00e3.html</t>
        </is>
      </c>
      <c r="K184" s="29" t="inlineStr">
        <is>
          <t>b28370fba06d30eabf3ff8155c5095792be3c8bbdcca4740ed005a05800d00e3</t>
        </is>
      </c>
    </row>
    <row r="185" ht="54" customHeight="1">
      <c r="A185" s="29" t="inlineStr">
        <is>
          <t>malaga:kaynak:187</t>
        </is>
      </c>
      <c r="B185" s="29" t="inlineStr">
        <is>
          <t>malaga</t>
        </is>
      </c>
      <c r="C185" s="29" t="inlineStr">
        <is>
          <t>¿Cuáles son los trámites para abrir una cuenta? - Cliente Bancario, Banco de España</t>
        </is>
      </c>
      <c r="D185" s="29" t="inlineStr">
        <is>
          <t>Banco de España, Cliente Bancario</t>
        </is>
      </c>
      <c r="E185" s="29" t="inlineStr">
        <is>
          <t>https://clientebancario.bde.es/pcb/es/blog/cuales-son-los-tramites-para-abrir-una-cuenta-.html</t>
        </is>
      </c>
      <c r="F185" s="49" t="n">
        <v>46320</v>
      </c>
      <c r="G185" s="29" t="inlineStr">
        <is>
          <t>malaga:para</t>
        </is>
      </c>
      <c r="H185" s="29" t="inlineStr">
        <is>
          <t>para/1: banka hesabı açmak için gereken belgeler (kimlik, TIE, fon kaynağı)</t>
        </is>
      </c>
      <c r="I185" s="29" t="inlineStr">
        <is>
          <t>Evet</t>
        </is>
      </c>
      <c r="J185" s="29" t="inlineStr">
        <is>
          <t>Lisans kanıtları/5fbdabef298417c3567e9f20d997cabf762d11d6b2a490f24681199e5c591c33.html</t>
        </is>
      </c>
      <c r="K185" s="29" t="inlineStr">
        <is>
          <t>5fbdabef298417c3567e9f20d997cabf762d11d6b2a490f24681199e5c591c33</t>
        </is>
      </c>
    </row>
    <row r="186" ht="54" customHeight="1">
      <c r="A186" s="29" t="inlineStr">
        <is>
          <t>malaga:kaynak:188</t>
        </is>
      </c>
      <c r="B186" s="29" t="inlineStr">
        <is>
          <t>malaga</t>
        </is>
      </c>
      <c r="C186" s="29" t="inlineStr">
        <is>
          <t>Tarjeta sanitaria de Andalucía | Servicio Andaluz de Salud</t>
        </is>
      </c>
      <c r="D186" s="29" t="inlineStr">
        <is>
          <t>Servicio Andaluz de Salud (Junta de Andalucía)</t>
        </is>
      </c>
      <c r="E186" s="29" t="inlineStr">
        <is>
          <t>https://www.sspa.juntadeandalucia.es/servicioandaluzdesalud/ciudadania/tarjeta-sanitaria-de-andalucia</t>
        </is>
      </c>
      <c r="F186" s="49" t="n">
        <v>46320</v>
      </c>
      <c r="G186" s="29" t="inlineStr">
        <is>
          <t>malaga:saglik</t>
        </is>
      </c>
      <c r="H186" s="29" t="inlineStr">
        <is>
          <t>Sağlık kartı ve aile hekimi için başvuru; kartın süresiz olması, çocuklara ayrı kart</t>
        </is>
      </c>
      <c r="I186" s="29" t="inlineStr">
        <is>
          <t>Evet</t>
        </is>
      </c>
      <c r="J186" s="29" t="inlineStr">
        <is>
          <t>Lisans kanıtları/121c27f7c8b3c5213cd2770345f0a2dc913f8f7faed1f133a73a061827a9a6c6.html</t>
        </is>
      </c>
      <c r="K186" s="29" t="inlineStr">
        <is>
          <t>121c27f7c8b3c5213cd2770345f0a2dc913f8f7faed1f133a73a061827a9a6c6</t>
        </is>
      </c>
    </row>
    <row r="187" ht="54" customHeight="1">
      <c r="A187" s="29" t="inlineStr">
        <is>
          <t>malaga:kaynak:190</t>
        </is>
      </c>
      <c r="B187" s="29" t="inlineStr">
        <is>
          <t>malaga</t>
        </is>
      </c>
      <c r="C187" s="29" t="inlineStr">
        <is>
          <t>Convenios especiales para la prestación de asistencia sanitaria | Servicio Andaluz de Salud</t>
        </is>
      </c>
      <c r="D187" s="29" t="inlineStr">
        <is>
          <t>Servicio Andaluz de Salud (Junta de Andalucía)</t>
        </is>
      </c>
      <c r="E187" s="29" t="inlineStr">
        <is>
          <t>https://www.sspa.juntadeandalucia.es/servicioandaluzdesalud/ciudadania/cobertura-sanitaria/convenios-especiales-para-la-prestacion-de-asistencia-sanitaria</t>
        </is>
      </c>
      <c r="F187" s="49" t="n">
        <v>46320</v>
      </c>
      <c r="G187" s="29" t="inlineStr">
        <is>
          <t>malaga:saglik</t>
        </is>
      </c>
      <c r="H187" s="29" t="inlineStr">
        <is>
          <t>Özel sağlık sigortası ne zaman gerekir; convenio especial şartları (1 yıl ikamet, empadronamiento)</t>
        </is>
      </c>
      <c r="I187" s="29" t="inlineStr">
        <is>
          <t>Evet</t>
        </is>
      </c>
      <c r="J187" s="29" t="inlineStr">
        <is>
          <t>Lisans kanıtları/c7458ea24121a55f3dcdccf7aa66d70cdb5797c6a1153a41d05a5bc21b6044b3.html</t>
        </is>
      </c>
      <c r="K187" s="29" t="inlineStr">
        <is>
          <t>c7458ea24121a55f3dcdccf7aa66d70cdb5797c6a1153a41d05a5bc21b6044b3</t>
        </is>
      </c>
    </row>
    <row r="188" ht="54" customHeight="1">
      <c r="A188" s="29" t="inlineStr">
        <is>
          <t>malaga:kaynak:191</t>
        </is>
      </c>
      <c r="B188" s="29" t="inlineStr">
        <is>
          <t>malaga</t>
        </is>
      </c>
      <c r="C188" s="29" t="inlineStr">
        <is>
          <t>Personas solicitantes de protección internacional | Servicio Andaluz de Salud</t>
        </is>
      </c>
      <c r="D188" s="29" t="inlineStr">
        <is>
          <t>Servicio Andaluz de Salud (Junta de Andalucía)</t>
        </is>
      </c>
      <c r="E188" s="29" t="inlineStr">
        <is>
          <t>https://www.sspa.juntadeandalucia.es/servicioandaluzdesalud/ciudadania/cobertura-sanitaria/personas-solicitantes-de-proteccion-internacional</t>
        </is>
      </c>
      <c r="F188" s="49" t="n">
        <v>46320</v>
      </c>
      <c r="G188" s="29" t="inlineStr">
        <is>
          <t>malaga:saglik</t>
        </is>
      </c>
      <c r="H188" s="29" t="inlineStr">
        <is>
          <t>Uluslararası koruma başvurusu yapanların kamu sağlık hakkı (yeni gelen göçmen kapsamı)</t>
        </is>
      </c>
      <c r="I188" s="29" t="inlineStr">
        <is>
          <t>Evet</t>
        </is>
      </c>
      <c r="J188" s="29" t="inlineStr">
        <is>
          <t>Lisans kanıtları/31c3bee675f3456cb1c729a7e2a41d8258f6a063ea527184d19e7d4adfe7a522.html</t>
        </is>
      </c>
      <c r="K188" s="29" t="inlineStr">
        <is>
          <t>31c3bee675f3456cb1c729a7e2a41d8258f6a063ea527184d19e7d4adfe7a522</t>
        </is>
      </c>
    </row>
    <row r="189" ht="54" customHeight="1">
      <c r="A189" s="29" t="inlineStr">
        <is>
          <t>malaga:kaynak:192</t>
        </is>
      </c>
      <c r="B189" s="29" t="inlineStr">
        <is>
          <t>malaga</t>
        </is>
      </c>
      <c r="C189" s="29" t="inlineStr">
        <is>
          <t>Citas en centros de atención primaria | Servicio Andaluz de Salud</t>
        </is>
      </c>
      <c r="D189" s="29" t="inlineStr">
        <is>
          <t>Servicio Andaluz de Salud (Junta de Andalucía)</t>
        </is>
      </c>
      <c r="E189" s="29" t="inlineStr">
        <is>
          <t>https://www.sspa.juntadeandalucia.es/servicioandaluzdesalud/ciudadania/citas-en-centros-de-atencion-primaria</t>
        </is>
      </c>
      <c r="F189" s="49" t="n">
        <v>46320</v>
      </c>
      <c r="G189" s="29" t="inlineStr">
        <is>
          <t>malaga:saglik</t>
        </is>
      </c>
      <c r="H189" s="29" t="inlineStr">
        <is>
          <t>Aile hekimiyle randevu: Salud Andalucía uygulaması, ClicSalud+, Salud Responde 955 54 50 60</t>
        </is>
      </c>
      <c r="I189" s="29" t="inlineStr">
        <is>
          <t>Evet</t>
        </is>
      </c>
      <c r="J189" s="29" t="inlineStr">
        <is>
          <t>Lisans kanıtları/e20b864bed60d761b0723905b41af97ae71f1015ee6ed28e0a93264f6ff85d74.html</t>
        </is>
      </c>
      <c r="K189" s="29" t="inlineStr">
        <is>
          <t>e20b864bed60d761b0723905b41af97ae71f1015ee6ed28e0a93264f6ff85d74</t>
        </is>
      </c>
    </row>
    <row r="190" ht="54" customHeight="1">
      <c r="A190" s="29" t="inlineStr">
        <is>
          <t>malaga:kaynak:193</t>
        </is>
      </c>
      <c r="B190" s="29" t="inlineStr">
        <is>
          <t>malaga</t>
        </is>
      </c>
      <c r="C190" s="29" t="inlineStr">
        <is>
          <t>Salud Responde | Servicio Andaluz de Salud</t>
        </is>
      </c>
      <c r="D190" s="29" t="inlineStr">
        <is>
          <t>Servicio Andaluz de Salud (Junta de Andalucía)</t>
        </is>
      </c>
      <c r="E190" s="29" t="inlineStr">
        <is>
          <t>https://www.sspa.juntadeandalucia.es/servicioandaluzdesalud/el-sas/servicios-y-centros/salud-responde</t>
        </is>
      </c>
      <c r="F190" s="49" t="n">
        <v>46320</v>
      </c>
      <c r="G190" s="29" t="inlineStr">
        <is>
          <t>malaga:saglik</t>
        </is>
      </c>
      <c r="H190" s="29" t="inlineStr">
        <is>
          <t>24 saat sağlık danışma ve randevu hattı</t>
        </is>
      </c>
      <c r="I190" s="29" t="inlineStr">
        <is>
          <t>Evet</t>
        </is>
      </c>
      <c r="J190" s="29" t="inlineStr">
        <is>
          <t>Lisans kanıtları/f97881cb9eabeee7b4a9316471b33f68c7eb4c24edc4604770796bca64b85924.html</t>
        </is>
      </c>
      <c r="K190" s="29" t="inlineStr">
        <is>
          <t>f97881cb9eabeee7b4a9316471b33f68c7eb4c24edc4604770796bca64b85924</t>
        </is>
      </c>
    </row>
    <row r="191" ht="54" customHeight="1">
      <c r="A191" s="29" t="inlineStr">
        <is>
          <t>malaga:kaynak:194</t>
        </is>
      </c>
      <c r="B191" s="29" t="inlineStr">
        <is>
          <t>malaga</t>
        </is>
      </c>
      <c r="C191" s="29" t="inlineStr">
        <is>
          <t>Urgencias y emergencias | Servicio Andaluz de Salud</t>
        </is>
      </c>
      <c r="D191" s="29" t="inlineStr">
        <is>
          <t>Servicio Andaluz de Salud (Junta de Andalucía)</t>
        </is>
      </c>
      <c r="E191" s="29" t="inlineStr">
        <is>
          <t>https://www.sspa.juntadeandalucia.es/servicioandaluzdesalud/el-sas/servicios-y-centros/urgencias-y-emergencias</t>
        </is>
      </c>
      <c r="F191" s="49" t="n">
        <v>46320</v>
      </c>
      <c r="G191" s="29" t="inlineStr">
        <is>
          <t>malaga:saglik</t>
        </is>
      </c>
      <c r="H191" s="29" t="inlineStr">
        <is>
          <t>Acil durumda 061 ve acil/kritik taşıma ağı</t>
        </is>
      </c>
      <c r="I191" s="29" t="inlineStr">
        <is>
          <t>Evet</t>
        </is>
      </c>
      <c r="J191" s="29" t="inlineStr">
        <is>
          <t>Lisans kanıtları/3143234138d5abd1d7616ccfd9c3f76ecc785198273fd553fc4bce11faedccdf.html</t>
        </is>
      </c>
      <c r="K191" s="29" t="inlineStr">
        <is>
          <t>3143234138d5abd1d7616ccfd9c3f76ecc785198273fd553fc4bce11faedccdf</t>
        </is>
      </c>
    </row>
    <row r="192" ht="54" customHeight="1">
      <c r="A192" s="29" t="inlineStr">
        <is>
          <t>malaga:kaynak:195</t>
        </is>
      </c>
      <c r="B192" s="29" t="inlineStr">
        <is>
          <t>malaga</t>
        </is>
      </c>
      <c r="C192" s="29" t="inlineStr">
        <is>
          <t>Hospital Universitario Regional de Málaga | Servicio Andaluz de Salud</t>
        </is>
      </c>
      <c r="D192" s="29" t="inlineStr">
        <is>
          <t>Servicio Andaluz de Salud (Junta de Andalucía)</t>
        </is>
      </c>
      <c r="E192" s="29" t="inlineStr">
        <is>
          <t>https://www.sspa.juntadeandalucia.es/servicioandaluzdesalud/el-sas/servicios-y-centros/informacion-por-centros/16465</t>
        </is>
      </c>
      <c r="F192" s="49" t="n">
        <v>46320</v>
      </c>
      <c r="G192" s="29" t="inlineStr">
        <is>
          <t>malaga:saglik</t>
        </is>
      </c>
      <c r="H192" s="29" t="inlineStr">
        <is>
          <t>Málaga'daki büyük hastaneler: Regional (Carlos Haya) adresi, santral 951 29 00 00, acil 951 03 14 37</t>
        </is>
      </c>
      <c r="I192" s="29" t="inlineStr">
        <is>
          <t>Evet</t>
        </is>
      </c>
      <c r="J192" s="29" t="inlineStr">
        <is>
          <t>Lisans kanıtları/98fd194c1123e57b4878023899438dccec87ffc12b8e4a6b2a1a8dd3ed1ab5a4.html</t>
        </is>
      </c>
      <c r="K192" s="29" t="inlineStr">
        <is>
          <t>98fd194c1123e57b4878023899438dccec87ffc12b8e4a6b2a1a8dd3ed1ab5a4</t>
        </is>
      </c>
    </row>
    <row r="193" ht="54" customHeight="1">
      <c r="A193" s="29" t="inlineStr">
        <is>
          <t>malaga:kaynak:196</t>
        </is>
      </c>
      <c r="B193" s="29" t="inlineStr">
        <is>
          <t>malaga</t>
        </is>
      </c>
      <c r="C193" s="29" t="inlineStr">
        <is>
          <t>Hospital Materno-Infantil del H.U.R. de Málaga | Servicio Andaluz de Salud</t>
        </is>
      </c>
      <c r="D193" s="29" t="inlineStr">
        <is>
          <t>Servicio Andaluz de Salud (Junta de Andalucía)</t>
        </is>
      </c>
      <c r="E193" s="29" t="inlineStr">
        <is>
          <t>https://www.sspa.juntadeandalucia.es/servicioandaluzdesalud/el-sas/servicios-y-centros/informacion-por-centros/16466</t>
        </is>
      </c>
      <c r="F193" s="49" t="n">
        <v>46320</v>
      </c>
      <c r="G193" s="29" t="inlineStr">
        <is>
          <t>malaga:saglik</t>
        </is>
      </c>
      <c r="H193" s="29" t="inlineStr">
        <is>
          <t>Çocuk/doğum hastanesi adresi ve acil telefonu</t>
        </is>
      </c>
      <c r="I193" s="29" t="inlineStr">
        <is>
          <t>Evet</t>
        </is>
      </c>
      <c r="J193" s="29" t="inlineStr">
        <is>
          <t>Lisans kanıtları/842d416db55d9e29e40a3094085fff115315e9d834cddd4b2b487c477090db15.html</t>
        </is>
      </c>
      <c r="K193" s="29" t="inlineStr">
        <is>
          <t>842d416db55d9e29e40a3094085fff115315e9d834cddd4b2b487c477090db15</t>
        </is>
      </c>
    </row>
    <row r="194" ht="54" customHeight="1">
      <c r="A194" s="29" t="inlineStr">
        <is>
          <t>malaga:kaynak:197</t>
        </is>
      </c>
      <c r="B194" s="29" t="inlineStr">
        <is>
          <t>malaga</t>
        </is>
      </c>
      <c r="C194" s="29" t="inlineStr">
        <is>
          <t>Hospital Universitario Virgen de la Victoria | Servicio Andaluz de Salud</t>
        </is>
      </c>
      <c r="D194" s="29" t="inlineStr">
        <is>
          <t>Servicio Andaluz de Salud (Junta de Andalucía)</t>
        </is>
      </c>
      <c r="E194" s="29" t="inlineStr">
        <is>
          <t>https://www.sspa.juntadeandalucia.es/servicioandaluzdesalud/el-sas/servicios-y-centros/informacion-por-centros/16471</t>
        </is>
      </c>
      <c r="F194" s="49" t="n">
        <v>46320</v>
      </c>
      <c r="G194" s="29" t="inlineStr">
        <is>
          <t>malaga:saglik</t>
        </is>
      </c>
      <c r="H194" s="29" t="inlineStr">
        <is>
          <t>Málaga'daki büyük hastaneler: Virgen de la Victoria (Clínico) adresi ve telefonları</t>
        </is>
      </c>
      <c r="I194" s="29" t="inlineStr">
        <is>
          <t>Evet</t>
        </is>
      </c>
      <c r="J194" s="29" t="inlineStr">
        <is>
          <t>Lisans kanıtları/f92acab2a4f29423501faaea7d39a438f8474e2758c89cc07f03209b0f6a7305.html</t>
        </is>
      </c>
      <c r="K194" s="29" t="inlineStr">
        <is>
          <t>f92acab2a4f29423501faaea7d39a438f8474e2758c89cc07f03209b0f6a7305</t>
        </is>
      </c>
    </row>
    <row r="195" ht="54" customHeight="1">
      <c r="A195" s="29" t="inlineStr">
        <is>
          <t>malaga:kaynak:198</t>
        </is>
      </c>
      <c r="B195" s="29" t="inlineStr">
        <is>
          <t>malaga</t>
        </is>
      </c>
      <c r="C195" s="29" t="inlineStr">
        <is>
          <t>Cita previa - Hospital Universitario Regional de Málaga</t>
        </is>
      </c>
      <c r="D195" s="29" t="inlineStr">
        <is>
          <t>Hospital Universitario Regional de Málaga (SAS)</t>
        </is>
      </c>
      <c r="E195" s="29" t="inlineStr">
        <is>
          <t>https://www.sspa.juntadeandalucia.es/servicioandaluzdesalud/hospital/regional-malaga/ciudadania/atencion-a-la-ciudadania/cita-previa</t>
        </is>
      </c>
      <c r="F195" s="49" t="n">
        <v>46320</v>
      </c>
      <c r="G195" s="29" t="inlineStr">
        <is>
          <t>malaga:saglik</t>
        </is>
      </c>
      <c r="H195" s="29" t="inlineStr">
        <is>
          <t>Hastane randevusu nasıl alınır (telefon, web/uygulama, yüz yüze), erişim noktası saatleri</t>
        </is>
      </c>
      <c r="I195" s="29" t="inlineStr">
        <is>
          <t>Evet</t>
        </is>
      </c>
      <c r="J195" s="29" t="inlineStr">
        <is>
          <t>Lisans kanıtları/d5c780698591ace85beca022a71adb961c3bdc22ef8b40731f3b2696079ea8b4.html</t>
        </is>
      </c>
      <c r="K195" s="29" t="inlineStr">
        <is>
          <t>d5c780698591ace85beca022a71adb961c3bdc22ef8b40731f3b2696079ea8b4</t>
        </is>
      </c>
    </row>
    <row r="196" ht="54" customHeight="1">
      <c r="A196" s="29" t="inlineStr">
        <is>
          <t>malaga:kaynak:199</t>
        </is>
      </c>
      <c r="B196" s="29" t="inlineStr">
        <is>
          <t>malaga</t>
        </is>
      </c>
      <c r="C196" s="29" t="inlineStr">
        <is>
          <t>Distrito Sanitario Málaga-Guadalhorce</t>
        </is>
      </c>
      <c r="D196" s="29" t="inlineStr">
        <is>
          <t>Distrito Sanitario Málaga-Guadalhorce (SAS)</t>
        </is>
      </c>
      <c r="E196" s="29" t="inlineStr">
        <is>
          <t>https://www.sspa.juntadeandalucia.es/servicioandaluzdesalud/distritomalaga/f/5016e278d5abe64ebaf41a4e960eb90e</t>
        </is>
      </c>
      <c r="F196" s="49" t="n">
        <v>46320</v>
      </c>
      <c r="G196" s="29" t="inlineStr">
        <is>
          <t>malaga:saglik</t>
        </is>
      </c>
      <c r="H196" s="29" t="inlineStr">
        <is>
          <t>Málaga şehir sağlık bölgesi ve sağlık merkezleri (Alameda-Perchel, Campanillas, Capuchinos...) iletişim listesi</t>
        </is>
      </c>
      <c r="I196" s="29" t="inlineStr">
        <is>
          <t>Evet</t>
        </is>
      </c>
      <c r="J196" s="29" t="inlineStr">
        <is>
          <t>Lisans kanıtları/f209636a3e776f320e4337ead12d37c65560f612e9c67510817757454727d969.html</t>
        </is>
      </c>
      <c r="K196" s="29" t="inlineStr">
        <is>
          <t>f209636a3e776f320e4337ead12d37c65560f612e9c67510817757454727d969</t>
        </is>
      </c>
    </row>
    <row r="197" ht="54" customHeight="1">
      <c r="A197" s="29" t="inlineStr">
        <is>
          <t>malaga:kaynak:200</t>
        </is>
      </c>
      <c r="B197" s="29" t="inlineStr">
        <is>
          <t>malaga</t>
        </is>
      </c>
      <c r="C197" s="29" t="inlineStr">
        <is>
          <t>Novedades relevantes del Calendario de Vacunaciones de Andalucía 2026 | Servicio Andaluz de Salud</t>
        </is>
      </c>
      <c r="D197" s="29" t="inlineStr">
        <is>
          <t>Servicio Andaluz de Salud (Junta de Andalucía)</t>
        </is>
      </c>
      <c r="E197" s="29" t="inlineStr">
        <is>
          <t>https://www.sspa.juntadeandalucia.es/servicioandaluzdesalud/archivo-comunicado/novedades-relevantes-del-calendario-de-vacunaciones-de-andalucia-2026</t>
        </is>
      </c>
      <c r="F197" s="49" t="n">
        <v>46320</v>
      </c>
      <c r="G197" s="29" t="inlineStr">
        <is>
          <t>malaga:saglik</t>
        </is>
      </c>
      <c r="H197" s="29" t="inlineStr">
        <is>
          <t>Endülüs aşı takvimi 2026 değişiklikleri (çocuk/ergen)</t>
        </is>
      </c>
      <c r="I197" s="29" t="inlineStr">
        <is>
          <t>Evet</t>
        </is>
      </c>
      <c r="J197" s="29" t="inlineStr">
        <is>
          <t>Lisans kanıtları/35e4c4236599fce0276a78b7580f4bcac3e18d08aa3bd80c175212ea1ad5bc29.html</t>
        </is>
      </c>
      <c r="K197" s="29" t="inlineStr">
        <is>
          <t>35e4c4236599fce0276a78b7580f4bcac3e18d08aa3bd80c175212ea1ad5bc29</t>
        </is>
      </c>
    </row>
    <row r="198" ht="54" customHeight="1">
      <c r="A198" s="29" t="inlineStr">
        <is>
          <t>malaga:kaynak:202</t>
        </is>
      </c>
      <c r="B198" s="29" t="inlineStr">
        <is>
          <t>malaga</t>
        </is>
      </c>
      <c r="C198" s="29" t="inlineStr">
        <is>
          <t>Información e inscripción como persona demandante de servicios de empleo - Junta de Andalucía</t>
        </is>
      </c>
      <c r="D198" s="29" t="inlineStr">
        <is>
          <t>Servicio Andaluz de Empleo (Junta de Andalucía)</t>
        </is>
      </c>
      <c r="E198" s="29" t="inlineStr">
        <is>
          <t>https://www.juntadeandalucia.es/organismos/sae/areas/demanda-empleo/inscripcion-demandante.html</t>
        </is>
      </c>
      <c r="F198" s="49" t="n">
        <v>46320</v>
      </c>
      <c r="G198" s="29" t="inlineStr">
        <is>
          <t>malaga:is</t>
        </is>
      </c>
      <c r="H198" s="29" t="inlineStr">
        <is>
          <t>SAE'ye iş arayan olarak kayıt (demanda de empleo)</t>
        </is>
      </c>
      <c r="I198" s="29" t="inlineStr">
        <is>
          <t>Evet</t>
        </is>
      </c>
      <c r="J198" s="29" t="inlineStr">
        <is>
          <t>Lisans kanıtları/c60d44e81028ed7900e0b9e8db89db82b8ede4c173b438a623b69aec031639bf.html</t>
        </is>
      </c>
      <c r="K198" s="29" t="inlineStr">
        <is>
          <t>c60d44e81028ed7900e0b9e8db89db82b8ede4c173b438a623b69aec031639bf</t>
        </is>
      </c>
    </row>
    <row r="199" ht="54" customHeight="1">
      <c r="A199" s="29" t="inlineStr">
        <is>
          <t>malaga:kaynak:205</t>
        </is>
      </c>
      <c r="B199" s="29" t="inlineStr">
        <is>
          <t>malaga</t>
        </is>
      </c>
      <c r="C199" s="29" t="inlineStr">
        <is>
          <t>Programa Andalucía Orienta - Junta de Andalucía</t>
        </is>
      </c>
      <c r="D199" s="29" t="inlineStr">
        <is>
          <t>Servicio Andaluz de Empleo (Junta de Andalucía)</t>
        </is>
      </c>
      <c r="E199" s="29" t="inlineStr">
        <is>
          <t>https://www.juntadeandalucia.es/organismos/sae/areas/mejora-empleabilidad/andalucia-orienta.html</t>
        </is>
      </c>
      <c r="F199" s="49" t="n">
        <v>46320</v>
      </c>
      <c r="G199" s="29" t="inlineStr">
        <is>
          <t>malaga:is</t>
        </is>
      </c>
      <c r="H199" s="29" t="inlineStr">
        <is>
          <t>Ücretsiz iş arama danışmanlığı ve yönlendirme programı</t>
        </is>
      </c>
      <c r="I199" s="29" t="inlineStr">
        <is>
          <t>Evet</t>
        </is>
      </c>
      <c r="J199" s="29" t="inlineStr">
        <is>
          <t>Lisans kanıtları/77644206ab956fab3f2c5b56acc8c9c5e72bbe619740055f9ddb21c60b7c2da2.html</t>
        </is>
      </c>
      <c r="K199" s="29" t="inlineStr">
        <is>
          <t>77644206ab956fab3f2c5b56acc8c9c5e72bbe619740055f9ddb21c60b7c2da2</t>
        </is>
      </c>
    </row>
    <row r="200" ht="54" customHeight="1">
      <c r="A200" s="29" t="inlineStr">
        <is>
          <t>malaga:kaynak:206</t>
        </is>
      </c>
      <c r="B200" s="29" t="inlineStr">
        <is>
          <t>malaga</t>
        </is>
      </c>
      <c r="C200" s="29" t="inlineStr">
        <is>
          <t>Programa Andalucía Orienta</t>
        </is>
      </c>
      <c r="D200" s="29" t="inlineStr">
        <is>
          <t>Instituto Municipal para la Formación y el Empleo (Ayuntamiento de Málaga)</t>
        </is>
      </c>
      <c r="E200" s="29" t="inlineStr">
        <is>
          <t>https://imfe.malaga.eu/empleo/programa-andalucia-orienta/</t>
        </is>
      </c>
      <c r="F200" s="49" t="n">
        <v>46320</v>
      </c>
      <c r="G200" s="29" t="inlineStr">
        <is>
          <t>malaga:is</t>
        </is>
      </c>
      <c r="H200" s="29" t="inlineStr">
        <is>
          <t>Málaga'da Andalucía Orienta birimi (Teatinos, C/ Pablo Bruna 1) ve iş yönlendirme</t>
        </is>
      </c>
      <c r="I200" s="29" t="inlineStr">
        <is>
          <t>Evet</t>
        </is>
      </c>
      <c r="J200" s="29" t="inlineStr">
        <is>
          <t>Lisans kanıtları/e99fc47d23c01f45ae4707bd5fa4640457d36fd9a82c4b1c271ac78c728f9a45.html</t>
        </is>
      </c>
      <c r="K200" s="29" t="inlineStr">
        <is>
          <t>e99fc47d23c01f45ae4707bd5fa4640457d36fd9a82c4b1c271ac78c728f9a45</t>
        </is>
      </c>
    </row>
    <row r="201" ht="54" customHeight="1">
      <c r="A201" s="29" t="inlineStr">
        <is>
          <t>malaga:kaynak:207</t>
        </is>
      </c>
      <c r="B201" s="29" t="inlineStr">
        <is>
          <t>malaga</t>
        </is>
      </c>
      <c r="C201" s="29" t="inlineStr">
        <is>
          <t>Empleo</t>
        </is>
      </c>
      <c r="D201" s="29" t="inlineStr">
        <is>
          <t>Instituto Municipal para la Formación y el Empleo (Ayuntamiento de Málaga)</t>
        </is>
      </c>
      <c r="E201" s="29" t="inlineStr">
        <is>
          <t>https://imfe.malaga.eu/empleo/index.html</t>
        </is>
      </c>
      <c r="F201" s="49" t="n">
        <v>46320</v>
      </c>
      <c r="G201" s="29" t="inlineStr">
        <is>
          <t>malaga:is</t>
        </is>
      </c>
      <c r="H201" s="29" t="inlineStr">
        <is>
          <t>Belediyenin iş arama hizmetleri: Agencia Municipal de Colocación, yönlendirme</t>
        </is>
      </c>
      <c r="I201" s="29" t="inlineStr">
        <is>
          <t>Evet</t>
        </is>
      </c>
      <c r="J201" s="29" t="inlineStr">
        <is>
          <t>Lisans kanıtları/8e841a27f67fd422cc36a420aa992b61473f45c918d61ad1da0d78fd4d406ff9.html</t>
        </is>
      </c>
      <c r="K201" s="29" t="inlineStr">
        <is>
          <t>8e841a27f67fd422cc36a420aa992b61473f45c918d61ad1da0d78fd4d406ff9</t>
        </is>
      </c>
    </row>
    <row r="202" ht="54" customHeight="1">
      <c r="A202" s="29" t="inlineStr">
        <is>
          <t>malaga:kaynak:208</t>
        </is>
      </c>
      <c r="B202" s="29" t="inlineStr">
        <is>
          <t>malaga</t>
        </is>
      </c>
      <c r="C202" s="29" t="inlineStr">
        <is>
          <t>Detalle de Oficina</t>
        </is>
      </c>
      <c r="D202" s="29" t="inlineStr">
        <is>
          <t>Servicio Público de Empleo Estatal (SEPE)</t>
        </is>
      </c>
      <c r="E202" s="29" t="inlineStr">
        <is>
          <t>https://www.sepe.es/HomeSepe/en/que-es-el-sepe/que-es-el-sepe/Red-de-oficinas/DetalleOficina.html?idOficina=1922c2e0-f157-4252-bf6a-778db57792a7</t>
        </is>
      </c>
      <c r="F202" s="49" t="n">
        <v>46320</v>
      </c>
      <c r="G202" s="29" t="inlineStr">
        <is>
          <t>malaga:is</t>
        </is>
      </c>
      <c r="H202" s="29" t="inlineStr">
        <is>
          <t>Málaga'da SEPE işsizlik ödeneği/iş bürosu adresi (Teatinos, Kandinsky 26)</t>
        </is>
      </c>
      <c r="I202" s="29" t="inlineStr">
        <is>
          <t>Evet</t>
        </is>
      </c>
      <c r="J202" s="29" t="inlineStr">
        <is>
          <t>Lisans kanıtları/4911e1ba16294e76c86f268a520d3549a2e07d5ae62fce8df2e0fd72bfc60804.html</t>
        </is>
      </c>
      <c r="K202" s="29" t="inlineStr">
        <is>
          <t>4911e1ba16294e76c86f268a520d3549a2e07d5ae62fce8df2e0fd72bfc60804</t>
        </is>
      </c>
    </row>
    <row r="203" ht="54" customHeight="1">
      <c r="A203" s="29" t="inlineStr">
        <is>
          <t>malaga:kaynak:209</t>
        </is>
      </c>
      <c r="B203" s="29" t="inlineStr">
        <is>
          <t>malaga</t>
        </is>
      </c>
      <c r="C203" s="29" t="inlineStr">
        <is>
          <t>El SEPE ofrece al ciudadano un teléfono oficial de cita previa</t>
        </is>
      </c>
      <c r="D203" s="29" t="inlineStr">
        <is>
          <t>Servicio Público de Empleo Estatal (SEPE)</t>
        </is>
      </c>
      <c r="E203" s="29" t="inlineStr">
        <is>
          <t>https://www.sepe.es/HomeSepe/en/que-es-el-sepe/comunicacion-institucional/noticias/detalle-noticia.html?folder=%2F2022%2FAgosto%2F&amp;detail=El-SEPE-ofrece-al-ciudadano-un-telefono-oficial-de-cita-previa-</t>
        </is>
      </c>
      <c r="F203" s="49" t="n">
        <v>46320</v>
      </c>
      <c r="G203" s="29" t="inlineStr">
        <is>
          <t>malaga:is</t>
        </is>
      </c>
      <c r="H203" s="29" t="inlineStr">
        <is>
          <t>Paro (işsizlik) için SEPE randevu telefonu; 2022 tarihli haber, güncelliği teyit edilmeli</t>
        </is>
      </c>
      <c r="I203" s="29" t="inlineStr">
        <is>
          <t>Evet</t>
        </is>
      </c>
      <c r="J203" s="29" t="inlineStr">
        <is>
          <t>Lisans kanıtları/a9135150adf9db08d8e7923f37469976d3f59ef10dd760594ffa638c943c46e8.html</t>
        </is>
      </c>
      <c r="K203" s="29" t="inlineStr">
        <is>
          <t>a9135150adf9db08d8e7923f37469976d3f59ef10dd760594ffa638c943c46e8</t>
        </is>
      </c>
    </row>
    <row r="204" ht="54" customHeight="1">
      <c r="A204" s="29" t="inlineStr">
        <is>
          <t>malaga:kaynak:210</t>
        </is>
      </c>
      <c r="B204" s="29" t="inlineStr">
        <is>
          <t>malaga</t>
        </is>
      </c>
      <c r="C204" s="29" t="inlineStr">
        <is>
          <t>Málaga Emprende – PROMALAGA</t>
        </is>
      </c>
      <c r="D204" s="29" t="inlineStr">
        <is>
          <t>Promálaga (Ayuntamiento de Málaga)</t>
        </is>
      </c>
      <c r="E204" s="29" t="inlineStr">
        <is>
          <t>https://www.promalaga.es/malaga-emprende/</t>
        </is>
      </c>
      <c r="F204" s="49" t="n">
        <v>46320</v>
      </c>
      <c r="G204" s="29" t="inlineStr">
        <is>
          <t>malaga:is</t>
        </is>
      </c>
      <c r="H204" s="29" t="inlineStr">
        <is>
          <t>Málaga'da şirket kurma / girişimci desteği (ücretsiz şirket kuruluşu)</t>
        </is>
      </c>
      <c r="I204" s="29" t="inlineStr">
        <is>
          <t>Evet</t>
        </is>
      </c>
      <c r="J204" s="29" t="inlineStr">
        <is>
          <t>Lisans kanıtları/c44c6ba8b72593104e14007d46851904444a59ba78cf8187175a81c0040b29e8.html</t>
        </is>
      </c>
      <c r="K204" s="29" t="inlineStr">
        <is>
          <t>c44c6ba8b72593104e14007d46851904444a59ba78cf8187175a81c0040b29e8</t>
        </is>
      </c>
    </row>
    <row r="205" ht="54" customHeight="1">
      <c r="A205" s="29" t="inlineStr">
        <is>
          <t>malaga:kaynak:211</t>
        </is>
      </c>
      <c r="B205" s="29" t="inlineStr">
        <is>
          <t>malaga</t>
        </is>
      </c>
      <c r="C205" s="29" t="inlineStr">
        <is>
          <t>Promálaga amplía sus servicios a emprendedores y tramitará de forma gratuita la constitución de empresas – PROMALAGA</t>
        </is>
      </c>
      <c r="D205" s="29" t="inlineStr">
        <is>
          <t>Promálaga (Ayuntamiento de Málaga)</t>
        </is>
      </c>
      <c r="E205" s="29" t="inlineStr">
        <is>
          <t>https://www.promalaga.es/promalaga-amplia-sus-servicios-a-emprendedores-y-tramitara-de-forma-gratuita-la-constitucion-de-empresas/</t>
        </is>
      </c>
      <c r="F205" s="49" t="n">
        <v>46320</v>
      </c>
      <c r="G205" s="29" t="inlineStr">
        <is>
          <t>malaga:is</t>
        </is>
      </c>
      <c r="H205" s="29" t="inlineStr">
        <is>
          <t>Autónomo alta ve şirket kuruluşu için PAE (CIRCE), randevu telefonu</t>
        </is>
      </c>
      <c r="I205" s="29" t="inlineStr">
        <is>
          <t>Evet</t>
        </is>
      </c>
      <c r="J205" s="29" t="inlineStr">
        <is>
          <t>Lisans kanıtları/f12c5b7598e03734204119d3a9ec5de07ef63ecdbf6990ffeec2789650c64f87.html</t>
        </is>
      </c>
      <c r="K205" s="29" t="inlineStr">
        <is>
          <t>f12c5b7598e03734204119d3a9ec5de07ef63ecdbf6990ffeec2789650c64f87</t>
        </is>
      </c>
    </row>
    <row r="206" ht="54" customHeight="1">
      <c r="A206" s="29" t="inlineStr">
        <is>
          <t>malaga:kaynak:212</t>
        </is>
      </c>
      <c r="B206" s="29" t="inlineStr">
        <is>
          <t>malaga</t>
        </is>
      </c>
      <c r="C206" s="29" t="inlineStr">
        <is>
          <t>CADE Málaga - PTA - Andalucía Emprende, Fundación Pública Andaluza</t>
        </is>
      </c>
      <c r="D206" s="29" t="inlineStr">
        <is>
          <t>Andalucía Emprende, Fundación Pública Andaluza (Junta de Andalucía)</t>
        </is>
      </c>
      <c r="E206" s="29" t="inlineStr">
        <is>
          <t>https://www.andaluciaemprende.es/CADE/cade-malaga-pta/</t>
        </is>
      </c>
      <c r="F206" s="49" t="n">
        <v>46320</v>
      </c>
      <c r="G206" s="29" t="inlineStr">
        <is>
          <t>malaga:is</t>
        </is>
      </c>
      <c r="H206" s="29" t="inlineStr">
        <is>
          <t>Málaga'da girişimci/autónomo destek merkezi (CADE) adresi ve hizmetleri</t>
        </is>
      </c>
      <c r="I206" s="29" t="inlineStr">
        <is>
          <t>Evet</t>
        </is>
      </c>
      <c r="J206" s="29" t="inlineStr">
        <is>
          <t>Lisans kanıtları/40b4c08246fb163fe3680e31b7b7890c15ef6ad8d50a160c3e0e9fdeb5024935.html</t>
        </is>
      </c>
      <c r="K206" s="29" t="inlineStr">
        <is>
          <t>40b4c08246fb163fe3680e31b7b7890c15ef6ad8d50a160c3e0e9fdeb5024935</t>
        </is>
      </c>
    </row>
    <row r="207" ht="54" customHeight="1">
      <c r="A207" s="29" t="inlineStr">
        <is>
          <t>malaga:kaynak:213</t>
        </is>
      </c>
      <c r="B207" s="29" t="inlineStr">
        <is>
          <t>malaga</t>
        </is>
      </c>
      <c r="C207" s="29" t="inlineStr">
        <is>
          <t>Coordinación Provincial de Andalucía Emprende en Málaga - Andalucía Emprende, Fundación Pública Andaluza - Junta de Andalucía</t>
        </is>
      </c>
      <c r="D207" s="29" t="inlineStr">
        <is>
          <t>Andalucía Emprende (Junta de Andalucía)</t>
        </is>
      </c>
      <c r="E207" s="29" t="inlineStr">
        <is>
          <t>https://www.juntadeandalucia.es/organismos/ae/estructura/estructura-territorial/cpmalaga.html</t>
        </is>
      </c>
      <c r="F207" s="49" t="n">
        <v>46320</v>
      </c>
      <c r="G207" s="29" t="inlineStr">
        <is>
          <t>malaga:is</t>
        </is>
      </c>
      <c r="H207" s="29" t="inlineStr">
        <is>
          <t>Málaga ili girişimci destek ağı koordinasyonu: Puerto de Málaga, telefon</t>
        </is>
      </c>
      <c r="I207" s="29" t="inlineStr">
        <is>
          <t>Evet</t>
        </is>
      </c>
      <c r="J207" s="29" t="inlineStr">
        <is>
          <t>Lisans kanıtları/5f8a4a3329ae05fa7fb3693d278b54467dbcdde7e2271cff6ebf8b7dd5e780a9.html</t>
        </is>
      </c>
      <c r="K207" s="29" t="inlineStr">
        <is>
          <t>5f8a4a3329ae05fa7fb3693d278b54467dbcdde7e2271cff6ebf8b7dd5e780a9</t>
        </is>
      </c>
    </row>
    <row r="208" ht="54" customHeight="1">
      <c r="A208" s="29" t="inlineStr">
        <is>
          <t>malaga:kaynak:215</t>
        </is>
      </c>
      <c r="B208" s="29" t="inlineStr">
        <is>
          <t>malaga</t>
        </is>
      </c>
      <c r="C208" s="29" t="inlineStr">
        <is>
          <t>Escolarización de Infantil a Bachillerato - Escolarización 2026/2027 - Educación</t>
        </is>
      </c>
      <c r="D208" s="29" t="inlineStr">
        <is>
          <t>Consejería de Educación (Junta de Andalucía)</t>
        </is>
      </c>
      <c r="E208" s="29" t="inlineStr">
        <is>
          <t>https://www.juntadeandalucia.es/educacion/portales/web/escolarizacion/infantil-a-bachillerato</t>
        </is>
      </c>
      <c r="F208" s="49" t="n">
        <v>46320</v>
      </c>
      <c r="G208" s="29" t="inlineStr">
        <is>
          <t>malaga:aile</t>
        </is>
      </c>
      <c r="H208" s="29" t="inlineStr">
        <is>
          <t>Okul kaydı nasıl yapılır: çevrimiçi başvuru (Secretaría Virtual), 2026/27 plazo 1-31 Mart (sayfalar arası tutarsızlık: takvimde 7 Nisan)</t>
        </is>
      </c>
      <c r="I208" s="29" t="inlineStr">
        <is>
          <t>Evet</t>
        </is>
      </c>
      <c r="J208" s="29" t="inlineStr">
        <is>
          <t>Lisans kanıtları/af02a0e70a946e4d14a0c9836f2d34c9ee5e364833db32dd506362ff70022095.html</t>
        </is>
      </c>
      <c r="K208" s="29" t="inlineStr">
        <is>
          <t>af02a0e70a946e4d14a0c9836f2d34c9ee5e364833db32dd506362ff70022095</t>
        </is>
      </c>
    </row>
    <row r="209" ht="54" customHeight="1">
      <c r="A209" s="29" t="inlineStr">
        <is>
          <t>malaga:kaynak:216</t>
        </is>
      </c>
      <c r="B209" s="29" t="inlineStr">
        <is>
          <t>malaga</t>
        </is>
      </c>
      <c r="C209" s="29" t="inlineStr">
        <is>
          <t>Calendario: Infantil a Bachillerato - Escolarización 2026/2027 - Educación</t>
        </is>
      </c>
      <c r="D209" s="29" t="inlineStr">
        <is>
          <t>Consejería de Educación (Junta de Andalucía)</t>
        </is>
      </c>
      <c r="E209" s="29" t="inlineStr">
        <is>
          <t>https://www.juntadeandalucia.es/educacion/portales/web/escolarizacion/infantil-a-bachillerato/calendario</t>
        </is>
      </c>
      <c r="F209" s="49" t="n">
        <v>46320</v>
      </c>
      <c r="G209" s="29" t="inlineStr">
        <is>
          <t>malaga:aile</t>
        </is>
      </c>
      <c r="H209" s="29" t="inlineStr">
        <is>
          <t>Başvuru tarihleri takvimi (2026/27: 1 Mart-7 Nisan, kura 13 Mayıs); 2027/28 takvimi yayınlanınca güncel mi kontrol edilmeli</t>
        </is>
      </c>
      <c r="I209" s="29" t="inlineStr">
        <is>
          <t>Evet</t>
        </is>
      </c>
      <c r="J209" s="29" t="inlineStr">
        <is>
          <t>Lisans kanıtları/978726dad6332e2819478922e73a258e5b93a8f67edb079ac131c77d30a744cd.html</t>
        </is>
      </c>
      <c r="K209" s="29" t="inlineStr">
        <is>
          <t>978726dad6332e2819478922e73a258e5b93a8f67edb079ac131c77d30a744cd</t>
        </is>
      </c>
    </row>
    <row r="210" ht="54" customHeight="1">
      <c r="A210" s="29" t="inlineStr">
        <is>
          <t>malaga:kaynak:217</t>
        </is>
      </c>
      <c r="B210" s="29" t="inlineStr">
        <is>
          <t>malaga</t>
        </is>
      </c>
      <c r="C210" s="29" t="inlineStr">
        <is>
          <t>Escolarización de cero a tres años - Escolarización 2026/2027 - Educación</t>
        </is>
      </c>
      <c r="D210" s="29" t="inlineStr">
        <is>
          <t>Consejería de Educación (Junta de Andalucía)</t>
        </is>
      </c>
      <c r="E210" s="29" t="inlineStr">
        <is>
          <t>https://www.juntadeandalucia.es/educacion/portales/web/escolarizacion/0-a-3-anos</t>
        </is>
      </c>
      <c r="F210" s="49" t="n">
        <v>46320</v>
      </c>
      <c r="G210" s="29" t="inlineStr">
        <is>
          <t>malaga:aile</t>
        </is>
      </c>
      <c r="H210" s="29" t="inlineStr">
        <is>
          <t>Kreş (0-3 yaş) başvurusu: rezerv ve olağan süreç (Nisan), aile yardımı programı</t>
        </is>
      </c>
      <c r="I210" s="29" t="inlineStr">
        <is>
          <t>Evet</t>
        </is>
      </c>
      <c r="J210" s="29" t="inlineStr">
        <is>
          <t>Lisans kanıtları/62739d1e1bdb529170374cf7d8d9eb7b455ed4c2871bd78bc1fc2452c7b9e507.html</t>
        </is>
      </c>
      <c r="K210" s="29" t="inlineStr">
        <is>
          <t>62739d1e1bdb529170374cf7d8d9eb7b455ed4c2871bd78bc1fc2452c7b9e507</t>
        </is>
      </c>
    </row>
    <row r="211" ht="54" customHeight="1">
      <c r="A211" s="29" t="inlineStr">
        <is>
          <t>malaga:kaynak:218</t>
        </is>
      </c>
      <c r="B211" s="29" t="inlineStr">
        <is>
          <t>malaga</t>
        </is>
      </c>
      <c r="C211" s="29" t="inlineStr">
        <is>
          <t>Contacto en Málaga - Educación</t>
        </is>
      </c>
      <c r="D211" s="29" t="inlineStr">
        <is>
          <t>Delegación Territorial de Educación en Málaga (Junta de Andalucía)</t>
        </is>
      </c>
      <c r="E211" s="29" t="inlineStr">
        <is>
          <t>https://www.juntadeandalucia.es/educacion/portales/malaga/contacto</t>
        </is>
      </c>
      <c r="F211" s="49" t="n">
        <v>46320</v>
      </c>
      <c r="G211" s="29" t="inlineStr">
        <is>
          <t>malaga:aile</t>
        </is>
      </c>
      <c r="H211" s="29" t="inlineStr">
        <is>
          <t>Málaga ilinde okul kaydı/ geç kayıt için ilgili birim (Planificación y Escolarización)</t>
        </is>
      </c>
      <c r="I211" s="29" t="inlineStr">
        <is>
          <t>Evet</t>
        </is>
      </c>
      <c r="J211" s="29" t="inlineStr">
        <is>
          <t>Lisans kanıtları/35a9949ca612d35e3ff30e51e06227ae0faaf3513a7bcf9bc5fdd2d8b410128e.html</t>
        </is>
      </c>
      <c r="K211" s="29" t="inlineStr">
        <is>
          <t>35a9949ca612d35e3ff30e51e06227ae0faaf3513a7bcf9bc5fdd2d8b410128e</t>
        </is>
      </c>
    </row>
    <row r="212" ht="54" customHeight="1">
      <c r="A212" s="29" t="inlineStr">
        <is>
          <t>malaga:kaynak:219</t>
        </is>
      </c>
      <c r="B212" s="29" t="inlineStr">
        <is>
          <t>malaga</t>
        </is>
      </c>
      <c r="C212" s="29" t="inlineStr">
        <is>
          <t>Gratuidad de los libros de texto - Junta de Andalucía</t>
        </is>
      </c>
      <c r="D212" s="29" t="inlineStr">
        <is>
          <t>Junta de Andalucía</t>
        </is>
      </c>
      <c r="E212" s="29" t="inlineStr">
        <is>
          <t>https://www.juntadeandalucia.es/temas/estudiar/becas/libros-texto.html</t>
        </is>
      </c>
      <c r="F212" s="49" t="n">
        <v>46320</v>
      </c>
      <c r="G212" s="29" t="inlineStr">
        <is>
          <t>malaga:aile</t>
        </is>
      </c>
      <c r="H212" s="29" t="inlineStr">
        <is>
          <t>Çocuk desteği: ücretsiz ders kitabı (cheque-libro) kimler için</t>
        </is>
      </c>
      <c r="I212" s="29" t="inlineStr">
        <is>
          <t>Evet</t>
        </is>
      </c>
      <c r="J212" s="29" t="inlineStr">
        <is>
          <t>Lisans kanıtları/6cc340c0cd477e5be9308dedaec76ebca140489c345b4fc617cf73e3aa2576db.html</t>
        </is>
      </c>
      <c r="K212" s="29" t="inlineStr">
        <is>
          <t>6cc340c0cd477e5be9308dedaec76ebca140489c345b4fc617cf73e3aa2576db</t>
        </is>
      </c>
    </row>
    <row r="213" ht="54" customHeight="1">
      <c r="A213" s="29" t="inlineStr">
        <is>
          <t>malaga:kaynak:220</t>
        </is>
      </c>
      <c r="B213" s="29" t="inlineStr">
        <is>
          <t>malaga</t>
        </is>
      </c>
      <c r="C213" s="29" t="inlineStr">
        <is>
          <t>Derechos, ayudas, beneficios y prestaciones de apoyo a la maternidad - Junta de Andalucía</t>
        </is>
      </c>
      <c r="D213" s="29" t="inlineStr">
        <is>
          <t>Junta de Andalucía (Sanidad)</t>
        </is>
      </c>
      <c r="E213" s="29" t="inlineStr">
        <is>
          <t>https://www.juntadeandalucia.es/organismos/sanidadpresidenciayemergencias/areas/sanidad/salud-vida/adulta/paginas/ive-maternidad.html</t>
        </is>
      </c>
      <c r="F213" s="49" t="n">
        <v>46320</v>
      </c>
      <c r="G213" s="29" t="inlineStr">
        <is>
          <t>malaga:aile</t>
        </is>
      </c>
      <c r="H213" s="29" t="inlineStr">
        <is>
          <t>Aile destekleri / annelik yardımları Endülüs'te</t>
        </is>
      </c>
      <c r="I213" s="29" t="inlineStr">
        <is>
          <t>Evet</t>
        </is>
      </c>
      <c r="J213" s="29" t="inlineStr">
        <is>
          <t>Lisans kanıtları/a5e568b6759c6db9b47829e7e36756baa2d7ed0a9c3c512c57d62e7a1a113ded.html</t>
        </is>
      </c>
      <c r="K213" s="29" t="inlineStr">
        <is>
          <t>a5e568b6759c6db9b47829e7e36756baa2d7ed0a9c3c512c57d62e7a1a113ded</t>
        </is>
      </c>
    </row>
    <row r="214" ht="54" customHeight="1">
      <c r="A214" s="29" t="inlineStr">
        <is>
          <t>malaga:kaynak:221</t>
        </is>
      </c>
      <c r="B214" s="29" t="inlineStr">
        <is>
          <t>malaga</t>
        </is>
      </c>
      <c r="C214" s="29" t="inlineStr">
        <is>
          <t>Inscripción de recién nacidos en el Registro Civil - Junta de Andalucía</t>
        </is>
      </c>
      <c r="D214" s="29" t="inlineStr">
        <is>
          <t>Junta de Andalucía (Justicia)</t>
        </is>
      </c>
      <c r="E214" s="29" t="inlineStr">
        <is>
          <t>https://www.juntadeandalucia.es/organismos/justiciaadministracionlocalyfuncionpublica/areas/justicia/atencion-ciudadania/tramites-registro-civil/inscripcion-recien-nacido.html</t>
        </is>
      </c>
      <c r="F214" s="49" t="n">
        <v>46320</v>
      </c>
      <c r="G214" s="29" t="inlineStr">
        <is>
          <t>malaga:aile</t>
        </is>
      </c>
      <c r="H214" s="29" t="inlineStr">
        <is>
          <t>Doğan çocuğun nüfus kaydı: süre ve yer (ikametgâh Registro Civil'i); sayfalar arası süre farkı olabilir, 'hijos' sayfası 8 gün diyor</t>
        </is>
      </c>
      <c r="I214" s="29" t="inlineStr">
        <is>
          <t>Evet</t>
        </is>
      </c>
      <c r="J214" s="29" t="inlineStr">
        <is>
          <t>Lisans kanıtları/6ac4355f10340ba13e3305c42a28668b242b72c4129200f1f014946e6d667d64.html</t>
        </is>
      </c>
      <c r="K214" s="29" t="inlineStr">
        <is>
          <t>6ac4355f10340ba13e3305c42a28668b242b72c4129200f1f014946e6d667d64</t>
        </is>
      </c>
    </row>
    <row r="215" ht="54" customHeight="1">
      <c r="A215" s="29" t="inlineStr">
        <is>
          <t>malaga:kaynak:222</t>
        </is>
      </c>
      <c r="B215" s="29" t="inlineStr">
        <is>
          <t>malaga</t>
        </is>
      </c>
      <c r="C215" s="29" t="inlineStr">
        <is>
          <t>Ministerio de Justicia - Direcciones y teléfonos</t>
        </is>
      </c>
      <c r="D215" s="29" t="inlineStr">
        <is>
          <t>Ministerio de Justicia</t>
        </is>
      </c>
      <c r="E215" s="29" t="inlineStr">
        <is>
          <t>https://www.mjusticia.gob.es/BUSCADIR/ServletControlador?apartado=buscadorMunicipios&amp;municipio=29067&amp;lang=es_es&amp;tipo=RC</t>
        </is>
      </c>
      <c r="F215" s="49" t="n">
        <v>46320</v>
      </c>
      <c r="G215" s="29" t="inlineStr">
        <is>
          <t>malaga:aile</t>
        </is>
      </c>
      <c r="H215" s="29" t="inlineStr">
        <is>
          <t>Málaga Registro Civil adresi (Fiscal Luis Portero García s/n, 29010)</t>
        </is>
      </c>
      <c r="I215" s="29" t="inlineStr">
        <is>
          <t>Evet</t>
        </is>
      </c>
      <c r="J215" s="29" t="inlineStr">
        <is>
          <t>Lisans kanıtları/1e28652d7ee7b686eaa852ddacd7da2f5de5a2611cf979658d2a1264a5f2801b.html</t>
        </is>
      </c>
      <c r="K215" s="29" t="inlineStr">
        <is>
          <t>1e28652d7ee7b686eaa852ddacd7da2f5de5a2611cf979658d2a1264a5f2801b</t>
        </is>
      </c>
    </row>
    <row r="216" ht="54" customHeight="1">
      <c r="A216" s="29" t="inlineStr">
        <is>
          <t>malaga:kaynak:223</t>
        </is>
      </c>
      <c r="B216" s="29" t="inlineStr">
        <is>
          <t>malaga</t>
        </is>
      </c>
      <c r="C216" s="29" t="inlineStr">
        <is>
          <t>Padrón de habitantes</t>
        </is>
      </c>
      <c r="D216" s="29" t="inlineStr">
        <is>
          <t>Ayuntamiento de Málaga (Gestión Tributaria)</t>
        </is>
      </c>
      <c r="E216" s="29" t="inlineStr">
        <is>
          <t>https://gestrisam.malaga.eu/atencion-a-la-ciudadania/padron-de-habitantes/</t>
        </is>
      </c>
      <c r="F216" s="49" t="n">
        <v>46320</v>
      </c>
      <c r="G216" s="29" t="inlineStr">
        <is>
          <t>malaga:aile</t>
        </is>
      </c>
      <c r="H216" s="29" t="inlineStr">
        <is>
          <t>Çocuğun/ailenin empadronamiento'su ve belediye hizmetlerine erişim şartı</t>
        </is>
      </c>
      <c r="I216" s="29" t="inlineStr">
        <is>
          <t>Evet</t>
        </is>
      </c>
      <c r="J216" s="29" t="inlineStr">
        <is>
          <t>Lisans kanıtları/9a9f00c23b565217cfd288727ae725b4fb0d7dc01825c1eec4d46f7c670a06c9.html</t>
        </is>
      </c>
      <c r="K216" s="29" t="inlineStr">
        <is>
          <t>9a9f00c23b565217cfd288727ae725b4fb0d7dc01825c1eec4d46f7c670a06c9</t>
        </is>
      </c>
    </row>
    <row r="217" ht="54" customHeight="1">
      <c r="A217" s="29" t="inlineStr">
        <is>
          <t>malaga:kaynak:224</t>
        </is>
      </c>
      <c r="B217" s="29" t="inlineStr">
        <is>
          <t>malaga</t>
        </is>
      </c>
      <c r="C217" s="29" t="inlineStr">
        <is>
          <t>Cita previa - Padrón municipal de habitantes</t>
        </is>
      </c>
      <c r="D217" s="29" t="inlineStr">
        <is>
          <t>Ayuntamiento de Málaga (Gestión Tributaria)</t>
        </is>
      </c>
      <c r="E217" s="29" t="inlineStr">
        <is>
          <t>https://gestrisam.malaga.eu/atencion-a-la-ciudadania/atencion-presencial/cita-previa-padron-municipal-de-habitantes/</t>
        </is>
      </c>
      <c r="F217" s="49" t="n">
        <v>46320</v>
      </c>
      <c r="G217" s="29" t="inlineStr">
        <is>
          <t>malaga:aile</t>
        </is>
      </c>
      <c r="H217" s="29" t="inlineStr">
        <is>
          <t>Málaga'da padrón işlemleri için randevu (bebek empadronamiento)</t>
        </is>
      </c>
      <c r="I217" s="29" t="inlineStr">
        <is>
          <t>Evet</t>
        </is>
      </c>
      <c r="J217" s="29" t="inlineStr">
        <is>
          <t>Lisans kanıtları/d7ab94039aea7fb071dc823bd663cbd3038245185897381aedfdfcdd8da628a8.html</t>
        </is>
      </c>
      <c r="K217" s="29" t="inlineStr">
        <is>
          <t>d7ab94039aea7fb071dc823bd663cbd3038245185897381aedfdfcdd8da628a8</t>
        </is>
      </c>
    </row>
    <row r="218" ht="54" customHeight="1">
      <c r="A218" s="29" t="inlineStr">
        <is>
          <t>malaga:kaynak:226</t>
        </is>
      </c>
      <c r="B218" s="29" t="inlineStr">
        <is>
          <t>malaga</t>
        </is>
      </c>
      <c r="C218" s="29" t="inlineStr">
        <is>
          <t>Línea Express Aeropuerto | Empresa Malagueña de Transportes, S.A.M.</t>
        </is>
      </c>
      <c r="D218" s="29" t="inlineStr">
        <is>
          <t>EMT Málaga</t>
        </is>
      </c>
      <c r="E218" s="29" t="inlineStr">
        <is>
          <t>https://www.emtmalaga.es/linea-express-aeropuerto</t>
        </is>
      </c>
      <c r="F218" s="49" t="n">
        <v>46320</v>
      </c>
      <c r="G218" s="29" t="inlineStr">
        <is>
          <t>malaga:planlama</t>
        </is>
      </c>
      <c r="H218" s="29" t="inlineStr">
        <is>
          <t>Havalimanından şehre otobüsle (Línea A): ücret 4 euro ve sıklık</t>
        </is>
      </c>
      <c r="I218" s="29" t="inlineStr">
        <is>
          <t>Evet</t>
        </is>
      </c>
      <c r="J218" s="29" t="inlineStr">
        <is>
          <t>Lisans kanıtları/075060bbc79cc300e606599c019804032ae1d775350c252334f0cc611718e322.html</t>
        </is>
      </c>
      <c r="K218" s="29" t="inlineStr">
        <is>
          <t>075060bbc79cc300e606599c019804032ae1d775350c252334f0cc611718e322</t>
        </is>
      </c>
    </row>
    <row r="219" ht="54" customHeight="1">
      <c r="A219" s="29" t="inlineStr">
        <is>
          <t>malaga:kaynak:227</t>
        </is>
      </c>
      <c r="B219" s="29" t="inlineStr">
        <is>
          <t>malaga</t>
        </is>
      </c>
      <c r="C219" s="29" t="inlineStr">
        <is>
          <t>Tarifas | Empresa Malagueña de Transportes, S.A.M.</t>
        </is>
      </c>
      <c r="D219" s="29" t="inlineStr">
        <is>
          <t>EMT Málaga</t>
        </is>
      </c>
      <c r="E219" s="29" t="inlineStr">
        <is>
          <t>https://www.emtmalaga.es/tarifas</t>
        </is>
      </c>
      <c r="F219" s="49" t="n">
        <v>46320</v>
      </c>
      <c r="G219" s="29" t="inlineStr">
        <is>
          <t>malaga:planlama</t>
        </is>
      </c>
      <c r="H219" s="29" t="inlineStr">
        <is>
          <t>Şehir otobüsü bilet ücretleri; havalimanı hattı tarifesi 2026'ya uzatılmış</t>
        </is>
      </c>
      <c r="I219" s="29" t="inlineStr">
        <is>
          <t>Evet</t>
        </is>
      </c>
      <c r="J219" s="29" t="inlineStr">
        <is>
          <t>Lisans kanıtları/3c804726648e0c7985586cd96745b7b28dd310cdcb2d7406cf4ee6d696a9820c.html</t>
        </is>
      </c>
      <c r="K219" s="29" t="inlineStr">
        <is>
          <t>3c804726648e0c7985586cd96745b7b28dd310cdcb2d7406cf4ee6d696a9820c</t>
        </is>
      </c>
    </row>
    <row r="220" ht="54" customHeight="1">
      <c r="A220" s="29" t="inlineStr">
        <is>
          <t>malaga:kaynak:228</t>
        </is>
      </c>
      <c r="B220" s="29" t="inlineStr">
        <is>
          <t>malaga</t>
        </is>
      </c>
      <c r="C220" s="29" t="inlineStr">
        <is>
          <t>Títulos recomendados | Empresa Malagueña de Transportes, S.A.M.</t>
        </is>
      </c>
      <c r="D220" s="29" t="inlineStr">
        <is>
          <t>EMT Málaga</t>
        </is>
      </c>
      <c r="E220" s="29" t="inlineStr">
        <is>
          <t>https://www.emtmalaga.es/titulos-recomendados</t>
        </is>
      </c>
      <c r="F220" s="49" t="n">
        <v>46320</v>
      </c>
      <c r="G220" s="29" t="inlineStr">
        <is>
          <t>malaga:planlama</t>
        </is>
      </c>
      <c r="H220" s="29" t="inlineStr">
        <is>
          <t>Havalimanı çıkışlı yolcu için önerilen bilet türü</t>
        </is>
      </c>
      <c r="I220" s="29" t="inlineStr">
        <is>
          <t>Evet</t>
        </is>
      </c>
      <c r="J220" s="29" t="inlineStr">
        <is>
          <t>Lisans kanıtları/2328efbf3dd87019b0210111b814a91e53b00d25f92c8d911637ffa62390f88e.html</t>
        </is>
      </c>
      <c r="K220" s="29" t="inlineStr">
        <is>
          <t>2328efbf3dd87019b0210111b814a91e53b00d25f92c8d911637ffa62390f88e</t>
        </is>
      </c>
    </row>
    <row r="221" ht="54" customHeight="1">
      <c r="A221" s="29" t="inlineStr">
        <is>
          <t>malaga:kaynak:229</t>
        </is>
      </c>
      <c r="B221" s="29" t="inlineStr">
        <is>
          <t>malaga</t>
        </is>
      </c>
      <c r="C221" s="29" t="inlineStr">
        <is>
          <t>Tarjeta de transporte - Consorcio de Transporte Metropolitano del Área de Málaga</t>
        </is>
      </c>
      <c r="D221" s="29" t="inlineStr">
        <is>
          <t>Consorcio de Transporte Metropolitano del Área de Málaga</t>
        </is>
      </c>
      <c r="E221" s="29" t="inlineStr">
        <is>
          <t>https://ctmam.es/tarjeta-de-transporte/</t>
        </is>
      </c>
      <c r="F221" s="49" t="n">
        <v>46320</v>
      </c>
      <c r="G221" s="29" t="inlineStr">
        <is>
          <t>malaga:planlama</t>
        </is>
      </c>
      <c r="H221" s="29" t="inlineStr">
        <is>
          <t>Metropol ulaşım kartı nedir, nereden alınır (ilk hafta ulaşım)</t>
        </is>
      </c>
      <c r="I221" s="29" t="inlineStr">
        <is>
          <t>Evet</t>
        </is>
      </c>
      <c r="J221" s="29" t="inlineStr">
        <is>
          <t>Lisans kanıtları/bf6a4e828499994256e853c5e51204ea6253d82614bf28aa49b3057311c9b8d5.html</t>
        </is>
      </c>
      <c r="K221" s="29" t="inlineStr">
        <is>
          <t>bf6a4e828499994256e853c5e51204ea6253d82614bf28aa49b3057311c9b8d5</t>
        </is>
      </c>
    </row>
    <row r="222" ht="54" customHeight="1">
      <c r="A222" s="29" t="inlineStr">
        <is>
          <t>malaga:kaynak:230</t>
        </is>
      </c>
      <c r="B222" s="29" t="inlineStr">
        <is>
          <t>malaga</t>
        </is>
      </c>
      <c r="C222" s="29" t="inlineStr">
        <is>
          <t>Renfe Cercanías - Consorcio de Transporte Metropolitano del Área de Málaga</t>
        </is>
      </c>
      <c r="D222" s="29" t="inlineStr">
        <is>
          <t>Consorcio de Transporte Metropolitano del Área de Málaga</t>
        </is>
      </c>
      <c r="E222" s="29" t="inlineStr">
        <is>
          <t>https://ctmam.es/renfe-cercanias/</t>
        </is>
      </c>
      <c r="F222" s="49" t="n">
        <v>46320</v>
      </c>
      <c r="G222" s="29" t="inlineStr">
        <is>
          <t>malaga:planlama</t>
        </is>
      </c>
      <c r="H222" s="29" t="inlineStr">
        <is>
          <t>Cercanías C1/C2 ücretinin atlama sayısına göre hesabı; havalimanı ve gar bağlantısı</t>
        </is>
      </c>
      <c r="I222" s="29" t="inlineStr">
        <is>
          <t>Evet</t>
        </is>
      </c>
      <c r="J222" s="29" t="inlineStr">
        <is>
          <t>Lisans kanıtları/8358938a87a1c75edab43dfdb53f88cd87813f6d088ed85618c9ffec8ffc0cae.html</t>
        </is>
      </c>
      <c r="K222" s="29" t="inlineStr">
        <is>
          <t>8358938a87a1c75edab43dfdb53f88cd87813f6d088ed85618c9ffec8ffc0cae</t>
        </is>
      </c>
    </row>
    <row r="223" ht="54" customHeight="1">
      <c r="A223" s="29" t="inlineStr">
        <is>
          <t>malaga:kaynak:231</t>
        </is>
      </c>
      <c r="B223" s="29" t="inlineStr">
        <is>
          <t>malaga</t>
        </is>
      </c>
      <c r="C223" s="29" t="inlineStr">
        <is>
          <t>Tarifas - Consorcio de Transporte Metropolitano del Área de Málaga</t>
        </is>
      </c>
      <c r="D223" s="29" t="inlineStr">
        <is>
          <t>Consorcio de Transporte Metropolitano del Área de Málaga</t>
        </is>
      </c>
      <c r="E223" s="29" t="inlineStr">
        <is>
          <t>https://ctmam.es/tarifas/</t>
        </is>
      </c>
      <c r="F223" s="49" t="n">
        <v>46320</v>
      </c>
      <c r="G223" s="29" t="inlineStr">
        <is>
          <t>malaga:planlama</t>
        </is>
      </c>
      <c r="H223" s="29" t="inlineStr">
        <is>
          <t>Metropol ücret tarifesi, Cercanías'a özel tarife</t>
        </is>
      </c>
      <c r="I223" s="29" t="inlineStr">
        <is>
          <t>Evet</t>
        </is>
      </c>
      <c r="J223" s="29" t="inlineStr">
        <is>
          <t>Lisans kanıtları/e798a38e4c90e12c22071bf023a5b0e29608760ec0429bf31e868dcf6442d176.html</t>
        </is>
      </c>
      <c r="K223" s="29" t="inlineStr">
        <is>
          <t>e798a38e4c90e12c22071bf023a5b0e29608760ec0429bf31e868dcf6442d176</t>
        </is>
      </c>
    </row>
    <row r="224" ht="54" customHeight="1">
      <c r="A224" s="29" t="inlineStr">
        <is>
          <t>malaga:kaynak:233</t>
        </is>
      </c>
      <c r="B224" s="29" t="inlineStr">
        <is>
          <t>malaga</t>
        </is>
      </c>
      <c r="C224" s="29" t="inlineStr">
        <is>
          <t>Metro Pay - Metro de Málaga</t>
        </is>
      </c>
      <c r="D224" s="29" t="inlineStr">
        <is>
          <t>Metro de Málaga</t>
        </is>
      </c>
      <c r="E224" s="29" t="inlineStr">
        <is>
          <t>https://metromalaga.es/metro-pay/</t>
        </is>
      </c>
      <c r="F224" s="49" t="n">
        <v>46320</v>
      </c>
      <c r="G224" s="29" t="inlineStr">
        <is>
          <t>malaga:planlama</t>
        </is>
      </c>
      <c r="H224" s="29" t="inlineStr">
        <is>
          <t>Metroda banka kartıyla ödeme, tek bilet 1,35 euro</t>
        </is>
      </c>
      <c r="I224" s="29" t="inlineStr">
        <is>
          <t>Evet</t>
        </is>
      </c>
      <c r="J224" s="29" t="inlineStr">
        <is>
          <t>Lisans kanıtları/16ff759afcc89376cda37dbe1d0b68eb3f825d86d3943f05b8494b2673fcee2f.html</t>
        </is>
      </c>
      <c r="K224" s="29" t="inlineStr">
        <is>
          <t>16ff759afcc89376cda37dbe1d0b68eb3f825d86d3943f05b8494b2673fcee2f</t>
        </is>
      </c>
    </row>
    <row r="225" ht="54" customHeight="1">
      <c r="A225" s="29" t="inlineStr">
        <is>
          <t>malaga:kaynak:234</t>
        </is>
      </c>
      <c r="B225" s="29" t="inlineStr">
        <is>
          <t>malaga</t>
        </is>
      </c>
      <c r="C225" s="29" t="inlineStr">
        <is>
          <t>Estación de Málaga María Zambrano | Renfe</t>
        </is>
      </c>
      <c r="D225" s="29" t="inlineStr">
        <is>
          <t>Renfe</t>
        </is>
      </c>
      <c r="E225" s="29" t="inlineStr">
        <is>
          <t>https://www.renfe.com/es/es/inspirate/estaciones/malaga-maria-zambrano</t>
        </is>
      </c>
      <c r="F225" s="49" t="n">
        <v>46320</v>
      </c>
      <c r="G225" s="29" t="inlineStr">
        <is>
          <t>malaga:planlama</t>
        </is>
      </c>
      <c r="H225" s="29" t="inlineStr">
        <is>
          <t>María Zambrano garı: adres, Cercanías C1/C2 aktarma</t>
        </is>
      </c>
      <c r="I225" s="29" t="inlineStr">
        <is>
          <t>Evet</t>
        </is>
      </c>
      <c r="J225" s="29" t="inlineStr">
        <is>
          <t>Lisans kanıtları/09be14e7ae9e4c27b15f205fd374b6ab381ea95d831ed18ce9c28118d405b3ff.html</t>
        </is>
      </c>
      <c r="K225" s="29" t="inlineStr">
        <is>
          <t>09be14e7ae9e4c27b15f205fd374b6ab381ea95d831ed18ce9c28118d405b3ff</t>
        </is>
      </c>
    </row>
    <row r="226" ht="54" customHeight="1">
      <c r="A226" s="29" t="inlineStr">
        <is>
          <t>malaga:kaynak:235</t>
        </is>
      </c>
      <c r="B226" s="29" t="inlineStr">
        <is>
          <t>malaga</t>
        </is>
      </c>
      <c r="C226" s="29" t="inlineStr">
        <is>
          <t>La Junta activa el protocolo para reducir el impacto de las temperaturas excesivas en la salud - Noticias - Junta de Andalucía</t>
        </is>
      </c>
      <c r="D226" s="29" t="inlineStr">
        <is>
          <t>Junta de Andalucía</t>
        </is>
      </c>
      <c r="E226" s="29" t="inlineStr">
        <is>
          <t>https://www.juntadeandalucia.es/organismos/sanidadpresidenciayemergencias/servicios/actualidad/noticias/detalle/661876.html</t>
        </is>
      </c>
      <c r="F226" s="49" t="n">
        <v>46320</v>
      </c>
      <c r="G226" s="29" t="inlineStr">
        <is>
          <t>malaga:planlama</t>
        </is>
      </c>
      <c r="H226" s="29" t="inlineStr">
        <is>
          <t>Yaz sıcağına hazırlık: 2026 aşırı sıcaklık protokolü ve genel öneriler (14.05.2026)</t>
        </is>
      </c>
      <c r="I226" s="29" t="inlineStr">
        <is>
          <t>Evet</t>
        </is>
      </c>
      <c r="J226" s="29" t="inlineStr">
        <is>
          <t>Lisans kanıtları/e40303504f5865dd8ecfedc2eedf9645f7ccbaa2f6afe5e203b7c607259c95aa.html</t>
        </is>
      </c>
      <c r="K226" s="29" t="inlineStr">
        <is>
          <t>e40303504f5865dd8ecfedc2eedf9645f7ccbaa2f6afe5e203b7c607259c95aa</t>
        </is>
      </c>
    </row>
    <row r="227" ht="54" customHeight="1">
      <c r="A227" s="29" t="inlineStr">
        <is>
          <t>malaga:kaynak:236</t>
        </is>
      </c>
      <c r="B227" s="29" t="inlineStr">
        <is>
          <t>malaga</t>
        </is>
      </c>
      <c r="C227" s="29" t="inlineStr">
        <is>
          <t>Viento en Andalucía</t>
        </is>
      </c>
      <c r="D227" s="29" t="inlineStr">
        <is>
          <t>Junta de Andalucía</t>
        </is>
      </c>
      <c r="E227" s="29" t="inlineStr">
        <is>
          <t>https://www.juntadeandalucia.es/medioambiente/portal/landing-page/-/asset_publisher/4V1kD5gLiJkq/content/viento/20151</t>
        </is>
      </c>
      <c r="F227" s="49" t="n">
        <v>46320</v>
      </c>
      <c r="G227" s="29" t="inlineStr">
        <is>
          <t>malaga:planlama</t>
        </is>
      </c>
      <c r="H227" s="29" t="inlineStr">
        <is>
          <t>Terral rüzgârı Málaga'da nasıl oluşur</t>
        </is>
      </c>
      <c r="I227" s="29" t="inlineStr">
        <is>
          <t>Evet</t>
        </is>
      </c>
      <c r="J227" s="29" t="inlineStr">
        <is>
          <t>Lisans kanıtları/115e24429f9f09e1a16bf87e4fbcee1ab16947db2c3165473420ed29bf286e14.html</t>
        </is>
      </c>
      <c r="K227" s="29" t="inlineStr">
        <is>
          <t>115e24429f9f09e1a16bf87e4fbcee1ab16947db2c3165473420ed29bf286e14</t>
        </is>
      </c>
    </row>
    <row r="228" ht="54" customHeight="1">
      <c r="A228" s="29" t="inlineStr">
        <is>
          <t>malaga:kaynak:237</t>
        </is>
      </c>
      <c r="B228" s="29" t="inlineStr">
        <is>
          <t>malaga</t>
        </is>
      </c>
      <c r="C228" s="29" t="inlineStr">
        <is>
          <t>Coordinación de políticas migratorias en Andalucía - Junta de Andalucía</t>
        </is>
      </c>
      <c r="D228" s="29" t="inlineStr">
        <is>
          <t>Junta de Andalucía</t>
        </is>
      </c>
      <c r="E228" s="29" t="inlineStr">
        <is>
          <t>https://www.juntadeandalucia.es/organismos/inclusionsocialjuventudfamiliaseigualdad/areas/politicas-migratorias/directorio.html</t>
        </is>
      </c>
      <c r="F228" s="49" t="n">
        <v>46320</v>
      </c>
      <c r="G228" s="29" t="inlineStr">
        <is>
          <t>malaga:planlama</t>
        </is>
      </c>
      <c r="H228" s="29" t="inlineStr">
        <is>
          <t>Junta'nın Málaga'daki göç politikaları danışma ofisi adresi</t>
        </is>
      </c>
      <c r="I228" s="29" t="inlineStr">
        <is>
          <t>Evet</t>
        </is>
      </c>
      <c r="J228" s="29" t="inlineStr">
        <is>
          <t>Lisans kanıtları/6b7ed563d89f747735d224d255f18b6d93527089734dad2d42a6ffac7c47e05f.html</t>
        </is>
      </c>
      <c r="K228" s="29" t="inlineStr">
        <is>
          <t>6b7ed563d89f747735d224d255f18b6d93527089734dad2d42a6ffac7c47e05f</t>
        </is>
      </c>
    </row>
    <row r="229" ht="54" customHeight="1">
      <c r="A229" s="29" t="inlineStr">
        <is>
          <t>malaga:kaynak:238</t>
        </is>
      </c>
      <c r="B229" s="29" t="inlineStr">
        <is>
          <t>malaga</t>
        </is>
      </c>
      <c r="C229" s="29" t="inlineStr">
        <is>
          <t>Viviendas de uso turístico - Junta de Andalucía</t>
        </is>
      </c>
      <c r="D229" s="29" t="inlineStr">
        <is>
          <t>Junta de Andalucía</t>
        </is>
      </c>
      <c r="E229" s="29" t="inlineStr">
        <is>
          <t>https://www.juntadeandalucia.es/organismos/turismoyandaluciaexterior/areas/registro-turismo/establecimientos-servicios/paginas/viviendas-turisticas.html</t>
        </is>
      </c>
      <c r="F229" s="49" t="n">
        <v>46320</v>
      </c>
      <c r="G229" s="29" t="inlineStr">
        <is>
          <t>malaga:planlama</t>
        </is>
      </c>
      <c r="H229" s="29" t="inlineStr">
        <is>
          <t>Geçici konaklama: turistik dairenin kayıtlı olup olmadığını arama, bilgi hattı</t>
        </is>
      </c>
      <c r="I229" s="29" t="inlineStr">
        <is>
          <t>Evet</t>
        </is>
      </c>
      <c r="J229" s="29" t="inlineStr">
        <is>
          <t>Lisans kanıtları/ca95608bbe3927806caadfdd946384943202405dc1b33ef7f811dbef29b6da69.html</t>
        </is>
      </c>
      <c r="K229" s="29" t="inlineStr">
        <is>
          <t>ca95608bbe3927806caadfdd946384943202405dc1b33ef7f811dbef29b6da69</t>
        </is>
      </c>
    </row>
    <row r="230" ht="54" customHeight="1">
      <c r="A230" s="29" t="inlineStr">
        <is>
          <t>malaga:kaynak:239</t>
        </is>
      </c>
      <c r="B230" s="29" t="inlineStr">
        <is>
          <t>malaga</t>
        </is>
      </c>
      <c r="C230" s="29" t="inlineStr">
        <is>
          <t>Asociaciones de atención a inmigrantes en Málaga - Junta de Andalucía</t>
        </is>
      </c>
      <c r="D230" s="29" t="inlineStr">
        <is>
          <t>Junta de Andalucía</t>
        </is>
      </c>
      <c r="E230" s="29" t="inlineStr">
        <is>
          <t>https://www.juntadeandalucia.es/organismos/serviciossocialesfamiliaseigualdad/areas/inclusion/migraciones/paginas/asociaciones-inmigrantes-malaga.html</t>
        </is>
      </c>
      <c r="F230" s="49" t="n">
        <v>46320</v>
      </c>
      <c r="G230" s="29" t="inlineStr">
        <is>
          <t>malaga:oturum</t>
        </is>
      </c>
      <c r="H230" s="29" t="inlineStr">
        <is>
          <t>Málaga'da göçmen destek derneklerinin Junta dizini (adresler)</t>
        </is>
      </c>
      <c r="I230" s="29" t="inlineStr">
        <is>
          <t>Evet</t>
        </is>
      </c>
      <c r="J230" s="29" t="inlineStr">
        <is>
          <t>Lisans kanıtları/cdaaf0de3a2dab7f976bf47f12c2dc855a2cede4a1494919121f102232d0b5cc.html</t>
        </is>
      </c>
      <c r="K230" s="29" t="inlineStr">
        <is>
          <t>cdaaf0de3a2dab7f976bf47f12c2dc855a2cede4a1494919121f102232d0b5cc</t>
        </is>
      </c>
    </row>
    <row r="231" ht="54" customHeight="1">
      <c r="A231" s="29" t="inlineStr">
        <is>
          <t>malaga:kaynak:240</t>
        </is>
      </c>
      <c r="B231" s="29" t="inlineStr">
        <is>
          <t>malaga</t>
        </is>
      </c>
      <c r="C231" s="29" t="inlineStr">
        <is>
          <t>Delegación Territorial de Servicios Sociales, Familias e Igualdad en Málaga - Servicios Sociales, Familias e Igualdad - Junta de Andalucía</t>
        </is>
      </c>
      <c r="D231" s="29" t="inlineStr">
        <is>
          <t>Junta de Andalucía</t>
        </is>
      </c>
      <c r="E231" s="29" t="inlineStr">
        <is>
          <t>https://www.juntadeandalucia.es/organismos/inclusionsocialjuventudfamiliaseigualdad/consejeria/delegaciones/malaga.html</t>
        </is>
      </c>
      <c r="F231" s="49" t="n">
        <v>46320</v>
      </c>
      <c r="G231" s="29" t="inlineStr">
        <is>
          <t>malaga:oturum</t>
        </is>
      </c>
      <c r="H231" s="29" t="inlineStr">
        <is>
          <t>Junta'nın Málaga delegasyonu adresi ve telefonu (göç/entegrasyon başvuru noktası)</t>
        </is>
      </c>
      <c r="I231" s="29" t="inlineStr">
        <is>
          <t>Evet</t>
        </is>
      </c>
      <c r="J231" s="29" t="inlineStr">
        <is>
          <t>Lisans kanıtları/9824fffb048b4e8b206052a8d7cb7e78f4ec11cc429cff43a40d23540c925726.html</t>
        </is>
      </c>
      <c r="K231" s="29" t="inlineStr">
        <is>
          <t>9824fffb048b4e8b206052a8d7cb7e78f4ec11cc429cff43a40d23540c925726</t>
        </is>
      </c>
    </row>
    <row r="232" ht="54" customHeight="1">
      <c r="A232" s="29" t="inlineStr">
        <is>
          <t>malaga:kaynak:241</t>
        </is>
      </c>
      <c r="B232" s="29" t="inlineStr">
        <is>
          <t>malaga</t>
        </is>
      </c>
      <c r="C232" s="29" t="inlineStr">
        <is>
          <t>T.C. Dışişleri Bakanlığı - Embajada De La República De Türkiye En Madrid - Datos de contacto</t>
        </is>
      </c>
      <c r="D232" s="29" t="inlineStr">
        <is>
          <t>T.C. Dışişleri Bakanlığı (Madrid Büyükelçiliği)</t>
        </is>
      </c>
      <c r="E232" s="29" t="inlineStr">
        <is>
          <t>https://madrid-emb.mfa.gov.tr/Mission/Contact</t>
        </is>
      </c>
      <c r="F232" s="49" t="n">
        <v>46320</v>
      </c>
      <c r="G232" s="29" t="inlineStr">
        <is>
          <t>malaga:oturum</t>
        </is>
      </c>
      <c r="H232" s="29" t="inlineStr">
        <is>
          <t>Türkiye temsilciliği: Andalucía Madrid Büyükelçiliği yargı alanında; Málaga'da Fahri Başkonsolosluk</t>
        </is>
      </c>
      <c r="I232" s="29" t="inlineStr">
        <is>
          <t>Evet</t>
        </is>
      </c>
      <c r="J232" s="29" t="inlineStr">
        <is>
          <t>Lisans kanıtları/187320611cea0f433af58a873f2f8b8b22a3e6a74cedf61ae17073c9494e63ec.html</t>
        </is>
      </c>
      <c r="K232" s="29" t="inlineStr">
        <is>
          <t>187320611cea0f433af58a873f2f8b8b22a3e6a74cedf61ae17073c9494e63ec</t>
        </is>
      </c>
    </row>
    <row r="233" ht="54" customHeight="1">
      <c r="A233" s="29" t="inlineStr">
        <is>
          <t>malaga:kaynak:242</t>
        </is>
      </c>
      <c r="B233" s="29" t="inlineStr">
        <is>
          <t>malaga</t>
        </is>
      </c>
      <c r="C233" s="29" t="inlineStr">
        <is>
          <t>Atención presencial - Exclusivamente por cita previa</t>
        </is>
      </c>
      <c r="D233" s="29" t="inlineStr">
        <is>
          <t>Ayuntamiento de Málaga - Gestión Tributaria</t>
        </is>
      </c>
      <c r="E233" s="29" t="inlineStr">
        <is>
          <t>https://gestrisam.malaga.eu/atencion-a-la-ciudadania/atencion-presencial/</t>
        </is>
      </c>
      <c r="F233" s="49" t="n">
        <v>46320</v>
      </c>
      <c r="G233" s="29" t="inlineStr">
        <is>
          <t>malaga:resmi</t>
        </is>
      </c>
      <c r="H233" s="29" t="inlineStr">
        <is>
          <t>Gestión Tributaria ofisi saatleri ve randevu zorunluluğu (padrón/volante)</t>
        </is>
      </c>
      <c r="I233" s="29" t="inlineStr">
        <is>
          <t>Evet</t>
        </is>
      </c>
      <c r="J233" s="29" t="inlineStr">
        <is>
          <t>Lisans kanıtları/f460698148a4f8cfe6a78f5aca34e6caaa1e0ba688bf5b8f0c2ab238fcdc2948.html</t>
        </is>
      </c>
      <c r="K233" s="29" t="inlineStr">
        <is>
          <t>f460698148a4f8cfe6a78f5aca34e6caaa1e0ba688bf5b8f0c2ab238fcdc2948</t>
        </is>
      </c>
    </row>
    <row r="234" ht="54" customHeight="1">
      <c r="A234" s="29" t="inlineStr">
        <is>
          <t>malaga:kaynak:243</t>
        </is>
      </c>
      <c r="B234" s="29" t="inlineStr">
        <is>
          <t>malaga</t>
        </is>
      </c>
      <c r="C234" s="29" t="inlineStr">
        <is>
          <t>Oficinas O.M.A.C.</t>
        </is>
      </c>
      <c r="D234" s="29" t="inlineStr">
        <is>
          <t>Ayuntamiento de Málaga</t>
        </is>
      </c>
      <c r="E234" s="29" t="inlineStr">
        <is>
          <t>https://saic.malaga.eu/oficinas-o.m.a.c./</t>
        </is>
      </c>
      <c r="F234" s="49" t="n">
        <v>46320</v>
      </c>
      <c r="G234" s="29" t="inlineStr">
        <is>
          <t>malaga:resmi</t>
        </is>
      </c>
      <c r="H234" s="29" t="inlineStr">
        <is>
          <t>Padrón ve belediye işlemleri için OMAC ofisleri, saatler, randevu kuralı</t>
        </is>
      </c>
      <c r="I234" s="29" t="inlineStr">
        <is>
          <t>Evet</t>
        </is>
      </c>
      <c r="J234" s="29" t="inlineStr">
        <is>
          <t>Lisans kanıtları/ab2e8593b46483bb8ad016f2487fc688f9aea390c09b1cab20e8908a42ad102c.html</t>
        </is>
      </c>
      <c r="K234" s="29" t="inlineStr">
        <is>
          <t>ab2e8593b46483bb8ad016f2487fc688f9aea390c09b1cab20e8908a42ad102c</t>
        </is>
      </c>
    </row>
    <row r="235" ht="54" customHeight="1">
      <c r="A235" s="29" t="inlineStr">
        <is>
          <t>malaga:kaynak:244</t>
        </is>
      </c>
      <c r="B235" s="29" t="inlineStr">
        <is>
          <t>malaga</t>
        </is>
      </c>
      <c r="C235" s="29" t="inlineStr">
        <is>
          <t>Detalle de la Instalación</t>
        </is>
      </c>
      <c r="D235" s="29" t="inlineStr">
        <is>
          <t>Ayuntamiento de Málaga</t>
        </is>
      </c>
      <c r="E235" s="29" t="inlineStr">
        <is>
          <t>https://www.malaga.eu/la-ciudad/instalaciones-y-espacios/detalle-de-la-instalacion/?id=415</t>
        </is>
      </c>
      <c r="F235" s="49" t="n">
        <v>46320</v>
      </c>
      <c r="G235" s="29" t="inlineStr">
        <is>
          <t>malaga:resmi</t>
        </is>
      </c>
      <c r="H235" s="29" t="inlineStr">
        <is>
          <t>Merkez OMAC adresi (Calle La Merced 1), randevu: citaprevia.malaga.eu ya da 010 hattı</t>
        </is>
      </c>
      <c r="I235" s="29" t="inlineStr">
        <is>
          <t>Evet</t>
        </is>
      </c>
      <c r="J235" s="29" t="inlineStr">
        <is>
          <t>Lisans kanıtları/da9e54210d96fba0055645bf662f713bdd7b51c1dd717473a874c467abbe0b5c.html</t>
        </is>
      </c>
      <c r="K235" s="29" t="inlineStr">
        <is>
          <t>da9e54210d96fba0055645bf662f713bdd7b51c1dd717473a874c467abbe0b5c</t>
        </is>
      </c>
    </row>
    <row r="236" ht="54" customHeight="1">
      <c r="A236" s="29" t="inlineStr">
        <is>
          <t>malaga:kaynak:245</t>
        </is>
      </c>
      <c r="B236" s="29" t="inlineStr">
        <is>
          <t>malaga</t>
        </is>
      </c>
      <c r="C236" s="29" t="inlineStr">
        <is>
          <t>Guía Telemática Municipal</t>
        </is>
      </c>
      <c r="D236" s="29" t="inlineStr">
        <is>
          <t>Ayuntamiento de Málaga</t>
        </is>
      </c>
      <c r="E236" s="29" t="inlineStr">
        <is>
          <t>https://www.malaga.eu/guia-telematica-municipal/</t>
        </is>
      </c>
      <c r="F236" s="49" t="n">
        <v>46320</v>
      </c>
      <c r="G236" s="29" t="inlineStr">
        <is>
          <t>malaga:resmi</t>
        </is>
      </c>
      <c r="H236" s="29" t="inlineStr">
        <is>
          <t>Belediye dijital işlem ve cita previa kanalları (Mi Carpeta, OMAC)</t>
        </is>
      </c>
      <c r="I236" s="29" t="inlineStr">
        <is>
          <t>Evet</t>
        </is>
      </c>
      <c r="J236" s="29" t="inlineStr">
        <is>
          <t>Lisans kanıtları/2837ff94bb0862ad6f8e046da96c6f45ac0fdb1eb9d55212be3b99e8ab0b8c5d.html</t>
        </is>
      </c>
      <c r="K236" s="29" t="inlineStr">
        <is>
          <t>2837ff94bb0862ad6f8e046da96c6f45ac0fdb1eb9d55212be3b99e8ab0b8c5d</t>
        </is>
      </c>
    </row>
    <row r="237" ht="54" customHeight="1">
      <c r="A237" s="29" t="inlineStr">
        <is>
          <t>malaga:kaynak:246</t>
        </is>
      </c>
      <c r="B237" s="29" t="inlineStr">
        <is>
          <t>malaga</t>
        </is>
      </c>
      <c r="C237" s="29" t="inlineStr">
        <is>
          <t>DGT - DGT pone en marcha el servicio de canje digital de permisos de conducción</t>
        </is>
      </c>
      <c r="D237" s="29" t="inlineStr">
        <is>
          <t>Dirección General de Tráfico</t>
        </is>
      </c>
      <c r="E237" s="29" t="inlineStr">
        <is>
          <t>https://www.dgt.es/comunicacion/notas-de-prensa/20250520-dgt-servicio-de-canje-digital-de-permisos-de-conduccion/</t>
        </is>
      </c>
      <c r="F237" s="49" t="n">
        <v>46320</v>
      </c>
      <c r="G237" s="29" t="inlineStr">
        <is>
          <t>malaga:resmi</t>
        </is>
      </c>
      <c r="H237" s="29" t="inlineStr">
        <is>
          <t>Ehliyet değişimi: Cl@ve ile dijital canje, Málaga Jefatura Provincial'e gidiş</t>
        </is>
      </c>
      <c r="I237" s="29" t="inlineStr">
        <is>
          <t>Evet</t>
        </is>
      </c>
      <c r="J237" s="29" t="inlineStr">
        <is>
          <t>Lisans kanıtları/2710076216e6bc647a159c76bd17b32bb9e7fc03abffedeba153f40e4563c069.html</t>
        </is>
      </c>
      <c r="K237" s="29" t="inlineStr">
        <is>
          <t>2710076216e6bc647a159c76bd17b32bb9e7fc03abffedeba153f40e4563c069</t>
        </is>
      </c>
    </row>
    <row r="238" ht="54" customHeight="1">
      <c r="A238" s="29" t="inlineStr">
        <is>
          <t>malaga:kaynak:247</t>
        </is>
      </c>
      <c r="B238" s="29" t="inlineStr">
        <is>
          <t>malaga</t>
        </is>
      </c>
      <c r="C238" s="29" t="inlineStr">
        <is>
          <t>Sede Electrónica DGT - Canje de permisos de países extracomunitarios</t>
        </is>
      </c>
      <c r="D238" s="29" t="inlineStr">
        <is>
          <t>Dirección General de Tráfico</t>
        </is>
      </c>
      <c r="E238" s="29" t="inlineStr">
        <is>
          <t>https://sede.dgt.gob.es/es/permisos-de-conducir/canjes-de-permisos/canjes-de-permisos-extranjeros/extracomunitarios/canje-paises-G4-CL-CP/</t>
        </is>
      </c>
      <c r="F238" s="49" t="n">
        <v>46320</v>
      </c>
      <c r="G238" s="29" t="inlineStr">
        <is>
          <t>malaga:resmi</t>
        </is>
      </c>
      <c r="H238" s="29" t="inlineStr">
        <is>
          <t>Ehliyet canje: randevu zorunlu, Jefatura Provincial'e belge teslimi (ülke grubuna göre değişir; Türkiye için hangi grup olduğu ülke paketi kartında)</t>
        </is>
      </c>
      <c r="I238" s="29" t="inlineStr">
        <is>
          <t>Evet</t>
        </is>
      </c>
      <c r="J238" s="29" t="inlineStr">
        <is>
          <t>Lisans kanıtları/949a2c5d575ed059f0de94f84514cd264cc8b446fd2dc5b34162fa4597722425.html</t>
        </is>
      </c>
      <c r="K238" s="29" t="inlineStr">
        <is>
          <t>949a2c5d575ed059f0de94f84514cd264cc8b446fd2dc5b34162fa4597722425</t>
        </is>
      </c>
    </row>
    <row r="239" ht="54" customHeight="1">
      <c r="A239" s="29" t="inlineStr">
        <is>
          <t>malaga:kaynak:248</t>
        </is>
      </c>
      <c r="B239" s="29" t="inlineStr">
        <is>
          <t>malaga</t>
        </is>
      </c>
      <c r="C239" s="29" t="inlineStr">
        <is>
          <t>: Cómo registrarse en Cl@ve - Registro presencial en el sistema Cl@ve (nivel avanzado)</t>
        </is>
      </c>
      <c r="D239" s="29" t="inlineStr">
        <is>
          <t>Agencia Tributaria</t>
        </is>
      </c>
      <c r="E239" s="29" t="inlineStr">
        <is>
          <t>https://sede.agenciatributaria.gob.es/Sede/ayuda/consultas-informaticas/firma-digital-sistema-clave-pin-tecnica/registrarse-clave-pin/registro-presencial-sistema-clave.html</t>
        </is>
      </c>
      <c r="F239" s="49" t="n">
        <v>46320</v>
      </c>
      <c r="G239" s="29" t="inlineStr">
        <is>
          <t>malaga:resmi</t>
        </is>
      </c>
      <c r="H239" s="29" t="inlineStr">
        <is>
          <t>Cl@ve'yi Málaga'da yüz yüze aktive etme kuralları (DNI/NIE ile bizzat)</t>
        </is>
      </c>
      <c r="I239" s="29" t="inlineStr">
        <is>
          <t>Evet</t>
        </is>
      </c>
      <c r="J239" s="29" t="inlineStr">
        <is>
          <t>Lisans kanıtları/c362aa8e20f648c81a05f7cee409f7ac3e25b7509d00bccf4acdeee17828615a.html</t>
        </is>
      </c>
      <c r="K239" s="29" t="inlineStr">
        <is>
          <t>c362aa8e20f648c81a05f7cee409f7ac3e25b7509d00bccf4acdeee17828615a</t>
        </is>
      </c>
    </row>
    <row r="240" ht="54" customHeight="1">
      <c r="A240" s="29" t="inlineStr">
        <is>
          <t>malaga:kaynak:249</t>
        </is>
      </c>
      <c r="B240" s="29" t="inlineStr">
        <is>
          <t>malaga</t>
        </is>
      </c>
      <c r="C240" s="29" t="inlineStr">
        <is>
          <t>1133 - ¿Qué pasos he de seguir para obtener un Certificado FNMT de Persona Física de forma presencial? - Sede</t>
        </is>
      </c>
      <c r="D240" s="29" t="inlineStr">
        <is>
          <t>FNMT-RCM</t>
        </is>
      </c>
      <c r="E240" s="29" t="inlineStr">
        <is>
          <t>https://www.sede.fnmt.gob.es/preguntas-frecuentes/certificado-de-persona-fisica/-/asset_publisher/eIal9z2VE0Kb/content/1133-que-pasos-he-de-seguir-para-obtener-un-certificado-fnmt-de-persona-fisica-</t>
        </is>
      </c>
      <c r="F240" s="49" t="n">
        <v>46320</v>
      </c>
      <c r="G240" s="29" t="inlineStr">
        <is>
          <t>malaga:resmi</t>
        </is>
      </c>
      <c r="H240" s="29" t="inlineStr">
        <is>
          <t>Dijital sertifika: kimlik doğrulaması ofiste yapılır (Málaga'da ofis bulma)</t>
        </is>
      </c>
      <c r="I240" s="29" t="inlineStr">
        <is>
          <t>Evet</t>
        </is>
      </c>
      <c r="J240" s="29" t="inlineStr">
        <is>
          <t>Lisans kanıtları/8f643256f9968f0b03bc48feecd58c4d9b80256e95f3f5bed335c98a94f68544.html</t>
        </is>
      </c>
      <c r="K240" s="29" t="inlineStr">
        <is>
          <t>8f643256f9968f0b03bc48feecd58c4d9b80256e95f3f5bed335c98a94f68544</t>
        </is>
      </c>
    </row>
    <row r="241" ht="54" customHeight="1">
      <c r="A241" s="29" t="inlineStr">
        <is>
          <t>malaga:kaynak:250</t>
        </is>
      </c>
      <c r="B241" s="29" t="inlineStr">
        <is>
          <t>malaga</t>
        </is>
      </c>
      <c r="C241" s="29" t="inlineStr">
        <is>
          <t>Legalizaciones y apostillas - Junta de Andalucía</t>
        </is>
      </c>
      <c r="D241" s="29" t="inlineStr">
        <is>
          <t>Junta de Andalucía</t>
        </is>
      </c>
      <c r="E241" s="29" t="inlineStr">
        <is>
          <t>https://www.juntadeandalucia.es/organismos/justiciaadministracionlocalyfuncionpublica/areas/justicia/atencion-ciudadania/tramites-judiciales/legalizaciones-apostillas.html</t>
        </is>
      </c>
      <c r="F241" s="49" t="n">
        <v>46320</v>
      </c>
      <c r="G241" s="29" t="inlineStr">
        <is>
          <t>malaga:resmi</t>
        </is>
      </c>
      <c r="H241" s="29" t="inlineStr">
        <is>
          <t>Apostil: kim yapar (Andalucía'da TSJA Secretaría de Gobierno, Granada)</t>
        </is>
      </c>
      <c r="I241" s="29" t="inlineStr">
        <is>
          <t>Evet</t>
        </is>
      </c>
      <c r="J241" s="29" t="inlineStr">
        <is>
          <t>Lisans kanıtları/b5a63c03937bbeb2207ebbb9407c79ac69bd217b222ffe03486af7c7f0f30593.html</t>
        </is>
      </c>
      <c r="K241" s="29" t="inlineStr">
        <is>
          <t>b5a63c03937bbeb2207ebbb9407c79ac69bd217b222ffe03486af7c7f0f30593</t>
        </is>
      </c>
    </row>
    <row r="242" ht="54" customHeight="1">
      <c r="A242" s="29" t="inlineStr">
        <is>
          <t>malaga:kaynak:251</t>
        </is>
      </c>
      <c r="B242" s="29" t="inlineStr">
        <is>
          <t>malaga</t>
        </is>
      </c>
      <c r="C242" s="29" t="inlineStr">
        <is>
          <t>Legalización única o Apostilla de la Haya - sede.mjusticia.gob.es</t>
        </is>
      </c>
      <c r="D242" s="29" t="inlineStr">
        <is>
          <t>Ministerio de Justicia</t>
        </is>
      </c>
      <c r="E242" s="29" t="inlineStr">
        <is>
          <t>https://sede.mjusticia.gob.es/tramites/apostilla-electronica</t>
        </is>
      </c>
      <c r="F242" s="49" t="n">
        <v>46320</v>
      </c>
      <c r="G242" s="29" t="inlineStr">
        <is>
          <t>malaga:resmi</t>
        </is>
      </c>
      <c r="H242" s="29" t="inlineStr">
        <is>
          <t>Apostil: elektronik apostil kapsamı</t>
        </is>
      </c>
      <c r="I242" s="29" t="inlineStr">
        <is>
          <t>Evet</t>
        </is>
      </c>
      <c r="J242" s="29" t="inlineStr">
        <is>
          <t>Lisans kanıtları/aa4e378c06e1ad4ff038ea3ea02791c2da12bc7da9b9111b1cb8bc31ab058a40.html</t>
        </is>
      </c>
      <c r="K242" s="29" t="inlineStr">
        <is>
          <t>aa4e378c06e1ad4ff038ea3ea02791c2da12bc7da9b9111b1cb8bc31ab058a40</t>
        </is>
      </c>
    </row>
    <row r="243" ht="54" customHeight="1">
      <c r="A243" s="29" t="inlineStr">
        <is>
          <t>malaga:kaynak:252</t>
        </is>
      </c>
      <c r="B243" s="29" t="inlineStr">
        <is>
          <t>malaga</t>
        </is>
      </c>
      <c r="C243" s="29" t="inlineStr">
        <is>
          <t>Legalización diplomática</t>
        </is>
      </c>
      <c r="D243" s="29" t="inlineStr">
        <is>
          <t>Ministerio de Asuntos Exteriores</t>
        </is>
      </c>
      <c r="E243" s="29" t="inlineStr">
        <is>
          <t>https://www.exteriores.gob.es/es/ServiciosAlCiudadano/Paginas/Legalizacion-y-apostilla.aspx</t>
        </is>
      </c>
      <c r="F243" s="49" t="n">
        <v>46320</v>
      </c>
      <c r="G243" s="29" t="inlineStr">
        <is>
          <t>malaga:resmi</t>
        </is>
      </c>
      <c r="H243" s="29" t="inlineStr">
        <is>
          <t>Yabancı belgelerin İspanya'da geçerli kılınması: apostil/legalizasyon farkı</t>
        </is>
      </c>
      <c r="I243" s="29" t="inlineStr">
        <is>
          <t>Evet</t>
        </is>
      </c>
      <c r="J243" s="29" t="inlineStr">
        <is>
          <t>Lisans kanıtları/41b1bcd4fe135a7c4e1fa14e15f713e1bccf28295348bdde52a06a296e7b8bff.html</t>
        </is>
      </c>
      <c r="K243" s="29" t="inlineStr">
        <is>
          <t>41b1bcd4fe135a7c4e1fa14e15f713e1bccf28295348bdde52a06a296e7b8bff</t>
        </is>
      </c>
    </row>
    <row r="244" ht="54" customHeight="1">
      <c r="A244" s="29" t="inlineStr">
        <is>
          <t>malaga:kaynak:253</t>
        </is>
      </c>
      <c r="B244" s="29" t="inlineStr">
        <is>
          <t>malaga</t>
        </is>
      </c>
      <c r="C244" s="29" t="inlineStr">
        <is>
          <t>Se mantienen las tarifas y bonificaciones a partir del 1 de enero de 2026 - Consorcio de Transporte Metropolitano del Área de Málaga</t>
        </is>
      </c>
      <c r="D244" s="29" t="inlineStr">
        <is>
          <t>Consorcio de Transporte Metropolitano del Área de Málaga (CTMAM)</t>
        </is>
      </c>
      <c r="E244" s="29" t="inlineStr">
        <is>
          <t>https://ctmam.es/se-mantienen-las-tarifas-y-bonificaciones-a-partir-del-1-de-enero-de-2026/</t>
        </is>
      </c>
      <c r="F244" s="49" t="n">
        <v>46320</v>
      </c>
      <c r="G244" s="29" t="inlineStr">
        <is>
          <t>malaga:ulasim</t>
        </is>
      </c>
      <c r="H244" s="29" t="inlineStr">
        <is>
          <t>ilk5/ulasim-1: 2026 tarife indirimi ve gençlere (30 yaş altı) şarj bonusu</t>
        </is>
      </c>
      <c r="I244" s="29" t="inlineStr">
        <is>
          <t>Evet</t>
        </is>
      </c>
      <c r="J244" s="29" t="inlineStr">
        <is>
          <t>Lisans kanıtları/5550fd2909164738a48c00f43af6cedeac24b9482cbc1da0b91f2147ae186b54.html</t>
        </is>
      </c>
      <c r="K244" s="29" t="inlineStr">
        <is>
          <t>5550fd2909164738a48c00f43af6cedeac24b9482cbc1da0b91f2147ae186b54</t>
        </is>
      </c>
    </row>
    <row r="245" ht="54" customHeight="1">
      <c r="A245" s="29" t="inlineStr">
        <is>
          <t>malaga:kaynak:255</t>
        </is>
      </c>
      <c r="B245" s="29" t="inlineStr">
        <is>
          <t>malaga</t>
        </is>
      </c>
      <c r="C245" s="29" t="inlineStr">
        <is>
          <t>Tarjeta Consorcio | Empresa Malagueña de Transportes, S.A.M.</t>
        </is>
      </c>
      <c r="D245" s="29" t="inlineStr">
        <is>
          <t>EMT Málaga</t>
        </is>
      </c>
      <c r="E245" s="29" t="inlineStr">
        <is>
          <t>https://www.emtmalaga.es/tarjeta-CONSORCIO</t>
        </is>
      </c>
      <c r="F245" s="49" t="n">
        <v>46320</v>
      </c>
      <c r="G245" s="29" t="inlineStr">
        <is>
          <t>malaga:ulasim</t>
        </is>
      </c>
      <c r="H245" s="29" t="inlineStr">
        <is>
          <t>ilk5/ulasim-1: kişiselleştirilmemiş Consorcio kartı, depozito ve aktarma kuralı</t>
        </is>
      </c>
      <c r="I245" s="29" t="inlineStr">
        <is>
          <t>Evet</t>
        </is>
      </c>
      <c r="J245" s="29" t="inlineStr">
        <is>
          <t>Lisans kanıtları/a60d88a44ab6705fea08c760f6de4720162d55df7ca0d43a05d2049dc55a52fa.html</t>
        </is>
      </c>
      <c r="K245" s="29" t="inlineStr">
        <is>
          <t>a60d88a44ab6705fea08c760f6de4720162d55df7ca0d43a05d2049dc55a52fa</t>
        </is>
      </c>
    </row>
    <row r="246" ht="54" customHeight="1">
      <c r="A246" s="29" t="inlineStr">
        <is>
          <t>malaga:kaynak:256</t>
        </is>
      </c>
      <c r="B246" s="29" t="inlineStr">
        <is>
          <t>malaga</t>
        </is>
      </c>
      <c r="C246" s="29" t="inlineStr">
        <is>
          <t>Pago con Tarjeta Bancaria | Empresa Malagueña de Transportes, S.A.M.</t>
        </is>
      </c>
      <c r="D246" s="29" t="inlineStr">
        <is>
          <t>EMT Málaga</t>
        </is>
      </c>
      <c r="E246" s="29" t="inlineStr">
        <is>
          <t>https://www.emtmalaga.es/pago-con-tarjeta-bancaria</t>
        </is>
      </c>
      <c r="F246" s="49" t="n">
        <v>46320</v>
      </c>
      <c r="G246" s="29" t="inlineStr">
        <is>
          <t>malaga:ulasim</t>
        </is>
      </c>
      <c r="H246" s="29" t="inlineStr">
        <is>
          <t>ilk5/ulasim-1: otobüste temassız banka kartıyla ödeme (yalnız biniş doğrulaması)</t>
        </is>
      </c>
      <c r="I246" s="29" t="inlineStr">
        <is>
          <t>Evet</t>
        </is>
      </c>
      <c r="J246" s="29" t="inlineStr">
        <is>
          <t>Lisans kanıtları/0b6b4a359c905cdb13c2a8f3f5f81eee0d244fd0f13dbd73942b8d6f3e631474.html</t>
        </is>
      </c>
      <c r="K246" s="29" t="inlineStr">
        <is>
          <t>0b6b4a359c905cdb13c2a8f3f5f81eee0d244fd0f13dbd73942b8d6f3e631474</t>
        </is>
      </c>
    </row>
    <row r="247" ht="54" customHeight="1">
      <c r="A247" s="29" t="inlineStr">
        <is>
          <t>malaga:kaynak:257</t>
        </is>
      </c>
      <c r="B247" s="29" t="inlineStr">
        <is>
          <t>malaga</t>
        </is>
      </c>
      <c r="C247" s="29" t="inlineStr">
        <is>
          <t>Dónde comprar y recargar la tarjeta | Empresa Malagueña de Transportes, S.A.M.</t>
        </is>
      </c>
      <c r="D247" s="29" t="inlineStr">
        <is>
          <t>EMT Málaga</t>
        </is>
      </c>
      <c r="E247" s="29" t="inlineStr">
        <is>
          <t>https://www.emtmalaga.es/comprar-recargar-tarjeta</t>
        </is>
      </c>
      <c r="F247" s="49" t="n">
        <v>46320</v>
      </c>
      <c r="G247" s="29" t="inlineStr">
        <is>
          <t>malaga:ulasim</t>
        </is>
      </c>
      <c r="H247" s="29" t="inlineStr">
        <is>
          <t>ilk5/ulasim-1: EMT kartı nereden alınır ve yüklenir (tütün bayii, gazete bayii)</t>
        </is>
      </c>
      <c r="I247" s="29" t="inlineStr">
        <is>
          <t>Evet</t>
        </is>
      </c>
      <c r="J247" s="29" t="inlineStr">
        <is>
          <t>Lisans kanıtları/7f936f9f7103f5365ddd2d7b174c291892a1fe552a9723971af1db7f222c1925.html</t>
        </is>
      </c>
      <c r="K247" s="29" t="inlineStr">
        <is>
          <t>7f936f9f7103f5365ddd2d7b174c291892a1fe552a9723971af1db7f222c1925</t>
        </is>
      </c>
    </row>
    <row r="248" ht="54" customHeight="1">
      <c r="A248" s="29" t="inlineStr">
        <is>
          <t>malaga:kaynak:258</t>
        </is>
      </c>
      <c r="B248" s="29" t="inlineStr">
        <is>
          <t>malaga</t>
        </is>
      </c>
      <c r="C248" s="29" t="inlineStr">
        <is>
          <t>Nuestras oficinas | Empresa Malagueña de Transportes, S.A.M.</t>
        </is>
      </c>
      <c r="D248" s="29" t="inlineStr">
        <is>
          <t>EMT Málaga</t>
        </is>
      </c>
      <c r="E248" s="29" t="inlineStr">
        <is>
          <t>https://www.emtmalaga.es/nuestras-oficinas</t>
        </is>
      </c>
      <c r="F248" s="49" t="n">
        <v>46320</v>
      </c>
      <c r="G248" s="29" t="inlineStr">
        <is>
          <t>malaga:ulasim</t>
        </is>
      </c>
      <c r="H248" s="29" t="inlineStr">
        <is>
          <t>ilk5/ulasim-1: EMT müşteri hizmetleri merkezi adresi ve saatleri (kişisel kart/abonman burada)</t>
        </is>
      </c>
      <c r="I248" s="29" t="inlineStr">
        <is>
          <t>Evet</t>
        </is>
      </c>
      <c r="J248" s="29" t="inlineStr">
        <is>
          <t>Lisans kanıtları/de2164fc676a0ff44df329c5b463b71ca9b8c8e62d116352112623ac7c3c778f.html</t>
        </is>
      </c>
      <c r="K248" s="29" t="inlineStr">
        <is>
          <t>de2164fc676a0ff44df329c5b463b71ca9b8c8e62d116352112623ac7c3c778f</t>
        </is>
      </c>
    </row>
    <row r="249" ht="54" customHeight="1">
      <c r="A249" s="29" t="inlineStr">
        <is>
          <t>malaga:kaynak:259</t>
        </is>
      </c>
      <c r="B249" s="29" t="inlineStr">
        <is>
          <t>malaga</t>
        </is>
      </c>
      <c r="C249" s="29" t="inlineStr">
        <is>
          <t>Normas de uso del bus | Empresa Malagueña de Transportes, S.A.M.</t>
        </is>
      </c>
      <c r="D249" s="29" t="inlineStr">
        <is>
          <t>EMT Málaga</t>
        </is>
      </c>
      <c r="E249" s="29" t="inlineStr">
        <is>
          <t>https://www.emtmalaga.es/normas-de-uso-del-bus</t>
        </is>
      </c>
      <c r="F249" s="49" t="n">
        <v>46320</v>
      </c>
      <c r="G249" s="29" t="inlineStr">
        <is>
          <t>malaga:ulasim</t>
        </is>
      </c>
      <c r="H249" s="29" t="inlineStr">
        <is>
          <t>ilk5/ulasim-1,3: otobüs kullanım kuralları (öncelikli koltuk, çocuk, bilet bedeli hazır tutma)</t>
        </is>
      </c>
      <c r="I249" s="29" t="inlineStr">
        <is>
          <t>Evet</t>
        </is>
      </c>
      <c r="J249" s="29" t="inlineStr">
        <is>
          <t>Lisans kanıtları/cc3c56a347f2fa1dcad3a82f48b02a549d95de2c0c6827596d794e83d02581b5.html</t>
        </is>
      </c>
      <c r="K249" s="29" t="inlineStr">
        <is>
          <t>cc3c56a347f2fa1dcad3a82f48b02a549d95de2c0c6827596d794e83d02581b5</t>
        </is>
      </c>
    </row>
    <row r="250" ht="54" customHeight="1">
      <c r="A250" s="29" t="inlineStr">
        <is>
          <t>malaga:kaynak:260</t>
        </is>
      </c>
      <c r="B250" s="29" t="inlineStr">
        <is>
          <t>malaga</t>
        </is>
      </c>
      <c r="C250" s="29" t="inlineStr">
        <is>
          <t>Scooter Eléctrico - Acceso a los autobuses | Empresa Malagueña de Transportes, S.A.M.</t>
        </is>
      </c>
      <c r="D250" s="29" t="inlineStr">
        <is>
          <t>EMT Málaga</t>
        </is>
      </c>
      <c r="E250" s="29" t="inlineStr">
        <is>
          <t>https://www.emtmalaga.es/scooter-electrico-acceso-los-autobuses</t>
        </is>
      </c>
      <c r="F250" s="49" t="n">
        <v>46320</v>
      </c>
      <c r="G250" s="29" t="inlineStr">
        <is>
          <t>malaga:ulasim</t>
        </is>
      </c>
      <c r="H250" s="29" t="inlineStr">
        <is>
          <t>ilk5/ulasim-3: elektrikli scooter'ın otobüse alınma koşulları (1,3 m sınırı, teknik belge)</t>
        </is>
      </c>
      <c r="I250" s="29" t="inlineStr">
        <is>
          <t>Evet</t>
        </is>
      </c>
      <c r="J250" s="29" t="inlineStr">
        <is>
          <t>Lisans kanıtları/194f4afd1966edf96b8f16331890dbc7105d6db685a55527a423a398f17b6430.html</t>
        </is>
      </c>
      <c r="K250" s="29" t="inlineStr">
        <is>
          <t>194f4afd1966edf96b8f16331890dbc7105d6db685a55527a423a398f17b6430</t>
        </is>
      </c>
    </row>
    <row r="251" ht="54" customHeight="1">
      <c r="A251" s="29" t="inlineStr">
        <is>
          <t>malaga:kaynak:261</t>
        </is>
      </c>
      <c r="B251" s="29" t="inlineStr">
        <is>
          <t>malaga</t>
        </is>
      </c>
      <c r="C251" s="29" t="inlineStr">
        <is>
          <t>Vehículos de Movilidad Personal (VMP)</t>
        </is>
      </c>
      <c r="D251" s="29" t="inlineStr">
        <is>
          <t>Ayuntamiento de Málaga - Área de Movilidad</t>
        </is>
      </c>
      <c r="E251" s="29" t="inlineStr">
        <is>
          <t>https://movilidad.malaga.eu/es/modos-de-movilidad/patinetes-electricos/</t>
        </is>
      </c>
      <c r="F251" s="49" t="n">
        <v>46320</v>
      </c>
      <c r="G251" s="29" t="inlineStr">
        <is>
          <t>malaga:ulasim</t>
        </is>
      </c>
      <c r="H251" s="29" t="inlineStr">
        <is>
          <t>ilk5/ulasim-3: elektrikli scooter/VMP kuralları (16 yaş, kask, tek kişi)</t>
        </is>
      </c>
      <c r="I251" s="29" t="inlineStr">
        <is>
          <t>Evet</t>
        </is>
      </c>
      <c r="J251" s="29" t="inlineStr">
        <is>
          <t>Lisans kanıtları/9f103b9777f84a5e381b5f0a6eb3bd9c0f16a3ab5dac64379fc30a14dedd5da6.html</t>
        </is>
      </c>
      <c r="K251" s="29" t="inlineStr">
        <is>
          <t>9f103b9777f84a5e381b5f0a6eb3bd9c0f16a3ab5dac64379fc30a14dedd5da6</t>
        </is>
      </c>
    </row>
    <row r="252" ht="54" customHeight="1">
      <c r="A252" s="29" t="inlineStr">
        <is>
          <t>malaga:kaynak:262</t>
        </is>
      </c>
      <c r="B252" s="29" t="inlineStr">
        <is>
          <t>malaga</t>
        </is>
      </c>
      <c r="C252" s="29" t="inlineStr">
        <is>
          <t>Cercanías de Málaga ( Billetes, Precios, +Renfe y Tú ) | Renfe</t>
        </is>
      </c>
      <c r="D252" s="29" t="inlineStr">
        <is>
          <t>Renfe Viajeros</t>
        </is>
      </c>
      <c r="E252" s="29" t="inlineStr">
        <is>
          <t>https://www.renfe.com/es/es/cercanias/cercanias-malaga/tarifas/billetes</t>
        </is>
      </c>
      <c r="F252" s="49" t="n">
        <v>46320</v>
      </c>
      <c r="G252" s="29" t="inlineStr">
        <is>
          <t>malaga:ulasim</t>
        </is>
      </c>
      <c r="H252" s="29" t="inlineStr">
        <is>
          <t>ilk5/ulasim-2: Cercanías Málaga bilet kuralları (doğrulama zorunlu, değişiklik yok, 5. yolculuktan sonra %40 indirim)</t>
        </is>
      </c>
      <c r="I252" s="29" t="inlineStr">
        <is>
          <t>Evet</t>
        </is>
      </c>
      <c r="J252" s="29" t="inlineStr">
        <is>
          <t>Lisans kanıtları/eac8980aba2b0697c26894939c957b4504f15c3d61b244c5c136392e38d00d9e.html</t>
        </is>
      </c>
      <c r="K252" s="29" t="inlineStr">
        <is>
          <t>eac8980aba2b0697c26894939c957b4504f15c3d61b244c5c136392e38d00d9e</t>
        </is>
      </c>
    </row>
    <row r="253" ht="54" customHeight="1">
      <c r="A253" s="29" t="inlineStr">
        <is>
          <t>malaga:kaynak:264</t>
        </is>
      </c>
      <c r="B253" s="29" t="inlineStr">
        <is>
          <t>malaga</t>
        </is>
      </c>
      <c r="C253" s="29" t="inlineStr">
        <is>
          <t>Centro de Coordinación de Emergencias 112 Andalucía (CECEM 112 Andalucía) - Junta de Andalucía</t>
        </is>
      </c>
      <c r="D253" s="29" t="inlineStr">
        <is>
          <t>Junta de Andalucía - Emergencias 112</t>
        </is>
      </c>
      <c r="E253" s="29" t="inlineStr">
        <is>
          <t>https://www.juntadeandalucia.es/organismos/ema/areas/emergencias-112/cecem-112-andalucia.html</t>
        </is>
      </c>
      <c r="F253" s="49" t="n">
        <v>46320</v>
      </c>
      <c r="G253" s="29" t="inlineStr">
        <is>
          <t>malaga:gunluk</t>
        </is>
      </c>
      <c r="H253" s="29" t="inlineStr">
        <is>
          <t>ilk5/gunluk-1: 112 Andalucía çok dilli, her acil durum, uygulama</t>
        </is>
      </c>
      <c r="I253" s="29" t="inlineStr">
        <is>
          <t>Evet</t>
        </is>
      </c>
      <c r="J253" s="29" t="inlineStr">
        <is>
          <t>Lisans kanıtları/8098d6d62b1d2f9fb26eb28f29f45fa4f26599e5631e78266b471f8d533077e0.html</t>
        </is>
      </c>
      <c r="K253" s="29" t="inlineStr">
        <is>
          <t>8098d6d62b1d2f9fb26eb28f29f45fa4f26599e5631e78266b471f8d533077e0</t>
        </is>
      </c>
    </row>
    <row r="254" ht="54" customHeight="1">
      <c r="A254" s="29" t="inlineStr">
        <is>
          <t>malaga:kaynak:265</t>
        </is>
      </c>
      <c r="B254" s="29" t="inlineStr">
        <is>
          <t>malaga</t>
        </is>
      </c>
      <c r="C254" s="29" t="inlineStr">
        <is>
          <t>Atención a la ciudadanía - Emergencias 061</t>
        </is>
      </c>
      <c r="D254" s="29" t="inlineStr">
        <is>
          <t>Servicio Andaluz de Salud (SAS)</t>
        </is>
      </c>
      <c r="E254" s="29" t="inlineStr">
        <is>
          <t>https://www.sspa.juntadeandalucia.es/servicioandaluzdesalud/emergencias061/ciudadania/atencion-a-la-ciudadania</t>
        </is>
      </c>
      <c r="F254" s="49" t="n">
        <v>46320</v>
      </c>
      <c r="G254" s="29" t="inlineStr">
        <is>
          <t>malaga:gunluk</t>
        </is>
      </c>
      <c r="H254" s="29" t="inlineStr">
        <is>
          <t>ilk5/gunluk-1: 061 (yaşamsal sağlık acili) ile 112 farkı, Salud Responde</t>
        </is>
      </c>
      <c r="I254" s="29" t="inlineStr">
        <is>
          <t>Evet</t>
        </is>
      </c>
      <c r="J254" s="29" t="inlineStr">
        <is>
          <t>Lisans kanıtları/3459463d7c3eced32b9f97b1529f94182cb3a07349c87ddc5ee4c0d723926085.html</t>
        </is>
      </c>
      <c r="K254" s="29" t="inlineStr">
        <is>
          <t>3459463d7c3eced32b9f97b1529f94182cb3a07349c87ddc5ee4c0d723926085</t>
        </is>
      </c>
    </row>
    <row r="255" ht="54" customHeight="1">
      <c r="A255" s="29" t="inlineStr">
        <is>
          <t>malaga:kaynak:266</t>
        </is>
      </c>
      <c r="B255" s="29" t="inlineStr">
        <is>
          <t>malaga</t>
        </is>
      </c>
      <c r="C255" s="29" t="inlineStr">
        <is>
          <t>Calendario laboral - Junta de Andalucía</t>
        </is>
      </c>
      <c r="D255" s="29" t="inlineStr">
        <is>
          <t>Junta de Andalucía</t>
        </is>
      </c>
      <c r="E255" s="29" t="inlineStr">
        <is>
          <t>https://juntadeandalucia.es/temas/trabajar/relaciones/calendario.html</t>
        </is>
      </c>
      <c r="F255" s="49" t="n">
        <v>46320</v>
      </c>
      <c r="G255" s="29" t="inlineStr">
        <is>
          <t>malaga:gunluk</t>
        </is>
      </c>
      <c r="H255" s="29" t="inlineStr">
        <is>
          <t>ilk5/gunluk-4: 2027 Endülüs resmî tatil takvimi (Decreto 84/2026) ve yerel bayram günleri; ülke kartı Endülüs 2027 tatilini zaten kapsıyor, burada yerel tamamlayıcı</t>
        </is>
      </c>
      <c r="I255" s="29" t="inlineStr">
        <is>
          <t>Evet</t>
        </is>
      </c>
      <c r="J255" s="29" t="inlineStr">
        <is>
          <t>Lisans kanıtları/fe4f32c1e646a082336a5201cae352889ff8b8863fab48512bd764eabeac4e20.html</t>
        </is>
      </c>
      <c r="K255" s="29" t="inlineStr">
        <is>
          <t>fe4f32c1e646a082336a5201cae352889ff8b8863fab48512bd764eabeac4e20</t>
        </is>
      </c>
    </row>
    <row r="256" ht="54" customHeight="1">
      <c r="A256" s="29" t="inlineStr">
        <is>
          <t>malaga:kaynak:267</t>
        </is>
      </c>
      <c r="B256" s="29" t="inlineStr">
        <is>
          <t>malaga</t>
        </is>
      </c>
      <c r="C256" s="29" t="inlineStr">
        <is>
          <t>Días Festivos</t>
        </is>
      </c>
      <c r="D256" s="29" t="inlineStr">
        <is>
          <t>Ayuntamiento de Málaga</t>
        </is>
      </c>
      <c r="E256" s="29" t="inlineStr">
        <is>
          <t>https://www.malaga.eu/la-ciudad/dias-festivos/</t>
        </is>
      </c>
      <c r="F256" s="49" t="n">
        <v>46320</v>
      </c>
      <c r="G256" s="29" t="inlineStr">
        <is>
          <t>malaga:gunluk</t>
        </is>
      </c>
      <c r="H256" s="29" t="inlineStr">
        <is>
          <t>ilk5/gunluk-4: Málaga 2027 yerel tatilleri (19 Ağustos, 8 Eylül)</t>
        </is>
      </c>
      <c r="I256" s="29" t="inlineStr">
        <is>
          <t>Evet</t>
        </is>
      </c>
      <c r="J256" s="29" t="inlineStr">
        <is>
          <t>Lisans kanıtları/88f30f155adc6113bfb01ea8ee7504186c7b6d1fbc504a2b4794a36a3395a034.html</t>
        </is>
      </c>
      <c r="K256" s="29" t="inlineStr">
        <is>
          <t>88f30f155adc6113bfb01ea8ee7504186c7b6d1fbc504a2b4794a36a3395a034</t>
        </is>
      </c>
    </row>
    <row r="257" ht="54" customHeight="1">
      <c r="A257" s="29" t="inlineStr">
        <is>
          <t>malaga:kaynak:269</t>
        </is>
      </c>
      <c r="B257" s="29" t="inlineStr">
        <is>
          <t>malaga</t>
        </is>
      </c>
      <c r="C257" s="29" t="inlineStr">
        <is>
          <t>Recomendaciones</t>
        </is>
      </c>
      <c r="D257" s="29" t="inlineStr">
        <is>
          <t>Ayuntamiento de Málaga</t>
        </is>
      </c>
      <c r="E257" s="29" t="inlineStr">
        <is>
          <t>https://www.malaga.eu/la-ciudad/playas/recomendaciones/</t>
        </is>
      </c>
      <c r="F257" s="49" t="n">
        <v>46320</v>
      </c>
      <c r="G257" s="29" t="inlineStr">
        <is>
          <t>malaga:gunluk</t>
        </is>
      </c>
      <c r="H257" s="29" t="inlineStr">
        <is>
          <t>ilk5/gunluk-5: plaj kuralları ve yasaklar</t>
        </is>
      </c>
      <c r="I257" s="29" t="inlineStr">
        <is>
          <t>Evet</t>
        </is>
      </c>
      <c r="J257" s="29" t="inlineStr">
        <is>
          <t>Lisans kanıtları/4497e6bc5dba1e571aa9b387282a2df72e50802f3761d2515aafbff4c13018da.html</t>
        </is>
      </c>
      <c r="K257" s="29" t="inlineStr">
        <is>
          <t>4497e6bc5dba1e571aa9b387282a2df72e50802f3761d2515aafbff4c13018da</t>
        </is>
      </c>
    </row>
    <row r="258" ht="54" customHeight="1">
      <c r="A258" s="29" t="inlineStr">
        <is>
          <t>malaga:kaynak:270</t>
        </is>
      </c>
      <c r="B258" s="29" t="inlineStr">
        <is>
          <t>malaga</t>
        </is>
      </c>
      <c r="C258" s="29" t="inlineStr">
        <is>
          <t>Servicios Generales</t>
        </is>
      </c>
      <c r="D258" s="29" t="inlineStr">
        <is>
          <t>Ayuntamiento de Málaga</t>
        </is>
      </c>
      <c r="E258" s="29" t="inlineStr">
        <is>
          <t>https://www.malaga.eu/la-ciudad/playas/servicios-generales/</t>
        </is>
      </c>
      <c r="F258" s="49" t="n">
        <v>46320</v>
      </c>
      <c r="G258" s="29" t="inlineStr">
        <is>
          <t>malaga:gunluk</t>
        </is>
      </c>
      <c r="H258" s="29" t="inlineStr">
        <is>
          <t>ilk5/gunluk-5: cankurtaran (socorrismo) hizmeti</t>
        </is>
      </c>
      <c r="I258" s="29" t="inlineStr">
        <is>
          <t>Evet</t>
        </is>
      </c>
      <c r="J258" s="29" t="inlineStr">
        <is>
          <t>Lisans kanıtları/b6450eebc22394ce2595d97de734924a09850e717248f4efb2355f94d4feb83b.html</t>
        </is>
      </c>
      <c r="K258" s="29" t="inlineStr">
        <is>
          <t>b6450eebc22394ce2595d97de734924a09850e717248f4efb2355f94d4feb83b</t>
        </is>
      </c>
    </row>
    <row r="259" ht="54" customHeight="1">
      <c r="A259" s="29" t="inlineStr">
        <is>
          <t>malaga:kaynak:271</t>
        </is>
      </c>
      <c r="B259" s="29" t="inlineStr">
        <is>
          <t>malaga</t>
        </is>
      </c>
      <c r="C259" s="29" t="inlineStr">
        <is>
          <t>Consejos de Salud</t>
        </is>
      </c>
      <c r="D259" s="29" t="inlineStr">
        <is>
          <t>Ayuntamiento de Málaga</t>
        </is>
      </c>
      <c r="E259" s="29" t="inlineStr">
        <is>
          <t>https://www.malaga.eu/la-ciudad/playas/consejos-de-salud/</t>
        </is>
      </c>
      <c r="F259" s="49" t="n">
        <v>46320</v>
      </c>
      <c r="G259" s="29" t="inlineStr">
        <is>
          <t>malaga:gunluk</t>
        </is>
      </c>
      <c r="H259" s="29" t="inlineStr">
        <is>
          <t>ilk5/gunluk-5: plajda güneş ve sağlık önerileri</t>
        </is>
      </c>
      <c r="I259" s="29" t="inlineStr">
        <is>
          <t>Evet</t>
        </is>
      </c>
      <c r="J259" s="29" t="inlineStr">
        <is>
          <t>Lisans kanıtları/429317d4fecf619e42e003fc37782908ecf46f64d8a9ab5615813d00d6ac422e.html</t>
        </is>
      </c>
      <c r="K259" s="29" t="inlineStr">
        <is>
          <t>429317d4fecf619e42e003fc37782908ecf46f64d8a9ab5615813d00d6ac422e</t>
        </is>
      </c>
    </row>
    <row r="260" ht="54" customHeight="1">
      <c r="A260" s="29" t="inlineStr">
        <is>
          <t>malaga:kaynak:272</t>
        </is>
      </c>
      <c r="B260" s="29" t="inlineStr">
        <is>
          <t>malaga</t>
        </is>
      </c>
      <c r="C260" s="29" t="inlineStr">
        <is>
          <t>Playa Canina</t>
        </is>
      </c>
      <c r="D260" s="29" t="inlineStr">
        <is>
          <t>Ayuntamiento de Málaga</t>
        </is>
      </c>
      <c r="E260" s="29" t="inlineStr">
        <is>
          <t>https://www.malaga.eu/la-ciudad/playas/playa-canina/</t>
        </is>
      </c>
      <c r="F260" s="49" t="n">
        <v>46320</v>
      </c>
      <c r="G260" s="29" t="inlineStr">
        <is>
          <t>malaga:gunluk</t>
        </is>
      </c>
      <c r="H260" s="29" t="inlineStr">
        <is>
          <t>ilk5/gunluk-5: köpek plajı kuralları</t>
        </is>
      </c>
      <c r="I260" s="29" t="inlineStr">
        <is>
          <t>Evet</t>
        </is>
      </c>
      <c r="J260" s="29" t="inlineStr">
        <is>
          <t>Lisans kanıtları/a9b1ec3abbbbbb66115d60a1093a27499e1ed8d6c4849910eae4795e2622d73a.html</t>
        </is>
      </c>
      <c r="K260" s="29" t="inlineStr">
        <is>
          <t>a9b1ec3abbbbbb66115d60a1093a27499e1ed8d6c4849910eae4795e2622d73a</t>
        </is>
      </c>
    </row>
    <row r="261" ht="54" customHeight="1">
      <c r="A261" s="29" t="inlineStr">
        <is>
          <t>malaga:kaynak:273</t>
        </is>
      </c>
      <c r="B261" s="29" t="inlineStr">
        <is>
          <t>malaga</t>
        </is>
      </c>
      <c r="C261" s="29" t="inlineStr">
        <is>
          <t>Enseñanza de español e integración - Junta de Andalucía</t>
        </is>
      </c>
      <c r="D261" s="29" t="inlineStr">
        <is>
          <t>Junta de Andalucía</t>
        </is>
      </c>
      <c r="E261" s="29" t="inlineStr">
        <is>
          <t>https://www.juntadeandalucia.es/temas/estudiar/primaria-eso/integracion.html</t>
        </is>
      </c>
      <c r="F261" s="49" t="n">
        <v>46320</v>
      </c>
      <c r="G261" s="29" t="inlineStr">
        <is>
          <t>malaga:gunluk</t>
        </is>
      </c>
      <c r="H261" s="29" t="inlineStr">
        <is>
          <t>ilk5/gunluk-3: ücretsiz İspanyolca (ATAL çocuklar için; Aula Virtual de Español uzaktan ücretsiz)</t>
        </is>
      </c>
      <c r="I261" s="29" t="inlineStr">
        <is>
          <t>Evet</t>
        </is>
      </c>
      <c r="J261" s="29" t="inlineStr">
        <is>
          <t>Lisans kanıtları/10234ecc5f455609a9e5066f193e156d4ba4d1c08f14db1fb39d20a0c3c2a322.html</t>
        </is>
      </c>
      <c r="K261" s="29" t="inlineStr">
        <is>
          <t>10234ecc5f455609a9e5066f193e156d4ba4d1c08f14db1fb39d20a0c3c2a322</t>
        </is>
      </c>
    </row>
    <row r="262" ht="54" customHeight="1">
      <c r="A262" s="29" t="inlineStr">
        <is>
          <t>malaga:kaynak:275</t>
        </is>
      </c>
      <c r="B262" s="29" t="inlineStr">
        <is>
          <t>malaga</t>
        </is>
      </c>
      <c r="C262" s="29" t="inlineStr">
        <is>
          <t>title:home</t>
        </is>
      </c>
      <c r="D262" s="29" t="inlineStr">
        <is>
          <t>Museo Picasso Málaga (Fundación Paul, Christine y Bernard Ruiz-Picasso / Junta de Andalucía)</t>
        </is>
      </c>
      <c r="E262" s="29" t="inlineStr">
        <is>
          <t>https://www.museopicassomalaga.org/es/visita</t>
        </is>
      </c>
      <c r="F262" s="49" t="n">
        <v>46320</v>
      </c>
      <c r="G262" s="29" t="inlineStr">
        <is>
          <t>malaga:kesif</t>
        </is>
      </c>
      <c r="H262" s="29" t="inlineStr">
        <is>
          <t>ilk5/kesif-1,2: ücretsiz giriş (Pazar son iki saat), saatler, tarifeler; sayfa güncel mi diye kontrol edilmeli</t>
        </is>
      </c>
      <c r="I262" s="29" t="inlineStr">
        <is>
          <t>Evet</t>
        </is>
      </c>
      <c r="J262" s="29" t="inlineStr">
        <is>
          <t>Lisans kanıtları/9eec1e6a114207b5fe90baeeb8611f6623fc98db592882b55ee431e59d94d1b7.html</t>
        </is>
      </c>
      <c r="K262" s="29" t="inlineStr">
        <is>
          <t>9eec1e6a114207b5fe90baeeb8611f6623fc98db592882b55ee431e59d94d1b7</t>
        </is>
      </c>
    </row>
    <row r="263" ht="54" customHeight="1">
      <c r="A263" s="29" t="inlineStr">
        <is>
          <t>malaga:kaynak:276</t>
        </is>
      </c>
      <c r="B263" s="29" t="inlineStr">
        <is>
          <t>malaga</t>
        </is>
      </c>
      <c r="C263" s="29" t="inlineStr">
        <is>
          <t>Horarios y Tarifas</t>
        </is>
      </c>
      <c r="D263" s="29" t="inlineStr">
        <is>
          <t>Ayuntamiento de Málaga - Alcazaba y Castillo de Gibralfaro</t>
        </is>
      </c>
      <c r="E263" s="29" t="inlineStr">
        <is>
          <t>https://alcazabaygibralfaro.malaga.eu/es/visitas/horarios-y-tarifas/</t>
        </is>
      </c>
      <c r="F263" s="49" t="n">
        <v>46320</v>
      </c>
      <c r="G263" s="29" t="inlineStr">
        <is>
          <t>malaga:kesif</t>
        </is>
      </c>
      <c r="H263" s="29" t="inlineStr">
        <is>
          <t>ilk5/kesif-1,2: Alcazaba/Gibralfaro Pazar 14:00'ten sonra ücretsiz, saatler ve bilet</t>
        </is>
      </c>
      <c r="I263" s="29" t="inlineStr">
        <is>
          <t>Evet</t>
        </is>
      </c>
      <c r="J263" s="29" t="inlineStr">
        <is>
          <t>Lisans kanıtları/2396c61db80f47f9ee07a8ff2a3944b8174d225e37260549d04496435e98c635.html</t>
        </is>
      </c>
      <c r="K263" s="29" t="inlineStr">
        <is>
          <t>2396c61db80f47f9ee07a8ff2a3944b8174d225e37260549d04496435e98c635</t>
        </is>
      </c>
    </row>
    <row r="264" ht="54" customHeight="1">
      <c r="A264" s="29" t="inlineStr">
        <is>
          <t>malaga:kaynak:277</t>
        </is>
      </c>
      <c r="B264" s="29" t="inlineStr">
        <is>
          <t>malaga</t>
        </is>
      </c>
      <c r="C264" s="29" t="inlineStr">
        <is>
          <t>Visita - Centre Pompidou Málaga</t>
        </is>
      </c>
      <c r="D264" s="29" t="inlineStr">
        <is>
          <t>Centre Pompidou Málaga (Ayuntamiento de Málaga)</t>
        </is>
      </c>
      <c r="E264" s="29" t="inlineStr">
        <is>
          <t>https://centrepompidou-malaga.eu/visita/</t>
        </is>
      </c>
      <c r="F264" s="49" t="n">
        <v>46320</v>
      </c>
      <c r="G264" s="29" t="inlineStr">
        <is>
          <t>malaga:kesif</t>
        </is>
      </c>
      <c r="H264" s="29" t="inlineStr">
        <is>
          <t>ilk5/kesif-1,2,3: ücretsiz giriş grupları (18 yaş altı, Pazar 16:00 sonrası), salı kapalı</t>
        </is>
      </c>
      <c r="I264" s="29" t="inlineStr">
        <is>
          <t>Evet</t>
        </is>
      </c>
      <c r="J264" s="29" t="inlineStr">
        <is>
          <t>Lisans kanıtları/a7a493fb564fcd4364b3bd50cf0aef52f56b1bed92138fba7a7f3c8c2dacca06.html</t>
        </is>
      </c>
      <c r="K264" s="29" t="inlineStr">
        <is>
          <t>a7a493fb564fcd4364b3bd50cf0aef52f56b1bed92138fba7a7f3c8c2dacca06</t>
        </is>
      </c>
    </row>
    <row r="265" ht="54" customHeight="1">
      <c r="A265" s="29" t="inlineStr">
        <is>
          <t>malaga:kaynak:278</t>
        </is>
      </c>
      <c r="B265" s="29" t="inlineStr">
        <is>
          <t>malaga</t>
        </is>
      </c>
      <c r="C265" s="29" t="inlineStr">
        <is>
          <t>Horarios, tarifas y ubicación | Museo Carmen Thyssen Málaga</t>
        </is>
      </c>
      <c r="D265" s="29" t="inlineStr">
        <is>
          <t>Museo Carmen Thyssen Málaga</t>
        </is>
      </c>
      <c r="E265" s="29" t="inlineStr">
        <is>
          <t>https://www.carmenthyssenmalaga.org/horarios-tarifas-ubicacion</t>
        </is>
      </c>
      <c r="F265" s="49" t="n">
        <v>46320</v>
      </c>
      <c r="G265" s="29" t="inlineStr">
        <is>
          <t>malaga:kesif</t>
        </is>
      </c>
      <c r="H265" s="29" t="inlineStr">
        <is>
          <t>ilk5/kesif-1,2: Pazar 16:00 sonrası ücretsiz giriş, saatler, tarifeler (2026)</t>
        </is>
      </c>
      <c r="I265" s="29" t="inlineStr">
        <is>
          <t>Evet</t>
        </is>
      </c>
      <c r="J265" s="29" t="inlineStr">
        <is>
          <t>Lisans kanıtları/204d30eb04e24a5eadad910f704a8c16484964d5f3b210c07cf5e0f6eac42e83.html</t>
        </is>
      </c>
      <c r="K265" s="29" t="inlineStr">
        <is>
          <t>204d30eb04e24a5eadad910f704a8c16484964d5f3b210c07cf5e0f6eac42e83</t>
        </is>
      </c>
    </row>
    <row r="266" ht="54" customHeight="1">
      <c r="A266" s="29" t="inlineStr">
        <is>
          <t>malaga:kaynak:279</t>
        </is>
      </c>
      <c r="B266" s="29" t="inlineStr">
        <is>
          <t>malaga</t>
        </is>
      </c>
      <c r="C266" s="29" t="inlineStr">
        <is>
          <t>Museo Carmen Thyssen Málaga</t>
        </is>
      </c>
      <c r="D266" s="29" t="inlineStr">
        <is>
          <t>Museo Carmen Thyssen Málaga</t>
        </is>
      </c>
      <c r="E266" s="29" t="inlineStr">
        <is>
          <t>https://www.carmenthyssenmalaga.org/faqs</t>
        </is>
      </c>
      <c r="F266" s="49" t="n">
        <v>46320</v>
      </c>
      <c r="G266" s="29" t="inlineStr">
        <is>
          <t>malaga:kesif</t>
        </is>
      </c>
      <c r="H266" s="29" t="inlineStr">
        <is>
          <t>ilk5/kesif-2,3: ücretsiz giriş günleri ve çocuk/eğitim programı</t>
        </is>
      </c>
      <c r="I266" s="29" t="inlineStr">
        <is>
          <t>Evet</t>
        </is>
      </c>
      <c r="J266" s="29" t="inlineStr">
        <is>
          <t>Lisans kanıtları/6aec22cc45be08ddf9db1c58f8f2f0d359fec2c5469cb7c61370de0087a734bc.html</t>
        </is>
      </c>
      <c r="K266" s="29" t="inlineStr">
        <is>
          <t>6aec22cc45be08ddf9db1c58f8f2f0d359fec2c5469cb7c61370de0087a734bc</t>
        </is>
      </c>
    </row>
    <row r="267" ht="54" customHeight="1">
      <c r="A267" s="29" t="inlineStr">
        <is>
          <t>malaga:kaynak:280</t>
        </is>
      </c>
      <c r="B267" s="29" t="inlineStr">
        <is>
          <t>malaga</t>
        </is>
      </c>
      <c r="C267" s="29" t="inlineStr">
        <is>
          <t>Información general - Museo de Málaga</t>
        </is>
      </c>
      <c r="D267" s="29" t="inlineStr">
        <is>
          <t>Junta de Andalucía - Museos de Andalucía</t>
        </is>
      </c>
      <c r="E267" s="29" t="inlineStr">
        <is>
          <t>https://www.museosdeandalucia.es/web/museodemalaga/informacion-general</t>
        </is>
      </c>
      <c r="F267" s="49" t="n">
        <v>46320</v>
      </c>
      <c r="G267" s="29" t="inlineStr">
        <is>
          <t>malaga:kesif</t>
        </is>
      </c>
      <c r="H267" s="29" t="inlineStr">
        <is>
          <t>ilk5/kesif-1,2: Museo de Málaga AB vatandaşlarına ücretsiz (AB dışı 1,50 euro; Türk vatandaşı için bu önemli), saatler</t>
        </is>
      </c>
      <c r="I267" s="29" t="inlineStr">
        <is>
          <t>Evet</t>
        </is>
      </c>
      <c r="J267" s="29" t="inlineStr">
        <is>
          <t>Lisans kanıtları/a3cec9fa9febaa01fcd049a3d0efd74ca41457b739849dce02f0b113c7532189.html</t>
        </is>
      </c>
      <c r="K267" s="29" t="inlineStr">
        <is>
          <t>a3cec9fa9febaa01fcd049a3d0efd74ca41457b739849dce02f0b113c7532189</t>
        </is>
      </c>
    </row>
    <row r="268" ht="54" customHeight="1">
      <c r="A268" s="29" t="inlineStr">
        <is>
          <t>malaga:kaynak:281</t>
        </is>
      </c>
      <c r="B268" s="29" t="inlineStr">
        <is>
          <t>malaga</t>
        </is>
      </c>
      <c r="C268" s="29" t="inlineStr">
        <is>
          <t>Enclave Arqueológico Teatro Romano de Málaga | Enclaves Culturales de Andalucía</t>
        </is>
      </c>
      <c r="D268" s="29" t="inlineStr">
        <is>
          <t>Junta de Andalucía - Agencia Andaluza de Instituciones Culturales</t>
        </is>
      </c>
      <c r="E268" s="29" t="inlineStr">
        <is>
          <t>https://www.juntadeandalucia.es/aaiicc/enclaves/enclave-arqueologico-teatro-romano-de-malaga</t>
        </is>
      </c>
      <c r="F268" s="49" t="n">
        <v>46320</v>
      </c>
      <c r="G268" s="29" t="inlineStr">
        <is>
          <t>malaga:kesif</t>
        </is>
      </c>
      <c r="H268" s="29" t="inlineStr">
        <is>
          <t>ilk5/kesif-1,2: Roma Tiyatrosu ücretsiz giriş, saatler</t>
        </is>
      </c>
      <c r="I268" s="29" t="inlineStr">
        <is>
          <t>Evet</t>
        </is>
      </c>
      <c r="J268" s="29" t="inlineStr">
        <is>
          <t>Lisans kanıtları/8c1f1eac752f172f9564024783e64aaa49fe795c2949e83aa69433ffb503e8eb.html</t>
        </is>
      </c>
      <c r="K268" s="29" t="inlineStr">
        <is>
          <t>8c1f1eac752f172f9564024783e64aaa49fe795c2949e83aa69433ffb503e8eb</t>
        </is>
      </c>
    </row>
    <row r="269" ht="54" customHeight="1">
      <c r="A269" s="29" t="inlineStr">
        <is>
          <t>malaga:kaynak:282</t>
        </is>
      </c>
      <c r="B269" s="29" t="inlineStr">
        <is>
          <t>malaga</t>
        </is>
      </c>
      <c r="C269" s="29" t="inlineStr">
        <is>
          <t>Horarios y Tarifas</t>
        </is>
      </c>
      <c r="D269" s="29" t="inlineStr">
        <is>
          <t>Ayuntamiento de Málaga - Fundación Picasso</t>
        </is>
      </c>
      <c r="E269" s="29" t="inlineStr">
        <is>
          <t>https://museocasanatalpicasso.malaga.eu/Visita/horarios-y-tarifas/</t>
        </is>
      </c>
      <c r="F269" s="49" t="n">
        <v>46320</v>
      </c>
      <c r="G269" s="29" t="inlineStr">
        <is>
          <t>malaga:kesif</t>
        </is>
      </c>
      <c r="H269" s="29" t="inlineStr">
        <is>
          <t>ilk5/kesif-1,2: Picasso doğum evi Pazar 16:00-20:00 ücretsiz, saatler, indirimli bilet</t>
        </is>
      </c>
      <c r="I269" s="29" t="inlineStr">
        <is>
          <t>Evet</t>
        </is>
      </c>
      <c r="J269" s="29" t="inlineStr">
        <is>
          <t>Lisans kanıtları/13f12efecbf28bd70236e31c27c4630a9ca1fa746b8f81f83f90404ffd494a77.html</t>
        </is>
      </c>
      <c r="K269" s="29" t="inlineStr">
        <is>
          <t>13f12efecbf28bd70236e31c27c4630a9ca1fa746b8f81f83f90404ffd494a77</t>
        </is>
      </c>
    </row>
    <row r="270" ht="54" customHeight="1">
      <c r="A270" s="29" t="inlineStr">
        <is>
          <t>malaga:kaynak:284</t>
        </is>
      </c>
      <c r="B270" s="29" t="inlineStr">
        <is>
          <t>malaga</t>
        </is>
      </c>
      <c r="C270" s="29" t="inlineStr">
        <is>
          <t>Visítanos</t>
        </is>
      </c>
      <c r="D270" s="29" t="inlineStr">
        <is>
          <t>Ayuntamiento de Málaga - Jardín Botánico-Histórico La Concepción</t>
        </is>
      </c>
      <c r="E270" s="29" t="inlineStr">
        <is>
          <t>https://laconcepcion.malaga.eu/es/visitas/</t>
        </is>
      </c>
      <c r="F270" s="49" t="n">
        <v>46320</v>
      </c>
      <c r="G270" s="29" t="inlineStr">
        <is>
          <t>malaga:kesif</t>
        </is>
      </c>
      <c r="H270" s="29" t="inlineStr">
        <is>
          <t>ilk5/kesif-4: botanik bahçe tarifesi ve saatleri; park/doğa ziyareti</t>
        </is>
      </c>
      <c r="I270" s="29" t="inlineStr">
        <is>
          <t>Evet</t>
        </is>
      </c>
      <c r="J270" s="29" t="inlineStr">
        <is>
          <t>Lisans kanıtları/f15bf830750aa6af7d4361ae14eddd27873fbb645769eb74ec07549cf7eb8f1c.html</t>
        </is>
      </c>
      <c r="K270" s="29" t="inlineStr">
        <is>
          <t>f15bf830750aa6af7d4361ae14eddd27873fbb645769eb74ec07549cf7eb8f1c</t>
        </is>
      </c>
    </row>
    <row r="271" ht="54" customHeight="1">
      <c r="A271" s="29" t="inlineStr">
        <is>
          <t>malaga:kaynak:285</t>
        </is>
      </c>
      <c r="B271" s="29" t="inlineStr">
        <is>
          <t>malaga</t>
        </is>
      </c>
      <c r="C271" s="29" t="inlineStr">
        <is>
          <t>Detalle buscador mapa - Ventana del Visitante</t>
        </is>
      </c>
      <c r="D271" s="29" t="inlineStr">
        <is>
          <t>Junta de Andalucía - Consejería de Sostenibilidad y Medio Ambiente</t>
        </is>
      </c>
      <c r="E271" s="29" t="inlineStr">
        <is>
          <t>https://juntadeandalucia.es/medioambiente/portal/web/ventanadelvisitante/detalle-buscador-mapa/-/asset_publisher/Jlbxh2qB3NwR/content/montes-de-malaga-2</t>
        </is>
      </c>
      <c r="F271" s="49" t="n">
        <v>46320</v>
      </c>
      <c r="G271" s="29" t="inlineStr">
        <is>
          <t>malaga:kesif</t>
        </is>
      </c>
      <c r="H271" s="29" t="inlineStr">
        <is>
          <t>ilk5/kesif-4: Montes de Málaga Doğa Parkı, yürüyüş parkurları, ziyaretçi donatıları</t>
        </is>
      </c>
      <c r="I271" s="29" t="inlineStr">
        <is>
          <t>Evet</t>
        </is>
      </c>
      <c r="J271" s="29" t="inlineStr">
        <is>
          <t>Lisans kanıtları/657e212ef9e870b1683e02aab122694fa658612b467918db91ef400f3a65f328.html</t>
        </is>
      </c>
      <c r="K271" s="29" t="inlineStr">
        <is>
          <t>657e212ef9e870b1683e02aab122694fa658612b467918db91ef400f3a65f328</t>
        </is>
      </c>
    </row>
    <row r="272" ht="54" customHeight="1">
      <c r="A272" s="29" t="inlineStr">
        <is>
          <t>malaga:kaynak:286</t>
        </is>
      </c>
      <c r="B272" s="29" t="inlineStr">
        <is>
          <t>malaga</t>
        </is>
      </c>
      <c r="C272" s="29" t="inlineStr">
        <is>
          <t>Plataforma Oficial de reservas Caminito del Rey</t>
        </is>
      </c>
      <c r="D272" s="29" t="inlineStr">
        <is>
          <t>Diputación de Málaga (Caminito del Rey resmî rezervasyon platformu)</t>
        </is>
      </c>
      <c r="E272" s="29" t="inlineStr">
        <is>
          <t>https://www.caminitodelrey.info/</t>
        </is>
      </c>
      <c r="F272" s="49" t="n">
        <v>46320</v>
      </c>
      <c r="G272" s="29" t="inlineStr">
        <is>
          <t>malaga:kesif</t>
        </is>
      </c>
      <c r="H272" s="29" t="inlineStr">
        <is>
          <t>ilk5/kesif-4: Caminito del Rey doğa yürüyüşü: yaş sınırı, kimlik, bilet limiti (bu platform Diputación'a ait resmî rezervasyon sitesi)</t>
        </is>
      </c>
      <c r="I272" s="29" t="inlineStr">
        <is>
          <t>Evet</t>
        </is>
      </c>
      <c r="J272" s="29" t="inlineStr">
        <is>
          <t>Lisans kanıtları/50ed8fea7a4d538cac700925e384ebba4d608e746d183596cc2107213473300a.html</t>
        </is>
      </c>
      <c r="K272" s="29" t="inlineStr">
        <is>
          <t>50ed8fea7a4d538cac700925e384ebba4d608e746d183596cc2107213473300a</t>
        </is>
      </c>
    </row>
    <row r="273" ht="54" customHeight="1">
      <c r="A273" s="29" t="inlineStr">
        <is>
          <t>malaga:kaynak:287</t>
        </is>
      </c>
      <c r="B273" s="29" t="inlineStr">
        <is>
          <t>malaga</t>
        </is>
      </c>
      <c r="C273" s="29" t="inlineStr">
        <is>
          <t>Tarifas y horarios – Catedral de Málaga</t>
        </is>
      </c>
      <c r="D273" s="29" t="inlineStr">
        <is>
          <t>Catedral de Málaga (Cabildo Catedral)</t>
        </is>
      </c>
      <c r="E273" s="29" t="inlineStr">
        <is>
          <t>https://malagacatedral.com/visita-cultural/tarifas-y-horarios/</t>
        </is>
      </c>
      <c r="F273" s="49" t="n">
        <v>46320</v>
      </c>
      <c r="G273" s="29" t="inlineStr">
        <is>
          <t>malaga:kesif</t>
        </is>
      </c>
      <c r="H273" s="29" t="inlineStr">
        <is>
          <t>ilk5/kesif-1,2: katedral ziyaret tarifeleri, Málaga sakinlerine ücretsiz giriş</t>
        </is>
      </c>
      <c r="I273" s="29" t="inlineStr">
        <is>
          <t>Evet</t>
        </is>
      </c>
      <c r="J273" s="29" t="inlineStr">
        <is>
          <t>Lisans kanıtları/8d7a32d81b70210666b4e0b2378f47bcebe101da87e51ea6a6fd2b031a7c5693.html</t>
        </is>
      </c>
      <c r="K273" s="29" t="inlineStr">
        <is>
          <t>8d7a32d81b70210666b4e0b2378f47bcebe101da87e51ea6a6fd2b031a7c5693</t>
        </is>
      </c>
    </row>
    <row r="274" ht="54" customHeight="1">
      <c r="A274" s="29" t="inlineStr">
        <is>
          <t>malaga:kaynak:289</t>
        </is>
      </c>
      <c r="B274" s="29" t="inlineStr">
        <is>
          <t>malaga</t>
        </is>
      </c>
      <c r="C274" s="29" t="inlineStr">
        <is>
          <t>Instalaciones</t>
        </is>
      </c>
      <c r="D274" s="29" t="inlineStr">
        <is>
          <t>Ayuntamiento de Málaga - Área de Deporte</t>
        </is>
      </c>
      <c r="E274" s="29" t="inlineStr">
        <is>
          <t>https://deporte.malaga.eu/espacios-deportivos/instalaciones/</t>
        </is>
      </c>
      <c r="F274" s="49" t="n">
        <v>46320</v>
      </c>
      <c r="G274" s="29" t="inlineStr">
        <is>
          <t>malaga:kesif</t>
        </is>
      </c>
      <c r="H274" s="29" t="inlineStr">
        <is>
          <t>ilk5/kesif-5: belediye spor tesisleri, çevrimiçi rezervasyon, açılış saatleri</t>
        </is>
      </c>
      <c r="I274" s="29" t="inlineStr">
        <is>
          <t>Evet</t>
        </is>
      </c>
      <c r="J274" s="29" t="inlineStr">
        <is>
          <t>Lisans kanıtları/0fcfb7ab08660a9f8a3139eeb59352ee22b8c1d07b1ffc18f644e2ab36462aa8.html</t>
        </is>
      </c>
      <c r="K274" s="29" t="inlineStr">
        <is>
          <t>0fcfb7ab08660a9f8a3139eeb59352ee22b8c1d07b1ffc18f644e2ab36462aa8</t>
        </is>
      </c>
    </row>
    <row r="275" ht="54" customHeight="1">
      <c r="A275" s="29" t="inlineStr">
        <is>
          <t>malaga:kaynak:290</t>
        </is>
      </c>
      <c r="B275" s="29" t="inlineStr">
        <is>
          <t>malaga</t>
        </is>
      </c>
      <c r="C275" s="29" t="inlineStr">
        <is>
          <t>Trámites</t>
        </is>
      </c>
      <c r="D275" s="29" t="inlineStr">
        <is>
          <t>Ayuntamiento de Málaga - Área de Deporte</t>
        </is>
      </c>
      <c r="E275" s="29" t="inlineStr">
        <is>
          <t>https://deporte.malaga.eu/tramites/</t>
        </is>
      </c>
      <c r="F275" s="49" t="n">
        <v>46320</v>
      </c>
      <c r="G275" s="29" t="inlineStr">
        <is>
          <t>malaga:kesif</t>
        </is>
      </c>
      <c r="H275" s="29" t="inlineStr">
        <is>
          <t>ilk5/kesif-5: spor etkinliklerine kayıt ve sezonluk yenileme işlemleri</t>
        </is>
      </c>
      <c r="I275" s="29" t="inlineStr">
        <is>
          <t>Evet</t>
        </is>
      </c>
      <c r="J275" s="29" t="inlineStr">
        <is>
          <t>Lisans kanıtları/c9d92adb558604839b85d0271ba776d609ee26a999c9d9b67287d78c89c49b2b.html</t>
        </is>
      </c>
      <c r="K275" s="29" t="inlineStr">
        <is>
          <t>c9d92adb558604839b85d0271ba776d609ee26a999c9d9b67287d78c89c49b2b</t>
        </is>
      </c>
    </row>
    <row r="276" ht="54" customHeight="1">
      <c r="A276" s="29" t="inlineStr">
        <is>
          <t>malaga:kaynak:291</t>
        </is>
      </c>
      <c r="B276" s="29" t="inlineStr">
        <is>
          <t>malaga</t>
        </is>
      </c>
      <c r="C276" s="29" t="inlineStr">
        <is>
          <t>Alta de servicios por internet</t>
        </is>
      </c>
      <c r="D276" s="29" t="inlineStr">
        <is>
          <t>Ayuntamiento de Málaga - Área de Deporte</t>
        </is>
      </c>
      <c r="E276" s="29" t="inlineStr">
        <is>
          <t>https://deporte.malaga.eu/espacios-deportivos/instalaciones/Alta-de-servicios-por-internet/</t>
        </is>
      </c>
      <c r="F276" s="49" t="n">
        <v>46320</v>
      </c>
      <c r="G276" s="29" t="inlineStr">
        <is>
          <t>malaga:kesif</t>
        </is>
      </c>
      <c r="H276" s="29" t="inlineStr">
        <is>
          <t>ilk5/kesif-5: spor tesisleri için internet üzerinden üyelik/kayıt adımları</t>
        </is>
      </c>
      <c r="I276" s="29" t="inlineStr">
        <is>
          <t>Evet</t>
        </is>
      </c>
      <c r="J276" s="29" t="inlineStr">
        <is>
          <t>Lisans kanıtları/15bd3eab18e42c1ebd482e7185eea24bec0dd24dff55cd2f9f3f215c14c23eb4.html</t>
        </is>
      </c>
      <c r="K276" s="29" t="inlineStr">
        <is>
          <t>15bd3eab18e42c1ebd482e7185eea24bec0dd24dff55cd2f9f3f215c14c23eb4</t>
        </is>
      </c>
    </row>
    <row r="277" ht="54" customHeight="1">
      <c r="A277" s="29" t="inlineStr">
        <is>
          <t>malaga:kaynak:292</t>
        </is>
      </c>
      <c r="B277" s="29" t="inlineStr">
        <is>
          <t>malaga</t>
        </is>
      </c>
      <c r="C277" s="29" t="inlineStr">
        <is>
          <t>Apoyo y asesoramiento legal con carácter presencial y telefónico a personas extranjeras</t>
        </is>
      </c>
      <c r="D277" s="29" t="inlineStr">
        <is>
          <t>Ayuntamiento de Málaga</t>
        </is>
      </c>
      <c r="E277" s="29" t="inlineStr">
        <is>
          <t>https://participa.malaga.eu/migracion/apoyo-y-asesoramiento-legal-con-caracter-presencial-y-telefonico-a-personas-extranjeras/</t>
        </is>
      </c>
      <c r="F277" s="49" t="n">
        <v>46320</v>
      </c>
      <c r="G277" s="29" t="inlineStr">
        <is>
          <t>malaga:oturum</t>
        </is>
      </c>
      <c r="H277" s="29" t="inlineStr">
        <is>
          <t>oturum/planlama: göçmenlere belediye hukuki destek (010 telefonu)</t>
        </is>
      </c>
      <c r="I277" s="29" t="inlineStr">
        <is>
          <t>Evet</t>
        </is>
      </c>
      <c r="J277" s="29" t="inlineStr">
        <is>
          <t>Lisans kanıtları/aaf91b3f71161167d25fa5f920c244ddef10263a564602797b50395867403c18.html</t>
        </is>
      </c>
      <c r="K277" s="29" t="inlineStr">
        <is>
          <t>aaf91b3f71161167d25fa5f920c244ddef10263a564602797b50395867403c18</t>
        </is>
      </c>
    </row>
    <row r="278" ht="54" customHeight="1">
      <c r="A278" s="29" t="inlineStr">
        <is>
          <t>malaga:kaynak:294</t>
        </is>
      </c>
      <c r="B278" s="29" t="inlineStr">
        <is>
          <t>malaga</t>
        </is>
      </c>
      <c r="C278" s="29" t="inlineStr">
        <is>
          <t>Informe sobre Esfuerzo de Integración de personas extranjeras - Junta de Andalucía</t>
        </is>
      </c>
      <c r="D278" s="29" t="inlineStr">
        <is>
          <t>Junta de Andalucía</t>
        </is>
      </c>
      <c r="E278" s="29" t="inlineStr">
        <is>
          <t>https://www.juntadeandalucia.es/organismos/inclusionsocialjuventudfamiliaseigualdad/areas/politicas-migratorias/informe-integracion.html</t>
        </is>
      </c>
      <c r="F278" s="49" t="n">
        <v>46320</v>
      </c>
      <c r="G278" s="29" t="inlineStr">
        <is>
          <t>malaga:oturum</t>
        </is>
      </c>
      <c r="H278" s="29" t="inlineStr">
        <is>
          <t>Arraigo/oturum için entegrasyon çabası raporu: Málaga'da nereden alınır (Heredia 26, 3. kat) ve hangi belgeler gerekir</t>
        </is>
      </c>
      <c r="I278" s="29" t="inlineStr">
        <is>
          <t>Evet</t>
        </is>
      </c>
      <c r="J278" s="29" t="inlineStr">
        <is>
          <t>Lisans kanıtları/e3f3b357e185b87428028c74a865b25c33c97bde8b63040d4d09ccca3738958e.html</t>
        </is>
      </c>
      <c r="K278" s="29" t="inlineStr">
        <is>
          <t>e3f3b357e185b87428028c74a865b25c33c97bde8b63040d4d09ccca3738958e</t>
        </is>
      </c>
    </row>
    <row r="279" ht="54" customHeight="1">
      <c r="A279" s="29" t="inlineStr">
        <is>
          <t>malaga:kaynak:295</t>
        </is>
      </c>
      <c r="B279" s="29" t="inlineStr">
        <is>
          <t>malaga</t>
        </is>
      </c>
      <c r="C279" s="29" t="inlineStr">
        <is>
          <t>Buscador de dependencias y oficinas. Versión accesible. Sede electrónica de la Policía Nacional España</t>
        </is>
      </c>
      <c r="D279" s="29" t="inlineStr">
        <is>
          <t>Policía Nacional (Sede Electrónica)</t>
        </is>
      </c>
      <c r="E279" s="29" t="inlineStr">
        <is>
          <t>https://sede.policia.gob.es/portalCiudadano/_es/dependencias_localizador_accesible.php</t>
        </is>
      </c>
      <c r="F279" s="49" t="n">
        <v>46320</v>
      </c>
      <c r="G279" s="29" t="inlineStr">
        <is>
          <t>malaga:oturum</t>
        </is>
      </c>
      <c r="H279" s="29" t="inlineStr">
        <is>
          <t>Málaga'da TIE/parmak izi ve yabancılar işlemleri yapan polis birimi (Brigada Provincial de Extranjería y Fronteras) adresi ve telefonu</t>
        </is>
      </c>
      <c r="I279" s="29" t="inlineStr">
        <is>
          <t>Evet</t>
        </is>
      </c>
      <c r="J279" s="29" t="inlineStr">
        <is>
          <t>Lisans kanıtları/71ee28de926234bd928b935eec50da7bbb105d49fe63d8016eeb5a2886b437d6.html</t>
        </is>
      </c>
      <c r="K279" s="29" t="inlineStr">
        <is>
          <t>71ee28de926234bd928b935eec50da7bbb105d49fe63d8016eeb5a2886b437d6</t>
        </is>
      </c>
    </row>
    <row r="280" ht="54" customHeight="1">
      <c r="A280" s="29" t="inlineStr">
        <is>
          <t>malaga:kaynak:296</t>
        </is>
      </c>
      <c r="B280" s="29" t="inlineStr">
        <is>
          <t>malaga</t>
        </is>
      </c>
      <c r="C280" s="29" t="inlineStr">
        <is>
          <t>Dirección General de la Policia - Oficina Virtual de Denuncias</t>
        </is>
      </c>
      <c r="D280" s="29" t="inlineStr">
        <is>
          <t>Dirección General de la Policía (Policía Nacional)</t>
        </is>
      </c>
      <c r="E280" s="29" t="inlineStr">
        <is>
          <t>https://denuncias.policia.es/OVD/</t>
        </is>
      </c>
      <c r="F280" s="49" t="n">
        <v>46320</v>
      </c>
      <c r="G280" s="29" t="inlineStr">
        <is>
          <t>malaga:gunluk</t>
        </is>
      </c>
      <c r="H280" s="29" t="inlineStr">
        <is>
          <t>Çevrimiçi suç duyurusunun koşulları, 72 saat içinde karakolda imza ve 091/112 uyarısı.</t>
        </is>
      </c>
      <c r="I280" s="29" t="inlineStr">
        <is>
          <t>Evet</t>
        </is>
      </c>
      <c r="J280" s="29" t="inlineStr">
        <is>
          <t>Lisans kanıtları/1e56729d06312f65dcae8c69d25fbf99b923ea4231b6024426c77e928d457a4e.html</t>
        </is>
      </c>
      <c r="K280" s="29" t="inlineStr">
        <is>
          <t>1e56729d06312f65dcae8c69d25fbf99b923ea4231b6024426c77e928d457a4e</t>
        </is>
      </c>
    </row>
    <row r="281" ht="54" customHeight="1">
      <c r="A281" s="29" t="inlineStr">
        <is>
          <t>malaga:kaynak:297</t>
        </is>
      </c>
      <c r="B281" s="29" t="inlineStr">
        <is>
          <t>malaga</t>
        </is>
      </c>
      <c r="C281" s="29" t="inlineStr">
        <is>
          <t>Dirección General de la Policia - Oficina Virtual de Denuncias</t>
        </is>
      </c>
      <c r="D281" s="29" t="inlineStr">
        <is>
          <t>Dirección General de la Policía (Policía Nacional)</t>
        </is>
      </c>
      <c r="E281" s="29" t="inlineStr">
        <is>
          <t>https://denuncias.policia.es/OVD/Oficinas.dgp?id_prov=29</t>
        </is>
      </c>
      <c r="F281" s="49" t="n">
        <v>46320</v>
      </c>
      <c r="G281" s="29" t="inlineStr">
        <is>
          <t>malaga:gunluk</t>
        </is>
      </c>
      <c r="H281" s="29" t="inlineStr">
        <is>
          <t>Málaga ilindeki Policía Nacional suç duyurusu ofislerinin adresleri.</t>
        </is>
      </c>
      <c r="I281" s="29" t="inlineStr">
        <is>
          <t>Evet</t>
        </is>
      </c>
      <c r="J281" s="29" t="inlineStr">
        <is>
          <t>Lisans kanıtları/52bd4b8ee0446753b7e473ece445be6627c24da8f1f9821f1906d6edf5ba4619.html</t>
        </is>
      </c>
      <c r="K281" s="29" t="inlineStr">
        <is>
          <t>52bd4b8ee0446753b7e473ece445be6627c24da8f1f9821f1906d6edf5ba4619</t>
        </is>
      </c>
    </row>
    <row r="282" ht="54" customHeight="1">
      <c r="A282" s="29" t="inlineStr">
        <is>
          <t>malaga:kaynak:298</t>
        </is>
      </c>
      <c r="B282" s="29" t="inlineStr">
        <is>
          <t>malaga</t>
        </is>
      </c>
      <c r="C282" s="29" t="inlineStr">
        <is>
          <t>Punto de Acceso General | Inscripción de nacimiento en el Registro Civil español</t>
        </is>
      </c>
      <c r="D282" s="29" t="inlineStr">
        <is>
          <t>Administración General del Estado (Punto de Acceso General)</t>
        </is>
      </c>
      <c r="E282" s="29" t="inlineStr">
        <is>
          <t>https://administracion.gob.es/tu-espacio-europeo/derechos-obligaciones/ciudadanos/familia/menores/nacimiento</t>
        </is>
      </c>
      <c r="F282" s="49" t="n">
        <v>46320</v>
      </c>
      <c r="G282" s="29" t="inlineStr">
        <is>
          <t>malaga:aile</t>
        </is>
      </c>
      <c r="H282" s="29" t="inlineStr">
        <is>
          <t>Doğum bildiriminin yasal süresi: Junta sayfasındaki 30 gün ile karşılaştırma için devlet portalı.</t>
        </is>
      </c>
      <c r="I282" s="29" t="inlineStr">
        <is>
          <t>Evet</t>
        </is>
      </c>
      <c r="J282" s="29" t="inlineStr">
        <is>
          <t>Lisans kanıtları/8953523a6cf23f10d3471697248fd89c66ab8e0ec5feacc2dc225e5be5da8a41.html</t>
        </is>
      </c>
      <c r="K282" s="29" t="inlineStr">
        <is>
          <t>8953523a6cf23f10d3471697248fd89c66ab8e0ec5feacc2dc225e5be5da8a41</t>
        </is>
      </c>
    </row>
    <row r="283" ht="54" customHeight="1">
      <c r="A283" s="29" t="inlineStr">
        <is>
          <t>malaga:kaynak:299</t>
        </is>
      </c>
      <c r="B283" s="29" t="inlineStr">
        <is>
          <t>malaga</t>
        </is>
      </c>
      <c r="C283" s="29" t="inlineStr">
        <is>
          <t>Agencia Tributaria: Deducción por maternidad - Importe de la deducción</t>
        </is>
      </c>
      <c r="D283" s="29" t="inlineStr">
        <is>
          <t>Agencia Tributaria</t>
        </is>
      </c>
      <c r="E283" s="29" t="inlineStr">
        <is>
          <t>https://sede.agenciatributaria.gob.es/Sede/ciudadanos-familias-personas-discapacidad/deducciones-relacionadas-hijos-descendientes/deduccion-maternidad/importe-deduccion.html</t>
        </is>
      </c>
      <c r="F283" s="49" t="n">
        <v>46320</v>
      </c>
      <c r="G283" s="29" t="inlineStr">
        <is>
          <t>malaga:aile</t>
        </is>
      </c>
      <c r="H283" s="29" t="inlineStr">
        <is>
          <t>3 yaşından küçük çocuk için annelik vergi indirimi tutarı ve koşulları.</t>
        </is>
      </c>
      <c r="I283" s="29" t="inlineStr">
        <is>
          <t>Evet</t>
        </is>
      </c>
      <c r="J283" s="29" t="inlineStr">
        <is>
          <t>Lisans kanıtları/91362a2496b6a514c0eed25b7e076db8a78f35c2eb12619a51900ee1dca17224.html</t>
        </is>
      </c>
      <c r="K283" s="29" t="inlineStr">
        <is>
          <t>91362a2496b6a514c0eed25b7e076db8a78f35c2eb12619a51900ee1dca17224</t>
        </is>
      </c>
    </row>
    <row r="284" ht="54" customHeight="1">
      <c r="A284" s="29" t="inlineStr">
        <is>
          <t>malaga:kaynak:300</t>
        </is>
      </c>
      <c r="B284" s="29" t="inlineStr">
        <is>
          <t>malaga</t>
        </is>
      </c>
      <c r="C284" s="29" t="inlineStr">
        <is>
          <t>Extranjería - Tarjeta inicial o renovación residencia o residencia y trabajo - Sede Electrónica de la Policía Nacional</t>
        </is>
      </c>
      <c r="D284" s="29" t="inlineStr">
        <is>
          <t>Dirección General de la Policía (Policía Nacional) - Sede electrónica</t>
        </is>
      </c>
      <c r="E284" s="29" t="inlineStr">
        <is>
          <t>https://sede.policia.gob.es/portalCiudadano/_es/tramites_extranjeria_tramite_tarjeta_residencia_residenciaytrabajo.php</t>
        </is>
      </c>
      <c r="F284" s="49" t="n">
        <v>46322</v>
      </c>
      <c r="G284" s="29" t="inlineStr">
        <is>
          <t>malaga:oturum</t>
        </is>
      </c>
      <c r="H284" s="29" t="inlineStr">
        <is>
          <t>TIE (yabancı kimlik kartı) ilk başvuru ve yenileme: form EX17, harç belgesi, başvurunun yapılacağı birim.</t>
        </is>
      </c>
      <c r="I284" s="29" t="inlineStr">
        <is>
          <t>Evet</t>
        </is>
      </c>
      <c r="J284" s="29" t="inlineStr">
        <is>
          <t>Lisans kanıtları/ca3432ffc397059a47952fd08ac9d04953b1994af958170a545fd9ce3dfb9aac.html</t>
        </is>
      </c>
      <c r="K284" s="29" t="inlineStr">
        <is>
          <t>ca3432ffc397059a47952fd08ac9d04953b1994af958170a545fd9ce3dfb9aac</t>
        </is>
      </c>
    </row>
    <row r="285" ht="54" customHeight="1">
      <c r="A285" s="29" t="inlineStr">
        <is>
          <t>malaga:kaynak:301</t>
        </is>
      </c>
      <c r="B285" s="29" t="inlineStr">
        <is>
          <t>malaga</t>
        </is>
      </c>
      <c r="C285" s="29" t="inlineStr">
        <is>
          <t>Calendario - Escolarización 2026/2027 - Educación</t>
        </is>
      </c>
      <c r="D285" s="29" t="inlineStr">
        <is>
          <t>Consejería de Educación (Junta de Andalucía)</t>
        </is>
      </c>
      <c r="E285" s="29" t="inlineStr">
        <is>
          <t>https://www.juntadeandalucia.es/educacion/portales/web/escolarizacion/0-a-3-anos/calendario</t>
        </is>
      </c>
      <c r="F285" s="49" t="n">
        <v>46322</v>
      </c>
      <c r="G285" s="29" t="inlineStr">
        <is>
          <t>malaga:aile</t>
        </is>
      </c>
      <c r="H285" s="29" t="inlineStr">
        <is>
          <t>0-3 yaş kreş başvuru ve yer ayırtma takvimi (2026/27); giriş sayfasındaki tarihlerle karşılaştırma.</t>
        </is>
      </c>
      <c r="I285" s="29" t="inlineStr">
        <is>
          <t>Evet</t>
        </is>
      </c>
      <c r="J285" s="29" t="inlineStr">
        <is>
          <t>Lisans kanıtları/abb7e5e09dc0c66c536e8d8ba76f9b1c2f75162bce0a5e5b74432f87cda1665e.html</t>
        </is>
      </c>
      <c r="K285" s="29" t="inlineStr">
        <is>
          <t>abb7e5e09dc0c66c536e8d8ba76f9b1c2f75162bce0a5e5b74432f87cda1665e</t>
        </is>
      </c>
    </row>
    <row r="286" ht="54" customHeight="1">
      <c r="A286" s="29" t="inlineStr">
        <is>
          <t>malaga:kaynak:302</t>
        </is>
      </c>
      <c r="B286" s="29" t="inlineStr">
        <is>
          <t>malaga</t>
        </is>
      </c>
      <c r="C286" s="29" t="inlineStr">
        <is>
          <t>Atención al Cliente – Emasa</t>
        </is>
      </c>
      <c r="D286" s="29" t="inlineStr">
        <is>
          <t>EMASA (Empresa Municipal Aguas de Málaga)</t>
        </is>
      </c>
      <c r="E286" s="29" t="inlineStr">
        <is>
          <t>https://www.emasa.es/atencion-al-cliente/</t>
        </is>
      </c>
      <c r="F286" s="49" t="n">
        <v>46322</v>
      </c>
      <c r="G286" s="29" t="inlineStr">
        <is>
          <t>malaga:fatura</t>
        </is>
      </c>
      <c r="H286" s="29" t="inlineStr">
        <is>
          <t>EMASA merkez ofisi adresi, çalışma saatleri ve randevu telefonu.</t>
        </is>
      </c>
      <c r="I286" s="29" t="inlineStr">
        <is>
          <t>Evet</t>
        </is>
      </c>
      <c r="J286" s="29" t="inlineStr">
        <is>
          <t>Lisans kanıtları/46222599a489da1622d1c6b36d1302cbfbcf5886d5f05b415a19928fe05365f9.html</t>
        </is>
      </c>
      <c r="K286" s="29" t="inlineStr">
        <is>
          <t>46222599a489da1622d1c6b36d1302cbfbcf5886d5f05b415a19928fe05365f9</t>
        </is>
      </c>
    </row>
    <row r="287" ht="54" customHeight="1">
      <c r="A287" s="29" t="inlineStr">
        <is>
          <t>malaga:kaynak:304</t>
        </is>
      </c>
      <c r="B287" s="29" t="inlineStr">
        <is>
          <t>malaga</t>
        </is>
      </c>
      <c r="C287" s="29" t="inlineStr">
        <is>
          <t>Zona Bajas Emisiones</t>
        </is>
      </c>
      <c r="D287" s="29" t="inlineStr">
        <is>
          <t>Ayuntamiento de Málaga - Área de Movilidad</t>
        </is>
      </c>
      <c r="E287" s="29" t="inlineStr">
        <is>
          <t>https://movilidad.malaga.eu/es/servicios/zona-bajas-emisiones/</t>
        </is>
      </c>
      <c r="F287" s="49" t="n">
        <v>46320</v>
      </c>
      <c r="G287" s="29" t="inlineStr">
        <is>
          <t>malaga:ulasim</t>
        </is>
      </c>
      <c r="H287" s="29" t="inlineStr">
        <is>
          <t>Málaga ZBE: alan, hangi araç etiketi girer, ilk üç yıl kuralı</t>
        </is>
      </c>
      <c r="I287" s="29" t="inlineStr">
        <is>
          <t>Evet</t>
        </is>
      </c>
      <c r="J287" s="29" t="inlineStr">
        <is>
          <t>Lisans kanıtları/84325a5296397213ca8959cd1534222e9dea2a4b38ab4076b55ce33ecf91bc3c.html</t>
        </is>
      </c>
      <c r="K287" s="29" t="inlineStr">
        <is>
          <t>84325a5296397213ca8959cd1534222e9dea2a4b38ab4076b55ce33ecf91bc3c</t>
        </is>
      </c>
    </row>
    <row r="288" ht="54" customHeight="1">
      <c r="A288" s="29" t="inlineStr">
        <is>
          <t>malaga:kaynak:305</t>
        </is>
      </c>
      <c r="B288" s="29" t="inlineStr">
        <is>
          <t>malaga</t>
        </is>
      </c>
      <c r="C288" s="29" t="inlineStr">
        <is>
          <t>Mercados y mercadillos</t>
        </is>
      </c>
      <c r="D288" s="29" t="inlineStr">
        <is>
          <t>Ayuntamiento de Málaga (Servicio de Mercados y Vía Pública)</t>
        </is>
      </c>
      <c r="E288" s="29" t="inlineStr">
        <is>
          <t>https://mercadillos.malaga.eu/mercadillos/</t>
        </is>
      </c>
      <c r="F288" s="49" t="n">
        <v>46322</v>
      </c>
      <c r="G288" s="29" t="inlineStr">
        <is>
          <t>malaga:gunluk</t>
        </is>
      </c>
      <c r="H288" s="29" t="inlineStr">
        <is>
          <t>Málaga'daki haftalık açık hava pazarlarının (mercadillo) günleri ve saatleri.</t>
        </is>
      </c>
      <c r="I288" s="29" t="inlineStr">
        <is>
          <t>Evet</t>
        </is>
      </c>
      <c r="J288" s="29" t="inlineStr">
        <is>
          <t>Lisans kanıtları/a8328d4056efe9b1cb2fd3506373781c633d1d6512fe467b01f3f3381b8a7fab.html</t>
        </is>
      </c>
      <c r="K288" s="29" t="inlineStr">
        <is>
          <t>a8328d4056efe9b1cb2fd3506373781c633d1d6512fe467b01f3f3381b8a7fab</t>
        </is>
      </c>
    </row>
    <row r="289" ht="54" customHeight="1">
      <c r="A289" s="29" t="inlineStr">
        <is>
          <t>malaga:kaynak:306</t>
        </is>
      </c>
      <c r="B289" s="29" t="inlineStr">
        <is>
          <t>malaga</t>
        </is>
      </c>
      <c r="C289" s="29" t="inlineStr">
        <is>
          <t>Detalle del Comunicado</t>
        </is>
      </c>
      <c r="D289" s="29" t="inlineStr">
        <is>
          <t>Ayuntamiento de Málaga</t>
        </is>
      </c>
      <c r="E289" s="29" t="inlineStr">
        <is>
          <t>https://www.malaga.eu/el-ayuntamiento/notas-de-prensa/detalle-de-la-nota-de-prensa/index.html?id=177530</t>
        </is>
      </c>
      <c r="F289" s="49" t="n">
        <v>46322</v>
      </c>
      <c r="G289" s="29" t="inlineStr">
        <is>
          <t>malaga:gunluk</t>
        </is>
      </c>
      <c r="H289" s="29" t="inlineStr">
        <is>
          <t>Feria de Málaga tarihlerinin belirlenme biçimi ve 2026 tarihleri.</t>
        </is>
      </c>
      <c r="I289" s="29" t="inlineStr">
        <is>
          <t>Evet</t>
        </is>
      </c>
      <c r="J289" s="29" t="inlineStr">
        <is>
          <t>Lisans kanıtları/cd7519c8660cd6a55e12f95dd94b3568affdc6f8fc59c296c31f1959c1c2a77e.html</t>
        </is>
      </c>
      <c r="K289" s="29" t="inlineStr">
        <is>
          <t>cd7519c8660cd6a55e12f95dd94b3568affdc6f8fc59c296c31f1959c1c2a77e</t>
        </is>
      </c>
    </row>
    <row r="290" ht="54" customHeight="1">
      <c r="A290" s="29" t="inlineStr">
        <is>
          <t>malaga:kaynak:307</t>
        </is>
      </c>
      <c r="B290" s="29" t="inlineStr">
        <is>
          <t>malaga</t>
        </is>
      </c>
      <c r="C290" s="29" t="inlineStr">
        <is>
          <t>¿Dónde estamos?</t>
        </is>
      </c>
      <c r="D290" s="29" t="inlineStr">
        <is>
          <t>Ayuntamiento de Málaga - Alcazaba y Gibralfaro</t>
        </is>
      </c>
      <c r="E290" s="29" t="inlineStr">
        <is>
          <t>https://alcazabaygibralfaro.malaga.eu/es/alcazaba/donde-estamos</t>
        </is>
      </c>
      <c r="F290" s="49" t="n">
        <v>46322</v>
      </c>
      <c r="G290" s="29" t="inlineStr">
        <is>
          <t>malaga:kesif</t>
        </is>
      </c>
      <c r="H290" s="29" t="inlineStr">
        <is>
          <t>11. yüzyıl Hammudî-Nasrî kalesi; Málaga'nın en bilinen anıtı, Roma tiyatrosunun hemen yanında. Resmî sitenin 'Dónde estamos' sayfasında adres var.</t>
        </is>
      </c>
      <c r="I290" s="29" t="inlineStr">
        <is>
          <t>Evet</t>
        </is>
      </c>
      <c r="J290" s="29" t="inlineStr">
        <is>
          <t>Lisans kanıtları/1deb5fee82fb335c242bd73c4123065413db726d7855bdaf30b16a16b0c66fcb.html</t>
        </is>
      </c>
      <c r="K290" s="29" t="inlineStr">
        <is>
          <t>1deb5fee82fb335c242bd73c4123065413db726d7855bdaf30b16a16b0c66fcb</t>
        </is>
      </c>
    </row>
    <row r="291" ht="54" customHeight="1">
      <c r="A291" s="29" t="inlineStr">
        <is>
          <t>malaga:kaynak:308</t>
        </is>
      </c>
      <c r="B291" s="29" t="inlineStr">
        <is>
          <t>malaga</t>
        </is>
      </c>
      <c r="C291" s="29" t="inlineStr">
        <is>
          <t>¿Dónde estamos?</t>
        </is>
      </c>
      <c r="D291" s="29" t="inlineStr">
        <is>
          <t>Ayuntamiento de Málaga - Alcazaba y Gibralfaro</t>
        </is>
      </c>
      <c r="E291" s="29" t="inlineStr">
        <is>
          <t>https://alcazabaygibralfaro.malaga.eu/es/castillo-de-gibralfaro/donde-estamos</t>
        </is>
      </c>
      <c r="F291" s="49" t="n">
        <v>46322</v>
      </c>
      <c r="G291" s="29" t="inlineStr">
        <is>
          <t>malaga:kesif</t>
        </is>
      </c>
      <c r="H291" s="29" t="inlineStr">
        <is>
          <t>Tepedeki Nasrî kalesi ve surları; şehrin en iyi panoramik manzarası. Alcazaba'dan ayrı giriş ve adres.</t>
        </is>
      </c>
      <c r="I291" s="29" t="inlineStr">
        <is>
          <t>Evet</t>
        </is>
      </c>
      <c r="J291" s="29" t="inlineStr">
        <is>
          <t>Lisans kanıtları/1deb5fee82fb335c242bd73c4123065413db726d7855bdaf30b16a16b0c66fcb.html</t>
        </is>
      </c>
      <c r="K291" s="29" t="inlineStr">
        <is>
          <t>1deb5fee82fb335c242bd73c4123065413db726d7855bdaf30b16a16b0c66fcb</t>
        </is>
      </c>
    </row>
    <row r="292" ht="54" customHeight="1">
      <c r="A292" s="29" t="inlineStr">
        <is>
          <t>malaga:kaynak:309</t>
        </is>
      </c>
      <c r="B292" s="29" t="inlineStr">
        <is>
          <t>malaga</t>
        </is>
      </c>
      <c r="C292" s="29" t="inlineStr">
        <is>
          <t>Cómo llegar – Catedral de Málaga</t>
        </is>
      </c>
      <c r="D292" s="29" t="inlineStr">
        <is>
          <t>Catedral de Málaga</t>
        </is>
      </c>
      <c r="E292" s="29" t="inlineStr">
        <is>
          <t>https://malagacatedral.com/visita-cultural/como-llegar/</t>
        </is>
      </c>
      <c r="F292" s="49" t="n">
        <v>46322</v>
      </c>
      <c r="G292" s="29" t="inlineStr">
        <is>
          <t>malaga:kesif</t>
        </is>
      </c>
      <c r="H292" s="29" t="inlineStr">
        <is>
          <t>Rönesans-barok katedral, 'La Manquita' (tek kulesi bitmemiş). Resmî sitede ziyaret, saat ve 'Cómo llegar' sayfaları var.</t>
        </is>
      </c>
      <c r="I292" s="29" t="inlineStr">
        <is>
          <t>Evet</t>
        </is>
      </c>
      <c r="J292" s="29" t="inlineStr">
        <is>
          <t>Lisans kanıtları/d0b6ac4005444c40f23422e828ce4d46c07e2214189a5f53d829f4577bf9521f.html</t>
        </is>
      </c>
      <c r="K292" s="29" t="inlineStr">
        <is>
          <t>d0b6ac4005444c40f23422e828ce4d46c07e2214189a5f53d829f4577bf9521f</t>
        </is>
      </c>
    </row>
    <row r="293" ht="54" customHeight="1">
      <c r="A293" s="29" t="inlineStr">
        <is>
          <t>malaga:kaynak:310</t>
        </is>
      </c>
      <c r="B293" s="29" t="inlineStr">
        <is>
          <t>malaga</t>
        </is>
      </c>
      <c r="C293" s="29" t="inlineStr">
        <is>
          <t>¿Dónde estamos?</t>
        </is>
      </c>
      <c r="D293" s="29" t="inlineStr">
        <is>
          <t>Ayuntamiento de Málaga</t>
        </is>
      </c>
      <c r="E293" s="29" t="inlineStr">
        <is>
          <t>https://www.malaga.eu/informacion-general/donde-estamos/</t>
        </is>
      </c>
      <c r="F293" s="49" t="n">
        <v>46322</v>
      </c>
      <c r="G293" s="29" t="inlineStr">
        <is>
          <t>malaga:kesif</t>
        </is>
      </c>
      <c r="H293" s="29" t="inlineStr">
        <is>
          <t>Neobarok Casa Consistorial (1919), Parque'ye bakan belediye binası; şehrin simge yapılarından. Resmî belediye sayfasında adres var.</t>
        </is>
      </c>
      <c r="I293" s="29" t="inlineStr">
        <is>
          <t>Evet</t>
        </is>
      </c>
      <c r="J293" s="29" t="inlineStr">
        <is>
          <t>Lisans kanıtları/89b715e04ef5d26ae7d896fdfade392aa189fc02105814e4b8d06715c75b04d7.html</t>
        </is>
      </c>
      <c r="K293" s="29" t="inlineStr">
        <is>
          <t>89b715e04ef5d26ae7d896fdfade392aa189fc02105814e4b8d06715c75b04d7</t>
        </is>
      </c>
    </row>
    <row r="294" ht="54" customHeight="1">
      <c r="A294" s="29" t="inlineStr">
        <is>
          <t>malaga:kaynak:311</t>
        </is>
      </c>
      <c r="B294" s="29" t="inlineStr">
        <is>
          <t>malaga</t>
        </is>
      </c>
      <c r="C294" s="29" t="inlineStr">
        <is>
          <t>Diócesis de Málaga : Portal de la Iglesia Católica en Málaga</t>
        </is>
      </c>
      <c r="D294" s="29" t="inlineStr">
        <is>
          <t>Diócesis de Málaga</t>
        </is>
      </c>
      <c r="E294" s="29" t="inlineStr">
        <is>
          <t>https://diocesismalaga.es/parroquias/6/santiago-apostol-malaga</t>
        </is>
      </c>
      <c r="F294" s="49" t="n">
        <v>46322</v>
      </c>
      <c r="G294" s="29" t="inlineStr">
        <is>
          <t>malaga:kesif</t>
        </is>
      </c>
      <c r="H294" s="29" t="inlineStr">
        <is>
          <t>Picasso'nun vaftiz edildiği kilise; piskoposluk sayfasında adres ve tapınak açılış-kapanış saatleri (hafta içi 9-13, 17-20) var.</t>
        </is>
      </c>
      <c r="I294" s="29" t="inlineStr">
        <is>
          <t>Evet</t>
        </is>
      </c>
      <c r="J294" s="29" t="inlineStr">
        <is>
          <t>Lisans kanıtları/f028f72f29143cb104888bc9e3b5148846ddf5b9f0a9907cd241ea7e8087c1ab.html</t>
        </is>
      </c>
      <c r="K294" s="29" t="inlineStr">
        <is>
          <t>f028f72f29143cb104888bc9e3b5148846ddf5b9f0a9907cd241ea7e8087c1ab</t>
        </is>
      </c>
    </row>
    <row r="295" ht="54" customHeight="1">
      <c r="A295" s="29" t="inlineStr">
        <is>
          <t>malaga:kaynak:312</t>
        </is>
      </c>
      <c r="B295" s="29" t="inlineStr">
        <is>
          <t>malaga</t>
        </is>
      </c>
      <c r="C295" s="29" t="inlineStr">
        <is>
          <t>Diócesis de Málaga : Portal de la Iglesia Católica en Málaga</t>
        </is>
      </c>
      <c r="D295" s="29" t="inlineStr">
        <is>
          <t>Diócesis de Málaga</t>
        </is>
      </c>
      <c r="E295" s="29" t="inlineStr">
        <is>
          <t>https://diocesismalaga.es/parroquias/1/santa-maria-de-la-victoria-y-la-merced-malaga</t>
        </is>
      </c>
      <c r="F295" s="49" t="n">
        <v>46322</v>
      </c>
      <c r="G295" s="29" t="inlineStr">
        <is>
          <t>malaga:kesif</t>
        </is>
      </c>
      <c r="H295" s="29" t="inlineStr">
        <is>
          <t>Málaga'nın koruyucusu Victoria Meryemi'nin bazilikası ve kripta; piskoposluk sayfasında adres ve günlük ayin saatleri var.</t>
        </is>
      </c>
      <c r="I295" s="29" t="inlineStr">
        <is>
          <t>Evet</t>
        </is>
      </c>
      <c r="J295" s="29" t="inlineStr">
        <is>
          <t>Lisans kanıtları/dbbc35259443de69710c968b60e03e4084caab9301e426b53ebff7294ca560cd.html</t>
        </is>
      </c>
      <c r="K295" s="29" t="inlineStr">
        <is>
          <t>dbbc35259443de69710c968b60e03e4084caab9301e426b53ebff7294ca560cd</t>
        </is>
      </c>
    </row>
    <row r="296" ht="54" customHeight="1">
      <c r="A296" s="29" t="inlineStr">
        <is>
          <t>malaga:kaynak:313</t>
        </is>
      </c>
      <c r="B296" s="29" t="inlineStr">
        <is>
          <t>malaga</t>
        </is>
      </c>
      <c r="C296" s="29" t="inlineStr">
        <is>
          <t>Diócesis de Málaga : Portal de la Iglesia Católica en Málaga</t>
        </is>
      </c>
      <c r="D296" s="29" t="inlineStr">
        <is>
          <t>Diócesis de Málaga</t>
        </is>
      </c>
      <c r="E296" s="29" t="inlineStr">
        <is>
          <t>https://diocesismalaga.es/parroquias/8/santos-martires-ciriaco-y-paula-malaga</t>
        </is>
      </c>
      <c r="F296" s="49" t="n">
        <v>46322</v>
      </c>
      <c r="G296" s="29" t="inlineStr">
        <is>
          <t>malaga:kesif</t>
        </is>
      </c>
      <c r="H296" s="29" t="inlineStr">
        <is>
          <t>1487 sonrası Katolik Hükümdarların kurduğu dört kiliseden biri, şehrin koruyucu azizlerine adanmış; piskoposluk sayfasında adres ve ayin saatleri.</t>
        </is>
      </c>
      <c r="I296" s="29" t="inlineStr">
        <is>
          <t>Evet</t>
        </is>
      </c>
      <c r="J296" s="29" t="inlineStr">
        <is>
          <t>Lisans kanıtları/55175982b329fe3311fb97e4ebd3ad051dbd8c101eba9fed3490e28f3c9c3858.html</t>
        </is>
      </c>
      <c r="K296" s="29" t="inlineStr">
        <is>
          <t>55175982b329fe3311fb97e4ebd3ad051dbd8c101eba9fed3490e28f3c9c3858</t>
        </is>
      </c>
    </row>
    <row r="297" ht="54" customHeight="1">
      <c r="A297" s="29" t="inlineStr">
        <is>
          <t>malaga:kaynak:314</t>
        </is>
      </c>
      <c r="B297" s="29" t="inlineStr">
        <is>
          <t>malaga</t>
        </is>
      </c>
      <c r="C297" s="29" t="inlineStr">
        <is>
          <t>Diócesis de Málaga : Portal de la Iglesia Católica en Málaga</t>
        </is>
      </c>
      <c r="D297" s="29" t="inlineStr">
        <is>
          <t>Diócesis de Málaga</t>
        </is>
      </c>
      <c r="E297" s="29" t="inlineStr">
        <is>
          <t>https://diocesismalaga.es/parroquias/4/san-juan-bautista-malaga</t>
        </is>
      </c>
      <c r="F297" s="49" t="n">
        <v>46322</v>
      </c>
      <c r="G297" s="29" t="inlineStr">
        <is>
          <t>malaga:kesif</t>
        </is>
      </c>
      <c r="H297" s="29" t="inlineStr">
        <is>
          <t>Merkez tarihî bölgedeki Aziz Yahya kilisesi (15. yy kökenli); piskoposluk sayfasında adres ve günlük ayin saatleri.</t>
        </is>
      </c>
      <c r="I297" s="29" t="inlineStr">
        <is>
          <t>Evet</t>
        </is>
      </c>
      <c r="J297" s="29" t="inlineStr">
        <is>
          <t>Lisans kanıtları/af69c09e22437110e8840e0f9f01ffd71512fc61dd3b314d63307e3c9cf6411b.html</t>
        </is>
      </c>
      <c r="K297" s="29" t="inlineStr">
        <is>
          <t>af69c09e22437110e8840e0f9f01ffd71512fc61dd3b314d63307e3c9cf6411b</t>
        </is>
      </c>
    </row>
    <row r="298" ht="54" customHeight="1">
      <c r="A298" s="29" t="inlineStr">
        <is>
          <t>malaga:kaynak:315</t>
        </is>
      </c>
      <c r="B298" s="29" t="inlineStr">
        <is>
          <t>malaga</t>
        </is>
      </c>
      <c r="C298" s="29" t="inlineStr">
        <is>
          <t>Iglesia del Santo Cristo de la Salud</t>
        </is>
      </c>
      <c r="D298" s="29" t="inlineStr">
        <is>
          <t>Diócesis de Málaga</t>
        </is>
      </c>
      <c r="E298" s="29" t="inlineStr">
        <is>
          <t>https://diocesismalaga.es/bic/2014061175/iglesia-del-santo-cristo-de-la-salud</t>
        </is>
      </c>
      <c r="F298" s="49" t="n">
        <v>46322</v>
      </c>
      <c r="G298" s="29" t="inlineStr">
        <is>
          <t>malaga:kesif</t>
        </is>
      </c>
      <c r="H298" s="29" t="inlineStr">
        <is>
          <t>Dairesel planlı Barok kilise (BIC), şehrin koruyucusu Santo Cristo de la Salud; piskoposluk sayfasında hafta içi ziyaret saatleri var.</t>
        </is>
      </c>
      <c r="I298" s="29" t="inlineStr">
        <is>
          <t>Evet</t>
        </is>
      </c>
      <c r="J298" s="29" t="inlineStr">
        <is>
          <t>Lisans kanıtları/d881db64ef41a65db4b27feb4ca9371182047afdbb4ffee7a29dc7df6e66d854.html</t>
        </is>
      </c>
      <c r="K298" s="29" t="inlineStr">
        <is>
          <t>d881db64ef41a65db4b27feb4ca9371182047afdbb4ffee7a29dc7df6e66d854</t>
        </is>
      </c>
    </row>
    <row r="299" ht="54" customHeight="1">
      <c r="A299" s="29" t="inlineStr">
        <is>
          <t>malaga:kaynak:316</t>
        </is>
      </c>
      <c r="B299" s="29" t="inlineStr">
        <is>
          <t>malaga</t>
        </is>
      </c>
      <c r="C299" s="29" t="inlineStr">
        <is>
          <t>Diócesis de Málaga : Portal de la Iglesia Católica en Málaga</t>
        </is>
      </c>
      <c r="D299" s="29" t="inlineStr">
        <is>
          <t>Diócesis de Málaga</t>
        </is>
      </c>
      <c r="E299" s="29" t="inlineStr">
        <is>
          <t>https://diocesismalaga.es/parroquias/7/santa-cruz-y-san-felipe-neri-malaga</t>
        </is>
      </c>
      <c r="F299" s="49" t="n">
        <v>46322</v>
      </c>
      <c r="G299" s="29" t="inlineStr">
        <is>
          <t>malaga:kesif</t>
        </is>
      </c>
      <c r="H299" s="29" t="inlineStr">
        <is>
          <t>18. yy Barok San Felipe Neri kilisesi (Santa Cruz ile ortak cemaat); piskoposluk sayfasında adres ve salı-cumartesi 17.30-20.30 açılış saati.</t>
        </is>
      </c>
      <c r="I299" s="29" t="inlineStr">
        <is>
          <t>Evet</t>
        </is>
      </c>
      <c r="J299" s="29" t="inlineStr">
        <is>
          <t>Lisans kanıtları/9055e593868c48f66b09485875683cc98dad2c8e62db2d2c70ceaf787d265d59.html</t>
        </is>
      </c>
      <c r="K299" s="29" t="inlineStr">
        <is>
          <t>9055e593868c48f66b09485875683cc98dad2c8e62db2d2c70ceaf787d265d59</t>
        </is>
      </c>
    </row>
    <row r="300" ht="54" customHeight="1">
      <c r="A300" s="29" t="inlineStr">
        <is>
          <t>malaga:kaynak:317</t>
        </is>
      </c>
      <c r="B300" s="29" t="inlineStr">
        <is>
          <t>malaga</t>
        </is>
      </c>
      <c r="C300" s="29" t="inlineStr">
        <is>
          <t>Diócesis de Málaga : Portal de la Iglesia Católica en Málaga</t>
        </is>
      </c>
      <c r="D300" s="29" t="inlineStr">
        <is>
          <t>Diócesis de Málaga</t>
        </is>
      </c>
      <c r="E300" s="29" t="inlineStr">
        <is>
          <t>https://diocesismalaga.es/parroquias/34/san-pablo-malaga</t>
        </is>
      </c>
      <c r="F300" s="49" t="n">
        <v>46322</v>
      </c>
      <c r="G300" s="29" t="inlineStr">
        <is>
          <t>malaga:kesif</t>
        </is>
      </c>
      <c r="H300" s="29" t="inlineStr">
        <is>
          <t>Perchel semtindeki tarihî San Pablo kilisesi; piskoposluk sayfasında adres ve her gün 9-13 / 17-20 açılış saati.</t>
        </is>
      </c>
      <c r="I300" s="29" t="inlineStr">
        <is>
          <t>Evet</t>
        </is>
      </c>
      <c r="J300" s="29" t="inlineStr">
        <is>
          <t>Lisans kanıtları/12e80ea67f986546c92effb92742ad4ad9b5ed3d58e363795b56388e560f3981.html</t>
        </is>
      </c>
      <c r="K300" s="29" t="inlineStr">
        <is>
          <t>12e80ea67f986546c92effb92742ad4ad9b5ed3d58e363795b56388e560f3981</t>
        </is>
      </c>
    </row>
    <row r="301" ht="54" customHeight="1">
      <c r="A301" s="29" t="inlineStr">
        <is>
          <t>malaga:kaynak:318</t>
        </is>
      </c>
      <c r="B301" s="29" t="inlineStr">
        <is>
          <t>malaga</t>
        </is>
      </c>
      <c r="C301" s="29" t="inlineStr">
        <is>
          <t>Diócesis de Málaga : Portal de la Iglesia Católica en Málaga</t>
        </is>
      </c>
      <c r="D301" s="29" t="inlineStr">
        <is>
          <t>Diócesis de Málaga</t>
        </is>
      </c>
      <c r="E301" s="29" t="inlineStr">
        <is>
          <t>https://diocesismalaga.es/parroquias/24/san-pedro-malaga</t>
        </is>
      </c>
      <c r="F301" s="49" t="n">
        <v>46322</v>
      </c>
      <c r="G301" s="29" t="inlineStr">
        <is>
          <t>malaga:kesif</t>
        </is>
      </c>
      <c r="H301" s="29" t="inlineStr">
        <is>
          <t>Guadalmedina kıyısındaki tarihî San Pedro kilisesi (anıt); piskoposluk sayfasında adres ve günlük ayin saatleri.</t>
        </is>
      </c>
      <c r="I301" s="29" t="inlineStr">
        <is>
          <t>Evet</t>
        </is>
      </c>
      <c r="J301" s="29" t="inlineStr">
        <is>
          <t>Lisans kanıtları/9a28e052ae3e0b65302ff2ee6dffc3bc318285677979dc960407ce62c610f326.html</t>
        </is>
      </c>
      <c r="K301" s="29" t="inlineStr">
        <is>
          <t>9a28e052ae3e0b65302ff2ee6dffc3bc318285677979dc960407ce62c610f326</t>
        </is>
      </c>
    </row>
    <row r="302" ht="54" customHeight="1">
      <c r="A302" s="29" t="inlineStr">
        <is>
          <t>malaga:kaynak:319</t>
        </is>
      </c>
      <c r="B302" s="29" t="inlineStr">
        <is>
          <t>malaga</t>
        </is>
      </c>
      <c r="C302" s="29" t="inlineStr">
        <is>
          <t>Diócesis de Málaga : Portal de la Iglesia Católica en Málaga</t>
        </is>
      </c>
      <c r="D302" s="29" t="inlineStr">
        <is>
          <t>Diócesis de Málaga</t>
        </is>
      </c>
      <c r="E302" s="29" t="inlineStr">
        <is>
          <t>https://diocesismalaga.es/parroquias/37/santisima-trinidad-malaga</t>
        </is>
      </c>
      <c r="F302" s="49" t="n">
        <v>46322</v>
      </c>
      <c r="G302" s="29" t="inlineStr">
        <is>
          <t>malaga:kesif</t>
        </is>
      </c>
      <c r="H302" s="29" t="inlineStr">
        <is>
          <t>Trinidad semtinin tarihî kilisesi; piskoposluk sayfasında adres ve günlük ayin saatleri.</t>
        </is>
      </c>
      <c r="I302" s="29" t="inlineStr">
        <is>
          <t>Evet</t>
        </is>
      </c>
      <c r="J302" s="29" t="inlineStr">
        <is>
          <t>Lisans kanıtları/037cef4d999084ce8830d952d4c81672b068c40be8d55080405e53b26f29a333.html</t>
        </is>
      </c>
      <c r="K302" s="29" t="inlineStr">
        <is>
          <t>037cef4d999084ce8830d952d4c81672b068c40be8d55080405e53b26f29a333</t>
        </is>
      </c>
    </row>
    <row r="303" ht="54" customHeight="1">
      <c r="A303" s="29" t="inlineStr">
        <is>
          <t>malaga:kaynak:320</t>
        </is>
      </c>
      <c r="B303" s="29" t="inlineStr">
        <is>
          <t>malaga</t>
        </is>
      </c>
      <c r="C303" s="29" t="inlineStr">
        <is>
          <t>Diócesis de Málaga : Portal de la Iglesia Católica en Málaga</t>
        </is>
      </c>
      <c r="D303" s="29" t="inlineStr">
        <is>
          <t>Diócesis de Málaga</t>
        </is>
      </c>
      <c r="E303" s="29" t="inlineStr">
        <is>
          <t>https://diocesismalaga.es/parroquias/251/sagrado-corazon-de-jesus-malaga</t>
        </is>
      </c>
      <c r="F303" s="49" t="n">
        <v>46322</v>
      </c>
      <c r="G303" s="29" t="inlineStr">
        <is>
          <t>malaga:kesif</t>
        </is>
      </c>
      <c r="H303" s="29" t="inlineStr">
        <is>
          <t>Cizvit kökenli Sagrado Corazón kilisesi (Neo-Gotik), merkezde; piskoposluk sayfasında adres ve sık ayin saatleri.</t>
        </is>
      </c>
      <c r="I303" s="29" t="inlineStr">
        <is>
          <t>Evet</t>
        </is>
      </c>
      <c r="J303" s="29" t="inlineStr">
        <is>
          <t>Lisans kanıtları/36c7bd7ac15a9955353f99d077642dbf961b3333df0a19e91b6bf099cdee4d33.html</t>
        </is>
      </c>
      <c r="K303" s="29" t="inlineStr">
        <is>
          <t>36c7bd7ac15a9955353f99d077642dbf961b3333df0a19e91b6bf099cdee4d33</t>
        </is>
      </c>
    </row>
    <row r="304" ht="54" customHeight="1">
      <c r="A304" s="29" t="inlineStr">
        <is>
          <t>malaga:kaynak:321</t>
        </is>
      </c>
      <c r="B304" s="29" t="inlineStr">
        <is>
          <t>malaga</t>
        </is>
      </c>
      <c r="C304" s="29" t="inlineStr">
        <is>
          <t>Cementerio Histórico San Miguel - Parcemasa</t>
        </is>
      </c>
      <c r="D304" s="29" t="inlineStr">
        <is>
          <t>Parque Cementerio de Málaga (Parcemasa)</t>
        </is>
      </c>
      <c r="E304" s="29" t="inlineStr">
        <is>
          <t>https://parcema.com/cementerio-san-miguel/</t>
        </is>
      </c>
      <c r="F304" s="49" t="n">
        <v>46322</v>
      </c>
      <c r="G304" s="29" t="inlineStr">
        <is>
          <t>malaga:kesif</t>
        </is>
      </c>
      <c r="H304" s="29" t="inlineStr">
        <is>
          <t>19. yy Romantik dönem tarihî mezarlık, kapısı ve kapelle ile; işletmecinin sayfasında adres ve yılın 365 günü 09-18 saat bilgisi.</t>
        </is>
      </c>
      <c r="I304" s="29" t="inlineStr">
        <is>
          <t>Evet</t>
        </is>
      </c>
      <c r="J304" s="29" t="inlineStr">
        <is>
          <t>Lisans kanıtları/a256fa88f97847a266a35f90b780afb8d691c827c3a746cc3e0253e71644c0ea.html</t>
        </is>
      </c>
      <c r="K304" s="29" t="inlineStr">
        <is>
          <t>a256fa88f97847a266a35f90b780afb8d691c827c3a746cc3e0253e71644c0ea</t>
        </is>
      </c>
    </row>
    <row r="305" ht="54" customHeight="1">
      <c r="A305" s="29" t="inlineStr">
        <is>
          <t>malaga:kaynak:322</t>
        </is>
      </c>
      <c r="B305" s="29" t="inlineStr">
        <is>
          <t>malaga</t>
        </is>
      </c>
      <c r="C305" s="29" t="inlineStr">
        <is>
          <t>Diócesis de Málaga : Portal de la Iglesia Católica en Málaga</t>
        </is>
      </c>
      <c r="D305" s="29" t="inlineStr">
        <is>
          <t>Diócesis de Málaga</t>
        </is>
      </c>
      <c r="E305" s="29" t="inlineStr">
        <is>
          <t>https://diocesismalaga.es/parroquias/13/divina-pastora-y-santa-teresa-malaga</t>
        </is>
      </c>
      <c r="F305" s="49" t="n">
        <v>46322</v>
      </c>
      <c r="G305" s="29" t="inlineStr">
        <is>
          <t>malaga:kesif</t>
        </is>
      </c>
      <c r="H305" s="29" t="inlineStr">
        <is>
          <t>Capuchinos mahallesindeki Divina Pastora ve Santa Teresa kilisesi; piskoposluk sayfasında adres ve ayin saatleri.</t>
        </is>
      </c>
      <c r="I305" s="29" t="inlineStr">
        <is>
          <t>Evet</t>
        </is>
      </c>
      <c r="J305" s="29" t="inlineStr">
        <is>
          <t>Lisans kanıtları/3f509ceced376b1cf9207e088f18d1dfb90c8c4c878c3b4b8a2f2df5a9d90462.html</t>
        </is>
      </c>
      <c r="K305" s="29" t="inlineStr">
        <is>
          <t>3f509ceced376b1cf9207e088f18d1dfb90c8c4c878c3b4b8a2f2df5a9d90462</t>
        </is>
      </c>
    </row>
    <row r="306" ht="54" customHeight="1">
      <c r="A306" s="29" t="inlineStr">
        <is>
          <t>malaga:kaynak:323</t>
        </is>
      </c>
      <c r="B306" s="29" t="inlineStr">
        <is>
          <t>malaga</t>
        </is>
      </c>
      <c r="C306" s="29" t="inlineStr">
        <is>
          <t>Diócesis de Málaga : Portal de la Iglesia Católica en Málaga</t>
        </is>
      </c>
      <c r="D306" s="29" t="inlineStr">
        <is>
          <t>Diócesis de Málaga</t>
        </is>
      </c>
      <c r="E306" s="29" t="inlineStr">
        <is>
          <t>https://diocesismalaga.es/parroquias/62/san-patricio-malaga</t>
        </is>
      </c>
      <c r="F306" s="49" t="n">
        <v>46322</v>
      </c>
      <c r="G306" s="29" t="inlineStr">
        <is>
          <t>malaga:kesif</t>
        </is>
      </c>
      <c r="H306" s="29" t="inlineStr">
        <is>
          <t>Carretera de Cádiz bölgesinde San Patricio kilisesi; piskoposluk sayfasında adres ve günlük ayin saatleri.</t>
        </is>
      </c>
      <c r="I306" s="29" t="inlineStr">
        <is>
          <t>Evet</t>
        </is>
      </c>
      <c r="J306" s="29" t="inlineStr">
        <is>
          <t>Lisans kanıtları/1bfaae17b44ad81eb80890d3eb9d3e8daa522f9db1f7a503828c53472c63b2dd.html</t>
        </is>
      </c>
      <c r="K306" s="29" t="inlineStr">
        <is>
          <t>1bfaae17b44ad81eb80890d3eb9d3e8daa522f9db1f7a503828c53472c63b2dd</t>
        </is>
      </c>
    </row>
    <row r="307" ht="54" customHeight="1">
      <c r="A307" s="29" t="inlineStr">
        <is>
          <t>malaga:kaynak:324</t>
        </is>
      </c>
      <c r="B307" s="29" t="inlineStr">
        <is>
          <t>malaga</t>
        </is>
      </c>
      <c r="C307" s="29" t="inlineStr">
        <is>
          <t>Diócesis de Málaga : Portal de la Iglesia Católica en Málaga</t>
        </is>
      </c>
      <c r="D307" s="29" t="inlineStr">
        <is>
          <t>Diócesis de Málaga</t>
        </is>
      </c>
      <c r="E307" s="29" t="inlineStr">
        <is>
          <t>https://diocesismalaga.es/parroquias/88/cristo-rey-y-nuestra-senora-del-rosario-malaga</t>
        </is>
      </c>
      <c r="F307" s="49" t="n">
        <v>46322</v>
      </c>
      <c r="G307" s="29" t="inlineStr">
        <is>
          <t>malaga:kesif</t>
        </is>
      </c>
      <c r="H307" s="29" t="inlineStr">
        <is>
          <t>Cristo Rey kilisesi (Ciudad Jardín çevresi); piskoposluk sayfasında adres ve ayin saatleri.</t>
        </is>
      </c>
      <c r="I307" s="29" t="inlineStr">
        <is>
          <t>Evet</t>
        </is>
      </c>
      <c r="J307" s="29" t="inlineStr">
        <is>
          <t>Lisans kanıtları/111caa23212566002c077f6797195bce4683a1ee73db46447fe75836f2b5da05.html</t>
        </is>
      </c>
      <c r="K307" s="29" t="inlineStr">
        <is>
          <t>111caa23212566002c077f6797195bce4683a1ee73db46447fe75836f2b5da05</t>
        </is>
      </c>
    </row>
    <row r="308" ht="54" customHeight="1">
      <c r="A308" s="29" t="inlineStr">
        <is>
          <t>malaga:kaynak:325</t>
        </is>
      </c>
      <c r="B308" s="29" t="inlineStr">
        <is>
          <t>malaga</t>
        </is>
      </c>
      <c r="C308" s="29" t="inlineStr">
        <is>
          <t>Parque Forestal La Concepción</t>
        </is>
      </c>
      <c r="D308" s="29" t="inlineStr">
        <is>
          <t>Ayuntamiento de Málaga - Área de Sostenibilidad Medioambiental</t>
        </is>
      </c>
      <c r="E308" s="29" t="inlineStr">
        <is>
          <t>https://medioambiente.malaga.eu/parques-y-jardines/parques-y-jardines-de-malaga/zonas-forestales/detalle-del-parque/Parque-Forestal-La-Concepcion/</t>
        </is>
      </c>
      <c r="F308" s="49" t="n">
        <v>46322</v>
      </c>
      <c r="G308" s="29" t="inlineStr">
        <is>
          <t>malaga:kesif</t>
        </is>
      </c>
      <c r="H308" s="29" t="inlineStr">
        <is>
          <t>Botanik bahçenin yanındaki kentin kuzey orman parkı; belediye sayfasında 'Dirección' alanı konumu veriyor.</t>
        </is>
      </c>
      <c r="I308" s="29" t="inlineStr">
        <is>
          <t>Evet</t>
        </is>
      </c>
      <c r="J308" s="29" t="inlineStr">
        <is>
          <t>Lisans kanıtları/1d995011a35544caa0a240672df78b37d8dad8f65e176e5a1b03d41aeb8973a1.html</t>
        </is>
      </c>
      <c r="K308" s="29" t="inlineStr">
        <is>
          <t>1d995011a35544caa0a240672df78b37d8dad8f65e176e5a1b03d41aeb8973a1</t>
        </is>
      </c>
    </row>
    <row r="309" ht="54" customHeight="1">
      <c r="A309" s="29" t="inlineStr">
        <is>
          <t>malaga:kaynak:326</t>
        </is>
      </c>
      <c r="B309" s="29" t="inlineStr">
        <is>
          <t>malaga</t>
        </is>
      </c>
      <c r="C309" s="29" t="inlineStr">
        <is>
          <t>Parque Forestal Monte Victoria</t>
        </is>
      </c>
      <c r="D309" s="29" t="inlineStr">
        <is>
          <t>Ayuntamiento de Málaga - Área de Sostenibilidad Medioambiental</t>
        </is>
      </c>
      <c r="E309" s="29" t="inlineStr">
        <is>
          <t>https://medioambiente.malaga.eu/parques-y-jardines/parques-y-jardines-de-malaga/zonas-forestales/detalle-del-parque/Parque-Forestal-Monte-Victoria/</t>
        </is>
      </c>
      <c r="F309" s="49" t="n">
        <v>46322</v>
      </c>
      <c r="G309" s="29" t="inlineStr">
        <is>
          <t>malaga:kesif</t>
        </is>
      </c>
      <c r="H309" s="29" t="inlineStr">
        <is>
          <t>Kent merkezine yakın tepe parkı, Vía Sacra yolu ve ermita; belediye sayfası.</t>
        </is>
      </c>
      <c r="I309" s="29" t="inlineStr">
        <is>
          <t>Evet</t>
        </is>
      </c>
      <c r="J309" s="29" t="inlineStr">
        <is>
          <t>Lisans kanıtları/4c3559d1fd0a448de4ef2c3c85dac84357e34d14182a7dae03d3352df7f94210.html</t>
        </is>
      </c>
      <c r="K309" s="29" t="inlineStr">
        <is>
          <t>4c3559d1fd0a448de4ef2c3c85dac84357e34d14182a7dae03d3352df7f94210</t>
        </is>
      </c>
    </row>
    <row r="310" ht="54" customHeight="1">
      <c r="A310" s="29" t="inlineStr">
        <is>
          <t>malaga:kaynak:327</t>
        </is>
      </c>
      <c r="B310" s="29" t="inlineStr">
        <is>
          <t>malaga</t>
        </is>
      </c>
      <c r="C310" s="29" t="inlineStr">
        <is>
          <t>Parque Forestal de Gibralfaro</t>
        </is>
      </c>
      <c r="D310" s="29" t="inlineStr">
        <is>
          <t>Ayuntamiento de Málaga - Área de Sostenibilidad Medioambiental</t>
        </is>
      </c>
      <c r="E310" s="29" t="inlineStr">
        <is>
          <t>https://medioambiente.malaga.eu/parques-y-jardines/parques-y-jardines-de-malaga/detalle-del-parque/Parque-Forestal-de-Gibralfaro/</t>
        </is>
      </c>
      <c r="F310" s="49" t="n">
        <v>46322</v>
      </c>
      <c r="G310" s="29" t="inlineStr">
        <is>
          <t>malaga:kesif</t>
        </is>
      </c>
      <c r="H310" s="29" t="inlineStr">
        <is>
          <t>Alcazaba ile Gibralfaro Kalesi'ni bağlayan çam ormanı tepesi, yürüyüş patikaları.</t>
        </is>
      </c>
      <c r="I310" s="29" t="inlineStr">
        <is>
          <t>Evet</t>
        </is>
      </c>
      <c r="J310" s="29" t="inlineStr">
        <is>
          <t>Lisans kanıtları/2694abda500ed907c841a15adc24b95dd52e350ffef3bad774e664cd0e5bd155.html</t>
        </is>
      </c>
      <c r="K310" s="29" t="inlineStr">
        <is>
          <t>2694abda500ed907c841a15adc24b95dd52e350ffef3bad774e664cd0e5bd155</t>
        </is>
      </c>
    </row>
    <row r="311" ht="54" customHeight="1">
      <c r="A311" s="29" t="inlineStr">
        <is>
          <t>malaga:kaynak:328</t>
        </is>
      </c>
      <c r="B311" s="29" t="inlineStr">
        <is>
          <t>malaga</t>
        </is>
      </c>
      <c r="C311" s="29" t="inlineStr">
        <is>
          <t>El Parque de Málaga</t>
        </is>
      </c>
      <c r="D311" s="29" t="inlineStr">
        <is>
          <t>Ayuntamiento de Málaga - Área de Sostenibilidad Medioambiental</t>
        </is>
      </c>
      <c r="E311" s="29" t="inlineStr">
        <is>
          <t>https://medioambiente.malaga.eu/parques-y-jardines/parques-y-jardines-de-malaga/detalle-del-parque/El-Parque-de-Malaga-00001/</t>
        </is>
      </c>
      <c r="F311" s="49" t="n">
        <v>46322</v>
      </c>
      <c r="G311" s="29" t="inlineStr">
        <is>
          <t>malaga:kesif</t>
        </is>
      </c>
      <c r="H311" s="29" t="inlineStr">
        <is>
          <t>Kentin merkezindeki 1896 tarihli subtropikal tarihi park, Paseo del Parque üzerinde.</t>
        </is>
      </c>
      <c r="I311" s="29" t="inlineStr">
        <is>
          <t>Evet</t>
        </is>
      </c>
      <c r="J311" s="29" t="inlineStr">
        <is>
          <t>Lisans kanıtları/852ec8f19a76ba262387c09cc05621fa701580a926c13ebdcb8718d6611fff8c.html</t>
        </is>
      </c>
      <c r="K311" s="29" t="inlineStr">
        <is>
          <t>852ec8f19a76ba262387c09cc05621fa701580a926c13ebdcb8718d6611fff8c</t>
        </is>
      </c>
    </row>
    <row r="312" ht="54" customHeight="1">
      <c r="A312" s="29" t="inlineStr">
        <is>
          <t>malaga:kaynak:329</t>
        </is>
      </c>
      <c r="B312" s="29" t="inlineStr">
        <is>
          <t>malaga</t>
        </is>
      </c>
      <c r="C312" s="29" t="inlineStr">
        <is>
          <t>Parque Natural de la Desembocadura del Guadalhorce</t>
        </is>
      </c>
      <c r="D312" s="29" t="inlineStr">
        <is>
          <t>Ayuntamiento de Málaga - Área de Sostenibilidad Medioambiental</t>
        </is>
      </c>
      <c r="E312" s="29" t="inlineStr">
        <is>
          <t>https://medioambiente.malaga.eu/parques-y-jardines/parques-y-jardines-de-malaga/zonas-forestales/detalle-del-parque/Parque-Natural-de-la-Desembocadura-del-Guadalhorce/</t>
        </is>
      </c>
      <c r="F312" s="49" t="n">
        <v>46322</v>
      </c>
      <c r="G312" s="29" t="inlineStr">
        <is>
          <t>malaga:kesif</t>
        </is>
      </c>
      <c r="H312" s="29" t="inlineStr">
        <is>
          <t>Kuş gözlemi için ünlü Guadalhorce nehir ağzı doğa alanı; belediye sayfası konumu veriyor.</t>
        </is>
      </c>
      <c r="I312" s="29" t="inlineStr">
        <is>
          <t>Evet</t>
        </is>
      </c>
      <c r="J312" s="29" t="inlineStr">
        <is>
          <t>Lisans kanıtları/cf7d72bad53d2d01f78a161b189bd2b3353a0ba1c071ac1b82d795c26691b60e.html</t>
        </is>
      </c>
      <c r="K312" s="29" t="inlineStr">
        <is>
          <t>cf7d72bad53d2d01f78a161b189bd2b3353a0ba1c071ac1b82d795c26691b60e</t>
        </is>
      </c>
    </row>
    <row r="313" ht="54" customHeight="1">
      <c r="A313" s="29" t="inlineStr">
        <is>
          <t>malaga:kaynak:330</t>
        </is>
      </c>
      <c r="B313" s="29" t="inlineStr">
        <is>
          <t>malaga</t>
        </is>
      </c>
      <c r="C313" s="29" t="inlineStr">
        <is>
          <t>Parque Forestal de la Laguna de la barrera “María Eugenia Candau Rámila"</t>
        </is>
      </c>
      <c r="D313" s="29" t="inlineStr">
        <is>
          <t>Ayuntamiento de Málaga - Área de Sostenibilidad Medioambiental</t>
        </is>
      </c>
      <c r="E313" s="29" t="inlineStr">
        <is>
          <t>https://medioambiente.malaga.eu/parques-y-jardines/parques-y-jardines-de-malaga/grandes-parques/detalle-del-parque/Parque-Forestal-de-la-Laguna-de-la-barrera-Maria-Eugenia-Candau-Ramila/</t>
        </is>
      </c>
      <c r="F313" s="49" t="n">
        <v>46322</v>
      </c>
      <c r="G313" s="29" t="inlineStr">
        <is>
          <t>malaga:kesif</t>
        </is>
      </c>
      <c r="H313" s="29" t="inlineStr">
        <is>
          <t>Teatinos'ta sulak alan parkı, Laguna de la Barrera.</t>
        </is>
      </c>
      <c r="I313" s="29" t="inlineStr">
        <is>
          <t>Evet</t>
        </is>
      </c>
      <c r="J313" s="29" t="inlineStr">
        <is>
          <t>Lisans kanıtları/3c62b550bf4e7291e4bdb314741ad250154303666b1f33f2c3757f8462cb889b.html</t>
        </is>
      </c>
      <c r="K313" s="29" t="inlineStr">
        <is>
          <t>3c62b550bf4e7291e4bdb314741ad250154303666b1f33f2c3757f8462cb889b</t>
        </is>
      </c>
    </row>
    <row r="314" ht="54" customHeight="1">
      <c r="A314" s="29" t="inlineStr">
        <is>
          <t>malaga:kaynak:331</t>
        </is>
      </c>
      <c r="B314" s="29" t="inlineStr">
        <is>
          <t>malaga</t>
        </is>
      </c>
      <c r="C314" s="29" t="inlineStr">
        <is>
          <t>Parque Forestal Lagarillo Blanco</t>
        </is>
      </c>
      <c r="D314" s="29" t="inlineStr">
        <is>
          <t>Ayuntamiento de Málaga - Área de Sostenibilidad Medioambiental</t>
        </is>
      </c>
      <c r="E314" s="29" t="inlineStr">
        <is>
          <t>https://medioambiente.malaga.eu/parques-y-jardines/parques-y-jardines-de-malaga/zonas-forestales/detalle-del-parque/Parque-Forestal-Lagarillo-Blanco/</t>
        </is>
      </c>
      <c r="F314" s="49" t="n">
        <v>46322</v>
      </c>
      <c r="G314" s="29" t="inlineStr">
        <is>
          <t>malaga:kesif</t>
        </is>
      </c>
      <c r="H314" s="29" t="inlineStr">
        <is>
          <t>El Palo yakınında Monte San Antón eteğinde orman parkı.</t>
        </is>
      </c>
      <c r="I314" s="29" t="inlineStr">
        <is>
          <t>Evet</t>
        </is>
      </c>
      <c r="J314" s="29" t="inlineStr">
        <is>
          <t>Lisans kanıtları/4f108c5b1598142b768086818dfe447db5da5ba3ef4920d8536fafdc16d2e06f.html</t>
        </is>
      </c>
      <c r="K314" s="29" t="inlineStr">
        <is>
          <t>4f108c5b1598142b768086818dfe447db5da5ba3ef4920d8536fafdc16d2e06f</t>
        </is>
      </c>
    </row>
    <row r="315" ht="54" customHeight="1">
      <c r="A315" s="29" t="inlineStr">
        <is>
          <t>malaga:kaynak:332</t>
        </is>
      </c>
      <c r="B315" s="29" t="inlineStr">
        <is>
          <t>malaga</t>
        </is>
      </c>
      <c r="C315" s="29" t="inlineStr">
        <is>
          <t>Parque Forestal Ciudad de Málaga</t>
        </is>
      </c>
      <c r="D315" s="29" t="inlineStr">
        <is>
          <t>Ayuntamiento de Málaga - Área de Sostenibilidad Medioambiental</t>
        </is>
      </c>
      <c r="E315" s="29" t="inlineStr">
        <is>
          <t>https://medioambiente.malaga.eu/parques-y-jardines/parques-y-jardines-de-malaga/zonas-forestales/detalle-del-parque/Parque-Forestal-Ciudad-de-Malaga/</t>
        </is>
      </c>
      <c r="F315" s="49" t="n">
        <v>46322</v>
      </c>
      <c r="G315" s="29" t="inlineStr">
        <is>
          <t>malaga:kesif</t>
        </is>
      </c>
      <c r="H315" s="29" t="inlineStr">
        <is>
          <t>Yaklaşık 350 hektarlık büyük orman parkı; Carlinda ve Camino de Las Erizas'tan erişim.</t>
        </is>
      </c>
      <c r="I315" s="29" t="inlineStr">
        <is>
          <t>Evet</t>
        </is>
      </c>
      <c r="J315" s="29" t="inlineStr">
        <is>
          <t>Lisans kanıtları/c623d1eb4138df91650583e1bd865873d366895718a6a931b6bb67f445cf6810.html</t>
        </is>
      </c>
      <c r="K315" s="29" t="inlineStr">
        <is>
          <t>c623d1eb4138df91650583e1bd865873d366895718a6a931b6bb67f445cf6810</t>
        </is>
      </c>
    </row>
    <row r="316" ht="54" customHeight="1">
      <c r="A316" s="29" t="inlineStr">
        <is>
          <t>malaga:kaynak:333</t>
        </is>
      </c>
      <c r="B316" s="29" t="inlineStr">
        <is>
          <t>malaga</t>
        </is>
      </c>
      <c r="C316" s="29" t="inlineStr">
        <is>
          <t>Parque Forestal de El Morlaco</t>
        </is>
      </c>
      <c r="D316" s="29" t="inlineStr">
        <is>
          <t>Ayuntamiento de Málaga - Área de Sostenibilidad Medioambiental</t>
        </is>
      </c>
      <c r="E316" s="29" t="inlineStr">
        <is>
          <t>https://medioambiente.malaga.eu/parques-y-jardines/parques-y-jardines-de-malaga/zonas-forestales/detalle-del-parque/Parque-Forestal-de-El-Morlaco/</t>
        </is>
      </c>
      <c r="F316" s="49" t="n">
        <v>46322</v>
      </c>
      <c r="G316" s="29" t="inlineStr">
        <is>
          <t>malaga:kesif</t>
        </is>
      </c>
      <c r="H316" s="29" t="inlineStr">
        <is>
          <t>Doğu Málaga'da orman parkı, Camino de la Desviación girişi.</t>
        </is>
      </c>
      <c r="I316" s="29" t="inlineStr">
        <is>
          <t>Evet</t>
        </is>
      </c>
      <c r="J316" s="29" t="inlineStr">
        <is>
          <t>Lisans kanıtları/2bd72f78d822bbab71d4fbe38b573cd64b6b8c155cd23fc844bac45f11a95f81.html</t>
        </is>
      </c>
      <c r="K316" s="29" t="inlineStr">
        <is>
          <t>2bd72f78d822bbab71d4fbe38b573cd64b6b8c155cd23fc844bac45f11a95f81</t>
        </is>
      </c>
    </row>
    <row r="317" ht="54" customHeight="1">
      <c r="A317" s="29" t="inlineStr">
        <is>
          <t>malaga:kaynak:334</t>
        </is>
      </c>
      <c r="B317" s="29" t="inlineStr">
        <is>
          <t>malaga</t>
        </is>
      </c>
      <c r="C317" s="29" t="inlineStr">
        <is>
          <t>Parque de San Miguel</t>
        </is>
      </c>
      <c r="D317" s="29" t="inlineStr">
        <is>
          <t>Ayuntamiento de Málaga - Área de Sostenibilidad Medioambiental</t>
        </is>
      </c>
      <c r="E317" s="29" t="inlineStr">
        <is>
          <t>https://medioambiente.malaga.eu/parques-y-jardines/parques-y-jardines-de-malaga/grandes-parques/detalle-del-parque/Parque-de-San-Miguel</t>
        </is>
      </c>
      <c r="F317" s="49" t="n">
        <v>46322</v>
      </c>
      <c r="G317" s="29" t="inlineStr">
        <is>
          <t>malaga:kesif</t>
        </is>
      </c>
      <c r="H317" s="29" t="inlineStr">
        <is>
          <t>Büyük kentsel park, San Miguel mezarlığının yanında.</t>
        </is>
      </c>
      <c r="I317" s="29" t="inlineStr">
        <is>
          <t>Evet</t>
        </is>
      </c>
      <c r="J317" s="29" t="inlineStr">
        <is>
          <t>Lisans kanıtları/8bdba2feb122f2e7b8513eb6fd1946f842638b5b58a5ad740250a06f183a5bc2.html</t>
        </is>
      </c>
      <c r="K317" s="29" t="inlineStr">
        <is>
          <t>8bdba2feb122f2e7b8513eb6fd1946f842638b5b58a5ad740250a06f183a5bc2</t>
        </is>
      </c>
    </row>
    <row r="318" ht="54" customHeight="1">
      <c r="A318" s="29" t="inlineStr">
        <is>
          <t>malaga:kaynak:335</t>
        </is>
      </c>
      <c r="B318" s="29" t="inlineStr">
        <is>
          <t>malaga</t>
        </is>
      </c>
      <c r="C318" s="29" t="inlineStr">
        <is>
          <t>Parque Forestal Monte San Antón</t>
        </is>
      </c>
      <c r="D318" s="29" t="inlineStr">
        <is>
          <t>Ayuntamiento de Málaga - Área de Sostenibilidad Medioambiental</t>
        </is>
      </c>
      <c r="E318" s="29" t="inlineStr">
        <is>
          <t>https://medioambiente.malaga.eu/parques-y-jardines/parques-y-jardines-de-malaga/zonas-forestales/detalle-del-parque/Parque-Forestal-Monte-San-Anton/</t>
        </is>
      </c>
      <c r="F318" s="49" t="n">
        <v>46322</v>
      </c>
      <c r="G318" s="29" t="inlineStr">
        <is>
          <t>malaga:kesif</t>
        </is>
      </c>
      <c r="H318" s="29" t="inlineStr">
        <is>
          <t>El Palo'nun üstündeki dağ orman parkı, yürüyüş ve manzara.</t>
        </is>
      </c>
      <c r="I318" s="29" t="inlineStr">
        <is>
          <t>Evet</t>
        </is>
      </c>
      <c r="J318" s="29" t="inlineStr">
        <is>
          <t>Lisans kanıtları/9e077b759d12e60186c107643693a82548f971237c4007fc71f142604097104c.html</t>
        </is>
      </c>
      <c r="K318" s="29" t="inlineStr">
        <is>
          <t>9e077b759d12e60186c107643693a82548f971237c4007fc71f142604097104c</t>
        </is>
      </c>
    </row>
    <row r="319" ht="54" customHeight="1">
      <c r="A319" s="29" t="inlineStr">
        <is>
          <t>malaga:kaynak:336</t>
        </is>
      </c>
      <c r="B319" s="29" t="inlineStr">
        <is>
          <t>malaga</t>
        </is>
      </c>
      <c r="C319" s="29" t="inlineStr">
        <is>
          <t>Jardines Pedro Luis Alonso</t>
        </is>
      </c>
      <c r="D319" s="29" t="inlineStr">
        <is>
          <t>Ayuntamiento de Málaga - Área de Sostenibilidad Medioambiental</t>
        </is>
      </c>
      <c r="E319" s="29" t="inlineStr">
        <is>
          <t>https://medioambiente.malaga.eu/parques-y-jardines/parques-y-jardines-de-malaga/detalle-del-parque/Jardines-Pedro-Luis-Alonso/</t>
        </is>
      </c>
      <c r="F319" s="49" t="n">
        <v>46322</v>
      </c>
      <c r="G319" s="29" t="inlineStr">
        <is>
          <t>malaga:kesif</t>
        </is>
      </c>
      <c r="H319" s="29" t="inlineStr">
        <is>
          <t>Gibralfaro eteğinde, Avda. Cervantes çevresinde tarihi şehir bahçesi.</t>
        </is>
      </c>
      <c r="I319" s="29" t="inlineStr">
        <is>
          <t>Evet</t>
        </is>
      </c>
      <c r="J319" s="29" t="inlineStr">
        <is>
          <t>Lisans kanıtları/43c714032b778fddec1358fbb83b97e674d5d9d12cba42f246ff9734a7041a9c.html</t>
        </is>
      </c>
      <c r="K319" s="29" t="inlineStr">
        <is>
          <t>43c714032b778fddec1358fbb83b97e674d5d9d12cba42f246ff9734a7041a9c</t>
        </is>
      </c>
    </row>
    <row r="320" ht="54" customHeight="1">
      <c r="A320" s="29" t="inlineStr">
        <is>
          <t>malaga:kaynak:337</t>
        </is>
      </c>
      <c r="B320" s="29" t="inlineStr">
        <is>
          <t>malaga</t>
        </is>
      </c>
      <c r="C320" s="29" t="inlineStr">
        <is>
          <t>Jardines Puerta Oscura y Coracha</t>
        </is>
      </c>
      <c r="D320" s="29" t="inlineStr">
        <is>
          <t>Ayuntamiento de Málaga - Área de Sostenibilidad Medioambiental</t>
        </is>
      </c>
      <c r="E320" s="29" t="inlineStr">
        <is>
          <t>https://medioambiente.malaga.eu/parques-y-jardines/parques-y-jardines-de-malaga/parques-historicos/detalle-del-parque/Jardines-Puerta-Oscura-y-Coracha/</t>
        </is>
      </c>
      <c r="F320" s="49" t="n">
        <v>46322</v>
      </c>
      <c r="G320" s="29" t="inlineStr">
        <is>
          <t>malaga:kesif</t>
        </is>
      </c>
      <c r="H320" s="29" t="inlineStr">
        <is>
          <t>Roma Tiyatrosu ile Picasso Müzesi arasında, Alcazaba yamacında tarihi bahçe.</t>
        </is>
      </c>
      <c r="I320" s="29" t="inlineStr">
        <is>
          <t>Evet</t>
        </is>
      </c>
      <c r="J320" s="29" t="inlineStr">
        <is>
          <t>Lisans kanıtları/5570b31bc2f89a1d2b1ee523417b7861e84570e6d3bb224b48875beac5acd0b5.html</t>
        </is>
      </c>
      <c r="K320" s="29" t="inlineStr">
        <is>
          <t>5570b31bc2f89a1d2b1ee523417b7861e84570e6d3bb224b48875beac5acd0b5</t>
        </is>
      </c>
    </row>
    <row r="321" ht="54" customHeight="1">
      <c r="A321" s="29" t="inlineStr">
        <is>
          <t>malaga:kaynak:338</t>
        </is>
      </c>
      <c r="B321" s="29" t="inlineStr">
        <is>
          <t>malaga</t>
        </is>
      </c>
      <c r="C321" s="29" t="inlineStr">
        <is>
          <t>La Malagueta</t>
        </is>
      </c>
      <c r="D321" s="29" t="inlineStr">
        <is>
          <t>Ayuntamiento de Málaga</t>
        </is>
      </c>
      <c r="E321" s="29" t="inlineStr">
        <is>
          <t>https://www.malaga.eu/la-ciudad/playas/la-malagueta/</t>
        </is>
      </c>
      <c r="F321" s="49" t="n">
        <v>46322</v>
      </c>
      <c r="G321" s="29" t="inlineStr">
        <is>
          <t>malaga:kesif</t>
        </is>
      </c>
      <c r="H321" s="29" t="inlineStr">
        <is>
          <t>Merkeze en yakın kentsel plaj, yaklaşık 1,2 km, Mavi Bayrak.</t>
        </is>
      </c>
      <c r="I321" s="29" t="inlineStr">
        <is>
          <t>Evet</t>
        </is>
      </c>
      <c r="J321" s="29" t="inlineStr">
        <is>
          <t>Lisans kanıtları/900e55cc9ab262b93275e8dc451aa69b24ca80324c39283f2985b8d7c1d04fd1.html</t>
        </is>
      </c>
      <c r="K321" s="29" t="inlineStr">
        <is>
          <t>900e55cc9ab262b93275e8dc451aa69b24ca80324c39283f2985b8d7c1d04fd1</t>
        </is>
      </c>
    </row>
    <row r="322" ht="54" customHeight="1">
      <c r="A322" s="29" t="inlineStr">
        <is>
          <t>malaga:kaynak:339</t>
        </is>
      </c>
      <c r="B322" s="29" t="inlineStr">
        <is>
          <t>malaga</t>
        </is>
      </c>
      <c r="C322" s="29" t="inlineStr">
        <is>
          <t>La Caleta</t>
        </is>
      </c>
      <c r="D322" s="29" t="inlineStr">
        <is>
          <t>Ayuntamiento de Málaga</t>
        </is>
      </c>
      <c r="E322" s="29" t="inlineStr">
        <is>
          <t>https://malaga.eu/la-ciudad/playas/la-caleta/</t>
        </is>
      </c>
      <c r="F322" s="49" t="n">
        <v>46322</v>
      </c>
      <c r="G322" s="29" t="inlineStr">
        <is>
          <t>malaga:kesif</t>
        </is>
      </c>
      <c r="H322" s="29" t="inlineStr">
        <is>
          <t>Malagueta ile Baños del Carmen arasında, tarihi lüks villa mahallesinin plajı.</t>
        </is>
      </c>
      <c r="I322" s="29" t="inlineStr">
        <is>
          <t>Evet</t>
        </is>
      </c>
      <c r="J322" s="29" t="inlineStr">
        <is>
          <t>Lisans kanıtları/09c98cdcd898f838cdbcd2a36db63c5f79d1308c39e4ddb06b8604bc2ff0ba8d.html</t>
        </is>
      </c>
      <c r="K322" s="29" t="inlineStr">
        <is>
          <t>09c98cdcd898f838cdbcd2a36db63c5f79d1308c39e4ddb06b8604bc2ff0ba8d</t>
        </is>
      </c>
    </row>
    <row r="323" ht="54" customHeight="1">
      <c r="A323" s="29" t="inlineStr">
        <is>
          <t>malaga:kaynak:340</t>
        </is>
      </c>
      <c r="B323" s="29" t="inlineStr">
        <is>
          <t>malaga</t>
        </is>
      </c>
      <c r="C323" s="29" t="inlineStr">
        <is>
          <t>Pedregalejo - Las Acacias</t>
        </is>
      </c>
      <c r="D323" s="29" t="inlineStr">
        <is>
          <t>Ayuntamiento de Málaga</t>
        </is>
      </c>
      <c r="E323" s="29" t="inlineStr">
        <is>
          <t>https://malaga.eu/la-ciudad/playas/pedregalejo-las-acacias/</t>
        </is>
      </c>
      <c r="F323" s="49" t="n">
        <v>46322</v>
      </c>
      <c r="G323" s="29" t="inlineStr">
        <is>
          <t>malaga:kesif</t>
        </is>
      </c>
      <c r="H323" s="29" t="inlineStr">
        <is>
          <t>Kentin en eski sahil yürüyüş yolu ve balıkçı mahallesi plajı.</t>
        </is>
      </c>
      <c r="I323" s="29" t="inlineStr">
        <is>
          <t>Evet</t>
        </is>
      </c>
      <c r="J323" s="29" t="inlineStr">
        <is>
          <t>Lisans kanıtları/ae229c75c272f2fe04147fa568f7a7d1a32f4939a5ed128c3cc9e83abb90d481.html</t>
        </is>
      </c>
      <c r="K323" s="29" t="inlineStr">
        <is>
          <t>ae229c75c272f2fe04147fa568f7a7d1a32f4939a5ed128c3cc9e83abb90d481</t>
        </is>
      </c>
    </row>
    <row r="324" ht="54" customHeight="1">
      <c r="A324" s="29" t="inlineStr">
        <is>
          <t>malaga:kaynak:341</t>
        </is>
      </c>
      <c r="B324" s="29" t="inlineStr">
        <is>
          <t>malaga</t>
        </is>
      </c>
      <c r="C324" s="29" t="inlineStr">
        <is>
          <t>El Palo</t>
        </is>
      </c>
      <c r="D324" s="29" t="inlineStr">
        <is>
          <t>Ayuntamiento de Málaga</t>
        </is>
      </c>
      <c r="E324" s="29" t="inlineStr">
        <is>
          <t>https://malaga.eu/la-ciudad/playas/el-palo/</t>
        </is>
      </c>
      <c r="F324" s="49" t="n">
        <v>46322</v>
      </c>
      <c r="G324" s="29" t="inlineStr">
        <is>
          <t>malaga:kesif</t>
        </is>
      </c>
      <c r="H324" s="29" t="inlineStr">
        <is>
          <t>Arroyo Gálica'dan Pedregalejo'ya uzanan balıkçı mahallesi plajı.</t>
        </is>
      </c>
      <c r="I324" s="29" t="inlineStr">
        <is>
          <t>Evet</t>
        </is>
      </c>
      <c r="J324" s="29" t="inlineStr">
        <is>
          <t>Lisans kanıtları/63765b66d29f8e41882a346215f5947c51ae93a0a948b2110dcb39655046184c.html</t>
        </is>
      </c>
      <c r="K324" s="29" t="inlineStr">
        <is>
          <t>63765b66d29f8e41882a346215f5947c51ae93a0a948b2110dcb39655046184c</t>
        </is>
      </c>
    </row>
    <row r="325" ht="54" customHeight="1">
      <c r="A325" s="29" t="inlineStr">
        <is>
          <t>malaga:kaynak:342</t>
        </is>
      </c>
      <c r="B325" s="29" t="inlineStr">
        <is>
          <t>malaga</t>
        </is>
      </c>
      <c r="C325" s="29" t="inlineStr">
        <is>
          <t>Baños del Carmen</t>
        </is>
      </c>
      <c r="D325" s="29" t="inlineStr">
        <is>
          <t>Ayuntamiento de Málaga</t>
        </is>
      </c>
      <c r="E325" s="29" t="inlineStr">
        <is>
          <t>https://malaga.eu/la-ciudad/playas/banos-del-carmen/</t>
        </is>
      </c>
      <c r="F325" s="49" t="n">
        <v>46322</v>
      </c>
      <c r="G325" s="29" t="inlineStr">
        <is>
          <t>malaga:kesif</t>
        </is>
      </c>
      <c r="H325" s="29" t="inlineStr">
        <is>
          <t>1918 tarihli tarihi Balneario del Carmen'in plajı, körfez manzarası.</t>
        </is>
      </c>
      <c r="I325" s="29" t="inlineStr">
        <is>
          <t>Evet</t>
        </is>
      </c>
      <c r="J325" s="29" t="inlineStr">
        <is>
          <t>Lisans kanıtları/94e1eb370e6478ad45127a86ad8a5e47ef534f4ba928d248325a033dda4f2290.html</t>
        </is>
      </c>
      <c r="K325" s="29" t="inlineStr">
        <is>
          <t>94e1eb370e6478ad45127a86ad8a5e47ef534f4ba928d248325a033dda4f2290</t>
        </is>
      </c>
    </row>
    <row r="326" ht="54" customHeight="1">
      <c r="A326" s="29" t="inlineStr">
        <is>
          <t>malaga:kaynak:343</t>
        </is>
      </c>
      <c r="B326" s="29" t="inlineStr">
        <is>
          <t>malaga</t>
        </is>
      </c>
      <c r="C326" s="29" t="inlineStr">
        <is>
          <t>La Misericordia</t>
        </is>
      </c>
      <c r="D326" s="29" t="inlineStr">
        <is>
          <t>Ayuntamiento de Málaga</t>
        </is>
      </c>
      <c r="E326" s="29" t="inlineStr">
        <is>
          <t>https://malaga.eu/la-ciudad/playas/la-misericordia/</t>
        </is>
      </c>
      <c r="F326" s="49" t="n">
        <v>46322</v>
      </c>
      <c r="G326" s="29" t="inlineStr">
        <is>
          <t>malaga:kesif</t>
        </is>
      </c>
      <c r="H326" s="29" t="inlineStr">
        <is>
          <t>Sanayi dönemi bacaları hâlâ duran batı plajı ve sahil yolu.</t>
        </is>
      </c>
      <c r="I326" s="29" t="inlineStr">
        <is>
          <t>Evet</t>
        </is>
      </c>
      <c r="J326" s="29" t="inlineStr">
        <is>
          <t>Lisans kanıtları/6630ba18e781767c65030bca320674d64415b2f8d8321af2e5e6f603e0a4f74e.html</t>
        </is>
      </c>
      <c r="K326" s="29" t="inlineStr">
        <is>
          <t>6630ba18e781767c65030bca320674d64415b2f8d8321af2e5e6f603e0a4f74e</t>
        </is>
      </c>
    </row>
    <row r="327" ht="54" customHeight="1">
      <c r="A327" s="29" t="inlineStr">
        <is>
          <t>malaga:kaynak:344</t>
        </is>
      </c>
      <c r="B327" s="29" t="inlineStr">
        <is>
          <t>malaga</t>
        </is>
      </c>
      <c r="C327" s="29" t="inlineStr">
        <is>
          <t>Guadalmar - San Julián</t>
        </is>
      </c>
      <c r="D327" s="29" t="inlineStr">
        <is>
          <t>Ayuntamiento de Málaga</t>
        </is>
      </c>
      <c r="E327" s="29" t="inlineStr">
        <is>
          <t>https://malaga.eu/la-ciudad/playas/guadalmar-san-julian/</t>
        </is>
      </c>
      <c r="F327" s="49" t="n">
        <v>46322</v>
      </c>
      <c r="G327" s="29" t="inlineStr">
        <is>
          <t>malaga:kesif</t>
        </is>
      </c>
      <c r="H327" s="29" t="inlineStr">
        <is>
          <t>Golf sahasından Guadalhorce ağzına uzanan sakin, havalimanına en yakın plaj.</t>
        </is>
      </c>
      <c r="I327" s="29" t="inlineStr">
        <is>
          <t>Evet</t>
        </is>
      </c>
      <c r="J327" s="29" t="inlineStr">
        <is>
          <t>Lisans kanıtları/6081dc5758990bb18e4622d7a9fc5eeab8b862f677f94850eb1af070d3a8f7aa.html</t>
        </is>
      </c>
      <c r="K327" s="29" t="inlineStr">
        <is>
          <t>6081dc5758990bb18e4622d7a9fc5eeab8b862f677f94850eb1af070d3a8f7aa</t>
        </is>
      </c>
    </row>
    <row r="328" ht="54" customHeight="1">
      <c r="A328" s="29" t="inlineStr">
        <is>
          <t>malaga:kaynak:345</t>
        </is>
      </c>
      <c r="B328" s="29" t="inlineStr">
        <is>
          <t>malaga</t>
        </is>
      </c>
      <c r="C328" s="29" t="inlineStr">
        <is>
          <t>El Peñón del Cuervo</t>
        </is>
      </c>
      <c r="D328" s="29" t="inlineStr">
        <is>
          <t>Ayuntamiento de Málaga</t>
        </is>
      </c>
      <c r="E328" s="29" t="inlineStr">
        <is>
          <t>https://malaga.eu/la-ciudad/playas/el-penon-del-cuervo/</t>
        </is>
      </c>
      <c r="F328" s="49" t="n">
        <v>46322</v>
      </c>
      <c r="G328" s="29" t="inlineStr">
        <is>
          <t>malaga:kesif</t>
        </is>
      </c>
      <c r="H328" s="29" t="inlineStr">
        <is>
          <t>El Candado limanı ile çimento fabrikası arasında, kayalıkla ikiye ayrılan plaj.</t>
        </is>
      </c>
      <c r="I328" s="29" t="inlineStr">
        <is>
          <t>Evet</t>
        </is>
      </c>
      <c r="J328" s="29" t="inlineStr">
        <is>
          <t>Lisans kanıtları/8d5409307380af64411e63f6fec5b661773fe247e87bc15261070a2d52276edf.html</t>
        </is>
      </c>
      <c r="K328" s="29" t="inlineStr">
        <is>
          <t>8d5409307380af64411e63f6fec5b661773fe247e87bc15261070a2d52276edf</t>
        </is>
      </c>
    </row>
    <row r="329" ht="54" customHeight="1">
      <c r="A329" s="29" t="inlineStr">
        <is>
          <t>malaga:kaynak:346</t>
        </is>
      </c>
      <c r="B329" s="29" t="inlineStr">
        <is>
          <t>malaga</t>
        </is>
      </c>
      <c r="C329" s="29" t="inlineStr">
        <is>
          <t>Parque Forestal Cerrado de Calderón</t>
        </is>
      </c>
      <c r="D329" s="29" t="inlineStr">
        <is>
          <t>Ayuntamiento de Málaga - Área de Sostenibilidad Medioambiental</t>
        </is>
      </c>
      <c r="E329" s="29" t="inlineStr">
        <is>
          <t>https://medioambiente.malaga.eu/parques-y-jardines/parques-y-jardines-de-malaga/zonas-forestales/detalle-del-parque/Parque-Forestal-Cerrado-de-Calderon/</t>
        </is>
      </c>
      <c r="F329" s="49" t="n">
        <v>46322</v>
      </c>
      <c r="G329" s="29" t="inlineStr">
        <is>
          <t>malaga:kesif</t>
        </is>
      </c>
      <c r="H329" s="29" t="inlineStr">
        <is>
          <t>Konut mahallesi içinde doğu Málaga orman parkı.</t>
        </is>
      </c>
      <c r="I329" s="29" t="inlineStr">
        <is>
          <t>Evet</t>
        </is>
      </c>
      <c r="J329" s="29" t="inlineStr">
        <is>
          <t>Lisans kanıtları/b682dc1745e07f4285880b23627f979ab043c9498812911db748dc7a79131801.html</t>
        </is>
      </c>
      <c r="K329" s="29" t="inlineStr">
        <is>
          <t>b682dc1745e07f4285880b23627f979ab043c9498812911db748dc7a79131801</t>
        </is>
      </c>
    </row>
    <row r="330" ht="54" customHeight="1">
      <c r="A330" s="29" t="inlineStr">
        <is>
          <t>malaga:kaynak:347</t>
        </is>
      </c>
      <c r="B330" s="29" t="inlineStr">
        <is>
          <t>malaga</t>
        </is>
      </c>
      <c r="C330" s="29" t="inlineStr">
        <is>
          <t>Parque Forestal La Virreina</t>
        </is>
      </c>
      <c r="D330" s="29" t="inlineStr">
        <is>
          <t>Ayuntamiento de Málaga - Área de Sostenibilidad Medioambiental</t>
        </is>
      </c>
      <c r="E330" s="29" t="inlineStr">
        <is>
          <t>https://medioambiente.malaga.eu/parques-y-jardines/parques-y-jardines-de-malaga/zonas-forestales/detalle-del-parque/Parque-Forestal-La-Virreina/</t>
        </is>
      </c>
      <c r="F330" s="49" t="n">
        <v>46322</v>
      </c>
      <c r="G330" s="29" t="inlineStr">
        <is>
          <t>malaga:kesif</t>
        </is>
      </c>
      <c r="H330" s="29" t="inlineStr">
        <is>
          <t>Palma-Palmilla'da Av. de Jane Bowles'tan erişilen orman parkı.</t>
        </is>
      </c>
      <c r="I330" s="29" t="inlineStr">
        <is>
          <t>Evet</t>
        </is>
      </c>
      <c r="J330" s="29" t="inlineStr">
        <is>
          <t>Lisans kanıtları/624381dc029acfc2d91ff39c16b0b5687c8285e393c63d79b2837ad6e53a602f.html</t>
        </is>
      </c>
      <c r="K330" s="29" t="inlineStr">
        <is>
          <t>624381dc029acfc2d91ff39c16b0b5687c8285e393c63d79b2837ad6e53a602f</t>
        </is>
      </c>
    </row>
    <row r="331" ht="54" customHeight="1">
      <c r="A331" s="29" t="inlineStr">
        <is>
          <t>malaga:kaynak:348</t>
        </is>
      </c>
      <c r="B331" s="29" t="inlineStr">
        <is>
          <t>malaga</t>
        </is>
      </c>
      <c r="C331" s="29" t="inlineStr">
        <is>
          <t>Parque Forestal Comandante Benítez</t>
        </is>
      </c>
      <c r="D331" s="29" t="inlineStr">
        <is>
          <t>Ayuntamiento de Málaga - Área de Sostenibilidad Medioambiental</t>
        </is>
      </c>
      <c r="E331" s="29" t="inlineStr">
        <is>
          <t>https://medioambiente.malaga.eu/parques-y-jardines/parques-y-jardines-de-malaga/zonas-forestales/detalle-del-parque/Parque-Forestal-Comandante-Benitez/</t>
        </is>
      </c>
      <c r="F331" s="49" t="n">
        <v>46322</v>
      </c>
      <c r="G331" s="29" t="inlineStr">
        <is>
          <t>malaga:kesif</t>
        </is>
      </c>
      <c r="H331" s="29" t="inlineStr">
        <is>
          <t>MA-20/MA-21 yakınında, Plaza Mayor yanında orman parkı.</t>
        </is>
      </c>
      <c r="I331" s="29" t="inlineStr">
        <is>
          <t>Evet</t>
        </is>
      </c>
      <c r="J331" s="29" t="inlineStr">
        <is>
          <t>Lisans kanıtları/150690fe92e7bc1346b1b6fcb1ce393e568f7f8ce75314d8f2f62e82013b2f22.html</t>
        </is>
      </c>
      <c r="K331" s="29" t="inlineStr">
        <is>
          <t>150690fe92e7bc1346b1b6fcb1ce393e568f7f8ce75314d8f2f62e82013b2f22</t>
        </is>
      </c>
    </row>
    <row r="332" ht="54" customHeight="1">
      <c r="A332" s="29" t="inlineStr">
        <is>
          <t>malaga:kaynak:349</t>
        </is>
      </c>
      <c r="B332" s="29" t="inlineStr">
        <is>
          <t>malaga</t>
        </is>
      </c>
      <c r="C332" s="29" t="inlineStr">
        <is>
          <t>La Araña</t>
        </is>
      </c>
      <c r="D332" s="29" t="inlineStr">
        <is>
          <t>Ayuntamiento de Málaga</t>
        </is>
      </c>
      <c r="E332" s="29" t="inlineStr">
        <is>
          <t>https://malaga.eu/la-ciudad/playas/la-arana/</t>
        </is>
      </c>
      <c r="F332" s="49" t="n">
        <v>46322</v>
      </c>
      <c r="G332" s="29" t="inlineStr">
        <is>
          <t>malaga:kesif</t>
        </is>
      </c>
      <c r="H332" s="29" t="inlineStr">
        <is>
          <t>Belediyenin en doğu ucundaki plaj, Arroyo Totalán'a kadar köpek plajı şeridi.</t>
        </is>
      </c>
      <c r="I332" s="29" t="inlineStr">
        <is>
          <t>Evet</t>
        </is>
      </c>
      <c r="J332" s="29" t="inlineStr">
        <is>
          <t>Lisans kanıtları/19b1999d99e22be4c3dbdf4a71a41c710e54e54e89673407c37fa140f7dedfe2.html</t>
        </is>
      </c>
      <c r="K332" s="29" t="inlineStr">
        <is>
          <t>19b1999d99e22be4c3dbdf4a71a41c710e54e54e89673407c37fa140f7dedfe2</t>
        </is>
      </c>
    </row>
    <row r="333" ht="54" customHeight="1">
      <c r="A333" s="29" t="inlineStr">
        <is>
          <t>malaga:kaynak:350</t>
        </is>
      </c>
      <c r="B333" s="29" t="inlineStr">
        <is>
          <t>malaga</t>
        </is>
      </c>
      <c r="C333" s="29" t="inlineStr">
        <is>
          <t>Museo Vidrio y Cristal de Málaga Información</t>
        </is>
      </c>
      <c r="D333" s="29" t="inlineStr">
        <is>
          <t>Museo Vidrio y Cristal de Málaga</t>
        </is>
      </c>
      <c r="E333" s="29" t="inlineStr">
        <is>
          <t>https://museovidrioycristalmalaga.com/informacion.html</t>
        </is>
      </c>
      <c r="F333" s="49" t="n">
        <v>46322</v>
      </c>
      <c r="G333" s="29" t="inlineStr">
        <is>
          <t>malaga:kesif</t>
        </is>
      </c>
      <c r="H333" s="29" t="inlineStr">
        <is>
          <t>Cam ve kristal koleksiyonu müzesi; resmî sitede adres ve ziyaret bilgisi var.</t>
        </is>
      </c>
      <c r="I333" s="29" t="inlineStr">
        <is>
          <t>Evet</t>
        </is>
      </c>
      <c r="J333" s="29" t="inlineStr">
        <is>
          <t>Lisans kanıtları/d80b2bf936c4b581b60a5877e18fb06f540dcd2726a9878f53a045d5309b8e31.html</t>
        </is>
      </c>
      <c r="K333" s="29" t="inlineStr">
        <is>
          <t>d80b2bf936c4b581b60a5877e18fb06f540dcd2726a9878f53a045d5309b8e31</t>
        </is>
      </c>
    </row>
    <row r="334" ht="54" customHeight="1">
      <c r="A334" s="29" t="inlineStr">
        <is>
          <t>malaga:kaynak:351</t>
        </is>
      </c>
      <c r="B334" s="29" t="inlineStr">
        <is>
          <t>malaga</t>
        </is>
      </c>
      <c r="C334" s="29" t="inlineStr">
        <is>
          <t>Información | Museo Aeronáutico de Málaga</t>
        </is>
      </c>
      <c r="D334" s="29" t="inlineStr">
        <is>
          <t>Museo Aeronáutico de Málaga</t>
        </is>
      </c>
      <c r="E334" s="29" t="inlineStr">
        <is>
          <t>https://aeromuseo.org/como-llegar/</t>
        </is>
      </c>
      <c r="F334" s="49" t="n">
        <v>46322</v>
      </c>
      <c r="G334" s="29" t="inlineStr">
        <is>
          <t>malaga:kesif</t>
        </is>
      </c>
      <c r="H334" s="29" t="inlineStr">
        <is>
          <t>Eski terminal binasındaki havacılık müzesi; resmî sitede adres bilgisi var.</t>
        </is>
      </c>
      <c r="I334" s="29" t="inlineStr">
        <is>
          <t>Evet</t>
        </is>
      </c>
      <c r="J334" s="29" t="inlineStr">
        <is>
          <t>Lisans kanıtları/9b91e1cada36469e147765628fb7a9b557c3de44f3a84adf780f11a718043b09.html</t>
        </is>
      </c>
      <c r="K334" s="29" t="inlineStr">
        <is>
          <t>9b91e1cada36469e147765628fb7a9b557c3de44f3a84adf780f11a718043b09</t>
        </is>
      </c>
    </row>
    <row r="335" ht="54" customHeight="1">
      <c r="A335" s="29" t="inlineStr">
        <is>
          <t>malaga:kaynak:352</t>
        </is>
      </c>
      <c r="B335" s="29" t="inlineStr">
        <is>
          <t>malaga</t>
        </is>
      </c>
      <c r="C335" s="29" t="inlineStr">
        <is>
          <t>LOCALIZACIÓN Y CONTACTO – MUSEO REVELLO DE TORO</t>
        </is>
      </c>
      <c r="D335" s="29" t="inlineStr">
        <is>
          <t>Museo Revello de Toro</t>
        </is>
      </c>
      <c r="E335" s="29" t="inlineStr">
        <is>
          <t>https://www.museorevellodetoro.net/localizacion-y-contacto/</t>
        </is>
      </c>
      <c r="F335" s="49" t="n">
        <v>46322</v>
      </c>
      <c r="G335" s="29" t="inlineStr">
        <is>
          <t>malaga:kesif</t>
        </is>
      </c>
      <c r="H335" s="29" t="inlineStr">
        <is>
          <t>Ressam Revello de Toro'nun evi-müzesi; Málagalı sanatçıya adanmış küçük müze.</t>
        </is>
      </c>
      <c r="I335" s="29" t="inlineStr">
        <is>
          <t>Evet</t>
        </is>
      </c>
      <c r="J335" s="29" t="inlineStr">
        <is>
          <t>Lisans kanıtları/c7c42ca5a1a2c29f5bc9473005a4134bd82715d0c81427c1805c656cc0c4c046.html</t>
        </is>
      </c>
      <c r="K335" s="29" t="inlineStr">
        <is>
          <t>c7c42ca5a1a2c29f5bc9473005a4134bd82715d0c81427c1805c656cc0c4c046</t>
        </is>
      </c>
    </row>
    <row r="336" ht="54" customHeight="1">
      <c r="A336" s="29" t="inlineStr">
        <is>
          <t>malaga:kaynak:353</t>
        </is>
      </c>
      <c r="B336" s="29" t="inlineStr">
        <is>
          <t>malaga</t>
        </is>
      </c>
      <c r="C336" s="29" t="inlineStr">
        <is>
          <t>Contacto - OXO Museo Málaga</t>
        </is>
      </c>
      <c r="D336" s="29" t="inlineStr">
        <is>
          <t>OXO Museo del Videojuego</t>
        </is>
      </c>
      <c r="E336" s="29" t="inlineStr">
        <is>
          <t>https://oxomuseomalaga.com/contacto/</t>
        </is>
      </c>
      <c r="F336" s="49" t="n">
        <v>46322</v>
      </c>
      <c r="G336" s="29" t="inlineStr">
        <is>
          <t>malaga:kesif</t>
        </is>
      </c>
      <c r="H336" s="29" t="inlineStr">
        <is>
          <t>Video oyunu müzesi; ticari ama Commons fotoğrafı var.</t>
        </is>
      </c>
      <c r="I336" s="29" t="inlineStr">
        <is>
          <t>Evet</t>
        </is>
      </c>
      <c r="J336" s="29" t="inlineStr">
        <is>
          <t>Lisans kanıtları/6fc7d87aea2d29b9965995b002f2cd2d64c07aeecaaa7b35e1c5ecffbd0e5c75.html</t>
        </is>
      </c>
      <c r="K336" s="29" t="inlineStr">
        <is>
          <t>6fc7d87aea2d29b9965995b002f2cd2d64c07aeecaaa7b35e1c5ecffbd0e5c75</t>
        </is>
      </c>
    </row>
    <row r="337" ht="54" customHeight="1">
      <c r="A337" s="29" t="inlineStr">
        <is>
          <t>malaga:kaynak:354</t>
        </is>
      </c>
      <c r="B337" s="29" t="inlineStr">
        <is>
          <t>malaga</t>
        </is>
      </c>
      <c r="C337" s="29" t="inlineStr">
        <is>
          <t>Museo Fundación Unicaja de Artes y Costumbres Populares</t>
        </is>
      </c>
      <c r="D337" s="29" t="inlineStr">
        <is>
          <t>Fundación Unicaja</t>
        </is>
      </c>
      <c r="E337" s="29" t="inlineStr">
        <is>
          <t>https://www.fundacionunicaja.com/museoartespopulares/</t>
        </is>
      </c>
      <c r="F337" s="49" t="n">
        <v>46322</v>
      </c>
      <c r="G337" s="29" t="inlineStr">
        <is>
          <t>malaga:kesif</t>
        </is>
      </c>
      <c r="H337" s="29" t="inlineStr">
        <is>
          <t>Eski Mesón de la Victoria'da yerel halk sanatları ve gelenekleri müzesi.</t>
        </is>
      </c>
      <c r="I337" s="29" t="inlineStr">
        <is>
          <t>Evet</t>
        </is>
      </c>
      <c r="J337" s="29" t="inlineStr">
        <is>
          <t>Lisans kanıtları/f57a8e2f1e77a5035a06a55dbe1f661b149cda69403fe88a3b3c16abe7226fd8.html</t>
        </is>
      </c>
      <c r="K337" s="29" t="inlineStr">
        <is>
          <t>f57a8e2f1e77a5035a06a55dbe1f661b149cda69403fe88a3b3c16abe7226fd8</t>
        </is>
      </c>
    </row>
    <row r="338" ht="54" customHeight="1">
      <c r="A338" s="29" t="inlineStr">
        <is>
          <t>malaga:kaynak:355</t>
        </is>
      </c>
      <c r="B338" s="29" t="inlineStr">
        <is>
          <t>malaga</t>
        </is>
      </c>
      <c r="C338" s="29" t="inlineStr">
        <is>
          <t>Contacto - Museo del Automóvil y la Moda de Málaga</t>
        </is>
      </c>
      <c r="D338" s="29" t="inlineStr">
        <is>
          <t>Museo Automovilístico y de la Moda</t>
        </is>
      </c>
      <c r="E338" s="29" t="inlineStr">
        <is>
          <t>https://museoautomovilmoda.com/contacto/</t>
        </is>
      </c>
      <c r="F338" s="49" t="n">
        <v>46322</v>
      </c>
      <c r="G338" s="29" t="inlineStr">
        <is>
          <t>malaga:kesif</t>
        </is>
      </c>
      <c r="H338" s="29" t="inlineStr">
        <is>
          <t>Tabacalera binasında otomobil ve moda müzesi; resmî contacto sayfasında adres var.</t>
        </is>
      </c>
      <c r="I338" s="29" t="inlineStr">
        <is>
          <t>Evet</t>
        </is>
      </c>
      <c r="J338" s="29" t="inlineStr">
        <is>
          <t>Lisans kanıtları/c050db8807c25527d3d3a679881f3380a3f1bb5687bb973ea1dc5ba797ba798f.html</t>
        </is>
      </c>
      <c r="K338" s="29" t="inlineStr">
        <is>
          <t>c050db8807c25527d3d3a679881f3380a3f1bb5687bb973ea1dc5ba797ba798f</t>
        </is>
      </c>
    </row>
    <row r="339" ht="54" customHeight="1">
      <c r="A339" s="29" t="inlineStr">
        <is>
          <t>malaga:kaynak:357</t>
        </is>
      </c>
      <c r="B339" s="29" t="inlineStr">
        <is>
          <t>malaga</t>
        </is>
      </c>
      <c r="C339" s="29" t="inlineStr">
        <is>
          <t>Contacto - Peña Juan Breva</t>
        </is>
      </c>
      <c r="D339" s="29" t="inlineStr">
        <is>
          <t>Peña Juan Breva</t>
        </is>
      </c>
      <c r="E339" s="29" t="inlineStr">
        <is>
          <t>https://xn--peajuanbreva-bhb.eu/contacto/</t>
        </is>
      </c>
      <c r="F339" s="49" t="n">
        <v>46322</v>
      </c>
      <c r="G339" s="29" t="inlineStr">
        <is>
          <t>malaga:kesif</t>
        </is>
      </c>
      <c r="H339" s="29" t="inlineStr">
        <is>
          <t>Flamenko sanatı müzesi (Peña Juan Breva); yerel kültür.</t>
        </is>
      </c>
      <c r="I339" s="29" t="inlineStr">
        <is>
          <t>Evet</t>
        </is>
      </c>
      <c r="J339" s="29" t="inlineStr">
        <is>
          <t>Lisans kanıtları/f10779849eb0d0609af5e66ac894f9c307e330354837b53977c8ed8fdd800ecf.html</t>
        </is>
      </c>
      <c r="K339" s="29" t="inlineStr">
        <is>
          <t>f10779849eb0d0609af5e66ac894f9c307e330354837b53977c8ed8fdd800ecf</t>
        </is>
      </c>
    </row>
    <row r="340" ht="54" customHeight="1">
      <c r="A340" s="29" t="inlineStr">
        <is>
          <t>malaga:kaynak:358</t>
        </is>
      </c>
      <c r="B340" s="29" t="inlineStr">
        <is>
          <t>malaga</t>
        </is>
      </c>
      <c r="C340" s="29" t="inlineStr">
        <is>
          <t>Visita el Museo | Museo Interactivo de la Música</t>
        </is>
      </c>
      <c r="D340" s="29" t="inlineStr">
        <is>
          <t>MIMMA - Museo Interactivo de la Música</t>
        </is>
      </c>
      <c r="E340" s="29" t="inlineStr">
        <is>
          <t>https://www.musicaenaccion.com/project/visita-el-museo/</t>
        </is>
      </c>
      <c r="F340" s="49" t="n">
        <v>46322</v>
      </c>
      <c r="G340" s="29" t="inlineStr">
        <is>
          <t>malaga:kesif</t>
        </is>
      </c>
      <c r="H340" s="29" t="inlineStr">
        <is>
          <t>Palacio Conde de las Navas'ta etkileşimli müzik müzesi; ziyaret sayfasında adres var.</t>
        </is>
      </c>
      <c r="I340" s="29" t="inlineStr">
        <is>
          <t>Evet</t>
        </is>
      </c>
      <c r="J340" s="29" t="inlineStr">
        <is>
          <t>Lisans kanıtları/2cfd90d567f0b02272a2a32f6a0d68e7a536ac7954fa4437750c6345b41c1648.html</t>
        </is>
      </c>
      <c r="K340" s="29" t="inlineStr">
        <is>
          <t>2cfd90d567f0b02272a2a32f6a0d68e7a536ac7954fa4437750c6345b41c1648</t>
        </is>
      </c>
    </row>
    <row r="341" ht="54" customHeight="1">
      <c r="A341" s="29" t="inlineStr">
        <is>
          <t>malaga:kaynak:359</t>
        </is>
      </c>
      <c r="B341" s="29" t="inlineStr">
        <is>
          <t>malaga</t>
        </is>
      </c>
      <c r="C341" s="29" t="inlineStr">
        <is>
          <t>Detalle de la Instalación</t>
        </is>
      </c>
      <c r="D341" s="29" t="inlineStr">
        <is>
          <t>Ayuntamiento de Málaga</t>
        </is>
      </c>
      <c r="E341" s="29" t="inlineStr">
        <is>
          <t>https://www.malaga.eu/la-ciudad/instalaciones-y-espacios/detalle-de-la-instalacion/?id=7448</t>
        </is>
      </c>
      <c r="F341" s="49" t="n">
        <v>46322</v>
      </c>
      <c r="G341" s="29" t="inlineStr">
        <is>
          <t>malaga:kesif</t>
        </is>
      </c>
      <c r="H341" s="29" t="inlineStr">
        <is>
          <t>Yazar Gerald Brenan'ın Churriana'daki evi; belediye kültür merkezi ve ev müzesi.</t>
        </is>
      </c>
      <c r="I341" s="29" t="inlineStr">
        <is>
          <t>Evet</t>
        </is>
      </c>
      <c r="J341" s="29" t="inlineStr">
        <is>
          <t>Lisans kanıtları/597b72ea5b7e91182106a964f0b3a3eba637be448f13d2fb2c3ec01943c850c1.html</t>
        </is>
      </c>
      <c r="K341" s="29" t="inlineStr">
        <is>
          <t>597b72ea5b7e91182106a964f0b3a3eba637be448f13d2fb2c3ec01943c850c1</t>
        </is>
      </c>
    </row>
    <row r="342" ht="54" customHeight="1">
      <c r="A342" s="29" t="inlineStr">
        <is>
          <t>malaga:kaynak:360</t>
        </is>
      </c>
      <c r="B342" s="29" t="inlineStr">
        <is>
          <t>malaga</t>
        </is>
      </c>
      <c r="C342" s="29" t="inlineStr">
        <is>
          <t>Planea tu visita</t>
        </is>
      </c>
      <c r="D342" s="29" t="inlineStr">
        <is>
          <t>Museum Jorge Rando</t>
        </is>
      </c>
      <c r="E342" s="29" t="inlineStr">
        <is>
          <t>https://www.museojorgerando.org/es/visita</t>
        </is>
      </c>
      <c r="F342" s="49" t="n">
        <v>46322</v>
      </c>
      <c r="G342" s="29" t="inlineStr">
        <is>
          <t>malaga:kesif</t>
        </is>
      </c>
      <c r="H342" s="29" t="inlineStr">
        <is>
          <t>Çağdaş ekspresyonist sanat müzesi; sanat grubuyla çakışabilir, yedek.</t>
        </is>
      </c>
      <c r="I342" s="29" t="inlineStr">
        <is>
          <t>Evet</t>
        </is>
      </c>
      <c r="J342" s="29" t="inlineStr">
        <is>
          <t>Lisans kanıtları/dc953c4a7ebc8cb35e5531394e504c28a6fdf7172cdcbe99b1a4e9a385aa2a0b.html</t>
        </is>
      </c>
      <c r="K342" s="29" t="inlineStr">
        <is>
          <t>dc953c4a7ebc8cb35e5531394e504c28a6fdf7172cdcbe99b1a4e9a385aa2a0b</t>
        </is>
      </c>
    </row>
    <row r="343" ht="54" customHeight="1">
      <c r="A343" s="29" t="inlineStr">
        <is>
          <t>malaga:kaynak:361</t>
        </is>
      </c>
      <c r="B343" s="29" t="inlineStr">
        <is>
          <t>malaga</t>
        </is>
      </c>
      <c r="C343" s="29" t="inlineStr">
        <is>
          <t>title:home</t>
        </is>
      </c>
      <c r="D343" s="29" t="inlineStr">
        <is>
          <t>Museo Picasso Málaga</t>
        </is>
      </c>
      <c r="E343" s="29" t="inlineStr">
        <is>
          <t>https://www.museopicassomalaga.org/visita</t>
        </is>
      </c>
      <c r="F343" s="49" t="n">
        <v>46322</v>
      </c>
      <c r="G343" s="29" t="inlineStr">
        <is>
          <t>malaga:kesif</t>
        </is>
      </c>
      <c r="H343" s="29" t="inlineStr">
        <is>
          <t>Picasso'nun doğduğu şehirdeki ana Picasso müzesi; Palacio de Buenavista'da, sayfada adres ve her gün 10-19 saat bilgisi var.</t>
        </is>
      </c>
      <c r="I343" s="29" t="inlineStr">
        <is>
          <t>Evet</t>
        </is>
      </c>
      <c r="J343" s="29" t="inlineStr">
        <is>
          <t>Lisans kanıtları/eb36930ea03d7f1c0c4e1e5f99adf608a14be471985cfe1615c5e1406bfe715c.html</t>
        </is>
      </c>
      <c r="K343" s="29" t="inlineStr">
        <is>
          <t>eb36930ea03d7f1c0c4e1e5f99adf608a14be471985cfe1615c5e1406bfe715c</t>
        </is>
      </c>
    </row>
    <row r="344" ht="54" customHeight="1">
      <c r="A344" s="29" t="inlineStr">
        <is>
          <t>malaga:kaynak:362</t>
        </is>
      </c>
      <c r="B344" s="29" t="inlineStr">
        <is>
          <t>malaga</t>
        </is>
      </c>
      <c r="C344" s="29" t="inlineStr">
        <is>
          <t>Visita | Museo Carmen Thyssen Málaga</t>
        </is>
      </c>
      <c r="D344" s="29" t="inlineStr">
        <is>
          <t>Museo Carmen Thyssen Málaga</t>
        </is>
      </c>
      <c r="E344" s="29" t="inlineStr">
        <is>
          <t>https://www.carmenthyssenmalaga.org/visita</t>
        </is>
      </c>
      <c r="F344" s="49" t="n">
        <v>46322</v>
      </c>
      <c r="G344" s="29" t="inlineStr">
        <is>
          <t>malaga:kesif</t>
        </is>
      </c>
      <c r="H344" s="29" t="inlineStr">
        <is>
          <t>19. yüzyıl Endülüs resmi koleksiyonu; Villalón Sarayı'nda, sayfada Ubicación bölümünde adres var.</t>
        </is>
      </c>
      <c r="I344" s="29" t="inlineStr">
        <is>
          <t>Evet</t>
        </is>
      </c>
      <c r="J344" s="29" t="inlineStr">
        <is>
          <t>Lisans kanıtları/912c9a5a627593c0821c75b94ee6b44d69f9fff1d8c8d00b70df8b4ff56bde4e.html</t>
        </is>
      </c>
      <c r="K344" s="29" t="inlineStr">
        <is>
          <t>912c9a5a627593c0821c75b94ee6b44d69f9fff1d8c8d00b70df8b4ff56bde4e</t>
        </is>
      </c>
    </row>
    <row r="345" ht="54" customHeight="1">
      <c r="A345" s="29" t="inlineStr">
        <is>
          <t>malaga:kaynak:363</t>
        </is>
      </c>
      <c r="B345" s="29" t="inlineStr">
        <is>
          <t>malaga</t>
        </is>
      </c>
      <c r="C345" s="29" t="inlineStr">
        <is>
          <t>Visita - Centre Pompidou Málaga</t>
        </is>
      </c>
      <c r="D345" s="29" t="inlineStr">
        <is>
          <t>Centre Pompidou Málaga</t>
        </is>
      </c>
      <c r="E345" s="29" t="inlineStr">
        <is>
          <t>https://centrepompidou-malaga.eu/es/visita</t>
        </is>
      </c>
      <c r="F345" s="49" t="n">
        <v>46322</v>
      </c>
      <c r="G345" s="29" t="inlineStr">
        <is>
          <t>malaga:kesif</t>
        </is>
      </c>
      <c r="H345" s="29" t="inlineStr">
        <is>
          <t>Muelle Uno'daki cam küp binada modern ve çağdaş sanat; Visita sayfasında adres var.</t>
        </is>
      </c>
      <c r="I345" s="29" t="inlineStr">
        <is>
          <t>Evet</t>
        </is>
      </c>
      <c r="J345" s="29" t="inlineStr">
        <is>
          <t>Lisans kanıtları/c9ea99d2ed89384189294213398febd5712f9b54dec0d485d7b20cf0abab373f.html</t>
        </is>
      </c>
      <c r="K345" s="29" t="inlineStr">
        <is>
          <t>c9ea99d2ed89384189294213398febd5712f9b54dec0d485d7b20cf0abab373f</t>
        </is>
      </c>
    </row>
    <row r="346" ht="54" customHeight="1">
      <c r="A346" s="29" t="inlineStr">
        <is>
          <t>malaga:kaynak:364</t>
        </is>
      </c>
      <c r="B346" s="29" t="inlineStr">
        <is>
          <t>malaga</t>
        </is>
      </c>
      <c r="C346" s="29" t="inlineStr">
        <is>
          <t>Visita - Colección del Museo Ruso / Málaga</t>
        </is>
      </c>
      <c r="D346" s="29" t="inlineStr">
        <is>
          <t>Colección del Museo Ruso San Petersburgo Málaga</t>
        </is>
      </c>
      <c r="E346" s="29" t="inlineStr">
        <is>
          <t>https://www.coleccionmuseoruso.es/visita/</t>
        </is>
      </c>
      <c r="F346" s="49" t="n">
        <v>46322</v>
      </c>
      <c r="G346" s="29" t="inlineStr">
        <is>
          <t>malaga:kesif</t>
        </is>
      </c>
      <c r="H346" s="29" t="inlineStr">
        <is>
          <t>Tabacalera binasında Rus Devlet Müzesi koleksiyonu; Visita sayfasında adres ve saatler (Salı-Pazar 9.30-20) var. Ana sayfada alakasız spam bağlantılar görüldü, ana döngü sayfa kopyasını doğrulamalı.</t>
        </is>
      </c>
      <c r="I346" s="29" t="inlineStr">
        <is>
          <t>Evet</t>
        </is>
      </c>
      <c r="J346" s="29" t="inlineStr">
        <is>
          <t>Lisans kanıtları/0fe8e9451cb42de5bb1c3c41bcd85193c377b2566d7e584950741dcb01e651ad.html</t>
        </is>
      </c>
      <c r="K346" s="29" t="inlineStr">
        <is>
          <t>0fe8e9451cb42de5bb1c3c41bcd85193c377b2566d7e584950741dcb01e651ad</t>
        </is>
      </c>
    </row>
    <row r="347" ht="54" customHeight="1">
      <c r="A347" s="29" t="inlineStr">
        <is>
          <t>malaga:kaynak:365</t>
        </is>
      </c>
      <c r="B347" s="29" t="inlineStr">
        <is>
          <t>malaga</t>
        </is>
      </c>
      <c r="C347" s="29" t="inlineStr">
        <is>
          <t>Localización y horarios - La Térmica</t>
        </is>
      </c>
      <c r="D347" s="29" t="inlineStr">
        <is>
          <t>La Térmica</t>
        </is>
      </c>
      <c r="E347" s="29" t="inlineStr">
        <is>
          <t>https://www.latermicamalaga.com/localizacion-y-horarios/</t>
        </is>
      </c>
      <c r="F347" s="49" t="n">
        <v>46322</v>
      </c>
      <c r="G347" s="29" t="inlineStr">
        <is>
          <t>malaga:kesif</t>
        </is>
      </c>
      <c r="H347" s="29" t="inlineStr">
        <is>
          <t>Eski Térmica binasında çağdaş kültür ve sergi merkezi; Localización y horarios sayfasında adres var.</t>
        </is>
      </c>
      <c r="I347" s="29" t="inlineStr">
        <is>
          <t>Evet</t>
        </is>
      </c>
      <c r="J347" s="29" t="inlineStr">
        <is>
          <t>Lisans kanıtları/06a3bd2864495a2d46fa9da22bdd1305bfc30a65e2964f8465b9590117ec9327.html</t>
        </is>
      </c>
      <c r="K347" s="29" t="inlineStr">
        <is>
          <t>06a3bd2864495a2d46fa9da22bdd1305bfc30a65e2964f8465b9590117ec9327</t>
        </is>
      </c>
    </row>
    <row r="348" ht="54" customHeight="1">
      <c r="A348" s="29" t="inlineStr">
        <is>
          <t>malaga:kaynak:366</t>
        </is>
      </c>
      <c r="B348" s="29" t="inlineStr">
        <is>
          <t>malaga</t>
        </is>
      </c>
      <c r="C348" s="29" t="inlineStr">
        <is>
          <t>Horario y contacto - Centro Cultural La Malagueta</t>
        </is>
      </c>
      <c r="D348" s="29" t="inlineStr">
        <is>
          <t>Centro Cultural La Malagueta</t>
        </is>
      </c>
      <c r="E348" s="29" t="inlineStr">
        <is>
          <t>https://cclamalagueta.com/horario_y_salas/</t>
        </is>
      </c>
      <c r="F348" s="49" t="n">
        <v>46322</v>
      </c>
      <c r="G348" s="29" t="inlineStr">
        <is>
          <t>malaga:kesif</t>
        </is>
      </c>
      <c r="H348" s="29" t="inlineStr">
        <is>
          <t>Boğa arenası yanındaki belediye kültür merkezi, sergi galerisi; Horario y contacto sayfasında adres var.</t>
        </is>
      </c>
      <c r="I348" s="29" t="inlineStr">
        <is>
          <t>Evet</t>
        </is>
      </c>
      <c r="J348" s="29" t="inlineStr">
        <is>
          <t>Lisans kanıtları/aac9855df1a1342d56b8eaf1d660b3b98887e108202860596abe5f9363523e0d.html</t>
        </is>
      </c>
      <c r="K348" s="29" t="inlineStr">
        <is>
          <t>aac9855df1a1342d56b8eaf1d660b3b98887e108202860596abe5f9363523e0d</t>
        </is>
      </c>
    </row>
    <row r="349" ht="54" customHeight="1">
      <c r="A349" s="29" t="inlineStr">
        <is>
          <t>malaga:kaynak:367</t>
        </is>
      </c>
      <c r="B349" s="29" t="inlineStr">
        <is>
          <t>malaga</t>
        </is>
      </c>
      <c r="C349" s="29" t="inlineStr">
        <is>
          <t>Exposición 'Y sonó la música. Iconografía musical en el arte' - Fundación Unicaja</t>
        </is>
      </c>
      <c r="D349" s="29" t="inlineStr">
        <is>
          <t>Fundación Unicaja</t>
        </is>
      </c>
      <c r="E349" s="29" t="inlineStr">
        <is>
          <t>https://www.fundacionunicaja.com/event/exposicion-y-sono-la-musica-iconografia-musical-en-el-arte/</t>
        </is>
      </c>
      <c r="F349" s="49" t="n">
        <v>46322</v>
      </c>
      <c r="G349" s="29" t="inlineStr">
        <is>
          <t>malaga:kesif</t>
        </is>
      </c>
      <c r="H349" s="29" t="inlineStr">
        <is>
          <t>Katedral karşısında Fundación Unicaja'nın sergi merkezi; sayfanın LUGAR bölümünde adres var. Etkinlik sayfası olduğu için sergi bitince (2 Kasım) sayfa kalkabilir.</t>
        </is>
      </c>
      <c r="I349" s="29" t="inlineStr">
        <is>
          <t>Evet</t>
        </is>
      </c>
      <c r="J349" s="29" t="inlineStr">
        <is>
          <t>Lisans kanıtları/6767d182f97507f30bfb8a682cf70f212d5395ed212af3f80640bf48312e94d0.html</t>
        </is>
      </c>
      <c r="K349" s="29" t="inlineStr">
        <is>
          <t>6767d182f97507f30bfb8a682cf70f212d5395ed212af3f80640bf48312e94d0</t>
        </is>
      </c>
    </row>
    <row r="350" ht="54" customHeight="1">
      <c r="A350" s="29" t="inlineStr">
        <is>
          <t>malaga:kaynak:368</t>
        </is>
      </c>
      <c r="B350" s="29" t="inlineStr">
        <is>
          <t>malaga</t>
        </is>
      </c>
      <c r="C350" s="29" t="inlineStr">
        <is>
          <t>MÁLAGA PROCULTURA</t>
        </is>
      </c>
      <c r="D350" s="29" t="inlineStr">
        <is>
          <t>Málaga Procultura (Teatro Cervantes)</t>
        </is>
      </c>
      <c r="E350" s="29" t="inlineStr">
        <is>
          <t>https://www.malagaprocultura.com/es/seccion/donde-estamos-y-atencion-al-publico/</t>
        </is>
      </c>
      <c r="F350" s="49" t="n">
        <v>46322</v>
      </c>
      <c r="G350" s="29" t="inlineStr">
        <is>
          <t>malaga:kesif</t>
        </is>
      </c>
      <c r="H350" s="29" t="inlineStr">
        <is>
          <t>Şehrin ana tiyatrosu, Málaga Festivali ve opera/bale/konser sezonunun evi; sayfada tiyatronun adresi ve halk bilgisi var.</t>
        </is>
      </c>
      <c r="I350" s="29" t="inlineStr">
        <is>
          <t>Evet</t>
        </is>
      </c>
      <c r="J350" s="29" t="inlineStr">
        <is>
          <t>Lisans kanıtları/2b782978e8f77151e7caffa64bc80ba8178f1e9acb2a2e510afd6f8c2248cc4c.html</t>
        </is>
      </c>
      <c r="K350" s="29" t="inlineStr">
        <is>
          <t>2b782978e8f77151e7caffa64bc80ba8178f1e9acb2a2e510afd6f8c2248cc4c</t>
        </is>
      </c>
    </row>
    <row r="351" ht="54" customHeight="1">
      <c r="A351" s="29" t="inlineStr">
        <is>
          <t>malaga:kaynak:369</t>
        </is>
      </c>
      <c r="B351" s="29" t="inlineStr">
        <is>
          <t>malaga</t>
        </is>
      </c>
      <c r="C351" s="29" t="inlineStr">
        <is>
          <t>Detalle de la Instalación</t>
        </is>
      </c>
      <c r="D351" s="29" t="inlineStr">
        <is>
          <t>Ayuntamiento de Málaga</t>
        </is>
      </c>
      <c r="E351" s="29" t="inlineStr">
        <is>
          <t>https://www.malaga.eu/la-ciudad/instalaciones-y-espacios/detalle-de-la-instalacion/?id=2890</t>
        </is>
      </c>
      <c r="F351" s="49" t="n">
        <v>46322</v>
      </c>
      <c r="G351" s="29" t="inlineStr">
        <is>
          <t>malaga:kesif</t>
        </is>
      </c>
      <c r="H351" s="29" t="inlineStr">
        <is>
          <t>Tarihî tiyatro, Cervantes yönetiminde; belediyenin tesis sayfasında adresi var.</t>
        </is>
      </c>
      <c r="I351" s="29" t="inlineStr">
        <is>
          <t>Evet</t>
        </is>
      </c>
      <c r="J351" s="29" t="inlineStr">
        <is>
          <t>Lisans kanıtları/a0cdcccb34ec6fd5340701f5d6f19a44f5e2c250d9b3b4a3e0f2825f6d7cbd01.html</t>
        </is>
      </c>
      <c r="K351" s="29" t="inlineStr">
        <is>
          <t>a0cdcccb34ec6fd5340701f5d6f19a44f5e2c250d9b3b4a3e0f2825f6d7cbd01</t>
        </is>
      </c>
    </row>
    <row r="352" ht="54" customHeight="1">
      <c r="A352" s="29" t="inlineStr">
        <is>
          <t>malaga:kaynak:370</t>
        </is>
      </c>
      <c r="B352" s="29" t="inlineStr">
        <is>
          <t>malaga</t>
        </is>
      </c>
      <c r="C352" s="29" t="inlineStr">
        <is>
          <t>Visitas teatralizadas ‘Personajes de la Sala Unicaja de Conciertos María Cristina’ - Fundación Unicaja</t>
        </is>
      </c>
      <c r="D352" s="29" t="inlineStr">
        <is>
          <t>Fundación Unicaja</t>
        </is>
      </c>
      <c r="E352" s="29" t="inlineStr">
        <is>
          <t>https://www.fundacionunicaja.com/event/visitas-teatralizadas-8216personajes-de-la-sala-unicaja-de-conciertos-mara-cristina8217/</t>
        </is>
      </c>
      <c r="F352" s="49" t="n">
        <v>46322</v>
      </c>
      <c r="G352" s="29" t="inlineStr">
        <is>
          <t>malaga:kesif</t>
        </is>
      </c>
      <c r="H352" s="29" t="inlineStr">
        <is>
          <t>Eski manastır yapısında 364 kişilik oda müziği salonu; sayfa teatralize ziyaret ve adresi veriyor.</t>
        </is>
      </c>
      <c r="I352" s="29" t="inlineStr">
        <is>
          <t>Evet</t>
        </is>
      </c>
      <c r="J352" s="29" t="inlineStr">
        <is>
          <t>Lisans kanıtları/3e935f6d70b278c41871228d8e20609ba502f7ce7a5f6676c162dda4d3886106.html</t>
        </is>
      </c>
      <c r="K352" s="29" t="inlineStr">
        <is>
          <t>3e935f6d70b278c41871228d8e20609ba502f7ce7a5f6676c162dda4d3886106</t>
        </is>
      </c>
    </row>
    <row r="353" ht="54" customHeight="1">
      <c r="A353" s="29" t="inlineStr">
        <is>
          <t>malaga:kaynak:371</t>
        </is>
      </c>
      <c r="B353" s="29" t="inlineStr">
        <is>
          <t>malaga</t>
        </is>
      </c>
      <c r="C353" s="29" t="inlineStr">
        <is>
          <t>Teatro del Soho Caixabank</t>
        </is>
      </c>
      <c r="D353" s="29" t="inlineStr">
        <is>
          <t>Junta de Andalucía</t>
        </is>
      </c>
      <c r="E353" s="29" t="inlineStr">
        <is>
          <t>https://www.juntadeandalucia.es/cultura/agendaculturaldeandalucia/espacios/teatro-del-soho-caixabank</t>
        </is>
      </c>
      <c r="F353" s="49" t="n">
        <v>46322</v>
      </c>
      <c r="G353" s="29" t="inlineStr">
        <is>
          <t>malaga:kesif</t>
        </is>
      </c>
      <c r="H353" s="29" t="inlineStr">
        <is>
          <t>Antonio Banderas'ın tiyatrosu (eski Teatro Alameda, 1961); Soho semtinin sahne mekânı.</t>
        </is>
      </c>
      <c r="I353" s="29" t="inlineStr">
        <is>
          <t>Evet</t>
        </is>
      </c>
      <c r="J353" s="29" t="inlineStr">
        <is>
          <t>Lisans kanıtları/7fc9b70a9b171c6134c308da83d775656e18c77063f4f9d82d89a753f9dd0eb3.html</t>
        </is>
      </c>
      <c r="K353" s="29" t="inlineStr">
        <is>
          <t>7fc9b70a9b171c6134c308da83d775656e18c77063f4f9d82d89a753f9dd0eb3</t>
        </is>
      </c>
    </row>
    <row r="354" ht="54" customHeight="1">
      <c r="A354" s="29" t="inlineStr">
        <is>
          <t>malaga:kaynak:372</t>
        </is>
      </c>
      <c r="B354" s="29" t="inlineStr">
        <is>
          <t>malaga</t>
        </is>
      </c>
      <c r="C354" s="29" t="inlineStr">
        <is>
          <t>Teatro Cánovas | Teatros</t>
        </is>
      </c>
      <c r="D354" s="29" t="inlineStr">
        <is>
          <t>Junta de Andalucía (AAIICC)</t>
        </is>
      </c>
      <c r="E354" s="29" t="inlineStr">
        <is>
          <t>https://www.juntadeandalucia.es/aaiicc/teatros/teatro-canovas/contacto</t>
        </is>
      </c>
      <c r="F354" s="49" t="n">
        <v>46322</v>
      </c>
      <c r="G354" s="29" t="inlineStr">
        <is>
          <t>malaga:kesif</t>
        </is>
      </c>
      <c r="H354" s="29" t="inlineStr">
        <is>
          <t>Junta'nın yönettiği Cánovas tiyatrosu (Plaza del Ejido); sahne ve müzik programı.</t>
        </is>
      </c>
      <c r="I354" s="29" t="inlineStr">
        <is>
          <t>Evet</t>
        </is>
      </c>
      <c r="J354" s="29" t="inlineStr">
        <is>
          <t>Lisans kanıtları/c8093523c5414af79f2f30b36b51fe03b6206110adba80448bc644ccc738540e.html</t>
        </is>
      </c>
      <c r="K354" s="29" t="inlineStr">
        <is>
          <t>c8093523c5414af79f2f30b36b51fe03b6206110adba80448bc644ccc738540e</t>
        </is>
      </c>
    </row>
    <row r="355" ht="54" customHeight="1">
      <c r="A355" s="29" t="inlineStr">
        <is>
          <t>malaga:kaynak:373</t>
        </is>
      </c>
      <c r="B355" s="29" t="inlineStr">
        <is>
          <t>malaga</t>
        </is>
      </c>
      <c r="C355" s="29" t="inlineStr">
        <is>
          <t>Auditorio Edgar Neville</t>
        </is>
      </c>
      <c r="D355" s="29" t="inlineStr">
        <is>
          <t>Junta de Andalucía</t>
        </is>
      </c>
      <c r="E355" s="29" t="inlineStr">
        <is>
          <t>https://www.juntadeandalucia.es/cultura/agendaculturaldeandalucia/evento/auditorio-edgar-neville</t>
        </is>
      </c>
      <c r="F355" s="49" t="n">
        <v>46322</v>
      </c>
      <c r="G355" s="29" t="inlineStr">
        <is>
          <t>malaga:kesif</t>
        </is>
      </c>
      <c r="H355" s="29" t="inlineStr">
        <is>
          <t>Diputación'un 391 kişilik konser ve tiyatro salonu; Carretera de Cádiz bölgesinde.</t>
        </is>
      </c>
      <c r="I355" s="29" t="inlineStr">
        <is>
          <t>Evet</t>
        </is>
      </c>
      <c r="J355" s="29" t="inlineStr">
        <is>
          <t>Lisans kanıtları/7117ec4db5f1e8c7e76c78b3aca9f7a15d903a8f057f27c8d264eac4ff2bcc22.html</t>
        </is>
      </c>
      <c r="K355" s="29" t="inlineStr">
        <is>
          <t>7117ec4db5f1e8c7e76c78b3aca9f7a15d903a8f057f27c8d264eac4ff2bcc22</t>
        </is>
      </c>
    </row>
    <row r="356" ht="54" customHeight="1">
      <c r="A356" s="29" t="inlineStr">
        <is>
          <t>malaga:kaynak:374</t>
        </is>
      </c>
      <c r="B356" s="29" t="inlineStr">
        <is>
          <t>malaga</t>
        </is>
      </c>
      <c r="C356" s="29" t="inlineStr">
        <is>
          <t>Auditorio Curro Román</t>
        </is>
      </c>
      <c r="D356" s="29" t="inlineStr">
        <is>
          <t>Junta de Andalucía</t>
        </is>
      </c>
      <c r="E356" s="29" t="inlineStr">
        <is>
          <t>https://www.juntadeandalucia.es/cultura/agendaculturaldeandalucia/espacios/auditorio-curro-roman</t>
        </is>
      </c>
      <c r="F356" s="49" t="n">
        <v>46322</v>
      </c>
      <c r="G356" s="29" t="inlineStr">
        <is>
          <t>malaga:kesif</t>
        </is>
      </c>
      <c r="H356" s="29" t="inlineStr">
        <is>
          <t>Playa Virginia parkında açık hava amfisi; flamenko festivalleri ve konserler.</t>
        </is>
      </c>
      <c r="I356" s="29" t="inlineStr">
        <is>
          <t>Evet</t>
        </is>
      </c>
      <c r="J356" s="29" t="inlineStr">
        <is>
          <t>Lisans kanıtları/e2d19048933350842f1662fd83944ae2e56515b2f94b60b4a15a35ecedd2c790.html</t>
        </is>
      </c>
      <c r="K356" s="29" t="inlineStr">
        <is>
          <t>e2d19048933350842f1662fd83944ae2e56515b2f94b60b4a15a35ecedd2c790</t>
        </is>
      </c>
    </row>
    <row r="357" ht="54" customHeight="1">
      <c r="A357" s="29" t="inlineStr">
        <is>
          <t>malaga:kaynak:375</t>
        </is>
      </c>
      <c r="B357" s="29" t="inlineStr">
        <is>
          <t>malaga</t>
        </is>
      </c>
      <c r="C357" s="29" t="inlineStr">
        <is>
          <t>Recinto Eduardo Ocón</t>
        </is>
      </c>
      <c r="D357" s="29" t="inlineStr">
        <is>
          <t>Ayuntamiento de Málaga</t>
        </is>
      </c>
      <c r="E357" s="29" t="inlineStr">
        <is>
          <t>https://cultura.malaga.eu/es/espacios-culturales-00001/recinto-musical-eduardo-ocon/</t>
        </is>
      </c>
      <c r="F357" s="49" t="n">
        <v>46322</v>
      </c>
      <c r="G357" s="29" t="inlineStr">
        <is>
          <t>malaga:kesif</t>
        </is>
      </c>
      <c r="H357" s="29" t="inlineStr">
        <is>
          <t>Málaga Parkı içinde açık hava konser alanı (yaklaşık 540 koltuk).</t>
        </is>
      </c>
      <c r="I357" s="29" t="inlineStr">
        <is>
          <t>Evet</t>
        </is>
      </c>
      <c r="J357" s="29" t="inlineStr">
        <is>
          <t>Lisans kanıtları/cc3587244d06de7ca71b3740499455bef5ffc419c2fe7c56ec5ff26da0eb9e10.html</t>
        </is>
      </c>
      <c r="K357" s="29" t="inlineStr">
        <is>
          <t>cc3587244d06de7ca71b3740499455bef5ffc419c2fe7c56ec5ff26da0eb9e10</t>
        </is>
      </c>
    </row>
    <row r="358" ht="54" customHeight="1">
      <c r="A358" s="29" t="inlineStr">
        <is>
          <t>malaga:kaynak:376</t>
        </is>
      </c>
      <c r="B358" s="29" t="inlineStr">
        <is>
          <t>malaga</t>
        </is>
      </c>
      <c r="C358" s="29" t="inlineStr">
        <is>
          <t>Museo &amp; Tour Málaga CF | Historia y Experiencias en La Rosaleda | Málaga CF | Web Oficial</t>
        </is>
      </c>
      <c r="D358" s="29" t="inlineStr">
        <is>
          <t>Málaga CF</t>
        </is>
      </c>
      <c r="E358" s="29" t="inlineStr">
        <is>
          <t>https://www.malagacf.com/museo</t>
        </is>
      </c>
      <c r="F358" s="49" t="n">
        <v>46322</v>
      </c>
      <c r="G358" s="29" t="inlineStr">
        <is>
          <t>malaga:kesif</t>
        </is>
      </c>
      <c r="H358" s="29" t="inlineStr">
        <is>
          <t>Málaga CF'nin resmî sitesinde La Rosaleda müze ve stadyum turu sayfası; Pazartesi-Cumartesi tur, buluşma noktası Puerta 0 (Pasaje Antonio Benítez); maç günleri ve tatillerde kapalı.</t>
        </is>
      </c>
      <c r="I358" s="29" t="inlineStr">
        <is>
          <t>Evet</t>
        </is>
      </c>
      <c r="J358" s="29" t="inlineStr">
        <is>
          <t>Lisans kanıtları/79cc7e397f88ed7b3de634a3b055de7ad0df0c95c9a57839b38b029d107c6f9d.html</t>
        </is>
      </c>
      <c r="K358" s="29" t="inlineStr">
        <is>
          <t>79cc7e397f88ed7b3de634a3b055de7ad0df0c95c9a57839b38b029d107c6f9d</t>
        </is>
      </c>
    </row>
    <row r="359" ht="54" customHeight="1">
      <c r="A359" s="29" t="inlineStr">
        <is>
          <t>malaga:kaynak:377</t>
        </is>
      </c>
      <c r="B359" s="29" t="inlineStr">
        <is>
          <t>malaga</t>
        </is>
      </c>
      <c r="C359" s="29" t="inlineStr">
        <is>
          <t>Polideportivo Ciudad Jardín</t>
        </is>
      </c>
      <c r="D359" s="29" t="inlineStr">
        <is>
          <t>Ayuntamiento de Málaga - Área de Deporte</t>
        </is>
      </c>
      <c r="E359" s="29" t="inlineStr">
        <is>
          <t>https://deporte.malaga.eu/espacios-deportivos/instalaciones/polideportivo-ciudad-jardin/</t>
        </is>
      </c>
      <c r="F359" s="49" t="n">
        <v>46322</v>
      </c>
      <c r="G359" s="29" t="inlineStr">
        <is>
          <t>malaga:kesif</t>
        </is>
      </c>
      <c r="H359" s="29" t="inlineStr">
        <is>
          <t>Belediye spor kompleksi (Alfonso Queipo de Llano pavyonu); belediye Spor Alanı sitesinde tesis sayfası ve adres.</t>
        </is>
      </c>
      <c r="I359" s="29" t="inlineStr">
        <is>
          <t>Evet</t>
        </is>
      </c>
      <c r="J359" s="29" t="inlineStr">
        <is>
          <t>Lisans kanıtları/90b4ca9e2302ab53cd923d51659c3d8e3990ebd0f21ae3b658e3fb27e2d0ff88.html</t>
        </is>
      </c>
      <c r="K359" s="29" t="inlineStr">
        <is>
          <t>90b4ca9e2302ab53cd923d51659c3d8e3990ebd0f21ae3b658e3fb27e2d0ff88</t>
        </is>
      </c>
    </row>
    <row r="360" ht="54" customHeight="1">
      <c r="A360" s="29" t="inlineStr">
        <is>
          <t>malaga:kaynak:378</t>
        </is>
      </c>
      <c r="B360" s="29" t="inlineStr">
        <is>
          <t>malaga</t>
        </is>
      </c>
      <c r="C360" s="29" t="inlineStr">
        <is>
          <t>Contacto - Real Club Mediterráneo</t>
        </is>
      </c>
      <c r="D360" s="29" t="inlineStr">
        <is>
          <t>Real Club Mediterráneo</t>
        </is>
      </c>
      <c r="E360" s="29" t="inlineStr">
        <is>
          <t>https://realclubmediterraneo.com/contacto-rcm/</t>
        </is>
      </c>
      <c r="F360" s="49" t="n">
        <v>46322</v>
      </c>
      <c r="G360" s="29" t="inlineStr">
        <is>
          <t>malaga:kesif</t>
        </is>
      </c>
      <c r="H360" s="29" t="inlineStr">
        <is>
          <t>1873'te kurulmuş Málaga'nın en eski deniz kulübü (kürek, yelken); resmî iletişim sayfasında Sede Social ve La Marina adresleri.</t>
        </is>
      </c>
      <c r="I360" s="29" t="inlineStr">
        <is>
          <t>Evet</t>
        </is>
      </c>
      <c r="J360" s="29" t="inlineStr">
        <is>
          <t>Lisans kanıtları/97cdd70d0733800c386efaa97b4e0f53f83cc348a119a45d139b1ebaf5393b6b.html</t>
        </is>
      </c>
      <c r="K360" s="29" t="inlineStr">
        <is>
          <t>97cdd70d0733800c386efaa97b4e0f53f83cc348a119a45d139b1ebaf5393b6b</t>
        </is>
      </c>
    </row>
    <row r="361" ht="54" customHeight="1">
      <c r="A361" s="29" t="inlineStr">
        <is>
          <t>malaga:kaynak:379</t>
        </is>
      </c>
      <c r="B361" s="29" t="inlineStr">
        <is>
          <t>malaga</t>
        </is>
      </c>
      <c r="C361" s="29" t="inlineStr">
        <is>
          <t>DEPORTES - Localización - Universidad de Málaga</t>
        </is>
      </c>
      <c r="D361" s="29" t="inlineStr">
        <is>
          <t>Universidad de Málaga - Deportes</t>
        </is>
      </c>
      <c r="E361" s="29" t="inlineStr">
        <is>
          <t>https://www.uma.es/micrositios/uma-deportes/cms/base/ver/base/basecontent/103348/localizacion-dep/</t>
        </is>
      </c>
      <c r="F361" s="49" t="n">
        <v>46322</v>
      </c>
      <c r="G361" s="29" t="inlineStr">
        <is>
          <t>malaga:kesif</t>
        </is>
      </c>
      <c r="H361" s="29" t="inlineStr">
        <is>
          <t>UMA Spor Servisi'nin konum sayfası: Teatinos kampüsünde Complejo Deportivo Universitario (futbol, havuz, atletizm pisti, padel).</t>
        </is>
      </c>
      <c r="I361" s="29" t="inlineStr">
        <is>
          <t>Evet</t>
        </is>
      </c>
      <c r="J361" s="29" t="inlineStr">
        <is>
          <t>Lisans kanıtları/045c0c6ba0ae595a63a66bdba1217e900c19fad3e879fa84c3d4611103ac7cb5.html</t>
        </is>
      </c>
      <c r="K361" s="29" t="inlineStr">
        <is>
          <t>045c0c6ba0ae595a63a66bdba1217e900c19fad3e879fa84c3d4611103ac7cb5</t>
        </is>
      </c>
    </row>
    <row r="362" ht="54" customHeight="1">
      <c r="A362" s="29" t="inlineStr">
        <is>
          <t>malaga:kaynak:380</t>
        </is>
      </c>
      <c r="B362" s="29" t="inlineStr">
        <is>
          <t>malaga</t>
        </is>
      </c>
      <c r="C362" s="29" t="inlineStr">
        <is>
          <t>IGY Malaga Marina - IGY Marinas</t>
        </is>
      </c>
      <c r="D362" s="29" t="inlineStr">
        <is>
          <t>IGY Marinas</t>
        </is>
      </c>
      <c r="E362" s="29" t="inlineStr">
        <is>
          <t>https://www.igymarinas.com/es/marinas/igy-malaga-marina</t>
        </is>
      </c>
      <c r="F362" s="49" t="n">
        <v>46322</v>
      </c>
      <c r="G362" s="29" t="inlineStr">
        <is>
          <t>malaga:kesif</t>
        </is>
      </c>
      <c r="H362" s="29" t="inlineStr">
        <is>
          <t>Málaga limanındaki yat limanı; işletmecinin sayfasında adres Paseo de la Farola. Ticari mekân.</t>
        </is>
      </c>
      <c r="I362" s="29" t="inlineStr">
        <is>
          <t>Evet</t>
        </is>
      </c>
      <c r="J362" s="29" t="inlineStr">
        <is>
          <t>Lisans kanıtları/338cf4b98ad9e886f605baeede532372b005387cba7972f41d4975e416cb6a36.html</t>
        </is>
      </c>
      <c r="K362" s="29" t="inlineStr">
        <is>
          <t>338cf4b98ad9e886f605baeede532372b005387cba7972f41d4975e416cb6a36</t>
        </is>
      </c>
    </row>
    <row r="363" ht="54" customHeight="1">
      <c r="A363" s="29" t="inlineStr">
        <is>
          <t>malaga:kaynak:381</t>
        </is>
      </c>
      <c r="B363" s="29" t="inlineStr">
        <is>
          <t>malaga</t>
        </is>
      </c>
      <c r="C363" s="29" t="inlineStr">
        <is>
          <t>Formulario e información de contacto - ingles - Real Guadalhorce Club de Golf</t>
        </is>
      </c>
      <c r="D363" s="29" t="inlineStr">
        <is>
          <t>Real Guadalhorce Club de Golf</t>
        </is>
      </c>
      <c r="E363" s="29" t="inlineStr">
        <is>
          <t>https://guadalhorce.com/en/formulario-e-informacion-de-contacto-ingles/</t>
        </is>
      </c>
      <c r="F363" s="49" t="n">
        <v>46322</v>
      </c>
      <c r="G363" s="29" t="inlineStr">
        <is>
          <t>malaga:kesif</t>
        </is>
      </c>
      <c r="H363" s="29" t="inlineStr">
        <is>
          <t>Havalimanı kuzeyinde 18 delikli tarihi golf kulübü; resmî iletişim sayfasında adres.</t>
        </is>
      </c>
      <c r="I363" s="29" t="inlineStr">
        <is>
          <t>Evet</t>
        </is>
      </c>
      <c r="J363" s="29" t="inlineStr">
        <is>
          <t>Lisans kanıtları/08ab4d6c7cf1d8a8dd791acf51322b02d61f089a106e59750be8e8a385e43852.html</t>
        </is>
      </c>
      <c r="K363" s="29" t="inlineStr">
        <is>
          <t>08ab4d6c7cf1d8a8dd791acf51322b02d61f089a106e59750be8e8a385e43852</t>
        </is>
      </c>
    </row>
    <row r="364" ht="54" customHeight="1">
      <c r="A364" s="29" t="inlineStr">
        <is>
          <t>malaga:kaynak:382</t>
        </is>
      </c>
      <c r="B364" s="29" t="inlineStr">
        <is>
          <t>malaga</t>
        </is>
      </c>
      <c r="C364" s="29" t="inlineStr">
        <is>
          <t>Centro de Ciencia Principia, Málaga, España – Centro de Ciencia Principia Málaga</t>
        </is>
      </c>
      <c r="D364" s="29" t="inlineStr">
        <is>
          <t>Centro de Ciencia Principia</t>
        </is>
      </c>
      <c r="E364" s="29" t="inlineStr">
        <is>
          <t>https://www.principia-malaga.com/p/</t>
        </is>
      </c>
      <c r="F364" s="49" t="n">
        <v>46322</v>
      </c>
      <c r="G364" s="29" t="inlineStr">
        <is>
          <t>malaga:kesif</t>
        </is>
      </c>
      <c r="H364" s="29" t="inlineStr">
        <is>
          <t>Interaktif bilim merkezi, çocuk deneyleri. Sayfada Avenida de Luis Buñuel adresi var; como-llegar sayfası 429 verdi, bu yüzden anasayfa.</t>
        </is>
      </c>
      <c r="I364" s="29" t="inlineStr">
        <is>
          <t>Evet</t>
        </is>
      </c>
      <c r="J364" s="29" t="inlineStr">
        <is>
          <t>Lisans kanıtları/35722486a4504c0d32b41c5b786d40bae49b645a0eb80ebd481147ae8844da32.html</t>
        </is>
      </c>
      <c r="K364" s="29" t="inlineStr">
        <is>
          <t>35722486a4504c0d32b41c5b786d40bae49b645a0eb80ebd481147ae8844da32</t>
        </is>
      </c>
    </row>
    <row r="365" ht="54" customHeight="1">
      <c r="A365" s="29" t="inlineStr">
        <is>
          <t>malaga:kaynak:383</t>
        </is>
      </c>
      <c r="B365" s="29" t="inlineStr">
        <is>
          <t>malaga</t>
        </is>
      </c>
      <c r="C365" s="29" t="inlineStr">
        <is>
          <t>Parque de La Alegría</t>
        </is>
      </c>
      <c r="D365" s="29" t="inlineStr">
        <is>
          <t>Ayuntamiento de Málaga - Área de Sostenibilidad Medioambiental</t>
        </is>
      </c>
      <c r="E365" s="29" t="inlineStr">
        <is>
          <t>https://medioambiente.malaga.eu/parques-y-jardines/parques-y-jardines-de-malaga/parques-infantiles-y-biosaludables/detalle-del-parque/Parque-de-La-Alegria/</t>
        </is>
      </c>
      <c r="F365" s="49" t="n">
        <v>46322</v>
      </c>
      <c r="G365" s="29" t="inlineStr">
        <is>
          <t>malaga:kesif</t>
        </is>
      </c>
      <c r="H365" s="29" t="inlineStr">
        <is>
          <t>Masal kitabı temalı çocuk alanı, gölet ve heykelleri olan renkli park (2011). Belediye sayfasında konum ve zona infantil var.</t>
        </is>
      </c>
      <c r="I365" s="29" t="inlineStr">
        <is>
          <t>Evet</t>
        </is>
      </c>
      <c r="J365" s="29" t="inlineStr">
        <is>
          <t>Lisans kanıtları/3727ab34e2043b15da29ca9f8c27fd396869544b066595a780c9434d92fc2475.html</t>
        </is>
      </c>
      <c r="K365" s="29" t="inlineStr">
        <is>
          <t>3727ab34e2043b15da29ca9f8c27fd396869544b066595a780c9434d92fc2475</t>
        </is>
      </c>
    </row>
    <row r="366" ht="54" customHeight="1">
      <c r="A366" s="29" t="inlineStr">
        <is>
          <t>malaga:kaynak:384</t>
        </is>
      </c>
      <c r="B366" s="29" t="inlineStr">
        <is>
          <t>malaga</t>
        </is>
      </c>
      <c r="C366" s="29" t="inlineStr">
        <is>
          <t>Parque Infantil Parque del Norte</t>
        </is>
      </c>
      <c r="D366" s="29" t="inlineStr">
        <is>
          <t>Ayuntamiento de Málaga - Área de Sostenibilidad Medioambiental</t>
        </is>
      </c>
      <c r="E366" s="29" t="inlineStr">
        <is>
          <t>https://medioambiente.malaga.eu/parques-y-jardines/parques-y-jardines-de-malaga/parques-infantiles-y-biosaludables/detalle-del-parque/Parque-Infantil-Parque-del-Norte/</t>
        </is>
      </c>
      <c r="F366" s="49" t="n">
        <v>46322</v>
      </c>
      <c r="G366" s="29" t="inlineStr">
        <is>
          <t>malaga:kesif</t>
        </is>
      </c>
      <c r="H366" s="29" t="inlineStr">
        <is>
          <t>Uzun park: çocuk oyun alanı, köpek parkı, spor aletleri ve geniş çimenlik.</t>
        </is>
      </c>
      <c r="I366" s="29" t="inlineStr">
        <is>
          <t>Evet</t>
        </is>
      </c>
      <c r="J366" s="29" t="inlineStr">
        <is>
          <t>Lisans kanıtları/64ffe434a9abea1fce9fd027e45d00a7d60415797c0eb8952f02d637721a45ee.html</t>
        </is>
      </c>
      <c r="K366" s="29" t="inlineStr">
        <is>
          <t>64ffe434a9abea1fce9fd027e45d00a7d60415797c0eb8952f02d637721a45ee</t>
        </is>
      </c>
    </row>
    <row r="367" ht="54" customHeight="1">
      <c r="A367" s="29" t="inlineStr">
        <is>
          <t>malaga:kaynak:385</t>
        </is>
      </c>
      <c r="B367" s="29" t="inlineStr">
        <is>
          <t>malaga</t>
        </is>
      </c>
      <c r="C367" s="29" t="inlineStr">
        <is>
          <t>Parque Infantil Litoral</t>
        </is>
      </c>
      <c r="D367" s="29" t="inlineStr">
        <is>
          <t>Ayuntamiento de Málaga - Área de Sostenibilidad Medioambiental</t>
        </is>
      </c>
      <c r="E367" s="29" t="inlineStr">
        <is>
          <t>https://medioambiente.malaga.eu/parques-y-jardines/parques-y-jardines-de-malaga/parques-infantiles-y-biosaludables/detalle-del-parque/Parque-Infantil-Litoral/</t>
        </is>
      </c>
      <c r="F367" s="49" t="n">
        <v>46322</v>
      </c>
      <c r="G367" s="29" t="inlineStr">
        <is>
          <t>malaga:kesif</t>
        </is>
      </c>
      <c r="H367" s="29" t="inlineStr">
        <is>
          <t>Ahşap gözlem kulesi olan tümsekli çocuk alanı, gölgeli banklar; her gün 8:00-22:00.</t>
        </is>
      </c>
      <c r="I367" s="29" t="inlineStr">
        <is>
          <t>Evet</t>
        </is>
      </c>
      <c r="J367" s="29" t="inlineStr">
        <is>
          <t>Lisans kanıtları/eb54f8fb6975ce0a918715a65ee6071ba6a88365bff5979d9a651ad1c1dbc0c7.html</t>
        </is>
      </c>
      <c r="K367" s="29" t="inlineStr">
        <is>
          <t>eb54f8fb6975ce0a918715a65ee6071ba6a88365bff5979d9a651ad1c1dbc0c7</t>
        </is>
      </c>
    </row>
    <row r="368" ht="54" customHeight="1">
      <c r="A368" s="29" t="inlineStr">
        <is>
          <t>malaga:kaynak:386</t>
        </is>
      </c>
      <c r="B368" s="29" t="inlineStr">
        <is>
          <t>malaga</t>
        </is>
      </c>
      <c r="C368" s="29" t="inlineStr">
        <is>
          <t>Parque del Cine</t>
        </is>
      </c>
      <c r="D368" s="29" t="inlineStr">
        <is>
          <t>Ayuntamiento de Málaga - Área de Sostenibilidad Medioambiental</t>
        </is>
      </c>
      <c r="E368" s="29" t="inlineStr">
        <is>
          <t>https://medioambiente.malaga.eu/parques-y-jardines/parques-y-jardines-de-malaga/grandes-parques/detalle-del-parque/Parque-del-Cine/</t>
        </is>
      </c>
      <c r="F368" s="49" t="n">
        <v>46322</v>
      </c>
      <c r="G368" s="29" t="inlineStr">
        <is>
          <t>malaga:kesif</t>
        </is>
      </c>
      <c r="H368" s="29" t="inlineStr">
        <is>
          <t>Sinema temalı renkli tasarım, yenilikçi çocuk oyun elemanları; yetişkinler için dinlenme alanı.</t>
        </is>
      </c>
      <c r="I368" s="29" t="inlineStr">
        <is>
          <t>Evet</t>
        </is>
      </c>
      <c r="J368" s="29" t="inlineStr">
        <is>
          <t>Lisans kanıtları/a5155587d940d784ae1c7b35c1b3df9b87316b9514a3528060ea774e986fe8b8.html</t>
        </is>
      </c>
      <c r="K368" s="29" t="inlineStr">
        <is>
          <t>a5155587d940d784ae1c7b35c1b3df9b87316b9514a3528060ea774e986fe8b8</t>
        </is>
      </c>
    </row>
    <row r="369" ht="54" customHeight="1">
      <c r="A369" s="29" t="inlineStr">
        <is>
          <t>malaga:kaynak:387</t>
        </is>
      </c>
      <c r="B369" s="29" t="inlineStr">
        <is>
          <t>malaga</t>
        </is>
      </c>
      <c r="C369" s="29" t="inlineStr">
        <is>
          <t>Parque Infantil Huelin</t>
        </is>
      </c>
      <c r="D369" s="29" t="inlineStr">
        <is>
          <t>Ayuntamiento de Málaga - Área de Sostenibilidad Medioambiental</t>
        </is>
      </c>
      <c r="E369" s="29" t="inlineStr">
        <is>
          <t>https://medioambiente.malaga.eu/parques-y-jardines/parques-y-jardines-de-malaga/grandes-parques/detalle-del-parque/Parque-Infantil-Huelin/</t>
        </is>
      </c>
      <c r="F369" s="49" t="n">
        <v>46322</v>
      </c>
      <c r="G369" s="29" t="inlineStr">
        <is>
          <t>malaga:kesif</t>
        </is>
      </c>
      <c r="H369" s="29" t="inlineStr">
        <is>
          <t>Palmiyeli adacıklı gölet, balıkçı teknesi, dev kuş figürlü çocuk oyun alanı ve çok amaçlı saha.</t>
        </is>
      </c>
      <c r="I369" s="29" t="inlineStr">
        <is>
          <t>Evet</t>
        </is>
      </c>
      <c r="J369" s="29" t="inlineStr">
        <is>
          <t>Lisans kanıtları/9f5f7851b720205ee107607cc4a5b3d183e973893d46a1c8e0f1b86f428602c1.html</t>
        </is>
      </c>
      <c r="K369" s="29" t="inlineStr">
        <is>
          <t>9f5f7851b720205ee107607cc4a5b3d183e973893d46a1c8e0f1b86f428602c1</t>
        </is>
      </c>
    </row>
    <row r="370" ht="54" customHeight="1">
      <c r="A370" s="29" t="inlineStr">
        <is>
          <t>malaga:kaynak:388</t>
        </is>
      </c>
      <c r="B370" s="29" t="inlineStr">
        <is>
          <t>malaga</t>
        </is>
      </c>
      <c r="C370" s="29" t="inlineStr">
        <is>
          <t>Parque Infantil Playa Virginia</t>
        </is>
      </c>
      <c r="D370" s="29" t="inlineStr">
        <is>
          <t>Ayuntamiento de Málaga - Área de Sostenibilidad Medioambiental</t>
        </is>
      </c>
      <c r="E370" s="29" t="inlineStr">
        <is>
          <t>https://medioambiente.malaga.eu/parques-y-jardines/parques-y-jardines-de-malaga/parques-infantiles-y-biosaludables/detalle-del-parque/Parque-Infantil-Playa-Virginia/</t>
        </is>
      </c>
      <c r="F370" s="49" t="n">
        <v>46322</v>
      </c>
      <c r="G370" s="29" t="inlineStr">
        <is>
          <t>malaga:kesif</t>
        </is>
      </c>
      <c r="H370" s="29" t="inlineStr">
        <is>
          <t>El Palo plajlarına birkaç metre mesafede Avenida Salvador Allende üzerinde çocuk parkı.</t>
        </is>
      </c>
      <c r="I370" s="29" t="inlineStr">
        <is>
          <t>Evet</t>
        </is>
      </c>
      <c r="J370" s="29" t="inlineStr">
        <is>
          <t>Lisans kanıtları/728a16e418ca14deb01b1d0d298a574a0b64ac569549f9d285d63cb58ab4ff80.html</t>
        </is>
      </c>
      <c r="K370" s="29" t="inlineStr">
        <is>
          <t>728a16e418ca14deb01b1d0d298a574a0b64ac569549f9d285d63cb58ab4ff80</t>
        </is>
      </c>
    </row>
    <row r="371" ht="54" customHeight="1">
      <c r="A371" s="29" t="inlineStr">
        <is>
          <t>malaga:kaynak:389</t>
        </is>
      </c>
      <c r="B371" s="29" t="inlineStr">
        <is>
          <t>malaga</t>
        </is>
      </c>
      <c r="C371" s="29" t="inlineStr">
        <is>
          <t>Reservas - El Pimpi</t>
        </is>
      </c>
      <c r="D371" s="29" t="inlineStr">
        <is>
          <t>El Pimpi</t>
        </is>
      </c>
      <c r="E371" s="29" t="inlineStr">
        <is>
          <t>https://www.elpimpi.com/reservas/</t>
        </is>
      </c>
      <c r="F371" s="49" t="n">
        <v>46322</v>
      </c>
      <c r="G371" s="29" t="inlineStr">
        <is>
          <t>malaga:kesif</t>
        </is>
      </c>
      <c r="H371" s="29" t="inlineStr">
        <is>
          <t>Roma Tiyatrosu ve Alcazaba yakınında tarihî bodega-restoran; sitesinin rezervasyon sayfasında adres var. Ticari mekân (Commons fotoğrafı var).</t>
        </is>
      </c>
      <c r="I371" s="29" t="inlineStr">
        <is>
          <t>Evet</t>
        </is>
      </c>
      <c r="J371" s="29" t="inlineStr">
        <is>
          <t>Lisans kanıtları/955708c77f87466dc2579b2a1c9a45c565cdeb447c1bb1111f56af8b437d25fa.html</t>
        </is>
      </c>
      <c r="K371" s="29" t="inlineStr">
        <is>
          <t>955708c77f87466dc2579b2a1c9a45c565cdeb447c1bb1111f56af8b437d25fa</t>
        </is>
      </c>
    </row>
    <row r="372" ht="54" customHeight="1">
      <c r="A372" s="29" t="inlineStr">
        <is>
          <t>malaga:kaynak:390</t>
        </is>
      </c>
      <c r="B372" s="29" t="inlineStr">
        <is>
          <t>malaga</t>
        </is>
      </c>
      <c r="C372" s="29" t="inlineStr">
        <is>
          <t>Bienvenidos a la web de Mercados Municipales Ayuntamiento de Málaga</t>
        </is>
      </c>
      <c r="D372" s="29" t="inlineStr">
        <is>
          <t>Ayuntamiento de Málaga</t>
        </is>
      </c>
      <c r="E372" s="29" t="inlineStr">
        <is>
          <t>https://mercadosmunicipalesyviapublica.malaga.eu/</t>
        </is>
      </c>
      <c r="F372" s="49" t="n">
        <v>46322</v>
      </c>
      <c r="G372" s="29" t="inlineStr">
        <is>
          <t>malaga:kesif</t>
        </is>
      </c>
      <c r="H372" s="29" t="inlineStr">
        <is>
          <t>Belediyenin 15 çarşısının en büyüğü, neo-Mudéjar yapı, BIC (1979). Belediye çarşı servisinin sayfasında adres var; sayfa anasayfa, derin sayfa bulunamadı (Atarazanas sayfası yalnız servis adresini veriyor).</t>
        </is>
      </c>
      <c r="I372" s="29" t="inlineStr">
        <is>
          <t>Evet</t>
        </is>
      </c>
      <c r="J372" s="29" t="inlineStr">
        <is>
          <t>Lisans kanıtları/fe7da52460758907ae1c3207e492c40c4e766bb55c886cd4f30d2bc241fc3ae1.html</t>
        </is>
      </c>
      <c r="K372" s="29" t="inlineStr">
        <is>
          <t>fe7da52460758907ae1c3207e492c40c4e766bb55c886cd4f30d2bc241fc3ae1</t>
        </is>
      </c>
    </row>
    <row r="373" ht="54" customHeight="1">
      <c r="A373" s="29" t="inlineStr">
        <is>
          <t>malaga:kaynak:391</t>
        </is>
      </c>
      <c r="B373" s="29" t="inlineStr">
        <is>
          <t>malaga</t>
        </is>
      </c>
      <c r="C373" s="29" t="inlineStr">
        <is>
          <t>Contacta con nosotros – Museo del Vino de Málaga</t>
        </is>
      </c>
      <c r="D373" s="29" t="inlineStr">
        <is>
          <t>Museo del Vino Málaga</t>
        </is>
      </c>
      <c r="E373" s="29" t="inlineStr">
        <is>
          <t>https://museovinomalaga.com/contacta-con-nosotros/</t>
        </is>
      </c>
      <c r="F373" s="49" t="n">
        <v>46322</v>
      </c>
      <c r="G373" s="29" t="inlineStr">
        <is>
          <t>malaga:kesif</t>
        </is>
      </c>
      <c r="H373" s="29" t="inlineStr">
        <is>
          <t>Şarap müzesi, Centro; iletişim sayfasında adres var</t>
        </is>
      </c>
      <c r="I373" s="29" t="inlineStr">
        <is>
          <t>Evet</t>
        </is>
      </c>
      <c r="J373" s="29" t="inlineStr">
        <is>
          <t>Lisans kanıtları/681eff44b286e785a6ed82d5296fc99a9e04914e0f76654880f1973a56945d81.html</t>
        </is>
      </c>
      <c r="K373" s="29" t="inlineStr">
        <is>
          <t>681eff44b286e785a6ed82d5296fc99a9e04914e0f76654880f1973a56945d81</t>
        </is>
      </c>
    </row>
    <row r="374" ht="54" customHeight="1">
      <c r="A374" s="29" t="inlineStr">
        <is>
          <t>malaga:kaynak:392</t>
        </is>
      </c>
      <c r="B374" s="29" t="inlineStr">
        <is>
          <t>malaga</t>
        </is>
      </c>
      <c r="C374" s="29" t="inlineStr">
        <is>
          <t>Museo de Historia Militar</t>
        </is>
      </c>
      <c r="D374" s="29" t="inlineStr">
        <is>
          <t>Museo de Historia Militar de Málaga</t>
        </is>
      </c>
      <c r="E374" s="29" t="inlineStr">
        <is>
          <t>https://museohistoriamilitar.com/contacto</t>
        </is>
      </c>
      <c r="F374" s="49" t="n">
        <v>46322</v>
      </c>
      <c r="G374" s="29" t="inlineStr">
        <is>
          <t>malaga:kesif</t>
        </is>
      </c>
      <c r="H374" s="29" t="inlineStr">
        <is>
          <t>Askeri tarih müzesi, Centro; iletişim sayfasında adres var</t>
        </is>
      </c>
      <c r="I374" s="29" t="inlineStr">
        <is>
          <t>Evet</t>
        </is>
      </c>
      <c r="J374" s="29" t="inlineStr">
        <is>
          <t>Lisans kanıtları/7cd3503a71bc785a716e253b1ff3714128d8b9dc5c2afcda58e98036be20270f.html</t>
        </is>
      </c>
      <c r="K374" s="29" t="inlineStr">
        <is>
          <t>7cd3503a71bc785a716e253b1ff3714128d8b9dc5c2afcda58e98036be20270f</t>
        </is>
      </c>
    </row>
    <row r="375" ht="54" customHeight="1">
      <c r="A375" s="29" t="inlineStr">
        <is>
          <t>malaga:kaynak:393</t>
        </is>
      </c>
      <c r="B375" s="29" t="inlineStr">
        <is>
          <t>malaga</t>
        </is>
      </c>
      <c r="C375" s="29" t="inlineStr">
        <is>
          <t>Contacte con nosotros - Agrupación de Cofradías de Málaga</t>
        </is>
      </c>
      <c r="D375" s="29" t="inlineStr">
        <is>
          <t>Agrupación de Cofradías de Semana Santa de Málaga</t>
        </is>
      </c>
      <c r="E375" s="29" t="inlineStr">
        <is>
          <t>https://agrupaciondecofradias.com/contacto/</t>
        </is>
      </c>
      <c r="F375" s="49" t="n">
        <v>46322</v>
      </c>
      <c r="G375" s="29" t="inlineStr">
        <is>
          <t>malaga:kesif</t>
        </is>
      </c>
      <c r="H375" s="29" t="inlineStr">
        <is>
          <t>Semana Santa müzesinin bulunduğu Cofradías merkezi; iletişim sayfasında adres var</t>
        </is>
      </c>
      <c r="I375" s="29" t="inlineStr">
        <is>
          <t>Evet</t>
        </is>
      </c>
      <c r="J375" s="29" t="inlineStr">
        <is>
          <t>Lisans kanıtları/18a5eaea566db181b6870698c539cac43acc402adec1f8362835cc75a6c25c29.html</t>
        </is>
      </c>
      <c r="K375" s="29" t="inlineStr">
        <is>
          <t>18a5eaea566db181b6870698c539cac43acc402adec1f8362835cc75a6c25c29</t>
        </is>
      </c>
    </row>
    <row r="376" ht="54" customHeight="1">
      <c r="A376" s="29" t="inlineStr">
        <is>
          <t>malaga:kaynak:394</t>
        </is>
      </c>
      <c r="B376" s="29" t="inlineStr">
        <is>
          <t>malaga</t>
        </is>
      </c>
      <c r="C376" s="29" t="inlineStr">
        <is>
          <t>La Farola - Puerto de Málaga</t>
        </is>
      </c>
      <c r="D376" s="29" t="inlineStr">
        <is>
          <t>Autoridad Portuaria de Málaga</t>
        </is>
      </c>
      <c r="E376" s="29" t="inlineStr">
        <is>
          <t>https://www.puertomalaga.com/es/la-farola/</t>
        </is>
      </c>
      <c r="F376" s="49" t="n">
        <v>46322</v>
      </c>
      <c r="G376" s="29" t="inlineStr">
        <is>
          <t>malaga:kesif</t>
        </is>
      </c>
      <c r="H376" s="29" t="inlineStr">
        <is>
          <t>Málaga limanının 1817 tarihli feneri; liman otoritesinin kendi sayfasında tarihçe ve teknik veriler var.</t>
        </is>
      </c>
      <c r="I376" s="29" t="inlineStr">
        <is>
          <t>Evet</t>
        </is>
      </c>
      <c r="J376" s="29" t="inlineStr">
        <is>
          <t>Lisans kanıtları/4614692e3b55c5a69d277535bd8d7c9cb037a4a79f9bfb077338b0240e9e15f8.html</t>
        </is>
      </c>
      <c r="K376" s="29" t="inlineStr">
        <is>
          <t>4614692e3b55c5a69d277535bd8d7c9cb037a4a79f9bfb077338b0240e9e15f8</t>
        </is>
      </c>
    </row>
    <row r="377" ht="54" customHeight="1">
      <c r="A377" s="29" t="inlineStr">
        <is>
          <t>malaga:kaynak:395</t>
        </is>
      </c>
      <c r="B377" s="29" t="inlineStr">
        <is>
          <t>malaga</t>
        </is>
      </c>
      <c r="C377" s="29" t="inlineStr">
        <is>
          <t>Diócesis de Málaga : Portal de la Iglesia Católica en Málaga</t>
        </is>
      </c>
      <c r="D377" s="29" t="inlineStr">
        <is>
          <t>Obispado de Málaga</t>
        </is>
      </c>
      <c r="E377" s="29" t="inlineStr">
        <is>
          <t>https://diocesismalaga.es/parroquias/26/stella-maris-malaga</t>
        </is>
      </c>
      <c r="F377" s="49" t="n">
        <v>46322</v>
      </c>
      <c r="G377" s="29" t="inlineStr">
        <is>
          <t>malaga:kesif</t>
        </is>
      </c>
      <c r="H377" s="29" t="inlineStr">
        <is>
          <t>Alameda Principal'deki Karmelit kilisesi; piskoposluk sayfasında adres ve kilisenin açık olduğu saatler var.</t>
        </is>
      </c>
      <c r="I377" s="29" t="inlineStr">
        <is>
          <t>Evet</t>
        </is>
      </c>
      <c r="J377" s="29" t="inlineStr">
        <is>
          <t>Lisans kanıtları/15083b354810849370bbb72935fe733978d65b5cd26a39037a94124f01392462.html</t>
        </is>
      </c>
      <c r="K377" s="29" t="inlineStr">
        <is>
          <t>15083b354810849370bbb72935fe733978d65b5cd26a39037a94124f01392462</t>
        </is>
      </c>
    </row>
    <row r="378" ht="54" customHeight="1">
      <c r="A378" s="29" t="inlineStr">
        <is>
          <t>malaga:kaynak:396</t>
        </is>
      </c>
      <c r="B378" s="29" t="inlineStr">
        <is>
          <t>malaga</t>
        </is>
      </c>
      <c r="C378" s="29" t="inlineStr">
        <is>
          <t>Diócesis de Málaga : Portal de la Iglesia Católica en Málaga</t>
        </is>
      </c>
      <c r="D378" s="29" t="inlineStr">
        <is>
          <t>Obispado de Málaga</t>
        </is>
      </c>
      <c r="E378" s="29" t="inlineStr">
        <is>
          <t>https://diocesismalaga.es/parroquias/5/san-lazaro-malaga</t>
        </is>
      </c>
      <c r="F378" s="49" t="n">
        <v>46322</v>
      </c>
      <c r="G378" s="29" t="inlineStr">
        <is>
          <t>malaga:kesif</t>
        </is>
      </c>
      <c r="H378" s="29" t="inlineStr">
        <is>
          <t>Victoria meydanındaki San Lázaro kilisesi; piskoposluk sayfasında adres ve ayin saatleri var.</t>
        </is>
      </c>
      <c r="I378" s="29" t="inlineStr">
        <is>
          <t>Evet</t>
        </is>
      </c>
      <c r="J378" s="29" t="inlineStr">
        <is>
          <t>Lisans kanıtları/ce86f583df3abefc0996fa4a45c057f551e57fdce11e64b962650c011c01f628.html</t>
        </is>
      </c>
      <c r="K378" s="29" t="inlineStr">
        <is>
          <t>ce86f583df3abefc0996fa4a45c057f551e57fdce11e64b962650c011c01f628</t>
        </is>
      </c>
    </row>
    <row r="379" ht="54" customHeight="1">
      <c r="A379" s="29" t="inlineStr">
        <is>
          <t>malaga:kaynak:397</t>
        </is>
      </c>
      <c r="B379" s="29" t="inlineStr">
        <is>
          <t>malaga</t>
        </is>
      </c>
      <c r="C379" s="29" t="inlineStr">
        <is>
          <t>Diócesis de Málaga : Portal de la Iglesia Católica en Málaga</t>
        </is>
      </c>
      <c r="D379" s="29" t="inlineStr">
        <is>
          <t>Obispado de Málaga</t>
        </is>
      </c>
      <c r="E379" s="29" t="inlineStr">
        <is>
          <t>https://diocesismalaga.es/parroquias/38/santo-domingo-de-guzman-malaga</t>
        </is>
      </c>
      <c r="F379" s="49" t="n">
        <v>46322</v>
      </c>
      <c r="G379" s="29" t="inlineStr">
        <is>
          <t>malaga:kesif</t>
        </is>
      </c>
      <c r="H379" s="29" t="inlineStr">
        <is>
          <t>Perchel'deki BIC ilan edilmiş Santo Domingo kilisesi; piskoposluk sayfasında adres ve ayin saatleri var.</t>
        </is>
      </c>
      <c r="I379" s="29" t="inlineStr">
        <is>
          <t>Evet</t>
        </is>
      </c>
      <c r="J379" s="29" t="inlineStr">
        <is>
          <t>Lisans kanıtları/786b1b590a905a540e64875d60e08d3a73aab444302d58b8ab1a807e38e0df8a.html</t>
        </is>
      </c>
      <c r="K379" s="29" t="inlineStr">
        <is>
          <t>786b1b590a905a540e64875d60e08d3a73aab444302d58b8ab1a807e38e0df8a</t>
        </is>
      </c>
    </row>
    <row r="380" ht="54" customHeight="1">
      <c r="A380" s="29" t="inlineStr">
        <is>
          <t>malaga:kaynak:398</t>
        </is>
      </c>
      <c r="B380" s="29" t="inlineStr">
        <is>
          <t>malaga</t>
        </is>
      </c>
      <c r="C380" s="29" t="inlineStr">
        <is>
          <t>MUCAC Málaga</t>
        </is>
      </c>
      <c r="D380" s="29" t="inlineStr">
        <is>
          <t>MUCAC Málaga (Ayuntamiento de Málaga)</t>
        </is>
      </c>
      <c r="E380" s="29" t="inlineStr">
        <is>
          <t>https://mucacmalaga.eu/</t>
        </is>
      </c>
      <c r="F380" s="49" t="n">
        <v>46322</v>
      </c>
      <c r="G380" s="29" t="inlineStr">
        <is>
          <t>malaga:kesif</t>
        </is>
      </c>
      <c r="H380" s="29" t="inlineStr">
        <is>
          <t>Belediyenin çağdaş sanat müzesi (eski CAC Málaga yerine); La Coracha sedesi, saatler ve adres sayfada.</t>
        </is>
      </c>
      <c r="I380" s="29" t="inlineStr">
        <is>
          <t>Evet</t>
        </is>
      </c>
      <c r="J380" s="29" t="inlineStr">
        <is>
          <t>Lisans kanıtları/da8142c6cb0615c64d0ffbfa395651cc865e4031e4e39ffce76f46e1d273283e.html</t>
        </is>
      </c>
      <c r="K380" s="29" t="inlineStr">
        <is>
          <t>da8142c6cb0615c64d0ffbfa395651cc865e4031e4e39ffce76f46e1d273283e</t>
        </is>
      </c>
    </row>
    <row r="381" ht="54" customHeight="1">
      <c r="A381" s="29" t="inlineStr">
        <is>
          <t>malaga:kaynak:399</t>
        </is>
      </c>
      <c r="B381" s="29" t="inlineStr">
        <is>
          <t>malaga</t>
        </is>
      </c>
      <c r="C381" s="29" t="inlineStr">
        <is>
          <t>Servicio de Cultura - Actividades del Servicio de Cultura - Universidad de Málaga</t>
        </is>
      </c>
      <c r="D381" s="29" t="inlineStr">
        <is>
          <t>Universidad de Málaga</t>
        </is>
      </c>
      <c r="E381" s="29" t="inlineStr">
        <is>
          <t>https://www.uma.es/cultura/</t>
        </is>
      </c>
      <c r="F381" s="49" t="n">
        <v>46322</v>
      </c>
      <c r="G381" s="29" t="inlineStr">
        <is>
          <t>malaga:kesif</t>
        </is>
      </c>
      <c r="H381" s="29" t="inlineStr">
        <is>
          <t>UMA Rectorado binasındaki sergi salonu; Servicio de Cultura sayfası adresi veriyor.</t>
        </is>
      </c>
      <c r="I381" s="29" t="inlineStr">
        <is>
          <t>Evet</t>
        </is>
      </c>
      <c r="J381" s="29" t="inlineStr">
        <is>
          <t>Lisans kanıtları/6f90ad6c26b81243af3852aa28e34493040a91b65ee1d02eca45cec0e99612cf.html</t>
        </is>
      </c>
      <c r="K381" s="29" t="inlineStr">
        <is>
          <t>6f90ad6c26b81243af3852aa28e34493040a91b65ee1d02eca45cec0e99612cf</t>
        </is>
      </c>
    </row>
    <row r="382" ht="54" customHeight="1">
      <c r="A382" s="29" t="inlineStr">
        <is>
          <t>malaga:kaynak:400</t>
        </is>
      </c>
      <c r="B382" s="29" t="inlineStr">
        <is>
          <t>malaga</t>
        </is>
      </c>
      <c r="C382" s="29" t="inlineStr">
        <is>
          <t>Localización y Contacto</t>
        </is>
      </c>
      <c r="D382" s="29" t="inlineStr">
        <is>
          <t>Fundación Pablo Ruiz Picasso (Museo Casa Natal)</t>
        </is>
      </c>
      <c r="E382" s="29" t="inlineStr">
        <is>
          <t>http://museocasanatalpicasso.malaga.eu/Visita/localizacion-y-contacto/</t>
        </is>
      </c>
      <c r="F382" s="49" t="n">
        <v>46322</v>
      </c>
      <c r="G382" s="29" t="inlineStr">
        <is>
          <t>malaga:kesif</t>
        </is>
      </c>
      <c r="H382" s="29" t="inlineStr">
        <is>
          <t>Picasso'nun doğduğu ev, Plaza de la Merced'te; konum ve iletişim sayfasında adres var</t>
        </is>
      </c>
      <c r="I382" s="29" t="inlineStr">
        <is>
          <t>Evet</t>
        </is>
      </c>
      <c r="J382" s="29" t="inlineStr">
        <is>
          <t>Lisans kanıtları/cdc43839b34cfac9175d34a9f26a75481337e5f508dd984911655670611fd061.html</t>
        </is>
      </c>
      <c r="K382" s="29" t="inlineStr">
        <is>
          <t>cdc43839b34cfac9175d34a9f26a75481337e5f508dd984911655670611fd061</t>
        </is>
      </c>
    </row>
    <row r="383" ht="54" customHeight="1">
      <c r="A383" s="29" t="inlineStr">
        <is>
          <t>malaga:kaynak:401</t>
        </is>
      </c>
      <c r="B383" s="29" t="inlineStr">
        <is>
          <t>malaga</t>
        </is>
      </c>
      <c r="C383" s="29" t="inlineStr">
        <is>
          <t>Museo – Cofradía Cautivo Málaga</t>
        </is>
      </c>
      <c r="D383" s="29" t="inlineStr">
        <is>
          <t>Hermandad del Cautivo y la Trinidad de Málaga</t>
        </is>
      </c>
      <c r="E383" s="29" t="inlineStr">
        <is>
          <t>https://cautivotrinidad.com/museo/</t>
        </is>
      </c>
      <c r="F383" s="49" t="n">
        <v>46322</v>
      </c>
      <c r="G383" s="29" t="inlineStr">
        <is>
          <t>malaga:kesif</t>
        </is>
      </c>
      <c r="H383" s="29" t="inlineStr">
        <is>
          <t>Cautivo cemiyetinin müzesi; sayfada adres var, ziyaret form ile isteniyor</t>
        </is>
      </c>
      <c r="I383" s="29" t="inlineStr">
        <is>
          <t>Evet</t>
        </is>
      </c>
      <c r="J383" s="29" t="inlineStr">
        <is>
          <t>Lisans kanıtları/4bfd0aa4c52ee8dec604613c5af5f664b9b7ca59bd3e0e0a29e9bb4d42774fd7.html</t>
        </is>
      </c>
      <c r="K383" s="29" t="inlineStr">
        <is>
          <t>4bfd0aa4c52ee8dec604613c5af5f664b9b7ca59bd3e0e0a29e9bb4d42774fd7</t>
        </is>
      </c>
    </row>
    <row r="384" ht="54" customHeight="1">
      <c r="A384" s="29" t="inlineStr">
        <is>
          <t>malaga:kaynak:402</t>
        </is>
      </c>
      <c r="B384" s="29" t="inlineStr">
        <is>
          <t>malaga</t>
        </is>
      </c>
      <c r="C384" s="29" t="inlineStr">
        <is>
          <t>Detalle de la Instalación</t>
        </is>
      </c>
      <c r="D384" s="29" t="inlineStr">
        <is>
          <t>Ayuntamiento de Málaga</t>
        </is>
      </c>
      <c r="E384" s="29" t="inlineStr">
        <is>
          <t>https://www.malaga.eu/la-ciudad/instalaciones-y-espacios/detalle-de-la-instalacion/?id=1889</t>
        </is>
      </c>
      <c r="F384" s="49" t="n">
        <v>46322</v>
      </c>
      <c r="G384" s="29" t="inlineStr">
        <is>
          <t>malaga:kesif</t>
        </is>
      </c>
      <c r="H384" s="29" t="inlineStr">
        <is>
          <t>Santo Sepulcro cemiyetinin müzesi, Alcazabilla 5; belediye tesis sayfasında adres var</t>
        </is>
      </c>
      <c r="I384" s="29" t="inlineStr">
        <is>
          <t>Evet</t>
        </is>
      </c>
      <c r="J384" s="29" t="inlineStr">
        <is>
          <t>Lisans kanıtları/9dc175cb5f0f17ffed081b3619f428637ab08e82dd75953b5b6c7a0462578ffb.html</t>
        </is>
      </c>
      <c r="K384" s="29" t="inlineStr">
        <is>
          <t>9dc175cb5f0f17ffed081b3619f428637ab08e82dd75953b5b6c7a0462578ffb</t>
        </is>
      </c>
    </row>
    <row r="385" ht="54" customHeight="1">
      <c r="A385" s="29" t="inlineStr">
        <is>
          <t>malaga:kaynak:403</t>
        </is>
      </c>
      <c r="B385" s="29" t="inlineStr">
        <is>
          <t>malaga</t>
        </is>
      </c>
      <c r="C385" s="29" t="inlineStr">
        <is>
          <t>Visits - Cementerio Inglés de Málaga</t>
        </is>
      </c>
      <c r="D385" s="29" t="inlineStr">
        <is>
          <t>Fundación Cementerio Inglés de Málaga</t>
        </is>
      </c>
      <c r="E385" s="29" t="inlineStr">
        <is>
          <t>https://cementerioinglesmalaga.org/en/visitas/</t>
        </is>
      </c>
      <c r="F385" s="49" t="n">
        <v>46322</v>
      </c>
      <c r="G385" s="29" t="inlineStr">
        <is>
          <t>malaga:kesif</t>
        </is>
      </c>
      <c r="H385" s="29" t="inlineStr">
        <is>
          <t>1831 tarihli Protestan mezarlığı; sayfada adres, giriş ücreti ve salı-pazar 09:00-14:00 ziyaret saatleri var.</t>
        </is>
      </c>
      <c r="I385" s="29" t="inlineStr">
        <is>
          <t>Evet</t>
        </is>
      </c>
      <c r="J385" s="29" t="inlineStr">
        <is>
          <t>Lisans kanıtları/7543ca6e6a3c5ea4487a8185a857ce46d0abc86608a8fe676309665dfd2fa934.html</t>
        </is>
      </c>
      <c r="K385" s="29" t="inlineStr">
        <is>
          <t>7543ca6e6a3c5ea4487a8185a857ce46d0abc86608a8fe676309665dfd2fa934</t>
        </is>
      </c>
    </row>
    <row r="386" ht="54" customHeight="1">
      <c r="A386" s="29" t="inlineStr">
        <is>
          <t>malaga:kaynak:404</t>
        </is>
      </c>
      <c r="B386" s="29" t="inlineStr">
        <is>
          <t>malaga</t>
        </is>
      </c>
      <c r="C386" s="29" t="inlineStr">
        <is>
          <t>Detalle de la Instalación</t>
        </is>
      </c>
      <c r="D386" s="29" t="inlineStr">
        <is>
          <t>Ayuntamiento de Málaga</t>
        </is>
      </c>
      <c r="E386" s="29" t="inlineStr">
        <is>
          <t>https://www.malaga.eu/la-ciudad/instalaciones-y-espacios/detalle-de-la-instalacion/?id=1932</t>
        </is>
      </c>
      <c r="F386" s="49" t="n">
        <v>46322</v>
      </c>
      <c r="G386" s="29" t="inlineStr">
        <is>
          <t>malaga:kesif</t>
        </is>
      </c>
      <c r="H386" s="29" t="inlineStr">
        <is>
          <t>Estudiantes cemiyetinin müzesi (tahtırevan salonu), Alcazabilla 3; belediye tesis sayfasında adres var</t>
        </is>
      </c>
      <c r="I386" s="29" t="inlineStr">
        <is>
          <t>Evet</t>
        </is>
      </c>
      <c r="J386" s="29" t="inlineStr">
        <is>
          <t>Lisans kanıtları/48bfa2365876f49756eab619e637d746aef1bc2c05afef174173fe17ff2a9407.html</t>
        </is>
      </c>
      <c r="K386" s="29" t="inlineStr">
        <is>
          <t>48bfa2365876f49756eab619e637d746aef1bc2c05afef174173fe17ff2a9407</t>
        </is>
      </c>
    </row>
    <row r="387" ht="54" customHeight="1">
      <c r="A387" s="29" t="inlineStr">
        <is>
          <t>malaga:kaynak:405</t>
        </is>
      </c>
      <c r="B387" s="29" t="inlineStr">
        <is>
          <t>malaga</t>
        </is>
      </c>
      <c r="C387" s="29" t="inlineStr">
        <is>
          <t>Diócesis de Málaga : Portal de la Iglesia Católica en Málaga</t>
        </is>
      </c>
      <c r="D387" s="29" t="inlineStr">
        <is>
          <t>Obispado de Málaga</t>
        </is>
      </c>
      <c r="E387" s="29" t="inlineStr">
        <is>
          <t>https://diocesismalaga.es/parroquias/21/nuestra-senora-del-carmen-malaga</t>
        </is>
      </c>
      <c r="F387" s="49" t="n">
        <v>46322</v>
      </c>
      <c r="G387" s="29" t="inlineStr">
        <is>
          <t>malaga:kesif</t>
        </is>
      </c>
      <c r="H387" s="29" t="inlineStr">
        <is>
          <t>Perchel'in 17. yüzyıl Karmelit kilisesi (BIC); piskoposluk sayfasında adres ve ayin saatleri var.</t>
        </is>
      </c>
      <c r="I387" s="29" t="inlineStr">
        <is>
          <t>Evet</t>
        </is>
      </c>
      <c r="J387" s="29" t="inlineStr">
        <is>
          <t>Lisans kanıtları/8b8b89c636c5db8e43d425127f0416165180132e9a05e60db3e8c7fbdd4e054b.html</t>
        </is>
      </c>
      <c r="K387" s="29" t="inlineStr">
        <is>
          <t>8b8b89c636c5db8e43d425127f0416165180132e9a05e60db3e8c7fbdd4e054b</t>
        </is>
      </c>
    </row>
    <row r="388" ht="54" customHeight="1">
      <c r="A388" s="29" t="inlineStr">
        <is>
          <t>malaga:kaynak:406</t>
        </is>
      </c>
      <c r="B388" s="29" t="inlineStr">
        <is>
          <t>malaga</t>
        </is>
      </c>
      <c r="C388" s="29" t="inlineStr">
        <is>
          <t>Diócesis de Málaga : Portal de la Iglesia Católica en Málaga</t>
        </is>
      </c>
      <c r="D388" s="29" t="inlineStr">
        <is>
          <t>Obispado de Málaga</t>
        </is>
      </c>
      <c r="E388" s="29" t="inlineStr">
        <is>
          <t>https://diocesismalaga.es/parroquias/32/nuestra-senora-de-fatima-malaga</t>
        </is>
      </c>
      <c r="F388" s="49" t="n">
        <v>46322</v>
      </c>
      <c r="G388" s="29" t="inlineStr">
        <is>
          <t>malaga:kesif</t>
        </is>
      </c>
      <c r="H388" s="29" t="inlineStr">
        <is>
          <t>Fátima kilisesi; piskoposluk sayfasında adres ve ayin saatleri var.</t>
        </is>
      </c>
      <c r="I388" s="29" t="inlineStr">
        <is>
          <t>Evet</t>
        </is>
      </c>
      <c r="J388" s="29" t="inlineStr">
        <is>
          <t>Lisans kanıtları/64bfcb415b2be7e928677dffc686a7d20f10a2238142d18e46e0b3a5c06de6c1.html</t>
        </is>
      </c>
      <c r="K388" s="29" t="inlineStr">
        <is>
          <t>64bfcb415b2be7e928677dffc686a7d20f10a2238142d18e46e0b3a5c06de6c1</t>
        </is>
      </c>
    </row>
    <row r="389" ht="54" customHeight="1">
      <c r="A389" s="29" t="inlineStr">
        <is>
          <t>malaga:kaynak:407</t>
        </is>
      </c>
      <c r="B389" s="29" t="inlineStr">
        <is>
          <t>malaga</t>
        </is>
      </c>
      <c r="C389" s="29" t="inlineStr">
        <is>
          <t>▷ Contacto | Plaza de Toros la Malagueta</t>
        </is>
      </c>
      <c r="D389" s="29" t="inlineStr">
        <is>
          <t>Plaza de Toros La Malagueta</t>
        </is>
      </c>
      <c r="E389" s="29" t="inlineStr">
        <is>
          <t>https://plazadetoroslamalagueta.com/contacto/</t>
        </is>
      </c>
      <c r="F389" s="49" t="n">
        <v>46322</v>
      </c>
      <c r="G389" s="29" t="inlineStr">
        <is>
          <t>malaga:kesif</t>
        </is>
      </c>
      <c r="H389" s="29" t="inlineStr">
        <is>
          <t>Plaza de toros del siglo XIX junto al puerto; sayfada adres ve iletişim var.</t>
        </is>
      </c>
      <c r="I389" s="29" t="inlineStr">
        <is>
          <t>Evet</t>
        </is>
      </c>
      <c r="J389" s="29" t="inlineStr">
        <is>
          <t>Lisans kanıtları/ea174b5497fded241008694b625df472a725f92c3bae497ac0ad6b6bc4155912.html</t>
        </is>
      </c>
      <c r="K389" s="29" t="inlineStr">
        <is>
          <t>ea174b5497fded241008694b625df472a725f92c3bae497ac0ad6b6bc4155912</t>
        </is>
      </c>
    </row>
    <row r="390" ht="54" customHeight="1">
      <c r="A390" s="29" t="inlineStr">
        <is>
          <t>malaga:kaynak:408</t>
        </is>
      </c>
      <c r="B390" s="29" t="inlineStr">
        <is>
          <t>malaga</t>
        </is>
      </c>
      <c r="C390" s="29" t="inlineStr">
        <is>
          <t>Estadio de Atletismo Ciudad de Málaga</t>
        </is>
      </c>
      <c r="D390" s="29" t="inlineStr">
        <is>
          <t>Ayuntamiento de Málaga - Deporte</t>
        </is>
      </c>
      <c r="E390" s="29" t="inlineStr">
        <is>
          <t>https://deporte.malaga.eu/espacios-deportivos/instalaciones/estadio-de-atletismo-ciudad-de-malaga/</t>
        </is>
      </c>
      <c r="F390" s="49" t="n">
        <v>46322</v>
      </c>
      <c r="G390" s="29" t="inlineStr">
        <is>
          <t>malaga:kesif</t>
        </is>
      </c>
      <c r="H390" s="29" t="inlineStr">
        <is>
          <t>Belediye atletizm stadyumu; Carpena yanında, metro 2. hat.</t>
        </is>
      </c>
      <c r="I390" s="29" t="inlineStr">
        <is>
          <t>Evet</t>
        </is>
      </c>
      <c r="J390" s="29" t="inlineStr">
        <is>
          <t>Lisans kanıtları/f53d757ae36dd6c12d2d2eef70ab1c2c0d773a07e4e6272312839b33f2ce7890.html</t>
        </is>
      </c>
      <c r="K390" s="29" t="inlineStr">
        <is>
          <t>f53d757ae36dd6c12d2d2eef70ab1c2c0d773a07e4e6272312839b33f2ce7890</t>
        </is>
      </c>
    </row>
    <row r="391" ht="54" customHeight="1">
      <c r="A391" s="29" t="inlineStr">
        <is>
          <t>malaga:kaynak:409</t>
        </is>
      </c>
      <c r="B391" s="29" t="inlineStr">
        <is>
          <t>malaga</t>
        </is>
      </c>
      <c r="C391" s="29" t="inlineStr">
        <is>
          <t>Palacio de Deportes «José Mª Martín Carpena» | Málaga Deporte y Eventos</t>
        </is>
      </c>
      <c r="D391" s="29" t="inlineStr">
        <is>
          <t>Málaga Deporte y Eventos</t>
        </is>
      </c>
      <c r="E391" s="29" t="inlineStr">
        <is>
          <t>https://www.malagadeporteyeventos.com/instalaciones/palacio-de-deportes-jose-ma-martin-carpena/</t>
        </is>
      </c>
      <c r="F391" s="49" t="n">
        <v>46322</v>
      </c>
      <c r="G391" s="29" t="inlineStr">
        <is>
          <t>malaga:kesif</t>
        </is>
      </c>
      <c r="H391" s="29" t="inlineStr">
        <is>
          <t>Basketbol ve konser salonu; işletmecinin sayfasında adres.</t>
        </is>
      </c>
      <c r="I391" s="29" t="inlineStr">
        <is>
          <t>Evet</t>
        </is>
      </c>
      <c r="J391" s="29" t="inlineStr">
        <is>
          <t>Lisans kanıtları/435219b690e67514f434a49388e20db40272bea53e4c3dac21b92f028648d000.html</t>
        </is>
      </c>
      <c r="K391" s="29" t="inlineStr">
        <is>
          <t>435219b690e67514f434a49388e20db40272bea53e4c3dac21b92f028648d000</t>
        </is>
      </c>
    </row>
    <row r="392" ht="54" customHeight="1">
      <c r="A392" s="29" t="inlineStr">
        <is>
          <t>malaga:kaynak:410</t>
        </is>
      </c>
      <c r="B392" s="29" t="inlineStr">
        <is>
          <t>malaga</t>
        </is>
      </c>
      <c r="C392" s="29" t="inlineStr">
        <is>
          <t>Auditorio Municipal «Cortijo de Torres» | Málaga Deporte y Eventos</t>
        </is>
      </c>
      <c r="D392" s="29" t="inlineStr">
        <is>
          <t>Málaga Deporte y Eventos</t>
        </is>
      </c>
      <c r="E392" s="29" t="inlineStr">
        <is>
          <t>https://www.malagadeporteyeventos.com/instalaciones/auditorio-municipal-cortijo-de-torres/</t>
        </is>
      </c>
      <c r="F392" s="49" t="n">
        <v>46322</v>
      </c>
      <c r="G392" s="29" t="inlineStr">
        <is>
          <t>malaga:kesif</t>
        </is>
      </c>
      <c r="H392" s="29" t="inlineStr">
        <is>
          <t>Açık hava konser alanı, Vetusta Morla gibi konserler; adres sayfada.</t>
        </is>
      </c>
      <c r="I392" s="29" t="inlineStr">
        <is>
          <t>Evet</t>
        </is>
      </c>
      <c r="J392" s="29" t="inlineStr">
        <is>
          <t>Lisans kanıtları/61099ae8f2e51bf500800477e68654f3d3c2b23761fbe767a0f8c773023d1136.html</t>
        </is>
      </c>
      <c r="K392" s="29" t="inlineStr">
        <is>
          <t>61099ae8f2e51bf500800477e68654f3d3c2b23761fbe767a0f8c773023d1136</t>
        </is>
      </c>
    </row>
    <row r="393" ht="54" customHeight="1">
      <c r="A393" s="29" t="inlineStr">
        <is>
          <t>malaga:kaynak:411</t>
        </is>
      </c>
      <c r="B393" s="29" t="inlineStr">
        <is>
          <t>malaga</t>
        </is>
      </c>
      <c r="C393" s="29" t="inlineStr">
        <is>
          <t>Detalle de la noticia</t>
        </is>
      </c>
      <c r="D393" s="29" t="inlineStr">
        <is>
          <t>Ayuntamiento de Málaga</t>
        </is>
      </c>
      <c r="E393" s="29" t="inlineStr">
        <is>
          <t>https://medioambiente.malaga.eu/noticias/detalle-de-la-noticia/?id=178030</t>
        </is>
      </c>
      <c r="F393" s="49" t="n">
        <v>46322</v>
      </c>
      <c r="G393" s="29" t="inlineStr">
        <is>
          <t>malaga:fatura</t>
        </is>
      </c>
      <c r="H393" s="29" t="inlineStr">
        <is>
          <t>2026 Fondo Social çağrısının bütçesi ve açılış tarihi; 2025 bütçe notunun yerine.</t>
        </is>
      </c>
      <c r="I393" s="29" t="inlineStr">
        <is>
          <t>Evet</t>
        </is>
      </c>
      <c r="J393" s="29" t="inlineStr">
        <is>
          <t>Lisans kanıtları/2026b2f776cd374b77840af39df2912f3d600f41634fad09e205ad6487edc140.html</t>
        </is>
      </c>
      <c r="K393" s="29" t="inlineStr">
        <is>
          <t>2026b2f776cd374b77840af39df2912f3d600f41634fad09e205ad6487edc140</t>
        </is>
      </c>
    </row>
    <row r="394" ht="54" customHeight="1">
      <c r="A394" s="29" t="inlineStr">
        <is>
          <t>malaga:kaynak:412</t>
        </is>
      </c>
      <c r="B394" s="29" t="inlineStr">
        <is>
          <t>malaga</t>
        </is>
      </c>
      <c r="C394" s="29" t="inlineStr">
        <is>
          <t>DGT - Dónde estamos</t>
        </is>
      </c>
      <c r="D394" s="29" t="inlineStr">
        <is>
          <t>Dirección General de Tráfico</t>
        </is>
      </c>
      <c r="E394" s="29" t="inlineStr">
        <is>
          <t>https://www.dgt.es/conoce-la-dgt/donde-estamos/</t>
        </is>
      </c>
      <c r="F394" s="49" t="n">
        <v>46322</v>
      </c>
      <c r="G394" s="29" t="inlineStr">
        <is>
          <t>malaga:resmi</t>
        </is>
      </c>
      <c r="H394" s="29" t="inlineStr">
        <is>
          <t>Málaga Jefatura Provincial adresi</t>
        </is>
      </c>
      <c r="I394" s="29" t="inlineStr">
        <is>
          <t>Evet</t>
        </is>
      </c>
      <c r="J394" s="29" t="inlineStr">
        <is>
          <t>Lisans kanıtları/2aa9e0772cb4db37c0258ea0156277b68a54d4e5a81b461cec9e3c06695aaf08.html</t>
        </is>
      </c>
      <c r="K394" s="29" t="inlineStr">
        <is>
          <t>2aa9e0772cb4db37c0258ea0156277b68a54d4e5a81b461cec9e3c06695aaf08</t>
        </is>
      </c>
    </row>
    <row r="395" ht="54" customHeight="1">
      <c r="A395" s="29" t="inlineStr">
        <is>
          <t>malaga:kaynak:414</t>
        </is>
      </c>
      <c r="B395" s="29" t="inlineStr">
        <is>
          <t>malaga</t>
        </is>
      </c>
      <c r="C395" s="29" t="inlineStr">
        <is>
          <t>Mercado de la Merced – Mercados de Málaga</t>
        </is>
      </c>
      <c r="D395" s="29" t="inlineStr">
        <is>
          <t>Málaga Comercio (Ayuntamiento de Málaga, Área de Comercio)</t>
        </is>
      </c>
      <c r="E395" s="29" t="inlineStr">
        <is>
          <t>https://mercados.malagacomercio.es/mercados/mercado-de-la-merced/</t>
        </is>
      </c>
      <c r="F395" s="49" t="n">
        <v>46322</v>
      </c>
      <c r="G395" s="29" t="inlineStr">
        <is>
          <t>malaga:kesif</t>
        </is>
      </c>
      <c r="H395" s="29" t="inlineStr">
        <is>
          <t>Picasso'nun doğduğu Plaza de la Merced yanındaki gurme yemek çarşısı; sayfada konum ve saat bilgisi var.</t>
        </is>
      </c>
      <c r="I395" s="29" t="inlineStr">
        <is>
          <t>Evet</t>
        </is>
      </c>
      <c r="J395" s="29" t="inlineStr">
        <is>
          <t>Lisans kanıtları/dbc83caa767b2f0da1388aefcc295b920c0fd8f4ac48b910eb23954000d395c2.html</t>
        </is>
      </c>
      <c r="K395" s="29" t="inlineStr">
        <is>
          <t>dbc83caa767b2f0da1388aefcc295b920c0fd8f4ac48b910eb23954000d395c2</t>
        </is>
      </c>
    </row>
    <row r="396" ht="54" customHeight="1">
      <c r="A396" s="29" t="inlineStr">
        <is>
          <t>malaga:kaynak:415</t>
        </is>
      </c>
      <c r="B396" s="29" t="inlineStr">
        <is>
          <t>malaga</t>
        </is>
      </c>
      <c r="C396" s="29" t="inlineStr">
        <is>
          <t>Mercado de Salamanca – Mercados de Málaga</t>
        </is>
      </c>
      <c r="D396" s="29" t="inlineStr">
        <is>
          <t>Málaga Comercio (Ayuntamiento de Málaga, Área de Comercio)</t>
        </is>
      </c>
      <c r="E396" s="29" t="inlineStr">
        <is>
          <t>https://mercados.malagacomercio.es/mercados/mercado-de-salamanca/</t>
        </is>
      </c>
      <c r="F396" s="49" t="n">
        <v>46322</v>
      </c>
      <c r="G396" s="29" t="inlineStr">
        <is>
          <t>malaga:kesif</t>
        </is>
      </c>
      <c r="H396" s="29" t="inlineStr">
        <is>
          <t>Neomudéjar yapılı semt çarşısı; sayfada adres ve ulaşım hatları var.</t>
        </is>
      </c>
      <c r="I396" s="29" t="inlineStr">
        <is>
          <t>Evet</t>
        </is>
      </c>
      <c r="J396" s="29" t="inlineStr">
        <is>
          <t>Lisans kanıtları/b2eac7cd32b6921a2492147bf9d3928c6217cf3b2c01c5c741840904a90de158.html</t>
        </is>
      </c>
      <c r="K396" s="29" t="inlineStr">
        <is>
          <t>b2eac7cd32b6921a2492147bf9d3928c6217cf3b2c01c5c741840904a90de158</t>
        </is>
      </c>
    </row>
    <row r="397" ht="54" customHeight="1">
      <c r="A397" s="29" t="inlineStr">
        <is>
          <t>malaga:kaynak:416</t>
        </is>
      </c>
      <c r="B397" s="29" t="inlineStr">
        <is>
          <t>malaga</t>
        </is>
      </c>
      <c r="C397" s="29" t="inlineStr">
        <is>
          <t>Mercado de El Carmen – Mercados de Málaga</t>
        </is>
      </c>
      <c r="D397" s="29" t="inlineStr">
        <is>
          <t>Málaga Comercio (Ayuntamiento de Málaga, Área de Comercio)</t>
        </is>
      </c>
      <c r="E397" s="29" t="inlineStr">
        <is>
          <t>https://mercados.malagacomercio.es/mercados/mercado-del-carmen/</t>
        </is>
      </c>
      <c r="F397" s="49" t="n">
        <v>46322</v>
      </c>
      <c r="G397" s="29" t="inlineStr">
        <is>
          <t>malaga:kesif</t>
        </is>
      </c>
      <c r="H397" s="29" t="inlineStr">
        <is>
          <t>Perchel'de 140 yılı aşkın semt çarşısı, köşesinde terasli bar; sayfada adres var.</t>
        </is>
      </c>
      <c r="I397" s="29" t="inlineStr">
        <is>
          <t>Evet</t>
        </is>
      </c>
      <c r="J397" s="29" t="inlineStr">
        <is>
          <t>Lisans kanıtları/c03c4e3e066fe74cc8d6e06c3e52fe7fc0a5e0326ebd20e27f04aba7cce0ebe5.html</t>
        </is>
      </c>
      <c r="K397" s="29" t="inlineStr">
        <is>
          <t>c03c4e3e066fe74cc8d6e06c3e52fe7fc0a5e0326ebd20e27f04aba7cce0ebe5</t>
        </is>
      </c>
    </row>
    <row r="398" ht="54" customHeight="1">
      <c r="A398" s="29" t="inlineStr">
        <is>
          <t>malaga:kaynak:417</t>
        </is>
      </c>
      <c r="B398" s="29" t="inlineStr">
        <is>
          <t>malaga</t>
        </is>
      </c>
      <c r="C398" s="29" t="inlineStr">
        <is>
          <t>Mercado de Huelin – Mercados de Málaga</t>
        </is>
      </c>
      <c r="D398" s="29" t="inlineStr">
        <is>
          <t>Málaga Comercio (Ayuntamiento de Málaga, Área de Comercio)</t>
        </is>
      </c>
      <c r="E398" s="29" t="inlineStr">
        <is>
          <t>https://mercados.malagacomercio.es/mercados/mercado-de-huelin/</t>
        </is>
      </c>
      <c r="F398" s="49" t="n">
        <v>46322</v>
      </c>
      <c r="G398" s="29" t="inlineStr">
        <is>
          <t>malaga:kesif</t>
        </is>
      </c>
      <c r="H398" s="29" t="inlineStr">
        <is>
          <t>Huelin'in büyük çarşısı; ucuz menüsüyle ünlü kafeteryası var; sayfada adres var.</t>
        </is>
      </c>
      <c r="I398" s="29" t="inlineStr">
        <is>
          <t>Evet</t>
        </is>
      </c>
      <c r="J398" s="29" t="inlineStr">
        <is>
          <t>Lisans kanıtları/4d06fe692c96fd996c838952e671b61dfd279d606d1d881b678118104aa89c2d.html</t>
        </is>
      </c>
      <c r="K398" s="29" t="inlineStr">
        <is>
          <t>4d06fe692c96fd996c838952e671b61dfd279d606d1d881b678118104aa89c2d</t>
        </is>
      </c>
    </row>
    <row r="399" ht="54" customHeight="1">
      <c r="A399" s="29" t="inlineStr">
        <is>
          <t>malaga:kaynak:418</t>
        </is>
      </c>
      <c r="B399" s="29" t="inlineStr">
        <is>
          <t>malaga</t>
        </is>
      </c>
      <c r="C399" s="29" t="inlineStr">
        <is>
          <t>Mercado de Bailén – Mercados de Málaga</t>
        </is>
      </c>
      <c r="D399" s="29" t="inlineStr">
        <is>
          <t>Málaga Comercio (Ayuntamiento de Málaga, Área de Comercio)</t>
        </is>
      </c>
      <c r="E399" s="29" t="inlineStr">
        <is>
          <t>https://mercados.malagacomercio.es/mercados/mercado-de-bailen/</t>
        </is>
      </c>
      <c r="F399" s="49" t="n">
        <v>46322</v>
      </c>
      <c r="G399" s="29" t="inlineStr">
        <is>
          <t>malaga:kesif</t>
        </is>
      </c>
      <c r="H399" s="29" t="inlineStr">
        <is>
          <t>1964'ten, şehrin üç büyük belediye çarşısından biri; sayfada adres var.</t>
        </is>
      </c>
      <c r="I399" s="29" t="inlineStr">
        <is>
          <t>Evet</t>
        </is>
      </c>
      <c r="J399" s="29" t="inlineStr">
        <is>
          <t>Lisans kanıtları/d3a06faad538468bc84a1ea914cee6b05fdff50b46da98e444fc7c6117209679.html</t>
        </is>
      </c>
      <c r="K399" s="29" t="inlineStr">
        <is>
          <t>d3a06faad538468bc84a1ea914cee6b05fdff50b46da98e444fc7c6117209679</t>
        </is>
      </c>
    </row>
    <row r="400" ht="54" customHeight="1">
      <c r="A400" s="29" t="inlineStr">
        <is>
          <t>malaga:kaynak:419</t>
        </is>
      </c>
      <c r="B400" s="29" t="inlineStr">
        <is>
          <t>malaga</t>
        </is>
      </c>
      <c r="C400" s="29" t="inlineStr">
        <is>
          <t>Contacto | Inacua Málaga</t>
        </is>
      </c>
      <c r="D400" s="29" t="inlineStr">
        <is>
          <t>Inacua</t>
        </is>
      </c>
      <c r="E400" s="29" t="inlineStr">
        <is>
          <t>https://www.inacua.com/malaga/contacto</t>
        </is>
      </c>
      <c r="F400" s="49" t="n">
        <v>46322</v>
      </c>
      <c r="G400" s="29" t="inlineStr">
        <is>
          <t>malaga:kesif</t>
        </is>
      </c>
      <c r="H400" s="29" t="inlineStr">
        <is>
          <t>Carpena yanındaki belediye su sporları merkezi; olimpik havuzlar, işletmecinin iletişim sayfasında adres.</t>
        </is>
      </c>
      <c r="I400" s="29" t="inlineStr">
        <is>
          <t>Evet</t>
        </is>
      </c>
      <c r="J400" s="29" t="inlineStr">
        <is>
          <t>Lisans kanıtları/49309dfe658d69e6544c121f2353b08e26d9228a587b765d30ca3aff2487490a.html</t>
        </is>
      </c>
      <c r="K400" s="29" t="inlineStr">
        <is>
          <t>49309dfe658d69e6544c121f2353b08e26d9228a587b765d30ca3aff2487490a</t>
        </is>
      </c>
    </row>
    <row r="401" ht="54" customHeight="1">
      <c r="A401" s="29" t="inlineStr">
        <is>
          <t>malaga:kaynak:420</t>
        </is>
      </c>
      <c r="B401" s="29" t="inlineStr">
        <is>
          <t>malaga</t>
        </is>
      </c>
      <c r="C401" s="29" t="inlineStr">
        <is>
          <t>Mercado Ciudad Jardín – Mercados de Málaga</t>
        </is>
      </c>
      <c r="D401" s="29" t="inlineStr">
        <is>
          <t>Málaga Comercio (Ayuntamiento de Málaga, Área de Comercio)</t>
        </is>
      </c>
      <c r="E401" s="29" t="inlineStr">
        <is>
          <t>https://mercados.malagacomercio.es/mercados/mercado-ciudad-jardin/</t>
        </is>
      </c>
      <c r="F401" s="49" t="n">
        <v>46322</v>
      </c>
      <c r="G401" s="29" t="inlineStr">
        <is>
          <t>malaga:kesif</t>
        </is>
      </c>
      <c r="H401" s="29" t="inlineStr">
        <is>
          <t>1953'te açılan, belediye korumalı otarşik mimari çarşı; sayfada adres ve telefon var.</t>
        </is>
      </c>
      <c r="I401" s="29" t="inlineStr">
        <is>
          <t>Evet</t>
        </is>
      </c>
      <c r="J401" s="29" t="inlineStr">
        <is>
          <t>Lisans kanıtları/1ccd9d64b31fc793a311c9826357734a3af5ce3e02000ed0b7a6132305a6680f.html</t>
        </is>
      </c>
      <c r="K401" s="29" t="inlineStr">
        <is>
          <t>1ccd9d64b31fc793a311c9826357734a3af5ce3e02000ed0b7a6132305a6680f</t>
        </is>
      </c>
    </row>
    <row r="402" ht="54" customHeight="1">
      <c r="A402" s="29" t="inlineStr">
        <is>
          <t>malaga:kaynak:421</t>
        </is>
      </c>
      <c r="B402" s="29" t="inlineStr">
        <is>
          <t>malaga</t>
        </is>
      </c>
      <c r="C402" s="29" t="inlineStr">
        <is>
          <t>Mercado de Carranque – Mercados de Málaga</t>
        </is>
      </c>
      <c r="D402" s="29" t="inlineStr">
        <is>
          <t>Málaga Comercio (Ayuntamiento de Málaga, Área de Comercio)</t>
        </is>
      </c>
      <c r="E402" s="29" t="inlineStr">
        <is>
          <t>https://mercados.malagacomercio.es/mercados/mercado-de-carranque/</t>
        </is>
      </c>
      <c r="F402" s="49" t="n">
        <v>46322</v>
      </c>
      <c r="G402" s="29" t="inlineStr">
        <is>
          <t>malaga:kesif</t>
        </is>
      </c>
      <c r="H402" s="29" t="inlineStr">
        <is>
          <t>1950'lerde mahalle ihtiyacından doğan çarşı; sayfada adres var.</t>
        </is>
      </c>
      <c r="I402" s="29" t="inlineStr">
        <is>
          <t>Evet</t>
        </is>
      </c>
      <c r="J402" s="29" t="inlineStr">
        <is>
          <t>Lisans kanıtları/a50183093f3b7c707491c533d92c7bd3b60f8147cec5dd8c95fa87592146834d.html</t>
        </is>
      </c>
      <c r="K402" s="29" t="inlineStr">
        <is>
          <t>a50183093f3b7c707491c533d92c7bd3b60f8147cec5dd8c95fa87592146834d</t>
        </is>
      </c>
    </row>
    <row r="403" ht="54" customHeight="1">
      <c r="A403" s="29" t="inlineStr">
        <is>
          <t>malaga:kaynak:422</t>
        </is>
      </c>
      <c r="B403" s="29" t="inlineStr">
        <is>
          <t>malaga</t>
        </is>
      </c>
      <c r="C403" s="29" t="inlineStr">
        <is>
          <t>El Museo | Museo Interactivo de la Música</t>
        </is>
      </c>
      <c r="D403" s="29" t="inlineStr">
        <is>
          <t>Museo Interactivo de la Música Málaga (MIMMA)</t>
        </is>
      </c>
      <c r="E403" s="29" t="inlineStr">
        <is>
          <t>https://www.musicaenaccion.com/mimma-museo/</t>
        </is>
      </c>
      <c r="F403" s="49" t="n">
        <v>46322</v>
      </c>
      <c r="G403" s="29" t="inlineStr">
        <is>
          <t>malaga:kesif</t>
        </is>
      </c>
      <c r="H403" s="29" t="inlineStr">
        <is>
          <t>Çocukların dokunup çaldığı etkileşimli müzik müzesi; sayfada adres ve saatler var.</t>
        </is>
      </c>
      <c r="I403" s="29" t="inlineStr">
        <is>
          <t>Evet</t>
        </is>
      </c>
      <c r="J403" s="29" t="inlineStr">
        <is>
          <t>Lisans kanıtları/0247b4184a765a1840f5f4fd1cd251e17db74316d3917c8fd3352e2d728fadbc.html</t>
        </is>
      </c>
      <c r="K403" s="29" t="inlineStr">
        <is>
          <t>0247b4184a765a1840f5f4fd1cd251e17db74316d3917c8fd3352e2d728fadbc</t>
        </is>
      </c>
    </row>
    <row r="404" ht="54" customHeight="1">
      <c r="A404" s="29" t="inlineStr">
        <is>
          <t>malaga:kaynak:423</t>
        </is>
      </c>
      <c r="B404" s="29" t="inlineStr">
        <is>
          <t>malaga</t>
        </is>
      </c>
      <c r="C404" s="29" t="inlineStr">
        <is>
          <t>Parque La Isla del Tesoro</t>
        </is>
      </c>
      <c r="D404" s="29" t="inlineStr">
        <is>
          <t>Ayuntamiento de Málaga, Área de Medio Ambiente</t>
        </is>
      </c>
      <c r="E404" s="29" t="inlineStr">
        <is>
          <t>https://medioambiente.malaga.eu/parques-y-jardines/parques-y-jardines-de-malaga/parques-infantiles-y-biosaludables/detalle-del-parque/Parque-La-Isla-del-Tesoro/</t>
        </is>
      </c>
      <c r="F404" s="49" t="n">
        <v>46322</v>
      </c>
      <c r="G404" s="29" t="inlineStr">
        <is>
          <t>malaga:kesif</t>
        </is>
      </c>
      <c r="H404" s="29" t="inlineStr">
        <is>
          <t>Hazine Adası temalı büyük çocuk oyun parkı (2013).</t>
        </is>
      </c>
      <c r="I404" s="29" t="inlineStr">
        <is>
          <t>Evet</t>
        </is>
      </c>
      <c r="J404" s="29" t="inlineStr">
        <is>
          <t>Lisans kanıtları/4c486d8f4ab29d90de436f577f3d1c2a6ae8589adc3e8418e0764645c1d1cd08.html</t>
        </is>
      </c>
      <c r="K404" s="29" t="inlineStr">
        <is>
          <t>4c486d8f4ab29d90de436f577f3d1c2a6ae8589adc3e8418e0764645c1d1cd08</t>
        </is>
      </c>
    </row>
    <row r="405" ht="54" customHeight="1">
      <c r="A405" s="29" t="inlineStr">
        <is>
          <t>malaga:kaynak:425</t>
        </is>
      </c>
      <c r="B405" s="29" t="inlineStr">
        <is>
          <t>malaga</t>
        </is>
      </c>
      <c r="C405" s="29" t="inlineStr">
        <is>
          <t>Parque de Manuel Navarrete</t>
        </is>
      </c>
      <c r="D405" s="29" t="inlineStr">
        <is>
          <t>Ayuntamiento de Málaga, Área de Medio Ambiente</t>
        </is>
      </c>
      <c r="E405" s="29" t="inlineStr">
        <is>
          <t>https://medioambiente.malaga.eu/parques-y-jardines/parques-y-jardines-de-malaga/parques-infantiles-y-biosaludables/detalle-del-parque/Parque-de-Manuel-Navarrete/</t>
        </is>
      </c>
      <c r="F405" s="49" t="n">
        <v>46322</v>
      </c>
      <c r="G405" s="29" t="inlineStr">
        <is>
          <t>malaga:kesif</t>
        </is>
      </c>
      <c r="H405" s="29" t="inlineStr">
        <is>
          <t>İki çocuk oyun alanı, açık hava spor aletleri ve spor sahası olan park.</t>
        </is>
      </c>
      <c r="I405" s="29" t="inlineStr">
        <is>
          <t>Evet</t>
        </is>
      </c>
      <c r="J405" s="29" t="inlineStr">
        <is>
          <t>Lisans kanıtları/71db41bcfe9abf9a9cf8d418ae2d22a0cd6e0367c110daa905420b68218f0503.html</t>
        </is>
      </c>
      <c r="K405" s="29" t="inlineStr">
        <is>
          <t>71db41bcfe9abf9a9cf8d418ae2d22a0cd6e0367c110daa905420b68218f0503</t>
        </is>
      </c>
    </row>
    <row r="406" ht="54" customHeight="1">
      <c r="A406" s="29" t="inlineStr">
        <is>
          <t>malaga:kaynak:426</t>
        </is>
      </c>
      <c r="B406" s="29" t="inlineStr">
        <is>
          <t>malaga</t>
        </is>
      </c>
      <c r="C406" s="29" t="inlineStr">
        <is>
          <t>Contacto | FYCMA</t>
        </is>
      </c>
      <c r="D406" s="29" t="inlineStr">
        <is>
          <t>FYCMA</t>
        </is>
      </c>
      <c r="E406" s="29" t="inlineStr">
        <is>
          <t>https://www.fycma.com/contacto/</t>
        </is>
      </c>
      <c r="F406" s="49" t="n">
        <v>46322</v>
      </c>
      <c r="G406" s="29" t="inlineStr">
        <is>
          <t>malaga:kesif</t>
        </is>
      </c>
      <c r="H406" s="29" t="inlineStr">
        <is>
          <t>Fuar, kongre ve konser/etkinlik sarayı; resmî sayfada adres.</t>
        </is>
      </c>
      <c r="I406" s="29" t="inlineStr">
        <is>
          <t>Evet</t>
        </is>
      </c>
      <c r="J406" s="29" t="inlineStr">
        <is>
          <t>Lisans kanıtları/14331ee2789a4fd9acf8620e6514be1f61c3af454340ddfcfa1b6f3ec438d939.html</t>
        </is>
      </c>
      <c r="K406" s="29" t="inlineStr">
        <is>
          <t>14331ee2789a4fd9acf8620e6514be1f61c3af454340ddfcfa1b6f3ec438d939</t>
        </is>
      </c>
    </row>
    <row r="407" ht="54" customHeight="1">
      <c r="A407" s="29" t="inlineStr">
        <is>
          <t>malaga:kaynak:427</t>
        </is>
      </c>
      <c r="B407" s="29" t="inlineStr">
        <is>
          <t>malaga</t>
        </is>
      </c>
      <c r="C407" s="29" t="inlineStr">
        <is>
          <t>Conservatorio Superior de Malaga – Conservatorio Superior de Música de Málaga</t>
        </is>
      </c>
      <c r="D407" s="29" t="inlineStr">
        <is>
          <t>Conservatorio Superior de Música de Málaga</t>
        </is>
      </c>
      <c r="E407" s="29" t="inlineStr">
        <is>
          <t>https://www.conservatoriosuperiormalaga.com/</t>
        </is>
      </c>
      <c r="F407" s="49" t="n">
        <v>46322</v>
      </c>
      <c r="G407" s="29" t="inlineStr">
        <is>
          <t>malaga:kesif</t>
        </is>
      </c>
      <c r="H407" s="29" t="inlineStr">
        <is>
          <t>Konservatuvar; halka açık konserler.</t>
        </is>
      </c>
      <c r="I407" s="29" t="inlineStr">
        <is>
          <t>Evet</t>
        </is>
      </c>
      <c r="J407" s="29" t="inlineStr">
        <is>
          <t>Lisans kanıtları/4039fbd9978103315391ad0daf3124b3a9b59031b50d9859cdc723b6a5e0b39f.html</t>
        </is>
      </c>
      <c r="K407" s="29" t="inlineStr">
        <is>
          <t>4039fbd9978103315391ad0daf3124b3a9b59031b50d9859cdc723b6a5e0b39f</t>
        </is>
      </c>
    </row>
    <row r="408" ht="54" customHeight="1">
      <c r="A408" s="29" t="inlineStr">
        <is>
          <t>malaga:kaynak:428</t>
        </is>
      </c>
      <c r="B408" s="29" t="inlineStr">
        <is>
          <t>malaga</t>
        </is>
      </c>
      <c r="C408" s="29" t="inlineStr">
        <is>
          <t>Instalaciones y Espacios</t>
        </is>
      </c>
      <c r="D408" s="29" t="inlineStr">
        <is>
          <t>Ayuntamiento de Málaga</t>
        </is>
      </c>
      <c r="E408" s="29" t="inlineStr">
        <is>
          <t>https://www.malaga.eu/la-ciudad/instalaciones-y-espacios/index.html?idCtEsp=CT51&amp;idDistrito=&amp;texto=OMAC&amp;param1=0</t>
        </is>
      </c>
      <c r="F408" s="49" t="n">
        <v>46322</v>
      </c>
      <c r="G408" s="29" t="inlineStr">
        <is>
          <t>malaga:gunluk</t>
        </is>
      </c>
      <c r="H408" s="29" t="inlineStr">
        <is>
          <t>OMAC ofis adresleri (Málaga belediyesi, Listado de oficinas OMAC)</t>
        </is>
      </c>
      <c r="I408" s="29" t="inlineStr">
        <is>
          <t>Evet</t>
        </is>
      </c>
      <c r="J408" s="29" t="inlineStr">
        <is>
          <t>Lisans kanıtları/b2af8c5ccc529b83d95bc672c0a3d0b40cdb4c815ff35e84983ed06ca1f9f440.html</t>
        </is>
      </c>
      <c r="K408" s="29" t="inlineStr">
        <is>
          <t>b2af8c5ccc529b83d95bc672c0a3d0b40cdb4c815ff35e84983ed06ca1f9f440</t>
        </is>
      </c>
    </row>
    <row r="409" ht="54" customHeight="1">
      <c r="A409" s="29" t="inlineStr">
        <is>
          <t>malaga:kaynak:429</t>
        </is>
      </c>
      <c r="B409" s="29" t="inlineStr">
        <is>
          <t>malaga</t>
        </is>
      </c>
      <c r="C409" s="29" t="inlineStr">
        <is>
          <t>Tramitación telemática</t>
        </is>
      </c>
      <c r="D409" s="29" t="inlineStr">
        <is>
          <t>Instituto Municipal de la Vivienda, Ayuntamiento de Málaga</t>
        </is>
      </c>
      <c r="E409" s="29" t="inlineStr">
        <is>
          <t>https://imv.malaga.eu/es/registro-municipal-demandantes/tramitacion-telematica/</t>
        </is>
      </c>
      <c r="F409" s="49" t="n">
        <v>46322</v>
      </c>
      <c r="G409" s="29" t="inlineStr">
        <is>
          <t>malaga:ev</t>
        </is>
      </c>
      <c r="H409" s="29" t="inlineStr">
        <is>
          <t>Registro de Demandantes başvuru kanalı, belgeler ve sorteo bekleme süresi (editör, ev eksikleri)</t>
        </is>
      </c>
      <c r="I409" s="29" t="inlineStr">
        <is>
          <t>Evet</t>
        </is>
      </c>
      <c r="J409" s="29" t="inlineStr">
        <is>
          <t>Lisans kanıtları/85de05ab2b817851723c164cfb05304d492ddc000d6b2f9132ca09b8a8b5ffb9.html</t>
        </is>
      </c>
      <c r="K409" s="29" t="inlineStr">
        <is>
          <t>85de05ab2b817851723c164cfb05304d492ddc000d6b2f9132ca09b8a8b5ffb9</t>
        </is>
      </c>
    </row>
    <row r="410" ht="54" customHeight="1">
      <c r="A410" s="29" t="inlineStr">
        <is>
          <t>malaga:kaynak:430</t>
        </is>
      </c>
      <c r="B410" s="29" t="inlineStr">
        <is>
          <t>malaga</t>
        </is>
      </c>
      <c r="C410" s="29" t="inlineStr">
        <is>
          <t>Pagos</t>
        </is>
      </c>
      <c r="D410" s="29" t="inlineStr">
        <is>
          <t>Gestrisam, Ayuntamiento de Málaga</t>
        </is>
      </c>
      <c r="E410" s="29" t="inlineStr">
        <is>
          <t>https://gestrisam.malaga.eu/gestiones_tramites/pagos/</t>
        </is>
      </c>
      <c r="F410" s="49" t="n">
        <v>46322</v>
      </c>
      <c r="G410" s="29" t="inlineStr">
        <is>
          <t>malaga:ev</t>
        </is>
      </c>
      <c r="H410" s="29" t="inlineStr">
        <is>
          <t>Belediye makbuzu (IBI dahil) ödeme kanalları (editör, ev eksikleri)</t>
        </is>
      </c>
      <c r="I410" s="29" t="inlineStr">
        <is>
          <t>Evet</t>
        </is>
      </c>
      <c r="J410" s="29" t="inlineStr">
        <is>
          <t>Lisans kanıtları/49a8c0857337ff3ee9f2dff9b1d583567660b8decf15d26aebba816adab491c2.html</t>
        </is>
      </c>
      <c r="K410" s="29" t="inlineStr">
        <is>
          <t>49a8c0857337ff3ee9f2dff9b1d583567660b8decf15d26aebba816adab491c2</t>
        </is>
      </c>
    </row>
    <row r="411" ht="54" customHeight="1">
      <c r="A411" s="29" t="inlineStr">
        <is>
          <t>malaga:kaynak:431</t>
        </is>
      </c>
      <c r="B411" s="29" t="inlineStr">
        <is>
          <t>malaga</t>
        </is>
      </c>
      <c r="C411" s="29" t="inlineStr">
        <is>
          <t>Cita Previa</t>
        </is>
      </c>
      <c r="D411" s="29" t="inlineStr">
        <is>
          <t>Ayuntamiento de Málaga</t>
        </is>
      </c>
      <c r="E411" s="29" t="inlineStr">
        <is>
          <t>https://citaprevia.malaga.eu/</t>
        </is>
      </c>
      <c r="F411" s="49" t="n">
        <v>46322</v>
      </c>
      <c r="G411" s="29" t="inlineStr">
        <is>
          <t>malaga:resmi</t>
        </is>
      </c>
      <c r="H411" s="29" t="inlineStr">
        <is>
          <t>Belediye randevu sayfası; Randevu al butonları için</t>
        </is>
      </c>
      <c r="I411" s="29" t="inlineStr">
        <is>
          <t>Evet</t>
        </is>
      </c>
      <c r="J411" s="29" t="inlineStr">
        <is>
          <t>Lisans kanıtları/7254f26d5451dc716808dbc49342350b311a07ba71217cd41b51982169c7653b.html</t>
        </is>
      </c>
      <c r="K411" s="29" t="inlineStr">
        <is>
          <t>7254f26d5451dc716808dbc49342350b311a07ba71217cd41b51982169c7653b</t>
        </is>
      </c>
    </row>
    <row r="412" ht="54" customHeight="1">
      <c r="A412" s="29" t="inlineStr">
        <is>
          <t>malaga:kaynak:432</t>
        </is>
      </c>
      <c r="B412" s="29" t="inlineStr">
        <is>
          <t>malaga</t>
        </is>
      </c>
      <c r="C412" s="29" t="inlineStr">
        <is>
          <t>Agencia Tributaria: Deducción por maternidad - A quién corresponde esta deducción</t>
        </is>
      </c>
      <c r="D412" s="29" t="inlineStr">
        <is>
          <t>Agencia Tributaria</t>
        </is>
      </c>
      <c r="E412" s="29" t="inlineStr">
        <is>
          <t>https://sede.agenciatributaria.gob.es/Sede/ciudadanos-familias-personas-discapacidad/deducciones-relacionadas-hijos-descendientes/deduccion-maternidad/quien-corresponde-deduccion.html</t>
        </is>
      </c>
      <c r="F412" s="49" t="n">
        <v>46322</v>
      </c>
      <c r="G412" s="29" t="inlineStr">
        <is>
          <t>malaga:aile</t>
        </is>
      </c>
      <c r="H412" s="29" t="inlineStr">
        <is>
          <t>Anne vergi indirimi hak koşulları (editör, eksik kapatma)</t>
        </is>
      </c>
      <c r="I412" s="29" t="inlineStr">
        <is>
          <t>Evet</t>
        </is>
      </c>
      <c r="J412" s="29" t="inlineStr">
        <is>
          <t>Lisans kanıtları/d62a059160995b26413822d16ad6006c8ff9cfd3ebe2602b062a60b11f99bfb0.html</t>
        </is>
      </c>
      <c r="K412" s="29" t="inlineStr">
        <is>
          <t>d62a059160995b26413822d16ad6006c8ff9cfd3ebe2602b062a60b11f99bfb0</t>
        </is>
      </c>
    </row>
    <row r="413" ht="54" customHeight="1">
      <c r="A413" s="29" t="inlineStr">
        <is>
          <t>malaga:kaynak:435</t>
        </is>
      </c>
      <c r="B413" s="29" t="inlineStr">
        <is>
          <t>malaga</t>
        </is>
      </c>
      <c r="C413" s="29" t="inlineStr">
        <is>
          <t>Tarjeta No Personalizada | Empresa Malagueña de Transportes, S.A.M.</t>
        </is>
      </c>
      <c r="D413" s="29" t="inlineStr">
        <is>
          <t>EMT Málaga</t>
        </is>
      </c>
      <c r="E413" s="29" t="inlineStr">
        <is>
          <t>https://www.emtmalaga.es/tarjeta-no-personalizada</t>
        </is>
      </c>
      <c r="F413" s="49" t="n">
        <v>46322</v>
      </c>
      <c r="G413" s="29" t="inlineStr">
        <is>
          <t>malaga:planlama</t>
        </is>
      </c>
      <c r="H413" s="29" t="inlineStr">
        <is>
          <t>EMT kartının bedeli ve nereden alındığı (K26 ne öder / ne getir)</t>
        </is>
      </c>
      <c r="I413" s="29" t="inlineStr">
        <is>
          <t>Evet</t>
        </is>
      </c>
      <c r="J413" s="29" t="inlineStr">
        <is>
          <t>Lisans kanıtları/11d2d7b34c0e9a16ac6c9800aefaca42c45cc353597574e6231b9562d663f03b.html</t>
        </is>
      </c>
      <c r="K413" s="29" t="inlineStr">
        <is>
          <t>11d2d7b34c0e9a16ac6c9800aefaca42c45cc353597574e6231b9562d663f03b</t>
        </is>
      </c>
    </row>
    <row r="414" ht="54" customHeight="1">
      <c r="A414" s="29" t="inlineStr">
        <is>
          <t>malaga:kaynak:436</t>
        </is>
      </c>
      <c r="B414" s="29" t="inlineStr">
        <is>
          <t>malaga</t>
        </is>
      </c>
      <c r="C414" s="29" t="inlineStr">
        <is>
          <t>Detalle de noticia</t>
        </is>
      </c>
      <c r="D414" s="29" t="inlineStr">
        <is>
          <t>Ayuntamiento de Málaga - Área de Movilidad</t>
        </is>
      </c>
      <c r="E414" s="29" t="inlineStr">
        <is>
          <t>https://movilidad.malaga.eu/es/noticias/detalle-de-noticia/index.html?id=176996&amp;tipoVO=1</t>
        </is>
      </c>
      <c r="F414" s="49" t="n">
        <v>46322</v>
      </c>
      <c r="G414" s="29" t="inlineStr">
        <is>
          <t>malaga:ulasim</t>
        </is>
      </c>
      <c r="H414" s="29" t="inlineStr">
        <is>
          <t>ZBE yürürlük yılı ve kademe tarihleri (2. yıl 30.11.2025, 3. yıl 30.11.2026)</t>
        </is>
      </c>
      <c r="I414" s="29" t="inlineStr">
        <is>
          <t>Evet</t>
        </is>
      </c>
      <c r="J414" s="29" t="inlineStr">
        <is>
          <t>Lisans kanıtları/a759d2c91cfe2da6cfd44838f4ccbcb11f3bfe0804d566eb37b83d2db60b9087.html</t>
        </is>
      </c>
      <c r="K414" s="29" t="inlineStr">
        <is>
          <t>a759d2c91cfe2da6cfd44838f4ccbcb11f3bfe0804d566eb37b83d2db60b9087</t>
        </is>
      </c>
    </row>
    <row r="415" ht="54" customHeight="1">
      <c r="A415" s="29" t="inlineStr">
        <is>
          <t>malaga:kaynak:437</t>
        </is>
      </c>
      <c r="B415" s="29" t="inlineStr">
        <is>
          <t>malaga</t>
        </is>
      </c>
      <c r="C415" s="29" t="inlineStr">
        <is>
          <t>Tarjeta Joven | Empresa Malagueña de Transportes, S.A.M.</t>
        </is>
      </c>
      <c r="D415" s="29" t="inlineStr">
        <is>
          <t>EMT Málaga</t>
        </is>
      </c>
      <c r="E415" s="29" t="inlineStr">
        <is>
          <t>https://www.emtmalaga.es/tarjeta-joven</t>
        </is>
      </c>
      <c r="F415" s="49" t="n">
        <v>46322</v>
      </c>
      <c r="G415" s="29" t="inlineStr">
        <is>
          <t>malaga:ulasim</t>
        </is>
      </c>
      <c r="H415" s="29" t="inlineStr">
        <is>
          <t>Tarjeta Joven alma koşulları, belgeler ve düzenleme bedeli</t>
        </is>
      </c>
      <c r="I415" s="29" t="inlineStr">
        <is>
          <t>Evet</t>
        </is>
      </c>
      <c r="J415" s="29" t="inlineStr">
        <is>
          <t>Lisans kanıtları/50259d556d3310cb79474eb5028c6a06d0c43e4072c8be788d42c5e0f9ac3eda.html</t>
        </is>
      </c>
      <c r="K415" s="29" t="inlineStr">
        <is>
          <t>50259d556d3310cb79474eb5028c6a06d0c43e4072c8be788d42c5e0f9ac3eda</t>
        </is>
      </c>
    </row>
    <row r="416" ht="54" customHeight="1">
      <c r="A416" s="29" t="inlineStr">
        <is>
          <t>malaga:kaynak:438</t>
        </is>
      </c>
      <c r="B416" s="29" t="inlineStr">
        <is>
          <t>malaga</t>
        </is>
      </c>
      <c r="C416" s="29" t="inlineStr">
        <is>
          <t>Tarjeta Oro | Empresa Malagueña de Transportes, S.A.M.</t>
        </is>
      </c>
      <c r="D416" s="29" t="inlineStr">
        <is>
          <t>EMT Málaga</t>
        </is>
      </c>
      <c r="E416" s="29" t="inlineStr">
        <is>
          <t>https://www.emtmalaga.es/tarjeta-ORO</t>
        </is>
      </c>
      <c r="F416" s="49" t="n">
        <v>46322</v>
      </c>
      <c r="G416" s="29" t="inlineStr">
        <is>
          <t>malaga:ulasim</t>
        </is>
      </c>
      <c r="H416" s="29" t="inlineStr">
        <is>
          <t>Tarjeta Oro alma koşulları, belgeler ve düzenleme bedeli</t>
        </is>
      </c>
      <c r="I416" s="29" t="inlineStr">
        <is>
          <t>Evet</t>
        </is>
      </c>
      <c r="J416" s="29" t="inlineStr">
        <is>
          <t>Lisans kanıtları/b87ea2273599a496a16181012368a686620cb3b72f0668e64cf01e36fe7dff40.html</t>
        </is>
      </c>
      <c r="K416" s="29" t="inlineStr">
        <is>
          <t>b87ea2273599a496a16181012368a686620cb3b72f0668e64cf01e36fe7dff40</t>
        </is>
      </c>
    </row>
    <row r="417" ht="54" customHeight="1">
      <c r="A417" s="29" t="inlineStr">
        <is>
          <t>malaga:kaynak:439</t>
        </is>
      </c>
      <c r="B417" s="29" t="inlineStr">
        <is>
          <t>malaga</t>
        </is>
      </c>
      <c r="C417" s="29" t="inlineStr">
        <is>
          <t>Tarjeta Estudiante | Empresa Malagueña de Transportes, S.A.M.</t>
        </is>
      </c>
      <c r="D417" s="29" t="inlineStr">
        <is>
          <t>EMT Málaga</t>
        </is>
      </c>
      <c r="E417" s="29" t="inlineStr">
        <is>
          <t>https://www.emtmalaga.es/tarjeta-estudiante</t>
        </is>
      </c>
      <c r="F417" s="49" t="n">
        <v>46322</v>
      </c>
      <c r="G417" s="29" t="inlineStr">
        <is>
          <t>malaga:ulasim</t>
        </is>
      </c>
      <c r="H417" s="29" t="inlineStr">
        <is>
          <t>Tarjeta Estudiante alma koşulları, belgeler ve düzenleme bedeli</t>
        </is>
      </c>
      <c r="I417" s="29" t="inlineStr">
        <is>
          <t>Evet</t>
        </is>
      </c>
      <c r="J417" s="29" t="inlineStr">
        <is>
          <t>Lisans kanıtları/973904e9ee6a4fc1d3eaafa89dcaec15c5376a06b62bf3f99f01cc317a9e4bc4.html</t>
        </is>
      </c>
      <c r="K417" s="29" t="inlineStr">
        <is>
          <t>973904e9ee6a4fc1d3eaafa89dcaec15c5376a06b62bf3f99f01cc317a9e4bc4</t>
        </is>
      </c>
    </row>
    <row r="418" ht="54" customHeight="1">
      <c r="A418" s="29" t="inlineStr">
        <is>
          <t>malaga:kaynak:440</t>
        </is>
      </c>
      <c r="B418" s="29" t="inlineStr">
        <is>
          <t>malaga</t>
        </is>
      </c>
      <c r="C418" s="29" t="inlineStr">
        <is>
          <t>Mercado de Atarazanas – Mercados de Málaga</t>
        </is>
      </c>
      <c r="D418" s="29" t="inlineStr">
        <is>
          <t>Mercados de Málaga (malagacomercio.es)</t>
        </is>
      </c>
      <c r="E418" s="29" t="inlineStr">
        <is>
          <t>https://mercados.malagacomercio.es/mercados/mercado-de-atarazanas/</t>
        </is>
      </c>
      <c r="F418" s="49" t="n">
        <v>46322</v>
      </c>
      <c r="G418" s="29" t="inlineStr">
        <is>
          <t>malaga:kesif</t>
        </is>
      </c>
      <c r="H418" s="29" t="inlineStr">
        <is>
          <t>Atarazanas pazarının kendi sayfası: adres ve çalışma saati anasayfada yok.</t>
        </is>
      </c>
      <c r="I418" s="29" t="inlineStr">
        <is>
          <t>Evet</t>
        </is>
      </c>
      <c r="J418" s="29" t="inlineStr">
        <is>
          <t>Lisans kanıtları/50e53b1cdfe2927df2d7642f785603429b1532e6b17b565c48d4643b46b3e096.html</t>
        </is>
      </c>
      <c r="K418" s="29" t="inlineStr">
        <is>
          <t>50e53b1cdfe2927df2d7642f785603429b1532e6b17b565c48d4643b46b3e096</t>
        </is>
      </c>
    </row>
    <row r="419" ht="54" customHeight="1">
      <c r="A419" s="29" t="inlineStr">
        <is>
          <t>malaga:kaynak:442</t>
        </is>
      </c>
      <c r="B419" s="29" t="inlineStr">
        <is>
          <t>malaga</t>
        </is>
      </c>
      <c r="C419" s="29" t="inlineStr">
        <is>
          <t>Tarjeta de Transporte "Ayuda al Empleo"</t>
        </is>
      </c>
      <c r="D419" s="29" t="inlineStr">
        <is>
          <t>IMFE - Ayuntamiento de Málaga</t>
        </is>
      </c>
      <c r="E419" s="29" t="inlineStr">
        <is>
          <t>https://imfe.malaga.eu/empleo/tarjeta-de-transporte-de-ayuda-al-empleo/</t>
        </is>
      </c>
      <c r="F419" s="49" t="n">
        <v>46322</v>
      </c>
      <c r="G419" s="29" t="inlineStr">
        <is>
          <t>malaga:is</t>
        </is>
      </c>
      <c r="H419" s="29" t="inlineStr">
        <is>
          <t>Belediye işsizlik ulaşım kartı: şartlar, teslim yeri</t>
        </is>
      </c>
      <c r="I419" s="29" t="inlineStr">
        <is>
          <t>Evet</t>
        </is>
      </c>
      <c r="J419" s="29" t="inlineStr">
        <is>
          <t>Lisans kanıtları/0ea1389ff37df9b255be6804555b6547aa23dfb5a769b011bd0db26e3a0fcc64.html</t>
        </is>
      </c>
      <c r="K419" s="29" t="inlineStr">
        <is>
          <t>0ea1389ff37df9b255be6804555b6547aa23dfb5a769b011bd0db26e3a0fcc64</t>
        </is>
      </c>
    </row>
    <row r="420" ht="54" customHeight="1">
      <c r="A420" s="29" t="inlineStr">
        <is>
          <t>malaga:kaynak:443</t>
        </is>
      </c>
      <c r="B420" s="29" t="inlineStr">
        <is>
          <t>malaga</t>
        </is>
      </c>
      <c r="C420" s="29" t="inlineStr">
        <is>
          <t>Programa de Experiencias Profesionales para el Empleo</t>
        </is>
      </c>
      <c r="D420" s="29" t="inlineStr">
        <is>
          <t>IMFE - Ayuntamiento de Málaga</t>
        </is>
      </c>
      <c r="E420" s="29" t="inlineStr">
        <is>
          <t>https://imfe.malaga.eu/empleo/programa-de-experiencias-profesionales-para-el-empleo/</t>
        </is>
      </c>
      <c r="F420" s="49" t="n">
        <v>46322</v>
      </c>
      <c r="G420" s="29" t="inlineStr">
        <is>
          <t>malaga:is</t>
        </is>
      </c>
      <c r="H420" s="29" t="inlineStr">
        <is>
          <t>Şirket stajı programı: süre, burs, şartlar</t>
        </is>
      </c>
      <c r="I420" s="29" t="inlineStr">
        <is>
          <t>Evet</t>
        </is>
      </c>
      <c r="J420" s="29" t="inlineStr">
        <is>
          <t>Lisans kanıtları/5b10490a797f9bf1a4278d544406fafffb41126a3e37d3dd3e4e9fb1b4a9ee5f.html</t>
        </is>
      </c>
      <c r="K420" s="29" t="inlineStr">
        <is>
          <t>5b10490a797f9bf1a4278d544406fafffb41126a3e37d3dd3e4e9fb1b4a9ee5f</t>
        </is>
      </c>
    </row>
    <row r="421" ht="54" customHeight="1">
      <c r="A421" s="29" t="inlineStr">
        <is>
          <t>malaga:kaynak:444</t>
        </is>
      </c>
      <c r="B421" s="29" t="inlineStr">
        <is>
          <t>malaga</t>
        </is>
      </c>
      <c r="C421" s="29" t="inlineStr">
        <is>
          <t>Zona Empleo (Conecta_Málaga)</t>
        </is>
      </c>
      <c r="D421" s="29" t="inlineStr">
        <is>
          <t>IMFE - Ayuntamiento de Málaga</t>
        </is>
      </c>
      <c r="E421" s="29" t="inlineStr">
        <is>
          <t>https://imfe.malaga.eu/empleo/zona-empleo-conecta_malaga/</t>
        </is>
      </c>
      <c r="F421" s="49" t="n">
        <v>46322</v>
      </c>
      <c r="G421" s="29" t="inlineStr">
        <is>
          <t>malaga:is</t>
        </is>
      </c>
      <c r="H421" s="29" t="inlineStr">
        <is>
          <t>Mahalle istihdam merkezleri: adresler, hedef grup</t>
        </is>
      </c>
      <c r="I421" s="29" t="inlineStr">
        <is>
          <t>Evet</t>
        </is>
      </c>
      <c r="J421" s="29" t="inlineStr">
        <is>
          <t>Lisans kanıtları/8c11abed90d06a82ac72a114bc1317193bd793e9db7488074ee5188ac4713223.html</t>
        </is>
      </c>
      <c r="K421" s="29" t="inlineStr">
        <is>
          <t>8c11abed90d06a82ac72a114bc1317193bd793e9db7488074ee5188ac4713223</t>
        </is>
      </c>
    </row>
    <row r="422" ht="54" customHeight="1">
      <c r="A422" s="29" t="inlineStr">
        <is>
          <t>malaga:kaynak:445</t>
        </is>
      </c>
      <c r="B422" s="29" t="inlineStr">
        <is>
          <t>malaga</t>
        </is>
      </c>
      <c r="C422" s="29" t="inlineStr">
        <is>
          <t>Proyectos Integrales para la Inserción Laboral</t>
        </is>
      </c>
      <c r="D422" s="29" t="inlineStr">
        <is>
          <t>IMFE - Ayuntamiento de Málaga</t>
        </is>
      </c>
      <c r="E422" s="29" t="inlineStr">
        <is>
          <t>https://imfe.malaga.eu/empleo/programa-te-acompanamos/</t>
        </is>
      </c>
      <c r="F422" s="49" t="n">
        <v>46322</v>
      </c>
      <c r="G422" s="29" t="inlineStr">
        <is>
          <t>malaga:is</t>
        </is>
      </c>
      <c r="H422" s="29" t="inlineStr">
        <is>
          <t>Uzun süreli işsizlere eşlik programı: saat, teşvik</t>
        </is>
      </c>
      <c r="I422" s="29" t="inlineStr">
        <is>
          <t>Evet</t>
        </is>
      </c>
      <c r="J422" s="29" t="inlineStr">
        <is>
          <t>Lisans kanıtları/43586ee24845d0f046ac9fd0ea89674d59a1c88dac0ece76d788071c2a0c45fd.html</t>
        </is>
      </c>
      <c r="K422" s="29" t="inlineStr">
        <is>
          <t>43586ee24845d0f046ac9fd0ea89674d59a1c88dac0ece76d788071c2a0c45fd</t>
        </is>
      </c>
    </row>
    <row r="423" ht="54" customHeight="1">
      <c r="A423" s="29" t="inlineStr">
        <is>
          <t>malaga:kaynak:446</t>
        </is>
      </c>
      <c r="B423" s="29" t="inlineStr">
        <is>
          <t>malaga</t>
        </is>
      </c>
      <c r="C423" s="29" t="inlineStr">
        <is>
          <t>Guía para solicitar cita previa con la Seguridad Social Guía para solicitar cita previa con la Seguridad Social Cómo pedir la prestación por nacimiento y cuidado de menor Guía sobr</t>
        </is>
      </c>
      <c r="D423" s="29" t="inlineStr">
        <is>
          <t>Seguridad Social</t>
        </is>
      </c>
      <c r="E423" s="29" t="inlineStr">
        <is>
          <t>https://revista.seg-social.es/-/c%C3%B3mo-solicitar-cita-previa-para-pensiones-y-otras-prestaciones-de-la-seguridad-social</t>
        </is>
      </c>
      <c r="F423" s="49" t="n">
        <v>46322</v>
      </c>
      <c r="G423" s="29" t="inlineStr">
        <is>
          <t>malaga:is</t>
        </is>
      </c>
      <c r="H423" s="29" t="inlineStr">
        <is>
          <t>INSS/TGSS randevusu: telefon ve çevrimiçi yol</t>
        </is>
      </c>
      <c r="I423" s="29" t="inlineStr">
        <is>
          <t>Evet</t>
        </is>
      </c>
      <c r="J423" s="29" t="inlineStr">
        <is>
          <t>Lisans kanıtları/d7ef2dcf095a96cebec5ddf0d4c182eeded632cd061db54a33a5e66a896d81b7.html</t>
        </is>
      </c>
      <c r="K423" s="29" t="inlineStr">
        <is>
          <t>d7ef2dcf095a96cebec5ddf0d4c182eeded632cd061db54a33a5e66a896d81b7</t>
        </is>
      </c>
    </row>
    <row r="424" ht="54" customHeight="1">
      <c r="A424" s="29" t="inlineStr">
        <is>
          <t>malaga:kaynak:447</t>
        </is>
      </c>
      <c r="B424" s="29" t="inlineStr">
        <is>
          <t>malaga</t>
        </is>
      </c>
      <c r="C424" s="29" t="inlineStr">
        <is>
          <t>Urgencias - Junta de Andalucía</t>
        </is>
      </c>
      <c r="D424" s="29" t="inlineStr">
        <is>
          <t>Junta de Andalucía</t>
        </is>
      </c>
      <c r="E424" s="29" t="inlineStr">
        <is>
          <t>https://www.juntadeandalucia.es/temas/salud/urgencias/urgencias.html</t>
        </is>
      </c>
      <c r="F424" s="49" t="n">
        <v>46322</v>
      </c>
      <c r="G424" s="29" t="inlineStr">
        <is>
          <t>malaga:saglik</t>
        </is>
      </c>
      <c r="H424" s="29" t="inlineStr">
        <is>
          <t>Acil durumda 061 ve 112 ne zaman aranır</t>
        </is>
      </c>
      <c r="I424" s="29" t="inlineStr">
        <is>
          <t>Evet</t>
        </is>
      </c>
      <c r="J424" s="29" t="inlineStr">
        <is>
          <t>Lisans kanıtları/ab1432c1930d0e040db07f9473c144c64fd3194f0ae80a4daee219abbf434aa5.html</t>
        </is>
      </c>
      <c r="K424" s="29" t="inlineStr">
        <is>
          <t>ab1432c1930d0e040db07f9473c144c64fd3194f0ae80a4daee219abbf434aa5</t>
        </is>
      </c>
    </row>
    <row r="425" ht="54" customHeight="1">
      <c r="A425" s="29" t="inlineStr">
        <is>
          <t>malaga:kaynak:448</t>
        </is>
      </c>
      <c r="B425" s="29" t="inlineStr">
        <is>
          <t>malaga</t>
        </is>
      </c>
      <c r="C425" s="29" t="inlineStr">
        <is>
          <t>Farmacias de Guardia en Málaga – Farmacéuticos</t>
        </is>
      </c>
      <c r="D425" s="29" t="inlineStr">
        <is>
          <t>Consejo General de Colegios Oficiales de Farmacéuticos</t>
        </is>
      </c>
      <c r="E425" s="29" t="inlineStr">
        <is>
          <t>https://www.farmaceuticos.com/farmacias-de-guardia/malaga/</t>
        </is>
      </c>
      <c r="F425" s="49" t="n">
        <v>46322</v>
      </c>
      <c r="G425" s="29" t="inlineStr">
        <is>
          <t>malaga:saglik</t>
        </is>
      </c>
      <c r="H425" s="29" t="inlineStr">
        <is>
          <t>Nöbetçi eczane bulma yolu</t>
        </is>
      </c>
      <c r="I425" s="29" t="inlineStr">
        <is>
          <t>Evet</t>
        </is>
      </c>
      <c r="J425" s="29" t="inlineStr">
        <is>
          <t>Lisans kanıtları/2955cb1b0b07a495460275841e681c3767ae2b1fdd48ff3cad052eb4780efa28.html</t>
        </is>
      </c>
      <c r="K425" s="29" t="inlineStr">
        <is>
          <t>2955cb1b0b07a495460275841e681c3767ae2b1fdd48ff3cad052eb4780efa28</t>
        </is>
      </c>
    </row>
    <row r="426" ht="54" customHeight="1">
      <c r="A426" s="29" t="inlineStr">
        <is>
          <t>malaga:kaynak:449</t>
        </is>
      </c>
      <c r="B426" s="29" t="inlineStr">
        <is>
          <t>malaga</t>
        </is>
      </c>
      <c r="C426" s="29" t="inlineStr">
        <is>
          <t>El parque más esperado de Málaga tendrá que esperar: la apertura del Benítez se retrasa a final de 2026</t>
        </is>
      </c>
      <c r="D426" s="29" t="inlineStr">
        <is>
          <t>El Español</t>
        </is>
      </c>
      <c r="E426" s="29" t="inlineStr">
        <is>
          <t>https://www.elespanol.com/malaga/malaga-ciudad/20260616/parque-esperado-malaga-esperar-apertura-benitez-retrasa-final/1003744287106_0.html</t>
        </is>
      </c>
      <c r="F426" s="49" t="n">
        <v>46322</v>
      </c>
      <c r="G426" s="29" t="inlineStr">
        <is>
          <t>malaga:kesif</t>
        </is>
      </c>
      <c r="H426" s="29" t="inlineStr">
        <is>
          <t>Comandante Benítez parkının yeniden yapım nedeniyle halka kapalı olduğunu gösteren yerel haber (16.06.2026).</t>
        </is>
      </c>
      <c r="I426" s="29" t="inlineStr">
        <is>
          <t>Evet</t>
        </is>
      </c>
      <c r="J426" s="29" t="inlineStr">
        <is>
          <t>Lisans kanıtları/dba1e3ca695ce986f7c8f658dadc5c561e9f6e0f0f2298e0aefd0365338b281c.html</t>
        </is>
      </c>
      <c r="K426" s="29" t="inlineStr">
        <is>
          <t>dba1e3ca695ce986f7c8f658dadc5c561e9f6e0f0f2298e0aefd0365338b281c</t>
        </is>
      </c>
    </row>
    <row r="427" ht="54" customHeight="1">
      <c r="A427" s="29" t="inlineStr">
        <is>
          <t>malaga:kaynak:450</t>
        </is>
      </c>
      <c r="B427" s="29" t="inlineStr">
        <is>
          <t>malaga</t>
        </is>
      </c>
      <c r="C427" s="29" t="inlineStr">
        <is>
          <t>Arranca la obra para quintuplicar la playa de los Baños del Carmen en Málaga: pasará a tener 12.700 m2</t>
        </is>
      </c>
      <c r="D427" s="29" t="inlineStr">
        <is>
          <t>El Español</t>
        </is>
      </c>
      <c r="E427" s="29" t="inlineStr">
        <is>
          <t>https://www.elespanol.com/malaga/20260909/arranca-obra-quintuplicar-playa-banos-carmen-malaga-pasara-tener-m2/1003744377421_0.amp.html</t>
        </is>
      </c>
      <c r="F427" s="49" t="n">
        <v>46322</v>
      </c>
      <c r="G427" s="29" t="inlineStr">
        <is>
          <t>malaga:kesif</t>
        </is>
      </c>
      <c r="H427" s="29" t="inlineStr">
        <is>
          <t>Baños del Carmen plajı genişletme işlerinin başladığını ve 9 ay süreceğini gösteren yerel haber (09.09.2026).</t>
        </is>
      </c>
      <c r="I427" s="29" t="inlineStr">
        <is>
          <t>Evet</t>
        </is>
      </c>
      <c r="J427" s="29" t="inlineStr">
        <is>
          <t>Lisans kanıtları/43b8bef53b5748ba740030348eead41884624607ac64b19da523f8195bcebcea.html</t>
        </is>
      </c>
      <c r="K427" s="29" t="inlineStr">
        <is>
          <t>43b8bef53b5748ba740030348eead41884624607ac64b19da523f8195bcebcea</t>
        </is>
      </c>
    </row>
    <row r="428" ht="54" customHeight="1">
      <c r="A428" s="29" t="inlineStr">
        <is>
          <t>malaga:kaynak:451</t>
        </is>
      </c>
      <c r="B428" s="29" t="inlineStr">
        <is>
          <t>malaga</t>
        </is>
      </c>
      <c r="C428" s="29" t="inlineStr">
        <is>
          <t>La gran reforma del paseo marítimo de Pedregalejo se prolonga hasta finales de 2026</t>
        </is>
      </c>
      <c r="D428" s="29" t="inlineStr">
        <is>
          <t>El Español</t>
        </is>
      </c>
      <c r="E428" s="29" t="inlineStr">
        <is>
          <t>https://www.elespanol.com/malaga/malaga-ciudad/20260619/gran-reforma-paseo-maritimo-pedregalejo-prolonga-finales/1003744279514_0.html</t>
        </is>
      </c>
      <c r="F428" s="49" t="n">
        <v>46322</v>
      </c>
      <c r="G428" s="29" t="inlineStr">
        <is>
          <t>malaga:kesif</t>
        </is>
      </c>
      <c r="H428" s="29" t="inlineStr">
        <is>
          <t>Pedregalejo sahil yürüyüş yolu yenileme işlerinin yıl sonuna uzadığını gösteren yerel haber (19.06.2026).</t>
        </is>
      </c>
      <c r="I428" s="29" t="inlineStr">
        <is>
          <t>Evet</t>
        </is>
      </c>
      <c r="J428" s="29" t="inlineStr">
        <is>
          <t>Lisans kanıtları/27559636c48246655e9bb5c4aa2516ca11ace15f4a9d16b0b81a345000083211.html</t>
        </is>
      </c>
      <c r="K428" s="29" t="inlineStr">
        <is>
          <t>27559636c48246655e9bb5c4aa2516ca11ace15f4a9d16b0b81a345000083211</t>
        </is>
      </c>
    </row>
    <row r="429" ht="54" customHeight="1">
      <c r="A429" s="29" t="inlineStr">
        <is>
          <t>malaga:kaynak:452</t>
        </is>
      </c>
      <c r="B429" s="29" t="inlineStr">
        <is>
          <t>malaga</t>
        </is>
      </c>
      <c r="C429" s="29" t="inlineStr">
        <is>
          <t>Málaga vuelve a teñir de azul su costa: 45 playas de la provincia cuentan con esta bandera, sello de calidad, este 2026</t>
        </is>
      </c>
      <c r="D429" s="29" t="inlineStr">
        <is>
          <t>El Español</t>
        </is>
      </c>
      <c r="E429" s="29" t="inlineStr">
        <is>
          <t>https://www.elespanol.com/malaga/20260505/malaga-vuelve-tenir-azul-costa-playas-provincia-cuentan-bandera-sello-calidad/1003744233872_0.html</t>
        </is>
      </c>
      <c r="F429" s="49" t="n">
        <v>46322</v>
      </c>
      <c r="G429" s="29" t="inlineStr">
        <is>
          <t>malaga:kesif</t>
        </is>
      </c>
      <c r="H429" s="29" t="inlineStr">
        <is>
          <t>2026 Mavi Bayrak listesinde Pedregalejo plajının yer aldığını gösteren yerel haber (05.05.2026).</t>
        </is>
      </c>
      <c r="I429" s="29" t="inlineStr">
        <is>
          <t>Evet</t>
        </is>
      </c>
      <c r="J429" s="29" t="inlineStr">
        <is>
          <t>Lisans kanıtları/c6b5e49f30754d5434e80bc3301eff202b04894866086540e9d42b1cc9f873f7.html</t>
        </is>
      </c>
      <c r="K429" s="29" t="inlineStr">
        <is>
          <t>c6b5e49f30754d5434e80bc3301eff202b04894866086540e9d42b1cc9f873f7</t>
        </is>
      </c>
    </row>
    <row r="430" ht="54" customHeight="1">
      <c r="A430" s="29" t="inlineStr">
        <is>
          <t>malaga:kaynak:453</t>
        </is>
      </c>
      <c r="B430" s="29" t="inlineStr">
        <is>
          <t>malaga</t>
        </is>
      </c>
      <c r="C430" s="29" t="inlineStr">
        <is>
          <t>Prestación asistencia dental infantil | Servicio Andaluz de Salud</t>
        </is>
      </c>
      <c r="D430" s="29" t="inlineStr">
        <is>
          <t>Servicio Andaluz de Salud (Junta de Andalucía)</t>
        </is>
      </c>
      <c r="E430" s="29" t="inlineStr">
        <is>
          <t>https://www.sspa.juntadeandalucia.es/servicioandaluzdesalud/ciudadania/farmacia-y-prestaciones/prestacion-asistencia-dental-infantil</t>
        </is>
      </c>
      <c r="F430" s="49" t="n">
        <v>46322</v>
      </c>
      <c r="G430" s="29" t="inlineStr">
        <is>
          <t>malaga:saglik</t>
        </is>
      </c>
      <c r="H430" s="29" t="inlineStr">
        <is>
          <t>Çocuk diş hizmeti: kapsam, ücret ve diş hekimi seçimi</t>
        </is>
      </c>
      <c r="I430" s="29" t="inlineStr">
        <is>
          <t>Evet</t>
        </is>
      </c>
      <c r="J430" s="29" t="inlineStr">
        <is>
          <t>Lisans kanıtları/118779a1851e476cc5ca46a96c4e736b441885e3e89a1d99199c6de947235c24.html</t>
        </is>
      </c>
      <c r="K430" s="29" t="inlineStr">
        <is>
          <t>118779a1851e476cc5ca46a96c4e736b441885e3e89a1d99199c6de947235c24</t>
        </is>
      </c>
    </row>
    <row r="431" ht="54" customHeight="1">
      <c r="A431" s="29" t="inlineStr">
        <is>
          <t>malaga:kaynak:454</t>
        </is>
      </c>
      <c r="B431" s="29" t="inlineStr">
        <is>
          <t>malaga</t>
        </is>
      </c>
      <c r="C431" s="29" t="inlineStr">
        <is>
          <t>Museo de arte flamenco - Peña Juan Breva</t>
        </is>
      </c>
      <c r="D431" s="29" t="inlineStr">
        <is>
          <t>Peña Juan Breva</t>
        </is>
      </c>
      <c r="E431" s="29" t="inlineStr">
        <is>
          <t>https://xn--peajuanbreva-bhb.eu/museo-arte-flamenco/</t>
        </is>
      </c>
      <c r="F431" s="49" t="n">
        <v>46322</v>
      </c>
      <c r="G431" s="29" t="inlineStr">
        <is>
          <t>malaga:kesif</t>
        </is>
      </c>
      <c r="H431" s="29" t="inlineStr">
        <is>
          <t>Müzenin kendi sayfası: adres, saat, bağış tarifesi ve koleksiyon</t>
        </is>
      </c>
      <c r="I431" s="29" t="inlineStr">
        <is>
          <t>Evet</t>
        </is>
      </c>
      <c r="J431" s="29" t="inlineStr">
        <is>
          <t>Lisans kanıtları/749537fd30fee7cee1659f2bd9a73c9706daf3bf9fa2b2e60fbb5fe0973fbc75.html</t>
        </is>
      </c>
      <c r="K431" s="29" t="inlineStr">
        <is>
          <t>749537fd30fee7cee1659f2bd9a73c9706daf3bf9fa2b2e60fbb5fe0973fbc75</t>
        </is>
      </c>
    </row>
    <row r="432" ht="54" customHeight="1">
      <c r="A432" s="29" t="inlineStr">
        <is>
          <t>malaga:kaynak:455</t>
        </is>
      </c>
      <c r="B432" s="29" t="inlineStr">
        <is>
          <t>malaga</t>
        </is>
      </c>
      <c r="C432" s="29" t="inlineStr">
        <is>
          <t>INFORMACIÓN GENERAL – MUSEO REVELLO DE TORO</t>
        </is>
      </c>
      <c r="D432" s="29" t="inlineStr">
        <is>
          <t>Museo Revello de Toro</t>
        </is>
      </c>
      <c r="E432" s="29" t="inlineStr">
        <is>
          <t>https://www.museorevellodetoro.net/informacion-general/</t>
        </is>
      </c>
      <c r="F432" s="49" t="n">
        <v>46322</v>
      </c>
      <c r="G432" s="29" t="inlineStr">
        <is>
          <t>malaga:kesif</t>
        </is>
      </c>
      <c r="H432" s="29" t="inlineStr">
        <is>
          <t>Müzenin kendi sayfası: saat, bilet, donanım ve hizmetler</t>
        </is>
      </c>
      <c r="I432" s="29" t="inlineStr">
        <is>
          <t>Evet</t>
        </is>
      </c>
      <c r="J432" s="29" t="inlineStr">
        <is>
          <t>Lisans kanıtları/ac6a0ba358ff00b76989e838427f48afc3cb751b1d977e501235091065f2097a.html</t>
        </is>
      </c>
      <c r="K432" s="29" t="inlineStr">
        <is>
          <t>ac6a0ba358ff00b76989e838427f48afc3cb751b1d977e501235091065f2097a</t>
        </is>
      </c>
    </row>
    <row r="433" ht="54" customHeight="1">
      <c r="A433" s="29" t="inlineStr">
        <is>
          <t>malaga:kaynak:456</t>
        </is>
      </c>
      <c r="B433" s="29" t="inlineStr">
        <is>
          <t>malaga</t>
        </is>
      </c>
      <c r="C433" s="29" t="inlineStr">
        <is>
          <t>Información – Museo del Vino de Málaga</t>
        </is>
      </c>
      <c r="D433" s="29" t="inlineStr">
        <is>
          <t>Museo del Vino de Málaga</t>
        </is>
      </c>
      <c r="E433" s="29" t="inlineStr">
        <is>
          <t>https://museovinomalaga.com/museo/informacion/</t>
        </is>
      </c>
      <c r="F433" s="49" t="n">
        <v>46322</v>
      </c>
      <c r="G433" s="29" t="inlineStr">
        <is>
          <t>malaga:kesif</t>
        </is>
      </c>
      <c r="H433" s="29" t="inlineStr">
        <is>
          <t>Müzenin kendi sayfası: saat, tarife ve ziyaret türleri</t>
        </is>
      </c>
      <c r="I433" s="29" t="inlineStr">
        <is>
          <t>Evet</t>
        </is>
      </c>
      <c r="J433" s="29" t="inlineStr">
        <is>
          <t>Lisans kanıtları/c400268db9f2a30fea89ed3ec84759c25376bc42687a2512ab75b83066e9636f.html</t>
        </is>
      </c>
      <c r="K433" s="29" t="inlineStr">
        <is>
          <t>c400268db9f2a30fea89ed3ec84759c25376bc42687a2512ab75b83066e9636f</t>
        </is>
      </c>
    </row>
    <row r="434" ht="54" customHeight="1">
      <c r="A434" s="29" t="n"/>
      <c r="B434" s="29" t="n"/>
      <c r="C434" s="29" t="n"/>
      <c r="D434" s="29" t="n"/>
      <c r="E434" s="29" t="n"/>
      <c r="F434" s="49" t="n"/>
      <c r="G434" s="29" t="n"/>
      <c r="H434" s="29" t="n"/>
      <c r="I434" s="29" t="n"/>
      <c r="J434" s="29" t="n"/>
      <c r="K434" s="29" t="n"/>
    </row>
    <row r="435" ht="54" customHeight="1">
      <c r="A435" s="29" t="n"/>
      <c r="B435" s="29" t="n"/>
      <c r="C435" s="29" t="n"/>
      <c r="D435" s="29" t="n"/>
      <c r="E435" s="29" t="n"/>
      <c r="F435" s="49" t="n"/>
      <c r="G435" s="29" t="n"/>
      <c r="H435" s="29" t="n"/>
      <c r="I435" s="29" t="n"/>
      <c r="J435" s="29" t="n"/>
      <c r="K435" s="29" t="n"/>
    </row>
    <row r="436" ht="54" customHeight="1">
      <c r="A436" s="29" t="n"/>
      <c r="B436" s="29" t="n"/>
      <c r="C436" s="29" t="n"/>
      <c r="D436" s="29" t="n"/>
      <c r="E436" s="29" t="n"/>
      <c r="F436" s="49" t="n"/>
      <c r="G436" s="29" t="n"/>
      <c r="H436" s="29" t="n"/>
      <c r="I436" s="29" t="n"/>
      <c r="J436" s="29" t="n"/>
      <c r="K436" s="29" t="n"/>
    </row>
    <row r="437" ht="54" customHeight="1">
      <c r="A437" s="29" t="n"/>
      <c r="B437" s="29" t="n"/>
      <c r="C437" s="29" t="n"/>
      <c r="D437" s="29" t="n"/>
      <c r="E437" s="29" t="n"/>
      <c r="F437" s="49" t="n"/>
      <c r="G437" s="29" t="n"/>
      <c r="H437" s="29" t="n"/>
      <c r="I437" s="29" t="n"/>
      <c r="J437" s="29" t="n"/>
      <c r="K437" s="29" t="n"/>
    </row>
    <row r="438" ht="54" customHeight="1">
      <c r="A438" s="29" t="n"/>
      <c r="B438" s="29" t="n"/>
      <c r="C438" s="29" t="n"/>
      <c r="D438" s="29" t="n"/>
      <c r="E438" s="29" t="n"/>
      <c r="F438" s="49" t="n"/>
      <c r="G438" s="29" t="n"/>
      <c r="H438" s="29" t="n"/>
      <c r="I438" s="29" t="n"/>
      <c r="J438" s="29" t="n"/>
      <c r="K438" s="29" t="n"/>
    </row>
    <row r="439" ht="54" customHeight="1">
      <c r="A439" s="29" t="n"/>
      <c r="B439" s="29" t="n"/>
      <c r="C439" s="29" t="n"/>
      <c r="D439" s="29" t="n"/>
      <c r="E439" s="29" t="n"/>
      <c r="F439" s="49" t="n"/>
      <c r="G439" s="29" t="n"/>
      <c r="H439" s="29" t="n"/>
      <c r="I439" s="29" t="n"/>
      <c r="J439" s="29" t="n"/>
      <c r="K439" s="29" t="n"/>
    </row>
    <row r="440" ht="54" customHeight="1">
      <c r="A440" s="29" t="n"/>
      <c r="B440" s="29" t="n"/>
      <c r="C440" s="29" t="n"/>
      <c r="D440" s="29" t="n"/>
      <c r="E440" s="29" t="n"/>
      <c r="F440" s="49" t="n"/>
      <c r="G440" s="29" t="n"/>
      <c r="H440" s="29" t="n"/>
      <c r="I440" s="29" t="n"/>
      <c r="J440" s="29" t="n"/>
      <c r="K440" s="29" t="n"/>
    </row>
    <row r="441" ht="54" customHeight="1">
      <c r="A441" s="29" t="n"/>
      <c r="B441" s="29" t="n"/>
      <c r="C441" s="29" t="n"/>
      <c r="D441" s="29" t="n"/>
      <c r="E441" s="29" t="n"/>
      <c r="F441" s="49" t="n"/>
      <c r="G441" s="29" t="n"/>
      <c r="H441" s="29" t="n"/>
      <c r="I441" s="29" t="n"/>
      <c r="J441" s="29" t="n"/>
      <c r="K441" s="29" t="n"/>
    </row>
    <row r="442" ht="54" customHeight="1">
      <c r="A442" s="29" t="n"/>
      <c r="B442" s="29" t="n"/>
      <c r="C442" s="29" t="n"/>
      <c r="D442" s="29" t="n"/>
      <c r="E442" s="29" t="n"/>
      <c r="F442" s="49" t="n"/>
      <c r="G442" s="29" t="n"/>
      <c r="H442" s="29" t="n"/>
      <c r="I442" s="29" t="n"/>
      <c r="J442" s="29" t="n"/>
      <c r="K442" s="29" t="n"/>
    </row>
    <row r="443" ht="54" customHeight="1">
      <c r="A443" s="29" t="n"/>
      <c r="B443" s="29" t="n"/>
      <c r="C443" s="29" t="n"/>
      <c r="D443" s="29" t="n"/>
      <c r="E443" s="29" t="n"/>
      <c r="F443" s="49" t="n"/>
      <c r="G443" s="29" t="n"/>
      <c r="H443" s="29" t="n"/>
      <c r="I443" s="29" t="n"/>
      <c r="J443" s="29" t="n"/>
      <c r="K443" s="29" t="n"/>
    </row>
    <row r="444" ht="54" customHeight="1">
      <c r="A444" s="29" t="n"/>
      <c r="B444" s="29" t="n"/>
      <c r="C444" s="29" t="n"/>
      <c r="D444" s="29" t="n"/>
      <c r="E444" s="29" t="n"/>
      <c r="F444" s="49" t="n"/>
      <c r="G444" s="29" t="n"/>
      <c r="H444" s="29" t="n"/>
      <c r="I444" s="29" t="n"/>
      <c r="J444" s="29" t="n"/>
      <c r="K444" s="29" t="n"/>
    </row>
    <row r="445" ht="54" customHeight="1">
      <c r="A445" s="29" t="n"/>
      <c r="B445" s="29" t="n"/>
      <c r="C445" s="29" t="n"/>
      <c r="D445" s="29" t="n"/>
      <c r="E445" s="29" t="n"/>
      <c r="F445" s="49" t="n"/>
      <c r="G445" s="29" t="n"/>
      <c r="H445" s="29" t="n"/>
      <c r="I445" s="29" t="n"/>
      <c r="J445" s="29" t="n"/>
      <c r="K445" s="29" t="n"/>
    </row>
    <row r="446" ht="54" customHeight="1">
      <c r="A446" s="29" t="n"/>
      <c r="B446" s="29" t="n"/>
      <c r="C446" s="29" t="n"/>
      <c r="D446" s="29" t="n"/>
      <c r="E446" s="29" t="n"/>
      <c r="F446" s="49" t="n"/>
      <c r="G446" s="29" t="n"/>
      <c r="H446" s="29" t="n"/>
      <c r="I446" s="29" t="n"/>
      <c r="J446" s="29" t="n"/>
      <c r="K446" s="29" t="n"/>
    </row>
    <row r="447" ht="54" customHeight="1">
      <c r="A447" s="29" t="n"/>
      <c r="B447" s="29" t="n"/>
      <c r="C447" s="29" t="n"/>
      <c r="D447" s="29" t="n"/>
      <c r="E447" s="29" t="n"/>
      <c r="F447" s="49" t="n"/>
      <c r="G447" s="29" t="n"/>
      <c r="H447" s="29" t="n"/>
      <c r="I447" s="29" t="n"/>
      <c r="J447" s="29" t="n"/>
      <c r="K447" s="29" t="n"/>
    </row>
    <row r="448" ht="54" customHeight="1">
      <c r="A448" s="29" t="n"/>
      <c r="B448" s="29" t="n"/>
      <c r="C448" s="29" t="n"/>
      <c r="D448" s="29" t="n"/>
      <c r="E448" s="29" t="n"/>
      <c r="F448" s="49" t="n"/>
      <c r="G448" s="29" t="n"/>
      <c r="H448" s="29" t="n"/>
      <c r="I448" s="29" t="n"/>
      <c r="J448" s="29" t="n"/>
      <c r="K448" s="29" t="n"/>
    </row>
    <row r="449" ht="54" customHeight="1">
      <c r="A449" s="29" t="n"/>
      <c r="B449" s="29" t="n"/>
      <c r="C449" s="29" t="n"/>
      <c r="D449" s="29" t="n"/>
      <c r="E449" s="29" t="n"/>
      <c r="F449" s="49" t="n"/>
      <c r="G449" s="29" t="n"/>
      <c r="H449" s="29" t="n"/>
      <c r="I449" s="29" t="n"/>
      <c r="J449" s="29" t="n"/>
      <c r="K449" s="29" t="n"/>
    </row>
    <row r="450" ht="54" customHeight="1">
      <c r="A450" s="29" t="n"/>
      <c r="B450" s="29" t="n"/>
      <c r="C450" s="29" t="n"/>
      <c r="D450" s="29" t="n"/>
      <c r="E450" s="29" t="n"/>
      <c r="F450" s="49" t="n"/>
      <c r="G450" s="29" t="n"/>
      <c r="H450" s="29" t="n"/>
      <c r="I450" s="29" t="n"/>
      <c r="J450" s="29" t="n"/>
      <c r="K450" s="29" t="n"/>
    </row>
    <row r="451" ht="54" customHeight="1">
      <c r="A451" s="29" t="n"/>
      <c r="B451" s="29" t="n"/>
      <c r="C451" s="29" t="n"/>
      <c r="D451" s="29" t="n"/>
      <c r="E451" s="29" t="n"/>
      <c r="F451" s="49" t="n"/>
      <c r="G451" s="29" t="n"/>
      <c r="H451" s="29" t="n"/>
      <c r="I451" s="29" t="n"/>
      <c r="J451" s="29" t="n"/>
      <c r="K451" s="29" t="n"/>
    </row>
    <row r="452" ht="54" customHeight="1">
      <c r="A452" s="29" t="n"/>
      <c r="B452" s="29" t="n"/>
      <c r="C452" s="29" t="n"/>
      <c r="D452" s="29" t="n"/>
      <c r="E452" s="29" t="n"/>
      <c r="F452" s="49" t="n"/>
      <c r="G452" s="29" t="n"/>
      <c r="H452" s="29" t="n"/>
      <c r="I452" s="29" t="n"/>
      <c r="J452" s="29" t="n"/>
      <c r="K452" s="29" t="n"/>
    </row>
    <row r="453" ht="54" customHeight="1">
      <c r="A453" s="29" t="n"/>
      <c r="B453" s="29" t="n"/>
      <c r="C453" s="29" t="n"/>
      <c r="D453" s="29" t="n"/>
      <c r="E453" s="29" t="n"/>
      <c r="F453" s="49" t="n"/>
      <c r="G453" s="29" t="n"/>
      <c r="H453" s="29" t="n"/>
      <c r="I453" s="29" t="n"/>
      <c r="J453" s="29" t="n"/>
      <c r="K453" s="29" t="n"/>
    </row>
    <row r="454" ht="54" customHeight="1">
      <c r="A454" s="29" t="n"/>
      <c r="B454" s="29" t="n"/>
      <c r="C454" s="29" t="n"/>
      <c r="D454" s="29" t="n"/>
      <c r="E454" s="29" t="n"/>
      <c r="F454" s="49" t="n"/>
      <c r="G454" s="29" t="n"/>
      <c r="H454" s="29" t="n"/>
      <c r="I454" s="29" t="n"/>
      <c r="J454" s="29" t="n"/>
      <c r="K454" s="29" t="n"/>
    </row>
    <row r="455" ht="54" customHeight="1">
      <c r="A455" s="29" t="n"/>
      <c r="B455" s="29" t="n"/>
      <c r="C455" s="29" t="n"/>
      <c r="D455" s="29" t="n"/>
      <c r="E455" s="29" t="n"/>
      <c r="F455" s="49" t="n"/>
      <c r="G455" s="29" t="n"/>
      <c r="H455" s="29" t="n"/>
      <c r="I455" s="29" t="n"/>
      <c r="J455" s="29" t="n"/>
      <c r="K455" s="29" t="n"/>
    </row>
    <row r="456" ht="54" customHeight="1">
      <c r="A456" s="29" t="n"/>
      <c r="B456" s="29" t="n"/>
      <c r="C456" s="29" t="n"/>
      <c r="D456" s="29" t="n"/>
      <c r="E456" s="29" t="n"/>
      <c r="F456" s="49" t="n"/>
      <c r="G456" s="29" t="n"/>
      <c r="H456" s="29" t="n"/>
      <c r="I456" s="29" t="n"/>
      <c r="J456" s="29" t="n"/>
      <c r="K456" s="29" t="n"/>
    </row>
    <row r="457" ht="54" customHeight="1">
      <c r="A457" s="29" t="n"/>
      <c r="B457" s="29" t="n"/>
      <c r="C457" s="29" t="n"/>
      <c r="D457" s="29" t="n"/>
      <c r="E457" s="29" t="n"/>
      <c r="F457" s="49" t="n"/>
      <c r="G457" s="29" t="n"/>
      <c r="H457" s="29" t="n"/>
      <c r="I457" s="29" t="n"/>
      <c r="J457" s="29" t="n"/>
      <c r="K457" s="29" t="n"/>
    </row>
    <row r="458" ht="54" customHeight="1">
      <c r="A458" s="29" t="n"/>
      <c r="B458" s="29" t="n"/>
      <c r="C458" s="29" t="n"/>
      <c r="D458" s="29" t="n"/>
      <c r="E458" s="29" t="n"/>
      <c r="F458" s="49" t="n"/>
      <c r="G458" s="29" t="n"/>
      <c r="H458" s="29" t="n"/>
      <c r="I458" s="29" t="n"/>
      <c r="J458" s="29" t="n"/>
      <c r="K458" s="29" t="n"/>
    </row>
    <row r="459" ht="54" customHeight="1">
      <c r="A459" s="29" t="n"/>
      <c r="B459" s="29" t="n"/>
      <c r="C459" s="29" t="n"/>
      <c r="D459" s="29" t="n"/>
      <c r="E459" s="29" t="n"/>
      <c r="F459" s="49" t="n"/>
      <c r="G459" s="29" t="n"/>
      <c r="H459" s="29" t="n"/>
      <c r="I459" s="29" t="n"/>
      <c r="J459" s="29" t="n"/>
      <c r="K459" s="29" t="n"/>
    </row>
    <row r="460" ht="54" customHeight="1">
      <c r="A460" s="29" t="n"/>
      <c r="B460" s="29" t="n"/>
      <c r="C460" s="29" t="n"/>
      <c r="D460" s="29" t="n"/>
      <c r="E460" s="29" t="n"/>
      <c r="F460" s="49" t="n"/>
      <c r="G460" s="29" t="n"/>
      <c r="H460" s="29" t="n"/>
      <c r="I460" s="29" t="n"/>
      <c r="J460" s="29" t="n"/>
      <c r="K460" s="29" t="n"/>
    </row>
    <row r="461" ht="54" customHeight="1">
      <c r="A461" s="29" t="n"/>
      <c r="B461" s="29" t="n"/>
      <c r="C461" s="29" t="n"/>
      <c r="D461" s="29" t="n"/>
      <c r="E461" s="29" t="n"/>
      <c r="F461" s="49" t="n"/>
      <c r="G461" s="29" t="n"/>
      <c r="H461" s="29" t="n"/>
      <c r="I461" s="29" t="n"/>
      <c r="J461" s="29" t="n"/>
      <c r="K461" s="29" t="n"/>
    </row>
    <row r="462" ht="54" customHeight="1">
      <c r="A462" s="29" t="n"/>
      <c r="B462" s="29" t="n"/>
      <c r="C462" s="29" t="n"/>
      <c r="D462" s="29" t="n"/>
      <c r="E462" s="29" t="n"/>
      <c r="F462" s="49" t="n"/>
      <c r="G462" s="29" t="n"/>
      <c r="H462" s="29" t="n"/>
      <c r="I462" s="29" t="n"/>
      <c r="J462" s="29" t="n"/>
      <c r="K462" s="29" t="n"/>
    </row>
    <row r="463" ht="54" customHeight="1">
      <c r="A463" s="29" t="n"/>
      <c r="B463" s="29" t="n"/>
      <c r="C463" s="29" t="n"/>
      <c r="D463" s="29" t="n"/>
      <c r="E463" s="29" t="n"/>
      <c r="F463" s="49" t="n"/>
      <c r="G463" s="29" t="n"/>
      <c r="H463" s="29" t="n"/>
      <c r="I463" s="29" t="n"/>
      <c r="J463" s="29" t="n"/>
      <c r="K463" s="29" t="n"/>
    </row>
    <row r="464" ht="54" customHeight="1">
      <c r="A464" s="29" t="n"/>
      <c r="B464" s="29" t="n"/>
      <c r="C464" s="29" t="n"/>
      <c r="D464" s="29" t="n"/>
      <c r="E464" s="29" t="n"/>
      <c r="F464" s="49" t="n"/>
      <c r="G464" s="29" t="n"/>
      <c r="H464" s="29" t="n"/>
      <c r="I464" s="29" t="n"/>
      <c r="J464" s="29" t="n"/>
      <c r="K464" s="29" t="n"/>
    </row>
    <row r="465" ht="54" customHeight="1">
      <c r="A465" s="29" t="n"/>
      <c r="B465" s="29" t="n"/>
      <c r="C465" s="29" t="n"/>
      <c r="D465" s="29" t="n"/>
      <c r="E465" s="29" t="n"/>
      <c r="F465" s="49" t="n"/>
      <c r="G465" s="29" t="n"/>
      <c r="H465" s="29" t="n"/>
      <c r="I465" s="29" t="n"/>
      <c r="J465" s="29" t="n"/>
      <c r="K465" s="29" t="n"/>
    </row>
    <row r="466" ht="54" customHeight="1">
      <c r="A466" s="29" t="n"/>
      <c r="B466" s="29" t="n"/>
      <c r="C466" s="29" t="n"/>
      <c r="D466" s="29" t="n"/>
      <c r="E466" s="29" t="n"/>
      <c r="F466" s="49" t="n"/>
      <c r="G466" s="29" t="n"/>
      <c r="H466" s="29" t="n"/>
      <c r="I466" s="29" t="n"/>
      <c r="J466" s="29" t="n"/>
      <c r="K466" s="29" t="n"/>
    </row>
    <row r="467" ht="54" customHeight="1">
      <c r="A467" s="29" t="n"/>
      <c r="B467" s="29" t="n"/>
      <c r="C467" s="29" t="n"/>
      <c r="D467" s="29" t="n"/>
      <c r="E467" s="29" t="n"/>
      <c r="F467" s="49" t="n"/>
      <c r="G467" s="29" t="n"/>
      <c r="H467" s="29" t="n"/>
      <c r="I467" s="29" t="n"/>
      <c r="J467" s="29" t="n"/>
      <c r="K467" s="29" t="n"/>
    </row>
    <row r="468" ht="54" customHeight="1">
      <c r="A468" s="29" t="n"/>
      <c r="B468" s="29" t="n"/>
      <c r="C468" s="29" t="n"/>
      <c r="D468" s="29" t="n"/>
      <c r="E468" s="29" t="n"/>
      <c r="F468" s="49" t="n"/>
      <c r="G468" s="29" t="n"/>
      <c r="H468" s="29" t="n"/>
      <c r="I468" s="29" t="n"/>
      <c r="J468" s="29" t="n"/>
      <c r="K468" s="29" t="n"/>
    </row>
    <row r="469" ht="54" customHeight="1">
      <c r="A469" s="29" t="n"/>
      <c r="B469" s="29" t="n"/>
      <c r="C469" s="29" t="n"/>
      <c r="D469" s="29" t="n"/>
      <c r="E469" s="29" t="n"/>
      <c r="F469" s="49" t="n"/>
      <c r="G469" s="29" t="n"/>
      <c r="H469" s="29" t="n"/>
      <c r="I469" s="29" t="n"/>
      <c r="J469" s="29" t="n"/>
      <c r="K469" s="29" t="n"/>
    </row>
    <row r="470" ht="54" customHeight="1">
      <c r="A470" s="29" t="n"/>
      <c r="B470" s="29" t="n"/>
      <c r="C470" s="29" t="n"/>
      <c r="D470" s="29" t="n"/>
      <c r="E470" s="29" t="n"/>
      <c r="F470" s="49" t="n"/>
      <c r="G470" s="29" t="n"/>
      <c r="H470" s="29" t="n"/>
      <c r="I470" s="29" t="n"/>
      <c r="J470" s="29" t="n"/>
      <c r="K470" s="29" t="n"/>
    </row>
    <row r="471" ht="54" customHeight="1">
      <c r="A471" s="29" t="n"/>
      <c r="B471" s="29" t="n"/>
      <c r="C471" s="29" t="n"/>
      <c r="D471" s="29" t="n"/>
      <c r="E471" s="29" t="n"/>
      <c r="F471" s="49" t="n"/>
      <c r="G471" s="29" t="n"/>
      <c r="H471" s="29" t="n"/>
      <c r="I471" s="29" t="n"/>
      <c r="J471" s="29" t="n"/>
      <c r="K471" s="29" t="n"/>
    </row>
    <row r="472" ht="54" customHeight="1">
      <c r="A472" s="29" t="n"/>
      <c r="B472" s="29" t="n"/>
      <c r="C472" s="29" t="n"/>
      <c r="D472" s="29" t="n"/>
      <c r="E472" s="29" t="n"/>
      <c r="F472" s="49" t="n"/>
      <c r="G472" s="29" t="n"/>
      <c r="H472" s="29" t="n"/>
      <c r="I472" s="29" t="n"/>
      <c r="J472" s="29" t="n"/>
      <c r="K472" s="29" t="n"/>
    </row>
    <row r="473" ht="54" customHeight="1">
      <c r="A473" s="29" t="n"/>
      <c r="B473" s="29" t="n"/>
      <c r="C473" s="29" t="n"/>
      <c r="D473" s="29" t="n"/>
      <c r="E473" s="29" t="n"/>
      <c r="F473" s="49" t="n"/>
      <c r="G473" s="29" t="n"/>
      <c r="H473" s="29" t="n"/>
      <c r="I473" s="29" t="n"/>
      <c r="J473" s="29" t="n"/>
      <c r="K473" s="29" t="n"/>
    </row>
    <row r="474" ht="54" customHeight="1">
      <c r="A474" s="29" t="n"/>
      <c r="B474" s="29" t="n"/>
      <c r="C474" s="29" t="n"/>
      <c r="D474" s="29" t="n"/>
      <c r="E474" s="29" t="n"/>
      <c r="F474" s="49" t="n"/>
      <c r="G474" s="29" t="n"/>
      <c r="H474" s="29" t="n"/>
      <c r="I474" s="29" t="n"/>
      <c r="J474" s="29" t="n"/>
      <c r="K474" s="29" t="n"/>
    </row>
    <row r="475" ht="54" customHeight="1">
      <c r="A475" s="29" t="n"/>
      <c r="B475" s="29" t="n"/>
      <c r="C475" s="29" t="n"/>
      <c r="D475" s="29" t="n"/>
      <c r="E475" s="29" t="n"/>
      <c r="F475" s="49" t="n"/>
      <c r="G475" s="29" t="n"/>
      <c r="H475" s="29" t="n"/>
      <c r="I475" s="29" t="n"/>
      <c r="J475" s="29" t="n"/>
      <c r="K475" s="29" t="n"/>
    </row>
    <row r="476" ht="54" customHeight="1">
      <c r="A476" s="29" t="n"/>
      <c r="B476" s="29" t="n"/>
      <c r="C476" s="29" t="n"/>
      <c r="D476" s="29" t="n"/>
      <c r="E476" s="29" t="n"/>
      <c r="F476" s="49" t="n"/>
      <c r="G476" s="29" t="n"/>
      <c r="H476" s="29" t="n"/>
      <c r="I476" s="29" t="n"/>
      <c r="J476" s="29" t="n"/>
      <c r="K476" s="29" t="n"/>
    </row>
    <row r="477" ht="54" customHeight="1">
      <c r="A477" s="29" t="n"/>
      <c r="B477" s="29" t="n"/>
      <c r="C477" s="29" t="n"/>
      <c r="D477" s="29" t="n"/>
      <c r="E477" s="29" t="n"/>
      <c r="F477" s="49" t="n"/>
      <c r="G477" s="29" t="n"/>
      <c r="H477" s="29" t="n"/>
      <c r="I477" s="29" t="n"/>
      <c r="J477" s="29" t="n"/>
      <c r="K477" s="29" t="n"/>
    </row>
    <row r="478" ht="54" customHeight="1">
      <c r="A478" s="29" t="n"/>
      <c r="B478" s="29" t="n"/>
      <c r="C478" s="29" t="n"/>
      <c r="D478" s="29" t="n"/>
      <c r="E478" s="29" t="n"/>
      <c r="F478" s="49" t="n"/>
      <c r="G478" s="29" t="n"/>
      <c r="H478" s="29" t="n"/>
      <c r="I478" s="29" t="n"/>
      <c r="J478" s="29" t="n"/>
      <c r="K478" s="29" t="n"/>
    </row>
    <row r="479" ht="54" customHeight="1">
      <c r="A479" s="29" t="n"/>
      <c r="B479" s="29" t="n"/>
      <c r="C479" s="29" t="n"/>
      <c r="D479" s="29" t="n"/>
      <c r="E479" s="29" t="n"/>
      <c r="F479" s="49" t="n"/>
      <c r="G479" s="29" t="n"/>
      <c r="H479" s="29" t="n"/>
      <c r="I479" s="29" t="n"/>
      <c r="J479" s="29" t="n"/>
      <c r="K479" s="29" t="n"/>
    </row>
    <row r="480" ht="54" customHeight="1">
      <c r="A480" s="29" t="n"/>
      <c r="B480" s="29" t="n"/>
      <c r="C480" s="29" t="n"/>
      <c r="D480" s="29" t="n"/>
      <c r="E480" s="29" t="n"/>
      <c r="F480" s="49" t="n"/>
      <c r="G480" s="29" t="n"/>
      <c r="H480" s="29" t="n"/>
      <c r="I480" s="29" t="n"/>
      <c r="J480" s="29" t="n"/>
      <c r="K480" s="29" t="n"/>
    </row>
    <row r="481" ht="54" customHeight="1">
      <c r="A481" s="29" t="n"/>
      <c r="B481" s="29" t="n"/>
      <c r="C481" s="29" t="n"/>
      <c r="D481" s="29" t="n"/>
      <c r="E481" s="29" t="n"/>
      <c r="F481" s="49" t="n"/>
      <c r="G481" s="29" t="n"/>
      <c r="H481" s="29" t="n"/>
      <c r="I481" s="29" t="n"/>
      <c r="J481" s="29" t="n"/>
      <c r="K481" s="29" t="n"/>
    </row>
    <row r="482" ht="54" customHeight="1">
      <c r="A482" s="29" t="n"/>
      <c r="B482" s="29" t="n"/>
      <c r="C482" s="29" t="n"/>
      <c r="D482" s="29" t="n"/>
      <c r="E482" s="29" t="n"/>
      <c r="F482" s="49" t="n"/>
      <c r="G482" s="29" t="n"/>
      <c r="H482" s="29" t="n"/>
      <c r="I482" s="29" t="n"/>
      <c r="J482" s="29" t="n"/>
      <c r="K482" s="29" t="n"/>
    </row>
    <row r="483" ht="54" customHeight="1">
      <c r="A483" s="29" t="n"/>
      <c r="B483" s="29" t="n"/>
      <c r="C483" s="29" t="n"/>
      <c r="D483" s="29" t="n"/>
      <c r="E483" s="29" t="n"/>
      <c r="F483" s="49" t="n"/>
      <c r="G483" s="29" t="n"/>
      <c r="H483" s="29" t="n"/>
      <c r="I483" s="29" t="n"/>
      <c r="J483" s="29" t="n"/>
      <c r="K483" s="29" t="n"/>
    </row>
    <row r="484" ht="54" customHeight="1">
      <c r="A484" s="29" t="n"/>
      <c r="B484" s="29" t="n"/>
      <c r="C484" s="29" t="n"/>
      <c r="D484" s="29" t="n"/>
      <c r="E484" s="29" t="n"/>
      <c r="F484" s="49" t="n"/>
      <c r="G484" s="29" t="n"/>
      <c r="H484" s="29" t="n"/>
      <c r="I484" s="29" t="n"/>
      <c r="J484" s="29" t="n"/>
      <c r="K484" s="29" t="n"/>
    </row>
    <row r="485" ht="54" customHeight="1">
      <c r="A485" s="29" t="n"/>
      <c r="B485" s="29" t="n"/>
      <c r="C485" s="29" t="n"/>
      <c r="D485" s="29" t="n"/>
      <c r="E485" s="29" t="n"/>
      <c r="F485" s="49" t="n"/>
      <c r="G485" s="29" t="n"/>
      <c r="H485" s="29" t="n"/>
      <c r="I485" s="29" t="n"/>
      <c r="J485" s="29" t="n"/>
      <c r="K485" s="29" t="n"/>
    </row>
    <row r="486" ht="54" customHeight="1">
      <c r="A486" s="29" t="n"/>
      <c r="B486" s="29" t="n"/>
      <c r="C486" s="29" t="n"/>
      <c r="D486" s="29" t="n"/>
      <c r="E486" s="29" t="n"/>
      <c r="F486" s="49" t="n"/>
      <c r="G486" s="29" t="n"/>
      <c r="H486" s="29" t="n"/>
      <c r="I486" s="29" t="n"/>
      <c r="J486" s="29" t="n"/>
      <c r="K486" s="29" t="n"/>
    </row>
    <row r="487" ht="54" customHeight="1">
      <c r="A487" s="29" t="n"/>
      <c r="B487" s="29" t="n"/>
      <c r="C487" s="29" t="n"/>
      <c r="D487" s="29" t="n"/>
      <c r="E487" s="29" t="n"/>
      <c r="F487" s="49" t="n"/>
      <c r="G487" s="29" t="n"/>
      <c r="H487" s="29" t="n"/>
      <c r="I487" s="29" t="n"/>
      <c r="J487" s="29" t="n"/>
      <c r="K487" s="29" t="n"/>
    </row>
    <row r="488" ht="54" customHeight="1">
      <c r="A488" s="29" t="n"/>
      <c r="B488" s="29" t="n"/>
      <c r="C488" s="29" t="n"/>
      <c r="D488" s="29" t="n"/>
      <c r="E488" s="29" t="n"/>
      <c r="F488" s="49" t="n"/>
      <c r="G488" s="29" t="n"/>
      <c r="H488" s="29" t="n"/>
      <c r="I488" s="29" t="n"/>
      <c r="J488" s="29" t="n"/>
      <c r="K488" s="29" t="n"/>
    </row>
    <row r="489" ht="54" customHeight="1">
      <c r="A489" s="29" t="n"/>
      <c r="B489" s="29" t="n"/>
      <c r="C489" s="29" t="n"/>
      <c r="D489" s="29" t="n"/>
      <c r="E489" s="29" t="n"/>
      <c r="F489" s="49" t="n"/>
      <c r="G489" s="29" t="n"/>
      <c r="H489" s="29" t="n"/>
      <c r="I489" s="29" t="n"/>
      <c r="J489" s="29" t="n"/>
      <c r="K489" s="29" t="n"/>
    </row>
    <row r="490" ht="54" customHeight="1">
      <c r="A490" s="29" t="n"/>
      <c r="B490" s="29" t="n"/>
      <c r="C490" s="29" t="n"/>
      <c r="D490" s="29" t="n"/>
      <c r="E490" s="29" t="n"/>
      <c r="F490" s="49" t="n"/>
      <c r="G490" s="29" t="n"/>
      <c r="H490" s="29" t="n"/>
      <c r="I490" s="29" t="n"/>
      <c r="J490" s="29" t="n"/>
      <c r="K490" s="29" t="n"/>
    </row>
    <row r="491" ht="54" customHeight="1">
      <c r="A491" s="29" t="n"/>
      <c r="B491" s="29" t="n"/>
      <c r="C491" s="29" t="n"/>
      <c r="D491" s="29" t="n"/>
      <c r="E491" s="29" t="n"/>
      <c r="F491" s="49" t="n"/>
      <c r="G491" s="29" t="n"/>
      <c r="H491" s="29" t="n"/>
      <c r="I491" s="29" t="n"/>
      <c r="J491" s="29" t="n"/>
      <c r="K491" s="29" t="n"/>
    </row>
    <row r="492" ht="54" customHeight="1">
      <c r="A492" s="29" t="n"/>
      <c r="B492" s="29" t="n"/>
      <c r="C492" s="29" t="n"/>
      <c r="D492" s="29" t="n"/>
      <c r="E492" s="29" t="n"/>
      <c r="F492" s="49" t="n"/>
      <c r="G492" s="29" t="n"/>
      <c r="H492" s="29" t="n"/>
      <c r="I492" s="29" t="n"/>
      <c r="J492" s="29" t="n"/>
      <c r="K492" s="29" t="n"/>
    </row>
    <row r="493" ht="54" customHeight="1">
      <c r="A493" s="29" t="n"/>
      <c r="B493" s="29" t="n"/>
      <c r="C493" s="29" t="n"/>
      <c r="D493" s="29" t="n"/>
      <c r="E493" s="29" t="n"/>
      <c r="F493" s="49" t="n"/>
      <c r="G493" s="29" t="n"/>
      <c r="H493" s="29" t="n"/>
      <c r="I493" s="29" t="n"/>
      <c r="J493" s="29" t="n"/>
      <c r="K493" s="29" t="n"/>
    </row>
    <row r="494" ht="54" customHeight="1">
      <c r="A494" s="29" t="n"/>
      <c r="B494" s="29" t="n"/>
      <c r="C494" s="29" t="n"/>
      <c r="D494" s="29" t="n"/>
      <c r="E494" s="29" t="n"/>
      <c r="F494" s="49" t="n"/>
      <c r="G494" s="29" t="n"/>
      <c r="H494" s="29" t="n"/>
      <c r="I494" s="29" t="n"/>
      <c r="J494" s="29" t="n"/>
      <c r="K494" s="29" t="n"/>
    </row>
    <row r="495" ht="54" customHeight="1">
      <c r="A495" s="29" t="n"/>
      <c r="B495" s="29" t="n"/>
      <c r="C495" s="29" t="n"/>
      <c r="D495" s="29" t="n"/>
      <c r="E495" s="29" t="n"/>
      <c r="F495" s="49" t="n"/>
      <c r="G495" s="29" t="n"/>
      <c r="H495" s="29" t="n"/>
      <c r="I495" s="29" t="n"/>
      <c r="J495" s="29" t="n"/>
      <c r="K495" s="29" t="n"/>
    </row>
    <row r="496" ht="54" customHeight="1">
      <c r="A496" s="29" t="n"/>
      <c r="B496" s="29" t="n"/>
      <c r="C496" s="29" t="n"/>
      <c r="D496" s="29" t="n"/>
      <c r="E496" s="29" t="n"/>
      <c r="F496" s="49" t="n"/>
      <c r="G496" s="29" t="n"/>
      <c r="H496" s="29" t="n"/>
      <c r="I496" s="29" t="n"/>
      <c r="J496" s="29" t="n"/>
      <c r="K496" s="29" t="n"/>
    </row>
    <row r="497" ht="54" customHeight="1">
      <c r="A497" s="29" t="n"/>
      <c r="B497" s="29" t="n"/>
      <c r="C497" s="29" t="n"/>
      <c r="D497" s="29" t="n"/>
      <c r="E497" s="29" t="n"/>
      <c r="F497" s="49" t="n"/>
      <c r="G497" s="29" t="n"/>
      <c r="H497" s="29" t="n"/>
      <c r="I497" s="29" t="n"/>
      <c r="J497" s="29" t="n"/>
      <c r="K497" s="29" t="n"/>
    </row>
    <row r="498" ht="54" customHeight="1">
      <c r="A498" s="29" t="n"/>
      <c r="B498" s="29" t="n"/>
      <c r="C498" s="29" t="n"/>
      <c r="D498" s="29" t="n"/>
      <c r="E498" s="29" t="n"/>
      <c r="F498" s="49" t="n"/>
      <c r="G498" s="29" t="n"/>
      <c r="H498" s="29" t="n"/>
      <c r="I498" s="29" t="n"/>
      <c r="J498" s="29" t="n"/>
      <c r="K498" s="29" t="n"/>
    </row>
    <row r="499" ht="54" customHeight="1">
      <c r="A499" s="29" t="n"/>
      <c r="B499" s="29" t="n"/>
      <c r="C499" s="29" t="n"/>
      <c r="D499" s="29" t="n"/>
      <c r="E499" s="29" t="n"/>
      <c r="F499" s="49" t="n"/>
      <c r="G499" s="29" t="n"/>
      <c r="H499" s="29" t="n"/>
      <c r="I499" s="29" t="n"/>
      <c r="J499" s="29" t="n"/>
      <c r="K499" s="29" t="n"/>
    </row>
    <row r="500" ht="54" customHeight="1">
      <c r="A500" s="29" t="n"/>
      <c r="B500" s="29" t="n"/>
      <c r="C500" s="29" t="n"/>
      <c r="D500" s="29" t="n"/>
      <c r="E500" s="29" t="n"/>
      <c r="F500" s="49" t="n"/>
      <c r="G500" s="29" t="n"/>
      <c r="H500" s="29" t="n"/>
      <c r="I500" s="29" t="n"/>
      <c r="J500" s="29" t="n"/>
      <c r="K500" s="29" t="n"/>
    </row>
    <row r="501" ht="54" customHeight="1">
      <c r="A501" s="29" t="n"/>
      <c r="B501" s="29" t="n"/>
      <c r="C501" s="29" t="n"/>
      <c r="D501" s="29" t="n"/>
      <c r="E501" s="29" t="n"/>
      <c r="F501" s="49" t="n"/>
      <c r="G501" s="29" t="n"/>
      <c r="H501" s="29" t="n"/>
      <c r="I501" s="29" t="n"/>
      <c r="J501" s="29" t="n"/>
      <c r="K501" s="29" t="n"/>
    </row>
    <row r="502" ht="54" customHeight="1">
      <c r="A502" s="29" t="n"/>
      <c r="B502" s="29" t="n"/>
      <c r="C502" s="29" t="n"/>
      <c r="D502" s="29" t="n"/>
      <c r="E502" s="29" t="n"/>
      <c r="F502" s="49" t="n"/>
      <c r="G502" s="29" t="n"/>
      <c r="H502" s="29" t="n"/>
      <c r="I502" s="29" t="n"/>
      <c r="J502" s="29" t="n"/>
      <c r="K502" s="29" t="n"/>
    </row>
    <row r="503" ht="54" customHeight="1">
      <c r="A503" s="29" t="n"/>
      <c r="B503" s="29" t="n"/>
      <c r="C503" s="29" t="n"/>
      <c r="D503" s="29" t="n"/>
      <c r="E503" s="29" t="n"/>
      <c r="F503" s="49" t="n"/>
      <c r="G503" s="29" t="n"/>
      <c r="H503" s="29" t="n"/>
      <c r="I503" s="29" t="n"/>
      <c r="J503" s="29" t="n"/>
      <c r="K503" s="29" t="n"/>
    </row>
    <row r="504" ht="54" customHeight="1">
      <c r="A504" s="29" t="n"/>
      <c r="B504" s="29" t="n"/>
      <c r="C504" s="29" t="n"/>
      <c r="D504" s="29" t="n"/>
      <c r="E504" s="29" t="n"/>
      <c r="F504" s="49" t="n"/>
      <c r="G504" s="29" t="n"/>
      <c r="H504" s="29" t="n"/>
      <c r="I504" s="29" t="n"/>
      <c r="J504" s="29" t="n"/>
      <c r="K504" s="29" t="n"/>
    </row>
    <row r="505" ht="54" customHeight="1">
      <c r="A505" s="29" t="n"/>
      <c r="B505" s="29" t="n"/>
      <c r="C505" s="29" t="n"/>
      <c r="D505" s="29" t="n"/>
      <c r="E505" s="29" t="n"/>
      <c r="F505" s="49" t="n"/>
      <c r="G505" s="29" t="n"/>
      <c r="H505" s="29" t="n"/>
      <c r="I505" s="29" t="n"/>
      <c r="J505" s="29" t="n"/>
      <c r="K505" s="29" t="n"/>
    </row>
    <row r="506" ht="54" customHeight="1">
      <c r="A506" s="29" t="n"/>
      <c r="B506" s="29" t="n"/>
      <c r="C506" s="29" t="n"/>
      <c r="D506" s="29" t="n"/>
      <c r="E506" s="29" t="n"/>
      <c r="F506" s="49" t="n"/>
      <c r="G506" s="29" t="n"/>
      <c r="H506" s="29" t="n"/>
      <c r="I506" s="29" t="n"/>
      <c r="J506" s="29" t="n"/>
      <c r="K506" s="29" t="n"/>
    </row>
    <row r="507" ht="54" customHeight="1">
      <c r="A507" s="29" t="n"/>
      <c r="B507" s="29" t="n"/>
      <c r="C507" s="29" t="n"/>
      <c r="D507" s="29" t="n"/>
      <c r="E507" s="29" t="n"/>
      <c r="F507" s="49" t="n"/>
      <c r="G507" s="29" t="n"/>
      <c r="H507" s="29" t="n"/>
      <c r="I507" s="29" t="n"/>
      <c r="J507" s="29" t="n"/>
      <c r="K507" s="29" t="n"/>
    </row>
  </sheetData>
  <mergeCells count="1">
    <mergeCell ref="A3:H3"/>
  </mergeCells>
  <conditionalFormatting sqref="A8:A507">
    <cfRule type="expression" priority="1" dxfId="1">
      <formula>AND($A8&lt;&gt;"",ISBLANK(A8))</formula>
    </cfRule>
  </conditionalFormatting>
  <conditionalFormatting sqref="B8:B507">
    <cfRule type="expression" priority="2" dxfId="1">
      <formula>AND($A8&lt;&gt;"",ISBLANK(B8))</formula>
    </cfRule>
  </conditionalFormatting>
  <conditionalFormatting sqref="C8:C507">
    <cfRule type="expression" priority="3" dxfId="1">
      <formula>AND($A8&lt;&gt;"",ISBLANK(C8))</formula>
    </cfRule>
  </conditionalFormatting>
  <conditionalFormatting sqref="D8:D507">
    <cfRule type="expression" priority="4" dxfId="1">
      <formula>AND($A8&lt;&gt;"",ISBLANK(D8))</formula>
    </cfRule>
  </conditionalFormatting>
  <conditionalFormatting sqref="E8:E507">
    <cfRule type="expression" priority="5" dxfId="1">
      <formula>AND($A8&lt;&gt;"",ISBLANK(E8))</formula>
    </cfRule>
  </conditionalFormatting>
  <conditionalFormatting sqref="F8:F507">
    <cfRule type="expression" priority="6" dxfId="1">
      <formula>AND($A8&lt;&gt;"",ISBLANK(F8))</formula>
    </cfRule>
  </conditionalFormatting>
  <conditionalFormatting sqref="I8:I507">
    <cfRule type="expression" priority="7" dxfId="1">
      <formula>AND($A8&lt;&gt;"",ISBLANK(I8))</formula>
    </cfRule>
  </conditionalFormatting>
  <dataValidations count="1">
    <dataValidation sqref="I8:I50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T6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32" customWidth="1" min="4" max="4"/>
    <col width="28" customWidth="1" min="5" max="5"/>
    <col width="32" customWidth="1" min="6" max="6"/>
    <col width="28" customWidth="1" min="7" max="7"/>
    <col width="28" customWidth="1" min="8" max="8"/>
    <col width="28" customWidth="1" min="9" max="9"/>
    <col width="48" customWidth="1" min="10" max="10"/>
    <col width="48" customWidth="1" min="11" max="11"/>
    <col width="20" customWidth="1" min="12" max="12"/>
    <col width="20" customWidth="1" min="13" max="13"/>
    <col width="58" customWidth="1" min="14" max="14"/>
    <col width="32" customWidth="1" min="15" max="15"/>
    <col width="28" customWidth="1" min="16" max="16"/>
    <col width="28" customWidth="1" min="17" max="17"/>
    <col width="28" customWidth="1" min="18" max="18"/>
    <col width="26" customWidth="1" min="19" max="19"/>
    <col width="26"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Gerçek fotoğraf teslimi</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İsteğe bağlı</t>
        </is>
      </c>
      <c r="E5" s="22" t="inlineStr">
        <is>
          <t>Zorunlu</t>
        </is>
      </c>
      <c r="F5" s="22" t="inlineStr">
        <is>
          <t>Zorunlu</t>
        </is>
      </c>
      <c r="G5" s="22" t="inlineStr">
        <is>
          <t>Zorunlu</t>
        </is>
      </c>
      <c r="H5" s="22" t="inlineStr">
        <is>
          <t>Zorunlu</t>
        </is>
      </c>
      <c r="I5" s="22" t="inlineStr">
        <is>
          <t>Zorunlu</t>
        </is>
      </c>
      <c r="J5" s="22" t="inlineStr">
        <is>
          <t>Zorunlu</t>
        </is>
      </c>
      <c r="K5" s="22" t="inlineStr">
        <is>
          <t>Zorunlu</t>
        </is>
      </c>
      <c r="L5" s="22" t="inlineStr">
        <is>
          <t>İsteğe bağlı · tarih</t>
        </is>
      </c>
      <c r="M5" s="22" t="inlineStr">
        <is>
          <t>Zorunlu · tarih</t>
        </is>
      </c>
      <c r="N5" s="22" t="inlineStr">
        <is>
          <t>Zorunlu</t>
        </is>
      </c>
      <c r="O5" s="22" t="inlineStr">
        <is>
          <t>Zorunlu</t>
        </is>
      </c>
      <c r="P5" s="22" t="inlineStr">
        <is>
          <t>Zorunlu</t>
        </is>
      </c>
      <c r="Q5" s="22" t="inlineStr">
        <is>
          <t>Zorunlu</t>
        </is>
      </c>
      <c r="R5" s="22" t="inlineStr">
        <is>
          <t>Zorunlu</t>
        </is>
      </c>
      <c r="S5" s="22" t="inlineStr">
        <is>
          <t>Hesap · değiştirmeyin</t>
        </is>
      </c>
      <c r="T5" s="22" t="inlineStr">
        <is>
          <t>Hesap · değiştirmeyin</t>
        </is>
      </c>
    </row>
    <row r="6" ht="44" customHeight="1">
      <c r="A6" s="25" t="inlineStr">
        <is>
          <t>Fotoğraf kimliği</t>
        </is>
      </c>
      <c r="B6" s="25" t="inlineStr">
        <is>
          <t>Şehir kimliği</t>
        </is>
      </c>
      <c r="C6" s="25" t="inlineStr">
        <is>
          <t>Kullanım</t>
        </is>
      </c>
      <c r="D6" s="25" t="inlineStr">
        <is>
          <t>Mekân / mahalle kimliği</t>
        </is>
      </c>
      <c r="E6" s="25" t="inlineStr">
        <is>
          <t>Görsel dosyası</t>
        </is>
      </c>
      <c r="F6" s="25" t="inlineStr">
        <is>
          <t>Görsel SHA-256</t>
        </is>
      </c>
      <c r="G6" s="25" t="inlineStr">
        <is>
          <t>Türkçe açıklama</t>
        </is>
      </c>
      <c r="H6" s="25" t="inlineStr">
        <is>
          <t>Fotoğrafçı / atıf</t>
        </is>
      </c>
      <c r="I6" s="25" t="inlineStr">
        <is>
          <t>Ücretsiz ticari lisans</t>
        </is>
      </c>
      <c r="J6" s="25" t="inlineStr">
        <is>
          <t>Lisans bağlantısı</t>
        </is>
      </c>
      <c r="K6" s="25" t="inlineStr">
        <is>
          <t>Fotoğraf kaynak sayfası</t>
        </is>
      </c>
      <c r="L6" s="25" t="inlineStr">
        <is>
          <t>Varsa çekim tarihi</t>
        </is>
      </c>
      <c r="M6" s="25" t="inlineStr">
        <is>
          <t>Hak / kaynak kontrol tarihi</t>
        </is>
      </c>
      <c r="N6" s="25" t="inlineStr">
        <is>
          <t>Yapılan değişiklikler</t>
        </is>
      </c>
      <c r="O6" s="25" t="inlineStr">
        <is>
          <t>Kanıt kimliği</t>
        </is>
      </c>
      <c r="P6" s="25" t="inlineStr">
        <is>
          <t>Sayımda kullanılabilir</t>
        </is>
      </c>
      <c r="Q6" s="25" t="inlineStr">
        <is>
          <t>Galeri sırası</t>
        </is>
      </c>
      <c r="R6" s="25" t="inlineStr">
        <is>
          <t>Editör durumu</t>
        </is>
      </c>
      <c r="S6" s="25" t="inlineStr">
        <is>
          <t>Farklı mekân fotoğrafı (hesap)</t>
        </is>
      </c>
      <c r="T6" s="25" t="inlineStr">
        <is>
          <t>Farklı kapak fotoğrafı (hesap)</t>
        </is>
      </c>
    </row>
    <row r="7" ht="32" customHeight="1">
      <c r="A7" s="28" t="inlineStr">
        <is>
          <t>photo_id</t>
        </is>
      </c>
      <c r="B7" s="28" t="inlineStr">
        <is>
          <t>city_id</t>
        </is>
      </c>
      <c r="C7" s="28" t="inlineStr">
        <is>
          <t>role</t>
        </is>
      </c>
      <c r="D7" s="28" t="inlineStr">
        <is>
          <t>entry_id</t>
        </is>
      </c>
      <c r="E7" s="28" t="inlineStr">
        <is>
          <t>file</t>
        </is>
      </c>
      <c r="F7" s="28" t="inlineStr">
        <is>
          <t>sha256</t>
        </is>
      </c>
      <c r="G7" s="28" t="inlineStr">
        <is>
          <t>caption</t>
        </is>
      </c>
      <c r="H7" s="28" t="inlineStr">
        <is>
          <t>author</t>
        </is>
      </c>
      <c r="I7" s="28" t="inlineStr">
        <is>
          <t>license</t>
        </is>
      </c>
      <c r="J7" s="28" t="inlineStr">
        <is>
          <t>license_url</t>
        </is>
      </c>
      <c r="K7" s="28" t="inlineStr">
        <is>
          <t>source_url</t>
        </is>
      </c>
      <c r="L7" s="28" t="inlineStr">
        <is>
          <t>capture_date</t>
        </is>
      </c>
      <c r="M7" s="28" t="inlineStr">
        <is>
          <t>source_checked_on</t>
        </is>
      </c>
      <c r="N7" s="28" t="inlineStr">
        <is>
          <t>modifications</t>
        </is>
      </c>
      <c r="O7" s="28" t="inlineStr">
        <is>
          <t>evidence_id</t>
        </is>
      </c>
      <c r="P7" s="28" t="inlineStr">
        <is>
          <t>completion_credit</t>
        </is>
      </c>
      <c r="Q7" s="28" t="inlineStr">
        <is>
          <t>order</t>
        </is>
      </c>
      <c r="R7" s="28" t="inlineStr">
        <is>
          <t>editorial_status</t>
        </is>
      </c>
      <c r="S7" s="28" t="inlineStr">
        <is>
          <t>unique_venue_count</t>
        </is>
      </c>
      <c r="T7" s="28" t="inlineStr">
        <is>
          <t>unique_hero_count</t>
        </is>
      </c>
    </row>
    <row r="8" ht="54" customHeight="1">
      <c r="A8" s="29" t="n"/>
      <c r="B8" s="29" t="n"/>
      <c r="C8" s="29" t="n"/>
      <c r="D8" s="29" t="n"/>
      <c r="E8" s="29" t="n"/>
      <c r="F8" s="29" t="n"/>
      <c r="G8" s="29" t="n"/>
      <c r="H8" s="29" t="n"/>
      <c r="I8" s="29" t="n"/>
      <c r="J8" s="29" t="n"/>
      <c r="K8" s="29" t="n"/>
      <c r="L8" s="49" t="n"/>
      <c r="M8" s="49" t="n"/>
      <c r="N8" s="29" t="n"/>
      <c r="O8" s="29" t="n"/>
      <c r="P8" s="29" t="n"/>
      <c r="Q8" s="51" t="n"/>
      <c r="R8" s="29" t="n"/>
      <c r="S8" s="52">
        <f>IF(OR(A8="",F8="",C8&lt;&gt;"Mekân"),0,IF(COUNTIFS($F$8:F8,F8,$C$8:C8,"Mekân")=1,1,0))</f>
        <v/>
      </c>
      <c r="T8" s="52">
        <f>IF(OR(A8="",F8="",C8&lt;&gt;"Kapak"),0,IF(COUNTIFS($F$8:F8,F8,$C$8:C8,"Kapak")=1,1,0))</f>
        <v/>
      </c>
    </row>
    <row r="9" ht="54" customHeight="1">
      <c r="A9" s="29" t="n"/>
      <c r="B9" s="29" t="n"/>
      <c r="C9" s="29" t="n"/>
      <c r="D9" s="29" t="n"/>
      <c r="E9" s="29" t="n"/>
      <c r="F9" s="29" t="n"/>
      <c r="G9" s="29" t="n"/>
      <c r="H9" s="29" t="n"/>
      <c r="I9" s="29" t="n"/>
      <c r="J9" s="29" t="n"/>
      <c r="K9" s="29" t="n"/>
      <c r="L9" s="49" t="n"/>
      <c r="M9" s="49" t="n"/>
      <c r="N9" s="29" t="n"/>
      <c r="O9" s="29" t="n"/>
      <c r="P9" s="29" t="n"/>
      <c r="Q9" s="51" t="n"/>
      <c r="R9" s="29" t="n"/>
      <c r="S9" s="52">
        <f>IF(OR(A9="",F9="",C9&lt;&gt;"Mekân"),0,IF(COUNTIFS($F$8:F9,F9,$C$8:C9,"Mekân")=1,1,0))</f>
        <v/>
      </c>
      <c r="T9" s="52">
        <f>IF(OR(A9="",F9="",C9&lt;&gt;"Kapak"),0,IF(COUNTIFS($F$8:F9,F9,$C$8:C9,"Kapak")=1,1,0))</f>
        <v/>
      </c>
    </row>
    <row r="10" ht="54" customHeight="1">
      <c r="A10" s="29" t="n"/>
      <c r="B10" s="29" t="n"/>
      <c r="C10" s="29" t="n"/>
      <c r="D10" s="29" t="n"/>
      <c r="E10" s="29" t="n"/>
      <c r="F10" s="29" t="n"/>
      <c r="G10" s="29" t="n"/>
      <c r="H10" s="29" t="n"/>
      <c r="I10" s="29" t="n"/>
      <c r="J10" s="29" t="n"/>
      <c r="K10" s="29" t="n"/>
      <c r="L10" s="49" t="n"/>
      <c r="M10" s="49" t="n"/>
      <c r="N10" s="29" t="n"/>
      <c r="O10" s="29" t="n"/>
      <c r="P10" s="29" t="n"/>
      <c r="Q10" s="51" t="n"/>
      <c r="R10" s="29" t="n"/>
      <c r="S10" s="52">
        <f>IF(OR(A10="",F10="",C10&lt;&gt;"Mekân"),0,IF(COUNTIFS($F$8:F10,F10,$C$8:C10,"Mekân")=1,1,0))</f>
        <v/>
      </c>
      <c r="T10" s="52">
        <f>IF(OR(A10="",F10="",C10&lt;&gt;"Kapak"),0,IF(COUNTIFS($F$8:F10,F10,$C$8:C10,"Kapak")=1,1,0))</f>
        <v/>
      </c>
    </row>
    <row r="11" ht="54" customHeight="1">
      <c r="A11" s="29" t="n"/>
      <c r="B11" s="29" t="n"/>
      <c r="C11" s="29" t="n"/>
      <c r="D11" s="29" t="n"/>
      <c r="E11" s="29" t="n"/>
      <c r="F11" s="29" t="n"/>
      <c r="G11" s="29" t="n"/>
      <c r="H11" s="29" t="n"/>
      <c r="I11" s="29" t="n"/>
      <c r="J11" s="29" t="n"/>
      <c r="K11" s="29" t="n"/>
      <c r="L11" s="49" t="n"/>
      <c r="M11" s="49" t="n"/>
      <c r="N11" s="29" t="n"/>
      <c r="O11" s="29" t="n"/>
      <c r="P11" s="29" t="n"/>
      <c r="Q11" s="51" t="n"/>
      <c r="R11" s="29" t="n"/>
      <c r="S11" s="52">
        <f>IF(OR(A11="",F11="",C11&lt;&gt;"Mekân"),0,IF(COUNTIFS($F$8:F11,F11,$C$8:C11,"Mekân")=1,1,0))</f>
        <v/>
      </c>
      <c r="T11" s="52">
        <f>IF(OR(A11="",F11="",C11&lt;&gt;"Kapak"),0,IF(COUNTIFS($F$8:F11,F11,$C$8:C11,"Kapak")=1,1,0))</f>
        <v/>
      </c>
    </row>
    <row r="12" ht="54" customHeight="1">
      <c r="A12" s="29" t="n"/>
      <c r="B12" s="29" t="n"/>
      <c r="C12" s="29" t="n"/>
      <c r="D12" s="29" t="n"/>
      <c r="E12" s="29" t="n"/>
      <c r="F12" s="29" t="n"/>
      <c r="G12" s="29" t="n"/>
      <c r="H12" s="29" t="n"/>
      <c r="I12" s="29" t="n"/>
      <c r="J12" s="29" t="n"/>
      <c r="K12" s="29" t="n"/>
      <c r="L12" s="49" t="n"/>
      <c r="M12" s="49" t="n"/>
      <c r="N12" s="29" t="n"/>
      <c r="O12" s="29" t="n"/>
      <c r="P12" s="29" t="n"/>
      <c r="Q12" s="51" t="n"/>
      <c r="R12" s="29" t="n"/>
      <c r="S12" s="52">
        <f>IF(OR(A12="",F12="",C12&lt;&gt;"Mekân"),0,IF(COUNTIFS($F$8:F12,F12,$C$8:C12,"Mekân")=1,1,0))</f>
        <v/>
      </c>
      <c r="T12" s="52">
        <f>IF(OR(A12="",F12="",C12&lt;&gt;"Kapak"),0,IF(COUNTIFS($F$8:F12,F12,$C$8:C12,"Kapak")=1,1,0))</f>
        <v/>
      </c>
    </row>
    <row r="13" ht="54" customHeight="1">
      <c r="A13" s="29" t="n"/>
      <c r="B13" s="29" t="n"/>
      <c r="C13" s="29" t="n"/>
      <c r="D13" s="29" t="n"/>
      <c r="E13" s="29" t="n"/>
      <c r="F13" s="29" t="n"/>
      <c r="G13" s="29" t="n"/>
      <c r="H13" s="29" t="n"/>
      <c r="I13" s="29" t="n"/>
      <c r="J13" s="29" t="n"/>
      <c r="K13" s="29" t="n"/>
      <c r="L13" s="49" t="n"/>
      <c r="M13" s="49" t="n"/>
      <c r="N13" s="29" t="n"/>
      <c r="O13" s="29" t="n"/>
      <c r="P13" s="29" t="n"/>
      <c r="Q13" s="51" t="n"/>
      <c r="R13" s="29" t="n"/>
      <c r="S13" s="52">
        <f>IF(OR(A13="",F13="",C13&lt;&gt;"Mekân"),0,IF(COUNTIFS($F$8:F13,F13,$C$8:C13,"Mekân")=1,1,0))</f>
        <v/>
      </c>
      <c r="T13" s="52">
        <f>IF(OR(A13="",F13="",C13&lt;&gt;"Kapak"),0,IF(COUNTIFS($F$8:F13,F13,$C$8:C13,"Kapak")=1,1,0))</f>
        <v/>
      </c>
    </row>
    <row r="14" ht="54" customHeight="1">
      <c r="A14" s="29" t="n"/>
      <c r="B14" s="29" t="n"/>
      <c r="C14" s="29" t="n"/>
      <c r="D14" s="29" t="n"/>
      <c r="E14" s="29" t="n"/>
      <c r="F14" s="29" t="n"/>
      <c r="G14" s="29" t="n"/>
      <c r="H14" s="29" t="n"/>
      <c r="I14" s="29" t="n"/>
      <c r="J14" s="29" t="n"/>
      <c r="K14" s="29" t="n"/>
      <c r="L14" s="49" t="n"/>
      <c r="M14" s="49" t="n"/>
      <c r="N14" s="29" t="n"/>
      <c r="O14" s="29" t="n"/>
      <c r="P14" s="29" t="n"/>
      <c r="Q14" s="51" t="n"/>
      <c r="R14" s="29" t="n"/>
      <c r="S14" s="52">
        <f>IF(OR(A14="",F14="",C14&lt;&gt;"Mekân"),0,IF(COUNTIFS($F$8:F14,F14,$C$8:C14,"Mekân")=1,1,0))</f>
        <v/>
      </c>
      <c r="T14" s="52">
        <f>IF(OR(A14="",F14="",C14&lt;&gt;"Kapak"),0,IF(COUNTIFS($F$8:F14,F14,$C$8:C14,"Kapak")=1,1,0))</f>
        <v/>
      </c>
    </row>
    <row r="15" ht="54" customHeight="1">
      <c r="A15" s="29" t="n"/>
      <c r="B15" s="29" t="n"/>
      <c r="C15" s="29" t="n"/>
      <c r="D15" s="29" t="n"/>
      <c r="E15" s="29" t="n"/>
      <c r="F15" s="29" t="n"/>
      <c r="G15" s="29" t="n"/>
      <c r="H15" s="29" t="n"/>
      <c r="I15" s="29" t="n"/>
      <c r="J15" s="29" t="n"/>
      <c r="K15" s="29" t="n"/>
      <c r="L15" s="49" t="n"/>
      <c r="M15" s="49" t="n"/>
      <c r="N15" s="29" t="n"/>
      <c r="O15" s="29" t="n"/>
      <c r="P15" s="29" t="n"/>
      <c r="Q15" s="51" t="n"/>
      <c r="R15" s="29" t="n"/>
      <c r="S15" s="52">
        <f>IF(OR(A15="",F15="",C15&lt;&gt;"Mekân"),0,IF(COUNTIFS($F$8:F15,F15,$C$8:C15,"Mekân")=1,1,0))</f>
        <v/>
      </c>
      <c r="T15" s="52">
        <f>IF(OR(A15="",F15="",C15&lt;&gt;"Kapak"),0,IF(COUNTIFS($F$8:F15,F15,$C$8:C15,"Kapak")=1,1,0))</f>
        <v/>
      </c>
    </row>
    <row r="16" ht="54" customHeight="1">
      <c r="A16" s="29" t="n"/>
      <c r="B16" s="29" t="n"/>
      <c r="C16" s="29" t="n"/>
      <c r="D16" s="29" t="n"/>
      <c r="E16" s="29" t="n"/>
      <c r="F16" s="29" t="n"/>
      <c r="G16" s="29" t="n"/>
      <c r="H16" s="29" t="n"/>
      <c r="I16" s="29" t="n"/>
      <c r="J16" s="29" t="n"/>
      <c r="K16" s="29" t="n"/>
      <c r="L16" s="49" t="n"/>
      <c r="M16" s="49" t="n"/>
      <c r="N16" s="29" t="n"/>
      <c r="O16" s="29" t="n"/>
      <c r="P16" s="29" t="n"/>
      <c r="Q16" s="51" t="n"/>
      <c r="R16" s="29" t="n"/>
      <c r="S16" s="52">
        <f>IF(OR(A16="",F16="",C16&lt;&gt;"Mekân"),0,IF(COUNTIFS($F$8:F16,F16,$C$8:C16,"Mekân")=1,1,0))</f>
        <v/>
      </c>
      <c r="T16" s="52">
        <f>IF(OR(A16="",F16="",C16&lt;&gt;"Kapak"),0,IF(COUNTIFS($F$8:F16,F16,$C$8:C16,"Kapak")=1,1,0))</f>
        <v/>
      </c>
    </row>
    <row r="17" ht="54" customHeight="1">
      <c r="A17" s="29" t="n"/>
      <c r="B17" s="29" t="n"/>
      <c r="C17" s="29" t="n"/>
      <c r="D17" s="29" t="n"/>
      <c r="E17" s="29" t="n"/>
      <c r="F17" s="29" t="n"/>
      <c r="G17" s="29" t="n"/>
      <c r="H17" s="29" t="n"/>
      <c r="I17" s="29" t="n"/>
      <c r="J17" s="29" t="n"/>
      <c r="K17" s="29" t="n"/>
      <c r="L17" s="49" t="n"/>
      <c r="M17" s="49" t="n"/>
      <c r="N17" s="29" t="n"/>
      <c r="O17" s="29" t="n"/>
      <c r="P17" s="29" t="n"/>
      <c r="Q17" s="51" t="n"/>
      <c r="R17" s="29" t="n"/>
      <c r="S17" s="52">
        <f>IF(OR(A17="",F17="",C17&lt;&gt;"Mekân"),0,IF(COUNTIFS($F$8:F17,F17,$C$8:C17,"Mekân")=1,1,0))</f>
        <v/>
      </c>
      <c r="T17" s="52">
        <f>IF(OR(A17="",F17="",C17&lt;&gt;"Kapak"),0,IF(COUNTIFS($F$8:F17,F17,$C$8:C17,"Kapak")=1,1,0))</f>
        <v/>
      </c>
    </row>
    <row r="18" ht="54" customHeight="1">
      <c r="A18" s="29" t="n"/>
      <c r="B18" s="29" t="n"/>
      <c r="C18" s="29" t="n"/>
      <c r="D18" s="29" t="n"/>
      <c r="E18" s="29" t="n"/>
      <c r="F18" s="29" t="n"/>
      <c r="G18" s="29" t="n"/>
      <c r="H18" s="29" t="n"/>
      <c r="I18" s="29" t="n"/>
      <c r="J18" s="29" t="n"/>
      <c r="K18" s="29" t="n"/>
      <c r="L18" s="49" t="n"/>
      <c r="M18" s="49" t="n"/>
      <c r="N18" s="29" t="n"/>
      <c r="O18" s="29" t="n"/>
      <c r="P18" s="29" t="n"/>
      <c r="Q18" s="51" t="n"/>
      <c r="R18" s="29" t="n"/>
      <c r="S18" s="52">
        <f>IF(OR(A18="",F18="",C18&lt;&gt;"Mekân"),0,IF(COUNTIFS($F$8:F18,F18,$C$8:C18,"Mekân")=1,1,0))</f>
        <v/>
      </c>
      <c r="T18" s="52">
        <f>IF(OR(A18="",F18="",C18&lt;&gt;"Kapak"),0,IF(COUNTIFS($F$8:F18,F18,$C$8:C18,"Kapak")=1,1,0))</f>
        <v/>
      </c>
    </row>
    <row r="19" ht="54" customHeight="1">
      <c r="A19" s="29" t="n"/>
      <c r="B19" s="29" t="n"/>
      <c r="C19" s="29" t="n"/>
      <c r="D19" s="29" t="n"/>
      <c r="E19" s="29" t="n"/>
      <c r="F19" s="29" t="n"/>
      <c r="G19" s="29" t="n"/>
      <c r="H19" s="29" t="n"/>
      <c r="I19" s="29" t="n"/>
      <c r="J19" s="29" t="n"/>
      <c r="K19" s="29" t="n"/>
      <c r="L19" s="49" t="n"/>
      <c r="M19" s="49" t="n"/>
      <c r="N19" s="29" t="n"/>
      <c r="O19" s="29" t="n"/>
      <c r="P19" s="29" t="n"/>
      <c r="Q19" s="51" t="n"/>
      <c r="R19" s="29" t="n"/>
      <c r="S19" s="52">
        <f>IF(OR(A19="",F19="",C19&lt;&gt;"Mekân"),0,IF(COUNTIFS($F$8:F19,F19,$C$8:C19,"Mekân")=1,1,0))</f>
        <v/>
      </c>
      <c r="T19" s="52">
        <f>IF(OR(A19="",F19="",C19&lt;&gt;"Kapak"),0,IF(COUNTIFS($F$8:F19,F19,$C$8:C19,"Kapak")=1,1,0))</f>
        <v/>
      </c>
    </row>
    <row r="20" ht="54" customHeight="1">
      <c r="A20" s="29" t="n"/>
      <c r="B20" s="29" t="n"/>
      <c r="C20" s="29" t="n"/>
      <c r="D20" s="29" t="n"/>
      <c r="E20" s="29" t="n"/>
      <c r="F20" s="29" t="n"/>
      <c r="G20" s="29" t="n"/>
      <c r="H20" s="29" t="n"/>
      <c r="I20" s="29" t="n"/>
      <c r="J20" s="29" t="n"/>
      <c r="K20" s="29" t="n"/>
      <c r="L20" s="49" t="n"/>
      <c r="M20" s="49" t="n"/>
      <c r="N20" s="29" t="n"/>
      <c r="O20" s="29" t="n"/>
      <c r="P20" s="29" t="n"/>
      <c r="Q20" s="51" t="n"/>
      <c r="R20" s="29" t="n"/>
      <c r="S20" s="52">
        <f>IF(OR(A20="",F20="",C20&lt;&gt;"Mekân"),0,IF(COUNTIFS($F$8:F20,F20,$C$8:C20,"Mekân")=1,1,0))</f>
        <v/>
      </c>
      <c r="T20" s="52">
        <f>IF(OR(A20="",F20="",C20&lt;&gt;"Kapak"),0,IF(COUNTIFS($F$8:F20,F20,$C$8:C20,"Kapak")=1,1,0))</f>
        <v/>
      </c>
    </row>
    <row r="21" ht="54" customHeight="1">
      <c r="A21" s="29" t="n"/>
      <c r="B21" s="29" t="n"/>
      <c r="C21" s="29" t="n"/>
      <c r="D21" s="29" t="n"/>
      <c r="E21" s="29" t="n"/>
      <c r="F21" s="29" t="n"/>
      <c r="G21" s="29" t="n"/>
      <c r="H21" s="29" t="n"/>
      <c r="I21" s="29" t="n"/>
      <c r="J21" s="29" t="n"/>
      <c r="K21" s="29" t="n"/>
      <c r="L21" s="49" t="n"/>
      <c r="M21" s="49" t="n"/>
      <c r="N21" s="29" t="n"/>
      <c r="O21" s="29" t="n"/>
      <c r="P21" s="29" t="n"/>
      <c r="Q21" s="51" t="n"/>
      <c r="R21" s="29" t="n"/>
      <c r="S21" s="52">
        <f>IF(OR(A21="",F21="",C21&lt;&gt;"Mekân"),0,IF(COUNTIFS($F$8:F21,F21,$C$8:C21,"Mekân")=1,1,0))</f>
        <v/>
      </c>
      <c r="T21" s="52">
        <f>IF(OR(A21="",F21="",C21&lt;&gt;"Kapak"),0,IF(COUNTIFS($F$8:F21,F21,$C$8:C21,"Kapak")=1,1,0))</f>
        <v/>
      </c>
    </row>
    <row r="22" ht="54" customHeight="1">
      <c r="A22" s="29" t="n"/>
      <c r="B22" s="29" t="n"/>
      <c r="C22" s="29" t="n"/>
      <c r="D22" s="29" t="n"/>
      <c r="E22" s="29" t="n"/>
      <c r="F22" s="29" t="n"/>
      <c r="G22" s="29" t="n"/>
      <c r="H22" s="29" t="n"/>
      <c r="I22" s="29" t="n"/>
      <c r="J22" s="29" t="n"/>
      <c r="K22" s="29" t="n"/>
      <c r="L22" s="49" t="n"/>
      <c r="M22" s="49" t="n"/>
      <c r="N22" s="29" t="n"/>
      <c r="O22" s="29" t="n"/>
      <c r="P22" s="29" t="n"/>
      <c r="Q22" s="51" t="n"/>
      <c r="R22" s="29" t="n"/>
      <c r="S22" s="52">
        <f>IF(OR(A22="",F22="",C22&lt;&gt;"Mekân"),0,IF(COUNTIFS($F$8:F22,F22,$C$8:C22,"Mekân")=1,1,0))</f>
        <v/>
      </c>
      <c r="T22" s="52">
        <f>IF(OR(A22="",F22="",C22&lt;&gt;"Kapak"),0,IF(COUNTIFS($F$8:F22,F22,$C$8:C22,"Kapak")=1,1,0))</f>
        <v/>
      </c>
    </row>
    <row r="23" ht="54" customHeight="1">
      <c r="A23" s="29" t="n"/>
      <c r="B23" s="29" t="n"/>
      <c r="C23" s="29" t="n"/>
      <c r="D23" s="29" t="n"/>
      <c r="E23" s="29" t="n"/>
      <c r="F23" s="29" t="n"/>
      <c r="G23" s="29" t="n"/>
      <c r="H23" s="29" t="n"/>
      <c r="I23" s="29" t="n"/>
      <c r="J23" s="29" t="n"/>
      <c r="K23" s="29" t="n"/>
      <c r="L23" s="49" t="n"/>
      <c r="M23" s="49" t="n"/>
      <c r="N23" s="29" t="n"/>
      <c r="O23" s="29" t="n"/>
      <c r="P23" s="29" t="n"/>
      <c r="Q23" s="51" t="n"/>
      <c r="R23" s="29" t="n"/>
      <c r="S23" s="52">
        <f>IF(OR(A23="",F23="",C23&lt;&gt;"Mekân"),0,IF(COUNTIFS($F$8:F23,F23,$C$8:C23,"Mekân")=1,1,0))</f>
        <v/>
      </c>
      <c r="T23" s="52">
        <f>IF(OR(A23="",F23="",C23&lt;&gt;"Kapak"),0,IF(COUNTIFS($F$8:F23,F23,$C$8:C23,"Kapak")=1,1,0))</f>
        <v/>
      </c>
    </row>
    <row r="24" ht="54" customHeight="1">
      <c r="A24" s="29" t="n"/>
      <c r="B24" s="29" t="n"/>
      <c r="C24" s="29" t="n"/>
      <c r="D24" s="29" t="n"/>
      <c r="E24" s="29" t="n"/>
      <c r="F24" s="29" t="n"/>
      <c r="G24" s="29" t="n"/>
      <c r="H24" s="29" t="n"/>
      <c r="I24" s="29" t="n"/>
      <c r="J24" s="29" t="n"/>
      <c r="K24" s="29" t="n"/>
      <c r="L24" s="49" t="n"/>
      <c r="M24" s="49" t="n"/>
      <c r="N24" s="29" t="n"/>
      <c r="O24" s="29" t="n"/>
      <c r="P24" s="29" t="n"/>
      <c r="Q24" s="51" t="n"/>
      <c r="R24" s="29" t="n"/>
      <c r="S24" s="52">
        <f>IF(OR(A24="",F24="",C24&lt;&gt;"Mekân"),0,IF(COUNTIFS($F$8:F24,F24,$C$8:C24,"Mekân")=1,1,0))</f>
        <v/>
      </c>
      <c r="T24" s="52">
        <f>IF(OR(A24="",F24="",C24&lt;&gt;"Kapak"),0,IF(COUNTIFS($F$8:F24,F24,$C$8:C24,"Kapak")=1,1,0))</f>
        <v/>
      </c>
    </row>
    <row r="25" ht="54" customHeight="1">
      <c r="A25" s="29" t="n"/>
      <c r="B25" s="29" t="n"/>
      <c r="C25" s="29" t="n"/>
      <c r="D25" s="29" t="n"/>
      <c r="E25" s="29" t="n"/>
      <c r="F25" s="29" t="n"/>
      <c r="G25" s="29" t="n"/>
      <c r="H25" s="29" t="n"/>
      <c r="I25" s="29" t="n"/>
      <c r="J25" s="29" t="n"/>
      <c r="K25" s="29" t="n"/>
      <c r="L25" s="49" t="n"/>
      <c r="M25" s="49" t="n"/>
      <c r="N25" s="29" t="n"/>
      <c r="O25" s="29" t="n"/>
      <c r="P25" s="29" t="n"/>
      <c r="Q25" s="51" t="n"/>
      <c r="R25" s="29" t="n"/>
      <c r="S25" s="52">
        <f>IF(OR(A25="",F25="",C25&lt;&gt;"Mekân"),0,IF(COUNTIFS($F$8:F25,F25,$C$8:C25,"Mekân")=1,1,0))</f>
        <v/>
      </c>
      <c r="T25" s="52">
        <f>IF(OR(A25="",F25="",C25&lt;&gt;"Kapak"),0,IF(COUNTIFS($F$8:F25,F25,$C$8:C25,"Kapak")=1,1,0))</f>
        <v/>
      </c>
    </row>
    <row r="26" ht="54" customHeight="1">
      <c r="A26" s="29" t="n"/>
      <c r="B26" s="29" t="n"/>
      <c r="C26" s="29" t="n"/>
      <c r="D26" s="29" t="n"/>
      <c r="E26" s="29" t="n"/>
      <c r="F26" s="29" t="n"/>
      <c r="G26" s="29" t="n"/>
      <c r="H26" s="29" t="n"/>
      <c r="I26" s="29" t="n"/>
      <c r="J26" s="29" t="n"/>
      <c r="K26" s="29" t="n"/>
      <c r="L26" s="49" t="n"/>
      <c r="M26" s="49" t="n"/>
      <c r="N26" s="29" t="n"/>
      <c r="O26" s="29" t="n"/>
      <c r="P26" s="29" t="n"/>
      <c r="Q26" s="51" t="n"/>
      <c r="R26" s="29" t="n"/>
      <c r="S26" s="52">
        <f>IF(OR(A26="",F26="",C26&lt;&gt;"Mekân"),0,IF(COUNTIFS($F$8:F26,F26,$C$8:C26,"Mekân")=1,1,0))</f>
        <v/>
      </c>
      <c r="T26" s="52">
        <f>IF(OR(A26="",F26="",C26&lt;&gt;"Kapak"),0,IF(COUNTIFS($F$8:F26,F26,$C$8:C26,"Kapak")=1,1,0))</f>
        <v/>
      </c>
    </row>
    <row r="27" ht="54" customHeight="1">
      <c r="A27" s="29" t="n"/>
      <c r="B27" s="29" t="n"/>
      <c r="C27" s="29" t="n"/>
      <c r="D27" s="29" t="n"/>
      <c r="E27" s="29" t="n"/>
      <c r="F27" s="29" t="n"/>
      <c r="G27" s="29" t="n"/>
      <c r="H27" s="29" t="n"/>
      <c r="I27" s="29" t="n"/>
      <c r="J27" s="29" t="n"/>
      <c r="K27" s="29" t="n"/>
      <c r="L27" s="49" t="n"/>
      <c r="M27" s="49" t="n"/>
      <c r="N27" s="29" t="n"/>
      <c r="O27" s="29" t="n"/>
      <c r="P27" s="29" t="n"/>
      <c r="Q27" s="51" t="n"/>
      <c r="R27" s="29" t="n"/>
      <c r="S27" s="52">
        <f>IF(OR(A27="",F27="",C27&lt;&gt;"Mekân"),0,IF(COUNTIFS($F$8:F27,F27,$C$8:C27,"Mekân")=1,1,0))</f>
        <v/>
      </c>
      <c r="T27" s="52">
        <f>IF(OR(A27="",F27="",C27&lt;&gt;"Kapak"),0,IF(COUNTIFS($F$8:F27,F27,$C$8:C27,"Kapak")=1,1,0))</f>
        <v/>
      </c>
    </row>
    <row r="28" ht="54" customHeight="1">
      <c r="A28" s="29" t="n"/>
      <c r="B28" s="29" t="n"/>
      <c r="C28" s="29" t="n"/>
      <c r="D28" s="29" t="n"/>
      <c r="E28" s="29" t="n"/>
      <c r="F28" s="29" t="n"/>
      <c r="G28" s="29" t="n"/>
      <c r="H28" s="29" t="n"/>
      <c r="I28" s="29" t="n"/>
      <c r="J28" s="29" t="n"/>
      <c r="K28" s="29" t="n"/>
      <c r="L28" s="49" t="n"/>
      <c r="M28" s="49" t="n"/>
      <c r="N28" s="29" t="n"/>
      <c r="O28" s="29" t="n"/>
      <c r="P28" s="29" t="n"/>
      <c r="Q28" s="51" t="n"/>
      <c r="R28" s="29" t="n"/>
      <c r="S28" s="52">
        <f>IF(OR(A28="",F28="",C28&lt;&gt;"Mekân"),0,IF(COUNTIFS($F$8:F28,F28,$C$8:C28,"Mekân")=1,1,0))</f>
        <v/>
      </c>
      <c r="T28" s="52">
        <f>IF(OR(A28="",F28="",C28&lt;&gt;"Kapak"),0,IF(COUNTIFS($F$8:F28,F28,$C$8:C28,"Kapak")=1,1,0))</f>
        <v/>
      </c>
    </row>
    <row r="29" ht="54" customHeight="1">
      <c r="A29" s="29" t="n"/>
      <c r="B29" s="29" t="n"/>
      <c r="C29" s="29" t="n"/>
      <c r="D29" s="29" t="n"/>
      <c r="E29" s="29" t="n"/>
      <c r="F29" s="29" t="n"/>
      <c r="G29" s="29" t="n"/>
      <c r="H29" s="29" t="n"/>
      <c r="I29" s="29" t="n"/>
      <c r="J29" s="29" t="n"/>
      <c r="K29" s="29" t="n"/>
      <c r="L29" s="49" t="n"/>
      <c r="M29" s="49" t="n"/>
      <c r="N29" s="29" t="n"/>
      <c r="O29" s="29" t="n"/>
      <c r="P29" s="29" t="n"/>
      <c r="Q29" s="51" t="n"/>
      <c r="R29" s="29" t="n"/>
      <c r="S29" s="52">
        <f>IF(OR(A29="",F29="",C29&lt;&gt;"Mekân"),0,IF(COUNTIFS($F$8:F29,F29,$C$8:C29,"Mekân")=1,1,0))</f>
        <v/>
      </c>
      <c r="T29" s="52">
        <f>IF(OR(A29="",F29="",C29&lt;&gt;"Kapak"),0,IF(COUNTIFS($F$8:F29,F29,$C$8:C29,"Kapak")=1,1,0))</f>
        <v/>
      </c>
    </row>
    <row r="30" ht="54" customHeight="1">
      <c r="A30" s="29" t="n"/>
      <c r="B30" s="29" t="n"/>
      <c r="C30" s="29" t="n"/>
      <c r="D30" s="29" t="n"/>
      <c r="E30" s="29" t="n"/>
      <c r="F30" s="29" t="n"/>
      <c r="G30" s="29" t="n"/>
      <c r="H30" s="29" t="n"/>
      <c r="I30" s="29" t="n"/>
      <c r="J30" s="29" t="n"/>
      <c r="K30" s="29" t="n"/>
      <c r="L30" s="49" t="n"/>
      <c r="M30" s="49" t="n"/>
      <c r="N30" s="29" t="n"/>
      <c r="O30" s="29" t="n"/>
      <c r="P30" s="29" t="n"/>
      <c r="Q30" s="51" t="n"/>
      <c r="R30" s="29" t="n"/>
      <c r="S30" s="52">
        <f>IF(OR(A30="",F30="",C30&lt;&gt;"Mekân"),0,IF(COUNTIFS($F$8:F30,F30,$C$8:C30,"Mekân")=1,1,0))</f>
        <v/>
      </c>
      <c r="T30" s="52">
        <f>IF(OR(A30="",F30="",C30&lt;&gt;"Kapak"),0,IF(COUNTIFS($F$8:F30,F30,$C$8:C30,"Kapak")=1,1,0))</f>
        <v/>
      </c>
    </row>
    <row r="31" ht="54" customHeight="1">
      <c r="A31" s="29" t="n"/>
      <c r="B31" s="29" t="n"/>
      <c r="C31" s="29" t="n"/>
      <c r="D31" s="29" t="n"/>
      <c r="E31" s="29" t="n"/>
      <c r="F31" s="29" t="n"/>
      <c r="G31" s="29" t="n"/>
      <c r="H31" s="29" t="n"/>
      <c r="I31" s="29" t="n"/>
      <c r="J31" s="29" t="n"/>
      <c r="K31" s="29" t="n"/>
      <c r="L31" s="49" t="n"/>
      <c r="M31" s="49" t="n"/>
      <c r="N31" s="29" t="n"/>
      <c r="O31" s="29" t="n"/>
      <c r="P31" s="29" t="n"/>
      <c r="Q31" s="51" t="n"/>
      <c r="R31" s="29" t="n"/>
      <c r="S31" s="52">
        <f>IF(OR(A31="",F31="",C31&lt;&gt;"Mekân"),0,IF(COUNTIFS($F$8:F31,F31,$C$8:C31,"Mekân")=1,1,0))</f>
        <v/>
      </c>
      <c r="T31" s="52">
        <f>IF(OR(A31="",F31="",C31&lt;&gt;"Kapak"),0,IF(COUNTIFS($F$8:F31,F31,$C$8:C31,"Kapak")=1,1,0))</f>
        <v/>
      </c>
    </row>
    <row r="32" ht="54" customHeight="1">
      <c r="A32" s="29" t="n"/>
      <c r="B32" s="29" t="n"/>
      <c r="C32" s="29" t="n"/>
      <c r="D32" s="29" t="n"/>
      <c r="E32" s="29" t="n"/>
      <c r="F32" s="29" t="n"/>
      <c r="G32" s="29" t="n"/>
      <c r="H32" s="29" t="n"/>
      <c r="I32" s="29" t="n"/>
      <c r="J32" s="29" t="n"/>
      <c r="K32" s="29" t="n"/>
      <c r="L32" s="49" t="n"/>
      <c r="M32" s="49" t="n"/>
      <c r="N32" s="29" t="n"/>
      <c r="O32" s="29" t="n"/>
      <c r="P32" s="29" t="n"/>
      <c r="Q32" s="51" t="n"/>
      <c r="R32" s="29" t="n"/>
      <c r="S32" s="52">
        <f>IF(OR(A32="",F32="",C32&lt;&gt;"Mekân"),0,IF(COUNTIFS($F$8:F32,F32,$C$8:C32,"Mekân")=1,1,0))</f>
        <v/>
      </c>
      <c r="T32" s="52">
        <f>IF(OR(A32="",F32="",C32&lt;&gt;"Kapak"),0,IF(COUNTIFS($F$8:F32,F32,$C$8:C32,"Kapak")=1,1,0))</f>
        <v/>
      </c>
    </row>
    <row r="33" ht="54" customHeight="1">
      <c r="A33" s="29" t="n"/>
      <c r="B33" s="29" t="n"/>
      <c r="C33" s="29" t="n"/>
      <c r="D33" s="29" t="n"/>
      <c r="E33" s="29" t="n"/>
      <c r="F33" s="29" t="n"/>
      <c r="G33" s="29" t="n"/>
      <c r="H33" s="29" t="n"/>
      <c r="I33" s="29" t="n"/>
      <c r="J33" s="29" t="n"/>
      <c r="K33" s="29" t="n"/>
      <c r="L33" s="49" t="n"/>
      <c r="M33" s="49" t="n"/>
      <c r="N33" s="29" t="n"/>
      <c r="O33" s="29" t="n"/>
      <c r="P33" s="29" t="n"/>
      <c r="Q33" s="51" t="n"/>
      <c r="R33" s="29" t="n"/>
      <c r="S33" s="52">
        <f>IF(OR(A33="",F33="",C33&lt;&gt;"Mekân"),0,IF(COUNTIFS($F$8:F33,F33,$C$8:C33,"Mekân")=1,1,0))</f>
        <v/>
      </c>
      <c r="T33" s="52">
        <f>IF(OR(A33="",F33="",C33&lt;&gt;"Kapak"),0,IF(COUNTIFS($F$8:F33,F33,$C$8:C33,"Kapak")=1,1,0))</f>
        <v/>
      </c>
    </row>
    <row r="34" ht="54" customHeight="1">
      <c r="A34" s="29" t="n"/>
      <c r="B34" s="29" t="n"/>
      <c r="C34" s="29" t="n"/>
      <c r="D34" s="29" t="n"/>
      <c r="E34" s="29" t="n"/>
      <c r="F34" s="29" t="n"/>
      <c r="G34" s="29" t="n"/>
      <c r="H34" s="29" t="n"/>
      <c r="I34" s="29" t="n"/>
      <c r="J34" s="29" t="n"/>
      <c r="K34" s="29" t="n"/>
      <c r="L34" s="49" t="n"/>
      <c r="M34" s="49" t="n"/>
      <c r="N34" s="29" t="n"/>
      <c r="O34" s="29" t="n"/>
      <c r="P34" s="29" t="n"/>
      <c r="Q34" s="51" t="n"/>
      <c r="R34" s="29" t="n"/>
      <c r="S34" s="52">
        <f>IF(OR(A34="",F34="",C34&lt;&gt;"Mekân"),0,IF(COUNTIFS($F$8:F34,F34,$C$8:C34,"Mekân")=1,1,0))</f>
        <v/>
      </c>
      <c r="T34" s="52">
        <f>IF(OR(A34="",F34="",C34&lt;&gt;"Kapak"),0,IF(COUNTIFS($F$8:F34,F34,$C$8:C34,"Kapak")=1,1,0))</f>
        <v/>
      </c>
    </row>
    <row r="35" ht="54" customHeight="1">
      <c r="A35" s="29" t="n"/>
      <c r="B35" s="29" t="n"/>
      <c r="C35" s="29" t="n"/>
      <c r="D35" s="29" t="n"/>
      <c r="E35" s="29" t="n"/>
      <c r="F35" s="29" t="n"/>
      <c r="G35" s="29" t="n"/>
      <c r="H35" s="29" t="n"/>
      <c r="I35" s="29" t="n"/>
      <c r="J35" s="29" t="n"/>
      <c r="K35" s="29" t="n"/>
      <c r="L35" s="49" t="n"/>
      <c r="M35" s="49" t="n"/>
      <c r="N35" s="29" t="n"/>
      <c r="O35" s="29" t="n"/>
      <c r="P35" s="29" t="n"/>
      <c r="Q35" s="51" t="n"/>
      <c r="R35" s="29" t="n"/>
      <c r="S35" s="52">
        <f>IF(OR(A35="",F35="",C35&lt;&gt;"Mekân"),0,IF(COUNTIFS($F$8:F35,F35,$C$8:C35,"Mekân")=1,1,0))</f>
        <v/>
      </c>
      <c r="T35" s="52">
        <f>IF(OR(A35="",F35="",C35&lt;&gt;"Kapak"),0,IF(COUNTIFS($F$8:F35,F35,$C$8:C35,"Kapak")=1,1,0))</f>
        <v/>
      </c>
    </row>
    <row r="36" ht="54" customHeight="1">
      <c r="A36" s="29" t="n"/>
      <c r="B36" s="29" t="n"/>
      <c r="C36" s="29" t="n"/>
      <c r="D36" s="29" t="n"/>
      <c r="E36" s="29" t="n"/>
      <c r="F36" s="29" t="n"/>
      <c r="G36" s="29" t="n"/>
      <c r="H36" s="29" t="n"/>
      <c r="I36" s="29" t="n"/>
      <c r="J36" s="29" t="n"/>
      <c r="K36" s="29" t="n"/>
      <c r="L36" s="49" t="n"/>
      <c r="M36" s="49" t="n"/>
      <c r="N36" s="29" t="n"/>
      <c r="O36" s="29" t="n"/>
      <c r="P36" s="29" t="n"/>
      <c r="Q36" s="51" t="n"/>
      <c r="R36" s="29" t="n"/>
      <c r="S36" s="52">
        <f>IF(OR(A36="",F36="",C36&lt;&gt;"Mekân"),0,IF(COUNTIFS($F$8:F36,F36,$C$8:C36,"Mekân")=1,1,0))</f>
        <v/>
      </c>
      <c r="T36" s="52">
        <f>IF(OR(A36="",F36="",C36&lt;&gt;"Kapak"),0,IF(COUNTIFS($F$8:F36,F36,$C$8:C36,"Kapak")=1,1,0))</f>
        <v/>
      </c>
    </row>
    <row r="37" ht="54" customHeight="1">
      <c r="A37" s="29" t="n"/>
      <c r="B37" s="29" t="n"/>
      <c r="C37" s="29" t="n"/>
      <c r="D37" s="29" t="n"/>
      <c r="E37" s="29" t="n"/>
      <c r="F37" s="29" t="n"/>
      <c r="G37" s="29" t="n"/>
      <c r="H37" s="29" t="n"/>
      <c r="I37" s="29" t="n"/>
      <c r="J37" s="29" t="n"/>
      <c r="K37" s="29" t="n"/>
      <c r="L37" s="49" t="n"/>
      <c r="M37" s="49" t="n"/>
      <c r="N37" s="29" t="n"/>
      <c r="O37" s="29" t="n"/>
      <c r="P37" s="29" t="n"/>
      <c r="Q37" s="51" t="n"/>
      <c r="R37" s="29" t="n"/>
      <c r="S37" s="52">
        <f>IF(OR(A37="",F37="",C37&lt;&gt;"Mekân"),0,IF(COUNTIFS($F$8:F37,F37,$C$8:C37,"Mekân")=1,1,0))</f>
        <v/>
      </c>
      <c r="T37" s="52">
        <f>IF(OR(A37="",F37="",C37&lt;&gt;"Kapak"),0,IF(COUNTIFS($F$8:F37,F37,$C$8:C37,"Kapak")=1,1,0))</f>
        <v/>
      </c>
    </row>
    <row r="38" ht="54" customHeight="1">
      <c r="A38" s="29" t="n"/>
      <c r="B38" s="29" t="n"/>
      <c r="C38" s="29" t="n"/>
      <c r="D38" s="29" t="n"/>
      <c r="E38" s="29" t="n"/>
      <c r="F38" s="29" t="n"/>
      <c r="G38" s="29" t="n"/>
      <c r="H38" s="29" t="n"/>
      <c r="I38" s="29" t="n"/>
      <c r="J38" s="29" t="n"/>
      <c r="K38" s="29" t="n"/>
      <c r="L38" s="49" t="n"/>
      <c r="M38" s="49" t="n"/>
      <c r="N38" s="29" t="n"/>
      <c r="O38" s="29" t="n"/>
      <c r="P38" s="29" t="n"/>
      <c r="Q38" s="51" t="n"/>
      <c r="R38" s="29" t="n"/>
      <c r="S38" s="52">
        <f>IF(OR(A38="",F38="",C38&lt;&gt;"Mekân"),0,IF(COUNTIFS($F$8:F38,F38,$C$8:C38,"Mekân")=1,1,0))</f>
        <v/>
      </c>
      <c r="T38" s="52">
        <f>IF(OR(A38="",F38="",C38&lt;&gt;"Kapak"),0,IF(COUNTIFS($F$8:F38,F38,$C$8:C38,"Kapak")=1,1,0))</f>
        <v/>
      </c>
    </row>
    <row r="39" ht="54" customHeight="1">
      <c r="A39" s="29" t="n"/>
      <c r="B39" s="29" t="n"/>
      <c r="C39" s="29" t="n"/>
      <c r="D39" s="29" t="n"/>
      <c r="E39" s="29" t="n"/>
      <c r="F39" s="29" t="n"/>
      <c r="G39" s="29" t="n"/>
      <c r="H39" s="29" t="n"/>
      <c r="I39" s="29" t="n"/>
      <c r="J39" s="29" t="n"/>
      <c r="K39" s="29" t="n"/>
      <c r="L39" s="49" t="n"/>
      <c r="M39" s="49" t="n"/>
      <c r="N39" s="29" t="n"/>
      <c r="O39" s="29" t="n"/>
      <c r="P39" s="29" t="n"/>
      <c r="Q39" s="51" t="n"/>
      <c r="R39" s="29" t="n"/>
      <c r="S39" s="52">
        <f>IF(OR(A39="",F39="",C39&lt;&gt;"Mekân"),0,IF(COUNTIFS($F$8:F39,F39,$C$8:C39,"Mekân")=1,1,0))</f>
        <v/>
      </c>
      <c r="T39" s="52">
        <f>IF(OR(A39="",F39="",C39&lt;&gt;"Kapak"),0,IF(COUNTIFS($F$8:F39,F39,$C$8:C39,"Kapak")=1,1,0))</f>
        <v/>
      </c>
    </row>
    <row r="40" ht="54" customHeight="1">
      <c r="A40" s="29" t="n"/>
      <c r="B40" s="29" t="n"/>
      <c r="C40" s="29" t="n"/>
      <c r="D40" s="29" t="n"/>
      <c r="E40" s="29" t="n"/>
      <c r="F40" s="29" t="n"/>
      <c r="G40" s="29" t="n"/>
      <c r="H40" s="29" t="n"/>
      <c r="I40" s="29" t="n"/>
      <c r="J40" s="29" t="n"/>
      <c r="K40" s="29" t="n"/>
      <c r="L40" s="49" t="n"/>
      <c r="M40" s="49" t="n"/>
      <c r="N40" s="29" t="n"/>
      <c r="O40" s="29" t="n"/>
      <c r="P40" s="29" t="n"/>
      <c r="Q40" s="51" t="n"/>
      <c r="R40" s="29" t="n"/>
      <c r="S40" s="52">
        <f>IF(OR(A40="",F40="",C40&lt;&gt;"Mekân"),0,IF(COUNTIFS($F$8:F40,F40,$C$8:C40,"Mekân")=1,1,0))</f>
        <v/>
      </c>
      <c r="T40" s="52">
        <f>IF(OR(A40="",F40="",C40&lt;&gt;"Kapak"),0,IF(COUNTIFS($F$8:F40,F40,$C$8:C40,"Kapak")=1,1,0))</f>
        <v/>
      </c>
    </row>
    <row r="41" ht="54" customHeight="1">
      <c r="A41" s="29" t="n"/>
      <c r="B41" s="29" t="n"/>
      <c r="C41" s="29" t="n"/>
      <c r="D41" s="29" t="n"/>
      <c r="E41" s="29" t="n"/>
      <c r="F41" s="29" t="n"/>
      <c r="G41" s="29" t="n"/>
      <c r="H41" s="29" t="n"/>
      <c r="I41" s="29" t="n"/>
      <c r="J41" s="29" t="n"/>
      <c r="K41" s="29" t="n"/>
      <c r="L41" s="49" t="n"/>
      <c r="M41" s="49" t="n"/>
      <c r="N41" s="29" t="n"/>
      <c r="O41" s="29" t="n"/>
      <c r="P41" s="29" t="n"/>
      <c r="Q41" s="51" t="n"/>
      <c r="R41" s="29" t="n"/>
      <c r="S41" s="52">
        <f>IF(OR(A41="",F41="",C41&lt;&gt;"Mekân"),0,IF(COUNTIFS($F$8:F41,F41,$C$8:C41,"Mekân")=1,1,0))</f>
        <v/>
      </c>
      <c r="T41" s="52">
        <f>IF(OR(A41="",F41="",C41&lt;&gt;"Kapak"),0,IF(COUNTIFS($F$8:F41,F41,$C$8:C41,"Kapak")=1,1,0))</f>
        <v/>
      </c>
    </row>
    <row r="42" ht="54" customHeight="1">
      <c r="A42" s="29" t="n"/>
      <c r="B42" s="29" t="n"/>
      <c r="C42" s="29" t="n"/>
      <c r="D42" s="29" t="n"/>
      <c r="E42" s="29" t="n"/>
      <c r="F42" s="29" t="n"/>
      <c r="G42" s="29" t="n"/>
      <c r="H42" s="29" t="n"/>
      <c r="I42" s="29" t="n"/>
      <c r="J42" s="29" t="n"/>
      <c r="K42" s="29" t="n"/>
      <c r="L42" s="49" t="n"/>
      <c r="M42" s="49" t="n"/>
      <c r="N42" s="29" t="n"/>
      <c r="O42" s="29" t="n"/>
      <c r="P42" s="29" t="n"/>
      <c r="Q42" s="51" t="n"/>
      <c r="R42" s="29" t="n"/>
      <c r="S42" s="52">
        <f>IF(OR(A42="",F42="",C42&lt;&gt;"Mekân"),0,IF(COUNTIFS($F$8:F42,F42,$C$8:C42,"Mekân")=1,1,0))</f>
        <v/>
      </c>
      <c r="T42" s="52">
        <f>IF(OR(A42="",F42="",C42&lt;&gt;"Kapak"),0,IF(COUNTIFS($F$8:F42,F42,$C$8:C42,"Kapak")=1,1,0))</f>
        <v/>
      </c>
    </row>
    <row r="43" ht="54" customHeight="1">
      <c r="A43" s="29" t="n"/>
      <c r="B43" s="29" t="n"/>
      <c r="C43" s="29" t="n"/>
      <c r="D43" s="29" t="n"/>
      <c r="E43" s="29" t="n"/>
      <c r="F43" s="29" t="n"/>
      <c r="G43" s="29" t="n"/>
      <c r="H43" s="29" t="n"/>
      <c r="I43" s="29" t="n"/>
      <c r="J43" s="29" t="n"/>
      <c r="K43" s="29" t="n"/>
      <c r="L43" s="49" t="n"/>
      <c r="M43" s="49" t="n"/>
      <c r="N43" s="29" t="n"/>
      <c r="O43" s="29" t="n"/>
      <c r="P43" s="29" t="n"/>
      <c r="Q43" s="51" t="n"/>
      <c r="R43" s="29" t="n"/>
      <c r="S43" s="52">
        <f>IF(OR(A43="",F43="",C43&lt;&gt;"Mekân"),0,IF(COUNTIFS($F$8:F43,F43,$C$8:C43,"Mekân")=1,1,0))</f>
        <v/>
      </c>
      <c r="T43" s="52">
        <f>IF(OR(A43="",F43="",C43&lt;&gt;"Kapak"),0,IF(COUNTIFS($F$8:F43,F43,$C$8:C43,"Kapak")=1,1,0))</f>
        <v/>
      </c>
    </row>
    <row r="44" ht="54" customHeight="1">
      <c r="A44" s="29" t="n"/>
      <c r="B44" s="29" t="n"/>
      <c r="C44" s="29" t="n"/>
      <c r="D44" s="29" t="n"/>
      <c r="E44" s="29" t="n"/>
      <c r="F44" s="29" t="n"/>
      <c r="G44" s="29" t="n"/>
      <c r="H44" s="29" t="n"/>
      <c r="I44" s="29" t="n"/>
      <c r="J44" s="29" t="n"/>
      <c r="K44" s="29" t="n"/>
      <c r="L44" s="49" t="n"/>
      <c r="M44" s="49" t="n"/>
      <c r="N44" s="29" t="n"/>
      <c r="O44" s="29" t="n"/>
      <c r="P44" s="29" t="n"/>
      <c r="Q44" s="51" t="n"/>
      <c r="R44" s="29" t="n"/>
      <c r="S44" s="52">
        <f>IF(OR(A44="",F44="",C44&lt;&gt;"Mekân"),0,IF(COUNTIFS($F$8:F44,F44,$C$8:C44,"Mekân")=1,1,0))</f>
        <v/>
      </c>
      <c r="T44" s="52">
        <f>IF(OR(A44="",F44="",C44&lt;&gt;"Kapak"),0,IF(COUNTIFS($F$8:F44,F44,$C$8:C44,"Kapak")=1,1,0))</f>
        <v/>
      </c>
    </row>
    <row r="45" ht="54" customHeight="1">
      <c r="A45" s="29" t="n"/>
      <c r="B45" s="29" t="n"/>
      <c r="C45" s="29" t="n"/>
      <c r="D45" s="29" t="n"/>
      <c r="E45" s="29" t="n"/>
      <c r="F45" s="29" t="n"/>
      <c r="G45" s="29" t="n"/>
      <c r="H45" s="29" t="n"/>
      <c r="I45" s="29" t="n"/>
      <c r="J45" s="29" t="n"/>
      <c r="K45" s="29" t="n"/>
      <c r="L45" s="49" t="n"/>
      <c r="M45" s="49" t="n"/>
      <c r="N45" s="29" t="n"/>
      <c r="O45" s="29" t="n"/>
      <c r="P45" s="29" t="n"/>
      <c r="Q45" s="51" t="n"/>
      <c r="R45" s="29" t="n"/>
      <c r="S45" s="52">
        <f>IF(OR(A45="",F45="",C45&lt;&gt;"Mekân"),0,IF(COUNTIFS($F$8:F45,F45,$C$8:C45,"Mekân")=1,1,0))</f>
        <v/>
      </c>
      <c r="T45" s="52">
        <f>IF(OR(A45="",F45="",C45&lt;&gt;"Kapak"),0,IF(COUNTIFS($F$8:F45,F45,$C$8:C45,"Kapak")=1,1,0))</f>
        <v/>
      </c>
    </row>
    <row r="46" ht="54" customHeight="1">
      <c r="A46" s="29" t="n"/>
      <c r="B46" s="29" t="n"/>
      <c r="C46" s="29" t="n"/>
      <c r="D46" s="29" t="n"/>
      <c r="E46" s="29" t="n"/>
      <c r="F46" s="29" t="n"/>
      <c r="G46" s="29" t="n"/>
      <c r="H46" s="29" t="n"/>
      <c r="I46" s="29" t="n"/>
      <c r="J46" s="29" t="n"/>
      <c r="K46" s="29" t="n"/>
      <c r="L46" s="49" t="n"/>
      <c r="M46" s="49" t="n"/>
      <c r="N46" s="29" t="n"/>
      <c r="O46" s="29" t="n"/>
      <c r="P46" s="29" t="n"/>
      <c r="Q46" s="51" t="n"/>
      <c r="R46" s="29" t="n"/>
      <c r="S46" s="52">
        <f>IF(OR(A46="",F46="",C46&lt;&gt;"Mekân"),0,IF(COUNTIFS($F$8:F46,F46,$C$8:C46,"Mekân")=1,1,0))</f>
        <v/>
      </c>
      <c r="T46" s="52">
        <f>IF(OR(A46="",F46="",C46&lt;&gt;"Kapak"),0,IF(COUNTIFS($F$8:F46,F46,$C$8:C46,"Kapak")=1,1,0))</f>
        <v/>
      </c>
    </row>
    <row r="47" ht="54" customHeight="1">
      <c r="A47" s="29" t="n"/>
      <c r="B47" s="29" t="n"/>
      <c r="C47" s="29" t="n"/>
      <c r="D47" s="29" t="n"/>
      <c r="E47" s="29" t="n"/>
      <c r="F47" s="29" t="n"/>
      <c r="G47" s="29" t="n"/>
      <c r="H47" s="29" t="n"/>
      <c r="I47" s="29" t="n"/>
      <c r="J47" s="29" t="n"/>
      <c r="K47" s="29" t="n"/>
      <c r="L47" s="49" t="n"/>
      <c r="M47" s="49" t="n"/>
      <c r="N47" s="29" t="n"/>
      <c r="O47" s="29" t="n"/>
      <c r="P47" s="29" t="n"/>
      <c r="Q47" s="51" t="n"/>
      <c r="R47" s="29" t="n"/>
      <c r="S47" s="52">
        <f>IF(OR(A47="",F47="",C47&lt;&gt;"Mekân"),0,IF(COUNTIFS($F$8:F47,F47,$C$8:C47,"Mekân")=1,1,0))</f>
        <v/>
      </c>
      <c r="T47" s="52">
        <f>IF(OR(A47="",F47="",C47&lt;&gt;"Kapak"),0,IF(COUNTIFS($F$8:F47,F47,$C$8:C47,"Kapak")=1,1,0))</f>
        <v/>
      </c>
    </row>
    <row r="48" ht="54" customHeight="1">
      <c r="A48" s="29" t="n"/>
      <c r="B48" s="29" t="n"/>
      <c r="C48" s="29" t="n"/>
      <c r="D48" s="29" t="n"/>
      <c r="E48" s="29" t="n"/>
      <c r="F48" s="29" t="n"/>
      <c r="G48" s="29" t="n"/>
      <c r="H48" s="29" t="n"/>
      <c r="I48" s="29" t="n"/>
      <c r="J48" s="29" t="n"/>
      <c r="K48" s="29" t="n"/>
      <c r="L48" s="49" t="n"/>
      <c r="M48" s="49" t="n"/>
      <c r="N48" s="29" t="n"/>
      <c r="O48" s="29" t="n"/>
      <c r="P48" s="29" t="n"/>
      <c r="Q48" s="51" t="n"/>
      <c r="R48" s="29" t="n"/>
      <c r="S48" s="52">
        <f>IF(OR(A48="",F48="",C48&lt;&gt;"Mekân"),0,IF(COUNTIFS($F$8:F48,F48,$C$8:C48,"Mekân")=1,1,0))</f>
        <v/>
      </c>
      <c r="T48" s="52">
        <f>IF(OR(A48="",F48="",C48&lt;&gt;"Kapak"),0,IF(COUNTIFS($F$8:F48,F48,$C$8:C48,"Kapak")=1,1,0))</f>
        <v/>
      </c>
    </row>
    <row r="49" ht="54" customHeight="1">
      <c r="A49" s="29" t="n"/>
      <c r="B49" s="29" t="n"/>
      <c r="C49" s="29" t="n"/>
      <c r="D49" s="29" t="n"/>
      <c r="E49" s="29" t="n"/>
      <c r="F49" s="29" t="n"/>
      <c r="G49" s="29" t="n"/>
      <c r="H49" s="29" t="n"/>
      <c r="I49" s="29" t="n"/>
      <c r="J49" s="29" t="n"/>
      <c r="K49" s="29" t="n"/>
      <c r="L49" s="49" t="n"/>
      <c r="M49" s="49" t="n"/>
      <c r="N49" s="29" t="n"/>
      <c r="O49" s="29" t="n"/>
      <c r="P49" s="29" t="n"/>
      <c r="Q49" s="51" t="n"/>
      <c r="R49" s="29" t="n"/>
      <c r="S49" s="52">
        <f>IF(OR(A49="",F49="",C49&lt;&gt;"Mekân"),0,IF(COUNTIFS($F$8:F49,F49,$C$8:C49,"Mekân")=1,1,0))</f>
        <v/>
      </c>
      <c r="T49" s="52">
        <f>IF(OR(A49="",F49="",C49&lt;&gt;"Kapak"),0,IF(COUNTIFS($F$8:F49,F49,$C$8:C49,"Kapak")=1,1,0))</f>
        <v/>
      </c>
    </row>
    <row r="50" ht="54" customHeight="1">
      <c r="A50" s="29" t="n"/>
      <c r="B50" s="29" t="n"/>
      <c r="C50" s="29" t="n"/>
      <c r="D50" s="29" t="n"/>
      <c r="E50" s="29" t="n"/>
      <c r="F50" s="29" t="n"/>
      <c r="G50" s="29" t="n"/>
      <c r="H50" s="29" t="n"/>
      <c r="I50" s="29" t="n"/>
      <c r="J50" s="29" t="n"/>
      <c r="K50" s="29" t="n"/>
      <c r="L50" s="49" t="n"/>
      <c r="M50" s="49" t="n"/>
      <c r="N50" s="29" t="n"/>
      <c r="O50" s="29" t="n"/>
      <c r="P50" s="29" t="n"/>
      <c r="Q50" s="51" t="n"/>
      <c r="R50" s="29" t="n"/>
      <c r="S50" s="52">
        <f>IF(OR(A50="",F50="",C50&lt;&gt;"Mekân"),0,IF(COUNTIFS($F$8:F50,F50,$C$8:C50,"Mekân")=1,1,0))</f>
        <v/>
      </c>
      <c r="T50" s="52">
        <f>IF(OR(A50="",F50="",C50&lt;&gt;"Kapak"),0,IF(COUNTIFS($F$8:F50,F50,$C$8:C50,"Kapak")=1,1,0))</f>
        <v/>
      </c>
    </row>
    <row r="51" ht="54" customHeight="1">
      <c r="A51" s="29" t="n"/>
      <c r="B51" s="29" t="n"/>
      <c r="C51" s="29" t="n"/>
      <c r="D51" s="29" t="n"/>
      <c r="E51" s="29" t="n"/>
      <c r="F51" s="29" t="n"/>
      <c r="G51" s="29" t="n"/>
      <c r="H51" s="29" t="n"/>
      <c r="I51" s="29" t="n"/>
      <c r="J51" s="29" t="n"/>
      <c r="K51" s="29" t="n"/>
      <c r="L51" s="49" t="n"/>
      <c r="M51" s="49" t="n"/>
      <c r="N51" s="29" t="n"/>
      <c r="O51" s="29" t="n"/>
      <c r="P51" s="29" t="n"/>
      <c r="Q51" s="51" t="n"/>
      <c r="R51" s="29" t="n"/>
      <c r="S51" s="52">
        <f>IF(OR(A51="",F51="",C51&lt;&gt;"Mekân"),0,IF(COUNTIFS($F$8:F51,F51,$C$8:C51,"Mekân")=1,1,0))</f>
        <v/>
      </c>
      <c r="T51" s="52">
        <f>IF(OR(A51="",F51="",C51&lt;&gt;"Kapak"),0,IF(COUNTIFS($F$8:F51,F51,$C$8:C51,"Kapak")=1,1,0))</f>
        <v/>
      </c>
    </row>
    <row r="52" ht="54" customHeight="1">
      <c r="A52" s="29" t="n"/>
      <c r="B52" s="29" t="n"/>
      <c r="C52" s="29" t="n"/>
      <c r="D52" s="29" t="n"/>
      <c r="E52" s="29" t="n"/>
      <c r="F52" s="29" t="n"/>
      <c r="G52" s="29" t="n"/>
      <c r="H52" s="29" t="n"/>
      <c r="I52" s="29" t="n"/>
      <c r="J52" s="29" t="n"/>
      <c r="K52" s="29" t="n"/>
      <c r="L52" s="49" t="n"/>
      <c r="M52" s="49" t="n"/>
      <c r="N52" s="29" t="n"/>
      <c r="O52" s="29" t="n"/>
      <c r="P52" s="29" t="n"/>
      <c r="Q52" s="51" t="n"/>
      <c r="R52" s="29" t="n"/>
      <c r="S52" s="52">
        <f>IF(OR(A52="",F52="",C52&lt;&gt;"Mekân"),0,IF(COUNTIFS($F$8:F52,F52,$C$8:C52,"Mekân")=1,1,0))</f>
        <v/>
      </c>
      <c r="T52" s="52">
        <f>IF(OR(A52="",F52="",C52&lt;&gt;"Kapak"),0,IF(COUNTIFS($F$8:F52,F52,$C$8:C52,"Kapak")=1,1,0))</f>
        <v/>
      </c>
    </row>
    <row r="53" ht="54" customHeight="1">
      <c r="A53" s="29" t="n"/>
      <c r="B53" s="29" t="n"/>
      <c r="C53" s="29" t="n"/>
      <c r="D53" s="29" t="n"/>
      <c r="E53" s="29" t="n"/>
      <c r="F53" s="29" t="n"/>
      <c r="G53" s="29" t="n"/>
      <c r="H53" s="29" t="n"/>
      <c r="I53" s="29" t="n"/>
      <c r="J53" s="29" t="n"/>
      <c r="K53" s="29" t="n"/>
      <c r="L53" s="49" t="n"/>
      <c r="M53" s="49" t="n"/>
      <c r="N53" s="29" t="n"/>
      <c r="O53" s="29" t="n"/>
      <c r="P53" s="29" t="n"/>
      <c r="Q53" s="51" t="n"/>
      <c r="R53" s="29" t="n"/>
      <c r="S53" s="52">
        <f>IF(OR(A53="",F53="",C53&lt;&gt;"Mekân"),0,IF(COUNTIFS($F$8:F53,F53,$C$8:C53,"Mekân")=1,1,0))</f>
        <v/>
      </c>
      <c r="T53" s="52">
        <f>IF(OR(A53="",F53="",C53&lt;&gt;"Kapak"),0,IF(COUNTIFS($F$8:F53,F53,$C$8:C53,"Kapak")=1,1,0))</f>
        <v/>
      </c>
    </row>
    <row r="54" ht="54" customHeight="1">
      <c r="A54" s="29" t="n"/>
      <c r="B54" s="29" t="n"/>
      <c r="C54" s="29" t="n"/>
      <c r="D54" s="29" t="n"/>
      <c r="E54" s="29" t="n"/>
      <c r="F54" s="29" t="n"/>
      <c r="G54" s="29" t="n"/>
      <c r="H54" s="29" t="n"/>
      <c r="I54" s="29" t="n"/>
      <c r="J54" s="29" t="n"/>
      <c r="K54" s="29" t="n"/>
      <c r="L54" s="49" t="n"/>
      <c r="M54" s="49" t="n"/>
      <c r="N54" s="29" t="n"/>
      <c r="O54" s="29" t="n"/>
      <c r="P54" s="29" t="n"/>
      <c r="Q54" s="51" t="n"/>
      <c r="R54" s="29" t="n"/>
      <c r="S54" s="52">
        <f>IF(OR(A54="",F54="",C54&lt;&gt;"Mekân"),0,IF(COUNTIFS($F$8:F54,F54,$C$8:C54,"Mekân")=1,1,0))</f>
        <v/>
      </c>
      <c r="T54" s="52">
        <f>IF(OR(A54="",F54="",C54&lt;&gt;"Kapak"),0,IF(COUNTIFS($F$8:F54,F54,$C$8:C54,"Kapak")=1,1,0))</f>
        <v/>
      </c>
    </row>
    <row r="55" ht="54" customHeight="1">
      <c r="A55" s="29" t="n"/>
      <c r="B55" s="29" t="n"/>
      <c r="C55" s="29" t="n"/>
      <c r="D55" s="29" t="n"/>
      <c r="E55" s="29" t="n"/>
      <c r="F55" s="29" t="n"/>
      <c r="G55" s="29" t="n"/>
      <c r="H55" s="29" t="n"/>
      <c r="I55" s="29" t="n"/>
      <c r="J55" s="29" t="n"/>
      <c r="K55" s="29" t="n"/>
      <c r="L55" s="49" t="n"/>
      <c r="M55" s="49" t="n"/>
      <c r="N55" s="29" t="n"/>
      <c r="O55" s="29" t="n"/>
      <c r="P55" s="29" t="n"/>
      <c r="Q55" s="51" t="n"/>
      <c r="R55" s="29" t="n"/>
      <c r="S55" s="52">
        <f>IF(OR(A55="",F55="",C55&lt;&gt;"Mekân"),0,IF(COUNTIFS($F$8:F55,F55,$C$8:C55,"Mekân")=1,1,0))</f>
        <v/>
      </c>
      <c r="T55" s="52">
        <f>IF(OR(A55="",F55="",C55&lt;&gt;"Kapak"),0,IF(COUNTIFS($F$8:F55,F55,$C$8:C55,"Kapak")=1,1,0))</f>
        <v/>
      </c>
    </row>
    <row r="56" ht="54" customHeight="1">
      <c r="A56" s="29" t="n"/>
      <c r="B56" s="29" t="n"/>
      <c r="C56" s="29" t="n"/>
      <c r="D56" s="29" t="n"/>
      <c r="E56" s="29" t="n"/>
      <c r="F56" s="29" t="n"/>
      <c r="G56" s="29" t="n"/>
      <c r="H56" s="29" t="n"/>
      <c r="I56" s="29" t="n"/>
      <c r="J56" s="29" t="n"/>
      <c r="K56" s="29" t="n"/>
      <c r="L56" s="49" t="n"/>
      <c r="M56" s="49" t="n"/>
      <c r="N56" s="29" t="n"/>
      <c r="O56" s="29" t="n"/>
      <c r="P56" s="29" t="n"/>
      <c r="Q56" s="51" t="n"/>
      <c r="R56" s="29" t="n"/>
      <c r="S56" s="52">
        <f>IF(OR(A56="",F56="",C56&lt;&gt;"Mekân"),0,IF(COUNTIFS($F$8:F56,F56,$C$8:C56,"Mekân")=1,1,0))</f>
        <v/>
      </c>
      <c r="T56" s="52">
        <f>IF(OR(A56="",F56="",C56&lt;&gt;"Kapak"),0,IF(COUNTIFS($F$8:F56,F56,$C$8:C56,"Kapak")=1,1,0))</f>
        <v/>
      </c>
    </row>
    <row r="57" ht="54" customHeight="1">
      <c r="A57" s="29" t="n"/>
      <c r="B57" s="29" t="n"/>
      <c r="C57" s="29" t="n"/>
      <c r="D57" s="29" t="n"/>
      <c r="E57" s="29" t="n"/>
      <c r="F57" s="29" t="n"/>
      <c r="G57" s="29" t="n"/>
      <c r="H57" s="29" t="n"/>
      <c r="I57" s="29" t="n"/>
      <c r="J57" s="29" t="n"/>
      <c r="K57" s="29" t="n"/>
      <c r="L57" s="49" t="n"/>
      <c r="M57" s="49" t="n"/>
      <c r="N57" s="29" t="n"/>
      <c r="O57" s="29" t="n"/>
      <c r="P57" s="29" t="n"/>
      <c r="Q57" s="51" t="n"/>
      <c r="R57" s="29" t="n"/>
      <c r="S57" s="52">
        <f>IF(OR(A57="",F57="",C57&lt;&gt;"Mekân"),0,IF(COUNTIFS($F$8:F57,F57,$C$8:C57,"Mekân")=1,1,0))</f>
        <v/>
      </c>
      <c r="T57" s="52">
        <f>IF(OR(A57="",F57="",C57&lt;&gt;"Kapak"),0,IF(COUNTIFS($F$8:F57,F57,$C$8:C57,"Kapak")=1,1,0))</f>
        <v/>
      </c>
    </row>
    <row r="58" ht="54" customHeight="1">
      <c r="A58" s="29" t="n"/>
      <c r="B58" s="29" t="n"/>
      <c r="C58" s="29" t="n"/>
      <c r="D58" s="29" t="n"/>
      <c r="E58" s="29" t="n"/>
      <c r="F58" s="29" t="n"/>
      <c r="G58" s="29" t="n"/>
      <c r="H58" s="29" t="n"/>
      <c r="I58" s="29" t="n"/>
      <c r="J58" s="29" t="n"/>
      <c r="K58" s="29" t="n"/>
      <c r="L58" s="49" t="n"/>
      <c r="M58" s="49" t="n"/>
      <c r="N58" s="29" t="n"/>
      <c r="O58" s="29" t="n"/>
      <c r="P58" s="29" t="n"/>
      <c r="Q58" s="51" t="n"/>
      <c r="R58" s="29" t="n"/>
      <c r="S58" s="52">
        <f>IF(OR(A58="",F58="",C58&lt;&gt;"Mekân"),0,IF(COUNTIFS($F$8:F58,F58,$C$8:C58,"Mekân")=1,1,0))</f>
        <v/>
      </c>
      <c r="T58" s="52">
        <f>IF(OR(A58="",F58="",C58&lt;&gt;"Kapak"),0,IF(COUNTIFS($F$8:F58,F58,$C$8:C58,"Kapak")=1,1,0))</f>
        <v/>
      </c>
    </row>
    <row r="59" ht="54" customHeight="1">
      <c r="A59" s="29" t="n"/>
      <c r="B59" s="29" t="n"/>
      <c r="C59" s="29" t="n"/>
      <c r="D59" s="29" t="n"/>
      <c r="E59" s="29" t="n"/>
      <c r="F59" s="29" t="n"/>
      <c r="G59" s="29" t="n"/>
      <c r="H59" s="29" t="n"/>
      <c r="I59" s="29" t="n"/>
      <c r="J59" s="29" t="n"/>
      <c r="K59" s="29" t="n"/>
      <c r="L59" s="49" t="n"/>
      <c r="M59" s="49" t="n"/>
      <c r="N59" s="29" t="n"/>
      <c r="O59" s="29" t="n"/>
      <c r="P59" s="29" t="n"/>
      <c r="Q59" s="51" t="n"/>
      <c r="R59" s="29" t="n"/>
      <c r="S59" s="52">
        <f>IF(OR(A59="",F59="",C59&lt;&gt;"Mekân"),0,IF(COUNTIFS($F$8:F59,F59,$C$8:C59,"Mekân")=1,1,0))</f>
        <v/>
      </c>
      <c r="T59" s="52">
        <f>IF(OR(A59="",F59="",C59&lt;&gt;"Kapak"),0,IF(COUNTIFS($F$8:F59,F59,$C$8:C59,"Kapak")=1,1,0))</f>
        <v/>
      </c>
    </row>
    <row r="60" ht="54" customHeight="1">
      <c r="A60" s="29" t="n"/>
      <c r="B60" s="29" t="n"/>
      <c r="C60" s="29" t="n"/>
      <c r="D60" s="29" t="n"/>
      <c r="E60" s="29" t="n"/>
      <c r="F60" s="29" t="n"/>
      <c r="G60" s="29" t="n"/>
      <c r="H60" s="29" t="n"/>
      <c r="I60" s="29" t="n"/>
      <c r="J60" s="29" t="n"/>
      <c r="K60" s="29" t="n"/>
      <c r="L60" s="49" t="n"/>
      <c r="M60" s="49" t="n"/>
      <c r="N60" s="29" t="n"/>
      <c r="O60" s="29" t="n"/>
      <c r="P60" s="29" t="n"/>
      <c r="Q60" s="51" t="n"/>
      <c r="R60" s="29" t="n"/>
      <c r="S60" s="52">
        <f>IF(OR(A60="",F60="",C60&lt;&gt;"Mekân"),0,IF(COUNTIFS($F$8:F60,F60,$C$8:C60,"Mekân")=1,1,0))</f>
        <v/>
      </c>
      <c r="T60" s="52">
        <f>IF(OR(A60="",F60="",C60&lt;&gt;"Kapak"),0,IF(COUNTIFS($F$8:F60,F60,$C$8:C60,"Kapak")=1,1,0))</f>
        <v/>
      </c>
    </row>
    <row r="61" ht="54" customHeight="1">
      <c r="A61" s="29" t="n"/>
      <c r="B61" s="29" t="n"/>
      <c r="C61" s="29" t="n"/>
      <c r="D61" s="29" t="n"/>
      <c r="E61" s="29" t="n"/>
      <c r="F61" s="29" t="n"/>
      <c r="G61" s="29" t="n"/>
      <c r="H61" s="29" t="n"/>
      <c r="I61" s="29" t="n"/>
      <c r="J61" s="29" t="n"/>
      <c r="K61" s="29" t="n"/>
      <c r="L61" s="49" t="n"/>
      <c r="M61" s="49" t="n"/>
      <c r="N61" s="29" t="n"/>
      <c r="O61" s="29" t="n"/>
      <c r="P61" s="29" t="n"/>
      <c r="Q61" s="51" t="n"/>
      <c r="R61" s="29" t="n"/>
      <c r="S61" s="52">
        <f>IF(OR(A61="",F61="",C61&lt;&gt;"Mekân"),0,IF(COUNTIFS($F$8:F61,F61,$C$8:C61,"Mekân")=1,1,0))</f>
        <v/>
      </c>
      <c r="T61" s="52">
        <f>IF(OR(A61="",F61="",C61&lt;&gt;"Kapak"),0,IF(COUNTIFS($F$8:F61,F61,$C$8:C61,"Kapak")=1,1,0))</f>
        <v/>
      </c>
    </row>
    <row r="62" ht="54" customHeight="1">
      <c r="A62" s="29" t="n"/>
      <c r="B62" s="29" t="n"/>
      <c r="C62" s="29" t="n"/>
      <c r="D62" s="29" t="n"/>
      <c r="E62" s="29" t="n"/>
      <c r="F62" s="29" t="n"/>
      <c r="G62" s="29" t="n"/>
      <c r="H62" s="29" t="n"/>
      <c r="I62" s="29" t="n"/>
      <c r="J62" s="29" t="n"/>
      <c r="K62" s="29" t="n"/>
      <c r="L62" s="49" t="n"/>
      <c r="M62" s="49" t="n"/>
      <c r="N62" s="29" t="n"/>
      <c r="O62" s="29" t="n"/>
      <c r="P62" s="29" t="n"/>
      <c r="Q62" s="51" t="n"/>
      <c r="R62" s="29" t="n"/>
      <c r="S62" s="52">
        <f>IF(OR(A62="",F62="",C62&lt;&gt;"Mekân"),0,IF(COUNTIFS($F$8:F62,F62,$C$8:C62,"Mekân")=1,1,0))</f>
        <v/>
      </c>
      <c r="T62" s="52">
        <f>IF(OR(A62="",F62="",C62&lt;&gt;"Kapak"),0,IF(COUNTIFS($F$8:F62,F62,$C$8:C62,"Kapak")=1,1,0))</f>
        <v/>
      </c>
    </row>
    <row r="63" ht="54" customHeight="1">
      <c r="A63" s="29" t="n"/>
      <c r="B63" s="29" t="n"/>
      <c r="C63" s="29" t="n"/>
      <c r="D63" s="29" t="n"/>
      <c r="E63" s="29" t="n"/>
      <c r="F63" s="29" t="n"/>
      <c r="G63" s="29" t="n"/>
      <c r="H63" s="29" t="n"/>
      <c r="I63" s="29" t="n"/>
      <c r="J63" s="29" t="n"/>
      <c r="K63" s="29" t="n"/>
      <c r="L63" s="49" t="n"/>
      <c r="M63" s="49" t="n"/>
      <c r="N63" s="29" t="n"/>
      <c r="O63" s="29" t="n"/>
      <c r="P63" s="29" t="n"/>
      <c r="Q63" s="51" t="n"/>
      <c r="R63" s="29" t="n"/>
      <c r="S63" s="52">
        <f>IF(OR(A63="",F63="",C63&lt;&gt;"Mekân"),0,IF(COUNTIFS($F$8:F63,F63,$C$8:C63,"Mekân")=1,1,0))</f>
        <v/>
      </c>
      <c r="T63" s="52">
        <f>IF(OR(A63="",F63="",C63&lt;&gt;"Kapak"),0,IF(COUNTIFS($F$8:F63,F63,$C$8:C63,"Kapak")=1,1,0))</f>
        <v/>
      </c>
    </row>
    <row r="64" ht="54" customHeight="1">
      <c r="A64" s="29" t="n"/>
      <c r="B64" s="29" t="n"/>
      <c r="C64" s="29" t="n"/>
      <c r="D64" s="29" t="n"/>
      <c r="E64" s="29" t="n"/>
      <c r="F64" s="29" t="n"/>
      <c r="G64" s="29" t="n"/>
      <c r="H64" s="29" t="n"/>
      <c r="I64" s="29" t="n"/>
      <c r="J64" s="29" t="n"/>
      <c r="K64" s="29" t="n"/>
      <c r="L64" s="49" t="n"/>
      <c r="M64" s="49" t="n"/>
      <c r="N64" s="29" t="n"/>
      <c r="O64" s="29" t="n"/>
      <c r="P64" s="29" t="n"/>
      <c r="Q64" s="51" t="n"/>
      <c r="R64" s="29" t="n"/>
      <c r="S64" s="52">
        <f>IF(OR(A64="",F64="",C64&lt;&gt;"Mekân"),0,IF(COUNTIFS($F$8:F64,F64,$C$8:C64,"Mekân")=1,1,0))</f>
        <v/>
      </c>
      <c r="T64" s="52">
        <f>IF(OR(A64="",F64="",C64&lt;&gt;"Kapak"),0,IF(COUNTIFS($F$8:F64,F64,$C$8:C64,"Kapak")=1,1,0))</f>
        <v/>
      </c>
    </row>
    <row r="65" ht="54" customHeight="1">
      <c r="A65" s="29" t="n"/>
      <c r="B65" s="29" t="n"/>
      <c r="C65" s="29" t="n"/>
      <c r="D65" s="29" t="n"/>
      <c r="E65" s="29" t="n"/>
      <c r="F65" s="29" t="n"/>
      <c r="G65" s="29" t="n"/>
      <c r="H65" s="29" t="n"/>
      <c r="I65" s="29" t="n"/>
      <c r="J65" s="29" t="n"/>
      <c r="K65" s="29" t="n"/>
      <c r="L65" s="49" t="n"/>
      <c r="M65" s="49" t="n"/>
      <c r="N65" s="29" t="n"/>
      <c r="O65" s="29" t="n"/>
      <c r="P65" s="29" t="n"/>
      <c r="Q65" s="51" t="n"/>
      <c r="R65" s="29" t="n"/>
      <c r="S65" s="52">
        <f>IF(OR(A65="",F65="",C65&lt;&gt;"Mekân"),0,IF(COUNTIFS($F$8:F65,F65,$C$8:C65,"Mekân")=1,1,0))</f>
        <v/>
      </c>
      <c r="T65" s="52">
        <f>IF(OR(A65="",F65="",C65&lt;&gt;"Kapak"),0,IF(COUNTIFS($F$8:F65,F65,$C$8:C65,"Kapak")=1,1,0))</f>
        <v/>
      </c>
    </row>
    <row r="66" ht="54" customHeight="1">
      <c r="A66" s="29" t="n"/>
      <c r="B66" s="29" t="n"/>
      <c r="C66" s="29" t="n"/>
      <c r="D66" s="29" t="n"/>
      <c r="E66" s="29" t="n"/>
      <c r="F66" s="29" t="n"/>
      <c r="G66" s="29" t="n"/>
      <c r="H66" s="29" t="n"/>
      <c r="I66" s="29" t="n"/>
      <c r="J66" s="29" t="n"/>
      <c r="K66" s="29" t="n"/>
      <c r="L66" s="49" t="n"/>
      <c r="M66" s="49" t="n"/>
      <c r="N66" s="29" t="n"/>
      <c r="O66" s="29" t="n"/>
      <c r="P66" s="29" t="n"/>
      <c r="Q66" s="51" t="n"/>
      <c r="R66" s="29" t="n"/>
      <c r="S66" s="52">
        <f>IF(OR(A66="",F66="",C66&lt;&gt;"Mekân"),0,IF(COUNTIFS($F$8:F66,F66,$C$8:C66,"Mekân")=1,1,0))</f>
        <v/>
      </c>
      <c r="T66" s="52">
        <f>IF(OR(A66="",F66="",C66&lt;&gt;"Kapak"),0,IF(COUNTIFS($F$8:F66,F66,$C$8:C66,"Kapak")=1,1,0))</f>
        <v/>
      </c>
    </row>
    <row r="67" ht="54" customHeight="1">
      <c r="A67" s="29" t="n"/>
      <c r="B67" s="29" t="n"/>
      <c r="C67" s="29" t="n"/>
      <c r="D67" s="29" t="n"/>
      <c r="E67" s="29" t="n"/>
      <c r="F67" s="29" t="n"/>
      <c r="G67" s="29" t="n"/>
      <c r="H67" s="29" t="n"/>
      <c r="I67" s="29" t="n"/>
      <c r="J67" s="29" t="n"/>
      <c r="K67" s="29" t="n"/>
      <c r="L67" s="49" t="n"/>
      <c r="M67" s="49" t="n"/>
      <c r="N67" s="29" t="n"/>
      <c r="O67" s="29" t="n"/>
      <c r="P67" s="29" t="n"/>
      <c r="Q67" s="51" t="n"/>
      <c r="R67" s="29" t="n"/>
      <c r="S67" s="52">
        <f>IF(OR(A67="",F67="",C67&lt;&gt;"Mekân"),0,IF(COUNTIFS($F$8:F67,F67,$C$8:C67,"Mekân")=1,1,0))</f>
        <v/>
      </c>
      <c r="T67" s="52">
        <f>IF(OR(A67="",F67="",C67&lt;&gt;"Kapak"),0,IF(COUNTIFS($F$8:F67,F67,$C$8:C67,"Kapak")=1,1,0))</f>
        <v/>
      </c>
    </row>
    <row r="68" ht="54" customHeight="1">
      <c r="A68" s="29" t="n"/>
      <c r="B68" s="29" t="n"/>
      <c r="C68" s="29" t="n"/>
      <c r="D68" s="29" t="n"/>
      <c r="E68" s="29" t="n"/>
      <c r="F68" s="29" t="n"/>
      <c r="G68" s="29" t="n"/>
      <c r="H68" s="29" t="n"/>
      <c r="I68" s="29" t="n"/>
      <c r="J68" s="29" t="n"/>
      <c r="K68" s="29" t="n"/>
      <c r="L68" s="49" t="n"/>
      <c r="M68" s="49" t="n"/>
      <c r="N68" s="29" t="n"/>
      <c r="O68" s="29" t="n"/>
      <c r="P68" s="29" t="n"/>
      <c r="Q68" s="51" t="n"/>
      <c r="R68" s="29" t="n"/>
      <c r="S68" s="52">
        <f>IF(OR(A68="",F68="",C68&lt;&gt;"Mekân"),0,IF(COUNTIFS($F$8:F68,F68,$C$8:C68,"Mekân")=1,1,0))</f>
        <v/>
      </c>
      <c r="T68" s="52">
        <f>IF(OR(A68="",F68="",C68&lt;&gt;"Kapak"),0,IF(COUNTIFS($F$8:F68,F68,$C$8:C68,"Kapak")=1,1,0))</f>
        <v/>
      </c>
    </row>
    <row r="69" ht="54" customHeight="1">
      <c r="A69" s="29" t="n"/>
      <c r="B69" s="29" t="n"/>
      <c r="C69" s="29" t="n"/>
      <c r="D69" s="29" t="n"/>
      <c r="E69" s="29" t="n"/>
      <c r="F69" s="29" t="n"/>
      <c r="G69" s="29" t="n"/>
      <c r="H69" s="29" t="n"/>
      <c r="I69" s="29" t="n"/>
      <c r="J69" s="29" t="n"/>
      <c r="K69" s="29" t="n"/>
      <c r="L69" s="49" t="n"/>
      <c r="M69" s="49" t="n"/>
      <c r="N69" s="29" t="n"/>
      <c r="O69" s="29" t="n"/>
      <c r="P69" s="29" t="n"/>
      <c r="Q69" s="51" t="n"/>
      <c r="R69" s="29" t="n"/>
      <c r="S69" s="52">
        <f>IF(OR(A69="",F69="",C69&lt;&gt;"Mekân"),0,IF(COUNTIFS($F$8:F69,F69,$C$8:C69,"Mekân")=1,1,0))</f>
        <v/>
      </c>
      <c r="T69" s="52">
        <f>IF(OR(A69="",F69="",C69&lt;&gt;"Kapak"),0,IF(COUNTIFS($F$8:F69,F69,$C$8:C69,"Kapak")=1,1,0))</f>
        <v/>
      </c>
    </row>
    <row r="70" ht="54" customHeight="1">
      <c r="A70" s="29" t="n"/>
      <c r="B70" s="29" t="n"/>
      <c r="C70" s="29" t="n"/>
      <c r="D70" s="29" t="n"/>
      <c r="E70" s="29" t="n"/>
      <c r="F70" s="29" t="n"/>
      <c r="G70" s="29" t="n"/>
      <c r="H70" s="29" t="n"/>
      <c r="I70" s="29" t="n"/>
      <c r="J70" s="29" t="n"/>
      <c r="K70" s="29" t="n"/>
      <c r="L70" s="49" t="n"/>
      <c r="M70" s="49" t="n"/>
      <c r="N70" s="29" t="n"/>
      <c r="O70" s="29" t="n"/>
      <c r="P70" s="29" t="n"/>
      <c r="Q70" s="51" t="n"/>
      <c r="R70" s="29" t="n"/>
      <c r="S70" s="52">
        <f>IF(OR(A70="",F70="",C70&lt;&gt;"Mekân"),0,IF(COUNTIFS($F$8:F70,F70,$C$8:C70,"Mekân")=1,1,0))</f>
        <v/>
      </c>
      <c r="T70" s="52">
        <f>IF(OR(A70="",F70="",C70&lt;&gt;"Kapak"),0,IF(COUNTIFS($F$8:F70,F70,$C$8:C70,"Kapak")=1,1,0))</f>
        <v/>
      </c>
    </row>
    <row r="71" ht="54" customHeight="1">
      <c r="A71" s="29" t="n"/>
      <c r="B71" s="29" t="n"/>
      <c r="C71" s="29" t="n"/>
      <c r="D71" s="29" t="n"/>
      <c r="E71" s="29" t="n"/>
      <c r="F71" s="29" t="n"/>
      <c r="G71" s="29" t="n"/>
      <c r="H71" s="29" t="n"/>
      <c r="I71" s="29" t="n"/>
      <c r="J71" s="29" t="n"/>
      <c r="K71" s="29" t="n"/>
      <c r="L71" s="49" t="n"/>
      <c r="M71" s="49" t="n"/>
      <c r="N71" s="29" t="n"/>
      <c r="O71" s="29" t="n"/>
      <c r="P71" s="29" t="n"/>
      <c r="Q71" s="51" t="n"/>
      <c r="R71" s="29" t="n"/>
      <c r="S71" s="52">
        <f>IF(OR(A71="",F71="",C71&lt;&gt;"Mekân"),0,IF(COUNTIFS($F$8:F71,F71,$C$8:C71,"Mekân")=1,1,0))</f>
        <v/>
      </c>
      <c r="T71" s="52">
        <f>IF(OR(A71="",F71="",C71&lt;&gt;"Kapak"),0,IF(COUNTIFS($F$8:F71,F71,$C$8:C71,"Kapak")=1,1,0))</f>
        <v/>
      </c>
    </row>
    <row r="72" ht="54" customHeight="1">
      <c r="A72" s="29" t="n"/>
      <c r="B72" s="29" t="n"/>
      <c r="C72" s="29" t="n"/>
      <c r="D72" s="29" t="n"/>
      <c r="E72" s="29" t="n"/>
      <c r="F72" s="29" t="n"/>
      <c r="G72" s="29" t="n"/>
      <c r="H72" s="29" t="n"/>
      <c r="I72" s="29" t="n"/>
      <c r="J72" s="29" t="n"/>
      <c r="K72" s="29" t="n"/>
      <c r="L72" s="49" t="n"/>
      <c r="M72" s="49" t="n"/>
      <c r="N72" s="29" t="n"/>
      <c r="O72" s="29" t="n"/>
      <c r="P72" s="29" t="n"/>
      <c r="Q72" s="51" t="n"/>
      <c r="R72" s="29" t="n"/>
      <c r="S72" s="52">
        <f>IF(OR(A72="",F72="",C72&lt;&gt;"Mekân"),0,IF(COUNTIFS($F$8:F72,F72,$C$8:C72,"Mekân")=1,1,0))</f>
        <v/>
      </c>
      <c r="T72" s="52">
        <f>IF(OR(A72="",F72="",C72&lt;&gt;"Kapak"),0,IF(COUNTIFS($F$8:F72,F72,$C$8:C72,"Kapak")=1,1,0))</f>
        <v/>
      </c>
    </row>
    <row r="73" ht="54" customHeight="1">
      <c r="A73" s="29" t="n"/>
      <c r="B73" s="29" t="n"/>
      <c r="C73" s="29" t="n"/>
      <c r="D73" s="29" t="n"/>
      <c r="E73" s="29" t="n"/>
      <c r="F73" s="29" t="n"/>
      <c r="G73" s="29" t="n"/>
      <c r="H73" s="29" t="n"/>
      <c r="I73" s="29" t="n"/>
      <c r="J73" s="29" t="n"/>
      <c r="K73" s="29" t="n"/>
      <c r="L73" s="49" t="n"/>
      <c r="M73" s="49" t="n"/>
      <c r="N73" s="29" t="n"/>
      <c r="O73" s="29" t="n"/>
      <c r="P73" s="29" t="n"/>
      <c r="Q73" s="51" t="n"/>
      <c r="R73" s="29" t="n"/>
      <c r="S73" s="52">
        <f>IF(OR(A73="",F73="",C73&lt;&gt;"Mekân"),0,IF(COUNTIFS($F$8:F73,F73,$C$8:C73,"Mekân")=1,1,0))</f>
        <v/>
      </c>
      <c r="T73" s="52">
        <f>IF(OR(A73="",F73="",C73&lt;&gt;"Kapak"),0,IF(COUNTIFS($F$8:F73,F73,$C$8:C73,"Kapak")=1,1,0))</f>
        <v/>
      </c>
    </row>
    <row r="74" ht="54" customHeight="1">
      <c r="A74" s="29" t="n"/>
      <c r="B74" s="29" t="n"/>
      <c r="C74" s="29" t="n"/>
      <c r="D74" s="29" t="n"/>
      <c r="E74" s="29" t="n"/>
      <c r="F74" s="29" t="n"/>
      <c r="G74" s="29" t="n"/>
      <c r="H74" s="29" t="n"/>
      <c r="I74" s="29" t="n"/>
      <c r="J74" s="29" t="n"/>
      <c r="K74" s="29" t="n"/>
      <c r="L74" s="49" t="n"/>
      <c r="M74" s="49" t="n"/>
      <c r="N74" s="29" t="n"/>
      <c r="O74" s="29" t="n"/>
      <c r="P74" s="29" t="n"/>
      <c r="Q74" s="51" t="n"/>
      <c r="R74" s="29" t="n"/>
      <c r="S74" s="52">
        <f>IF(OR(A74="",F74="",C74&lt;&gt;"Mekân"),0,IF(COUNTIFS($F$8:F74,F74,$C$8:C74,"Mekân")=1,1,0))</f>
        <v/>
      </c>
      <c r="T74" s="52">
        <f>IF(OR(A74="",F74="",C74&lt;&gt;"Kapak"),0,IF(COUNTIFS($F$8:F74,F74,$C$8:C74,"Kapak")=1,1,0))</f>
        <v/>
      </c>
    </row>
    <row r="75" ht="54" customHeight="1">
      <c r="A75" s="29" t="n"/>
      <c r="B75" s="29" t="n"/>
      <c r="C75" s="29" t="n"/>
      <c r="D75" s="29" t="n"/>
      <c r="E75" s="29" t="n"/>
      <c r="F75" s="29" t="n"/>
      <c r="G75" s="29" t="n"/>
      <c r="H75" s="29" t="n"/>
      <c r="I75" s="29" t="n"/>
      <c r="J75" s="29" t="n"/>
      <c r="K75" s="29" t="n"/>
      <c r="L75" s="49" t="n"/>
      <c r="M75" s="49" t="n"/>
      <c r="N75" s="29" t="n"/>
      <c r="O75" s="29" t="n"/>
      <c r="P75" s="29" t="n"/>
      <c r="Q75" s="51" t="n"/>
      <c r="R75" s="29" t="n"/>
      <c r="S75" s="52">
        <f>IF(OR(A75="",F75="",C75&lt;&gt;"Mekân"),0,IF(COUNTIFS($F$8:F75,F75,$C$8:C75,"Mekân")=1,1,0))</f>
        <v/>
      </c>
      <c r="T75" s="52">
        <f>IF(OR(A75="",F75="",C75&lt;&gt;"Kapak"),0,IF(COUNTIFS($F$8:F75,F75,$C$8:C75,"Kapak")=1,1,0))</f>
        <v/>
      </c>
    </row>
    <row r="76" ht="54" customHeight="1">
      <c r="A76" s="29" t="n"/>
      <c r="B76" s="29" t="n"/>
      <c r="C76" s="29" t="n"/>
      <c r="D76" s="29" t="n"/>
      <c r="E76" s="29" t="n"/>
      <c r="F76" s="29" t="n"/>
      <c r="G76" s="29" t="n"/>
      <c r="H76" s="29" t="n"/>
      <c r="I76" s="29" t="n"/>
      <c r="J76" s="29" t="n"/>
      <c r="K76" s="29" t="n"/>
      <c r="L76" s="49" t="n"/>
      <c r="M76" s="49" t="n"/>
      <c r="N76" s="29" t="n"/>
      <c r="O76" s="29" t="n"/>
      <c r="P76" s="29" t="n"/>
      <c r="Q76" s="51" t="n"/>
      <c r="R76" s="29" t="n"/>
      <c r="S76" s="52">
        <f>IF(OR(A76="",F76="",C76&lt;&gt;"Mekân"),0,IF(COUNTIFS($F$8:F76,F76,$C$8:C76,"Mekân")=1,1,0))</f>
        <v/>
      </c>
      <c r="T76" s="52">
        <f>IF(OR(A76="",F76="",C76&lt;&gt;"Kapak"),0,IF(COUNTIFS($F$8:F76,F76,$C$8:C76,"Kapak")=1,1,0))</f>
        <v/>
      </c>
    </row>
    <row r="77" ht="54" customHeight="1">
      <c r="A77" s="29" t="n"/>
      <c r="B77" s="29" t="n"/>
      <c r="C77" s="29" t="n"/>
      <c r="D77" s="29" t="n"/>
      <c r="E77" s="29" t="n"/>
      <c r="F77" s="29" t="n"/>
      <c r="G77" s="29" t="n"/>
      <c r="H77" s="29" t="n"/>
      <c r="I77" s="29" t="n"/>
      <c r="J77" s="29" t="n"/>
      <c r="K77" s="29" t="n"/>
      <c r="L77" s="49" t="n"/>
      <c r="M77" s="49" t="n"/>
      <c r="N77" s="29" t="n"/>
      <c r="O77" s="29" t="n"/>
      <c r="P77" s="29" t="n"/>
      <c r="Q77" s="51" t="n"/>
      <c r="R77" s="29" t="n"/>
      <c r="S77" s="52">
        <f>IF(OR(A77="",F77="",C77&lt;&gt;"Mekân"),0,IF(COUNTIFS($F$8:F77,F77,$C$8:C77,"Mekân")=1,1,0))</f>
        <v/>
      </c>
      <c r="T77" s="52">
        <f>IF(OR(A77="",F77="",C77&lt;&gt;"Kapak"),0,IF(COUNTIFS($F$8:F77,F77,$C$8:C77,"Kapak")=1,1,0))</f>
        <v/>
      </c>
    </row>
    <row r="78" ht="54" customHeight="1">
      <c r="A78" s="29" t="n"/>
      <c r="B78" s="29" t="n"/>
      <c r="C78" s="29" t="n"/>
      <c r="D78" s="29" t="n"/>
      <c r="E78" s="29" t="n"/>
      <c r="F78" s="29" t="n"/>
      <c r="G78" s="29" t="n"/>
      <c r="H78" s="29" t="n"/>
      <c r="I78" s="29" t="n"/>
      <c r="J78" s="29" t="n"/>
      <c r="K78" s="29" t="n"/>
      <c r="L78" s="49" t="n"/>
      <c r="M78" s="49" t="n"/>
      <c r="N78" s="29" t="n"/>
      <c r="O78" s="29" t="n"/>
      <c r="P78" s="29" t="n"/>
      <c r="Q78" s="51" t="n"/>
      <c r="R78" s="29" t="n"/>
      <c r="S78" s="52">
        <f>IF(OR(A78="",F78="",C78&lt;&gt;"Mekân"),0,IF(COUNTIFS($F$8:F78,F78,$C$8:C78,"Mekân")=1,1,0))</f>
        <v/>
      </c>
      <c r="T78" s="52">
        <f>IF(OR(A78="",F78="",C78&lt;&gt;"Kapak"),0,IF(COUNTIFS($F$8:F78,F78,$C$8:C78,"Kapak")=1,1,0))</f>
        <v/>
      </c>
    </row>
    <row r="79" ht="54" customHeight="1">
      <c r="A79" s="29" t="n"/>
      <c r="B79" s="29" t="n"/>
      <c r="C79" s="29" t="n"/>
      <c r="D79" s="29" t="n"/>
      <c r="E79" s="29" t="n"/>
      <c r="F79" s="29" t="n"/>
      <c r="G79" s="29" t="n"/>
      <c r="H79" s="29" t="n"/>
      <c r="I79" s="29" t="n"/>
      <c r="J79" s="29" t="n"/>
      <c r="K79" s="29" t="n"/>
      <c r="L79" s="49" t="n"/>
      <c r="M79" s="49" t="n"/>
      <c r="N79" s="29" t="n"/>
      <c r="O79" s="29" t="n"/>
      <c r="P79" s="29" t="n"/>
      <c r="Q79" s="51" t="n"/>
      <c r="R79" s="29" t="n"/>
      <c r="S79" s="52">
        <f>IF(OR(A79="",F79="",C79&lt;&gt;"Mekân"),0,IF(COUNTIFS($F$8:F79,F79,$C$8:C79,"Mekân")=1,1,0))</f>
        <v/>
      </c>
      <c r="T79" s="52">
        <f>IF(OR(A79="",F79="",C79&lt;&gt;"Kapak"),0,IF(COUNTIFS($F$8:F79,F79,$C$8:C79,"Kapak")=1,1,0))</f>
        <v/>
      </c>
    </row>
    <row r="80" ht="54" customHeight="1">
      <c r="A80" s="29" t="n"/>
      <c r="B80" s="29" t="n"/>
      <c r="C80" s="29" t="n"/>
      <c r="D80" s="29" t="n"/>
      <c r="E80" s="29" t="n"/>
      <c r="F80" s="29" t="n"/>
      <c r="G80" s="29" t="n"/>
      <c r="H80" s="29" t="n"/>
      <c r="I80" s="29" t="n"/>
      <c r="J80" s="29" t="n"/>
      <c r="K80" s="29" t="n"/>
      <c r="L80" s="49" t="n"/>
      <c r="M80" s="49" t="n"/>
      <c r="N80" s="29" t="n"/>
      <c r="O80" s="29" t="n"/>
      <c r="P80" s="29" t="n"/>
      <c r="Q80" s="51" t="n"/>
      <c r="R80" s="29" t="n"/>
      <c r="S80" s="52">
        <f>IF(OR(A80="",F80="",C80&lt;&gt;"Mekân"),0,IF(COUNTIFS($F$8:F80,F80,$C$8:C80,"Mekân")=1,1,0))</f>
        <v/>
      </c>
      <c r="T80" s="52">
        <f>IF(OR(A80="",F80="",C80&lt;&gt;"Kapak"),0,IF(COUNTIFS($F$8:F80,F80,$C$8:C80,"Kapak")=1,1,0))</f>
        <v/>
      </c>
    </row>
    <row r="81" ht="54" customHeight="1">
      <c r="A81" s="29" t="n"/>
      <c r="B81" s="29" t="n"/>
      <c r="C81" s="29" t="n"/>
      <c r="D81" s="29" t="n"/>
      <c r="E81" s="29" t="n"/>
      <c r="F81" s="29" t="n"/>
      <c r="G81" s="29" t="n"/>
      <c r="H81" s="29" t="n"/>
      <c r="I81" s="29" t="n"/>
      <c r="J81" s="29" t="n"/>
      <c r="K81" s="29" t="n"/>
      <c r="L81" s="49" t="n"/>
      <c r="M81" s="49" t="n"/>
      <c r="N81" s="29" t="n"/>
      <c r="O81" s="29" t="n"/>
      <c r="P81" s="29" t="n"/>
      <c r="Q81" s="51" t="n"/>
      <c r="R81" s="29" t="n"/>
      <c r="S81" s="52">
        <f>IF(OR(A81="",F81="",C81&lt;&gt;"Mekân"),0,IF(COUNTIFS($F$8:F81,F81,$C$8:C81,"Mekân")=1,1,0))</f>
        <v/>
      </c>
      <c r="T81" s="52">
        <f>IF(OR(A81="",F81="",C81&lt;&gt;"Kapak"),0,IF(COUNTIFS($F$8:F81,F81,$C$8:C81,"Kapak")=1,1,0))</f>
        <v/>
      </c>
    </row>
    <row r="82" ht="54" customHeight="1">
      <c r="A82" s="29" t="n"/>
      <c r="B82" s="29" t="n"/>
      <c r="C82" s="29" t="n"/>
      <c r="D82" s="29" t="n"/>
      <c r="E82" s="29" t="n"/>
      <c r="F82" s="29" t="n"/>
      <c r="G82" s="29" t="n"/>
      <c r="H82" s="29" t="n"/>
      <c r="I82" s="29" t="n"/>
      <c r="J82" s="29" t="n"/>
      <c r="K82" s="29" t="n"/>
      <c r="L82" s="49" t="n"/>
      <c r="M82" s="49" t="n"/>
      <c r="N82" s="29" t="n"/>
      <c r="O82" s="29" t="n"/>
      <c r="P82" s="29" t="n"/>
      <c r="Q82" s="51" t="n"/>
      <c r="R82" s="29" t="n"/>
      <c r="S82" s="52">
        <f>IF(OR(A82="",F82="",C82&lt;&gt;"Mekân"),0,IF(COUNTIFS($F$8:F82,F82,$C$8:C82,"Mekân")=1,1,0))</f>
        <v/>
      </c>
      <c r="T82" s="52">
        <f>IF(OR(A82="",F82="",C82&lt;&gt;"Kapak"),0,IF(COUNTIFS($F$8:F82,F82,$C$8:C82,"Kapak")=1,1,0))</f>
        <v/>
      </c>
    </row>
    <row r="83" ht="54" customHeight="1">
      <c r="A83" s="29" t="n"/>
      <c r="B83" s="29" t="n"/>
      <c r="C83" s="29" t="n"/>
      <c r="D83" s="29" t="n"/>
      <c r="E83" s="29" t="n"/>
      <c r="F83" s="29" t="n"/>
      <c r="G83" s="29" t="n"/>
      <c r="H83" s="29" t="n"/>
      <c r="I83" s="29" t="n"/>
      <c r="J83" s="29" t="n"/>
      <c r="K83" s="29" t="n"/>
      <c r="L83" s="49" t="n"/>
      <c r="M83" s="49" t="n"/>
      <c r="N83" s="29" t="n"/>
      <c r="O83" s="29" t="n"/>
      <c r="P83" s="29" t="n"/>
      <c r="Q83" s="51" t="n"/>
      <c r="R83" s="29" t="n"/>
      <c r="S83" s="52">
        <f>IF(OR(A83="",F83="",C83&lt;&gt;"Mekân"),0,IF(COUNTIFS($F$8:F83,F83,$C$8:C83,"Mekân")=1,1,0))</f>
        <v/>
      </c>
      <c r="T83" s="52">
        <f>IF(OR(A83="",F83="",C83&lt;&gt;"Kapak"),0,IF(COUNTIFS($F$8:F83,F83,$C$8:C83,"Kapak")=1,1,0))</f>
        <v/>
      </c>
    </row>
    <row r="84" ht="54" customHeight="1">
      <c r="A84" s="29" t="n"/>
      <c r="B84" s="29" t="n"/>
      <c r="C84" s="29" t="n"/>
      <c r="D84" s="29" t="n"/>
      <c r="E84" s="29" t="n"/>
      <c r="F84" s="29" t="n"/>
      <c r="G84" s="29" t="n"/>
      <c r="H84" s="29" t="n"/>
      <c r="I84" s="29" t="n"/>
      <c r="J84" s="29" t="n"/>
      <c r="K84" s="29" t="n"/>
      <c r="L84" s="49" t="n"/>
      <c r="M84" s="49" t="n"/>
      <c r="N84" s="29" t="n"/>
      <c r="O84" s="29" t="n"/>
      <c r="P84" s="29" t="n"/>
      <c r="Q84" s="51" t="n"/>
      <c r="R84" s="29" t="n"/>
      <c r="S84" s="52">
        <f>IF(OR(A84="",F84="",C84&lt;&gt;"Mekân"),0,IF(COUNTIFS($F$8:F84,F84,$C$8:C84,"Mekân")=1,1,0))</f>
        <v/>
      </c>
      <c r="T84" s="52">
        <f>IF(OR(A84="",F84="",C84&lt;&gt;"Kapak"),0,IF(COUNTIFS($F$8:F84,F84,$C$8:C84,"Kapak")=1,1,0))</f>
        <v/>
      </c>
    </row>
    <row r="85" ht="54" customHeight="1">
      <c r="A85" s="29" t="n"/>
      <c r="B85" s="29" t="n"/>
      <c r="C85" s="29" t="n"/>
      <c r="D85" s="29" t="n"/>
      <c r="E85" s="29" t="n"/>
      <c r="F85" s="29" t="n"/>
      <c r="G85" s="29" t="n"/>
      <c r="H85" s="29" t="n"/>
      <c r="I85" s="29" t="n"/>
      <c r="J85" s="29" t="n"/>
      <c r="K85" s="29" t="n"/>
      <c r="L85" s="49" t="n"/>
      <c r="M85" s="49" t="n"/>
      <c r="N85" s="29" t="n"/>
      <c r="O85" s="29" t="n"/>
      <c r="P85" s="29" t="n"/>
      <c r="Q85" s="51" t="n"/>
      <c r="R85" s="29" t="n"/>
      <c r="S85" s="52">
        <f>IF(OR(A85="",F85="",C85&lt;&gt;"Mekân"),0,IF(COUNTIFS($F$8:F85,F85,$C$8:C85,"Mekân")=1,1,0))</f>
        <v/>
      </c>
      <c r="T85" s="52">
        <f>IF(OR(A85="",F85="",C85&lt;&gt;"Kapak"),0,IF(COUNTIFS($F$8:F85,F85,$C$8:C85,"Kapak")=1,1,0))</f>
        <v/>
      </c>
    </row>
    <row r="86" ht="54" customHeight="1">
      <c r="A86" s="29" t="n"/>
      <c r="B86" s="29" t="n"/>
      <c r="C86" s="29" t="n"/>
      <c r="D86" s="29" t="n"/>
      <c r="E86" s="29" t="n"/>
      <c r="F86" s="29" t="n"/>
      <c r="G86" s="29" t="n"/>
      <c r="H86" s="29" t="n"/>
      <c r="I86" s="29" t="n"/>
      <c r="J86" s="29" t="n"/>
      <c r="K86" s="29" t="n"/>
      <c r="L86" s="49" t="n"/>
      <c r="M86" s="49" t="n"/>
      <c r="N86" s="29" t="n"/>
      <c r="O86" s="29" t="n"/>
      <c r="P86" s="29" t="n"/>
      <c r="Q86" s="51" t="n"/>
      <c r="R86" s="29" t="n"/>
      <c r="S86" s="52">
        <f>IF(OR(A86="",F86="",C86&lt;&gt;"Mekân"),0,IF(COUNTIFS($F$8:F86,F86,$C$8:C86,"Mekân")=1,1,0))</f>
        <v/>
      </c>
      <c r="T86" s="52">
        <f>IF(OR(A86="",F86="",C86&lt;&gt;"Kapak"),0,IF(COUNTIFS($F$8:F86,F86,$C$8:C86,"Kapak")=1,1,0))</f>
        <v/>
      </c>
    </row>
    <row r="87" ht="54" customHeight="1">
      <c r="A87" s="29" t="n"/>
      <c r="B87" s="29" t="n"/>
      <c r="C87" s="29" t="n"/>
      <c r="D87" s="29" t="n"/>
      <c r="E87" s="29" t="n"/>
      <c r="F87" s="29" t="n"/>
      <c r="G87" s="29" t="n"/>
      <c r="H87" s="29" t="n"/>
      <c r="I87" s="29" t="n"/>
      <c r="J87" s="29" t="n"/>
      <c r="K87" s="29" t="n"/>
      <c r="L87" s="49" t="n"/>
      <c r="M87" s="49" t="n"/>
      <c r="N87" s="29" t="n"/>
      <c r="O87" s="29" t="n"/>
      <c r="P87" s="29" t="n"/>
      <c r="Q87" s="51" t="n"/>
      <c r="R87" s="29" t="n"/>
      <c r="S87" s="52">
        <f>IF(OR(A87="",F87="",C87&lt;&gt;"Mekân"),0,IF(COUNTIFS($F$8:F87,F87,$C$8:C87,"Mekân")=1,1,0))</f>
        <v/>
      </c>
      <c r="T87" s="52">
        <f>IF(OR(A87="",F87="",C87&lt;&gt;"Kapak"),0,IF(COUNTIFS($F$8:F87,F87,$C$8:C87,"Kapak")=1,1,0))</f>
        <v/>
      </c>
    </row>
    <row r="88" ht="54" customHeight="1">
      <c r="A88" s="29" t="n"/>
      <c r="B88" s="29" t="n"/>
      <c r="C88" s="29" t="n"/>
      <c r="D88" s="29" t="n"/>
      <c r="E88" s="29" t="n"/>
      <c r="F88" s="29" t="n"/>
      <c r="G88" s="29" t="n"/>
      <c r="H88" s="29" t="n"/>
      <c r="I88" s="29" t="n"/>
      <c r="J88" s="29" t="n"/>
      <c r="K88" s="29" t="n"/>
      <c r="L88" s="49" t="n"/>
      <c r="M88" s="49" t="n"/>
      <c r="N88" s="29" t="n"/>
      <c r="O88" s="29" t="n"/>
      <c r="P88" s="29" t="n"/>
      <c r="Q88" s="51" t="n"/>
      <c r="R88" s="29" t="n"/>
      <c r="S88" s="52">
        <f>IF(OR(A88="",F88="",C88&lt;&gt;"Mekân"),0,IF(COUNTIFS($F$8:F88,F88,$C$8:C88,"Mekân")=1,1,0))</f>
        <v/>
      </c>
      <c r="T88" s="52">
        <f>IF(OR(A88="",F88="",C88&lt;&gt;"Kapak"),0,IF(COUNTIFS($F$8:F88,F88,$C$8:C88,"Kapak")=1,1,0))</f>
        <v/>
      </c>
    </row>
    <row r="89" ht="54" customHeight="1">
      <c r="A89" s="29" t="n"/>
      <c r="B89" s="29" t="n"/>
      <c r="C89" s="29" t="n"/>
      <c r="D89" s="29" t="n"/>
      <c r="E89" s="29" t="n"/>
      <c r="F89" s="29" t="n"/>
      <c r="G89" s="29" t="n"/>
      <c r="H89" s="29" t="n"/>
      <c r="I89" s="29" t="n"/>
      <c r="J89" s="29" t="n"/>
      <c r="K89" s="29" t="n"/>
      <c r="L89" s="49" t="n"/>
      <c r="M89" s="49" t="n"/>
      <c r="N89" s="29" t="n"/>
      <c r="O89" s="29" t="n"/>
      <c r="P89" s="29" t="n"/>
      <c r="Q89" s="51" t="n"/>
      <c r="R89" s="29" t="n"/>
      <c r="S89" s="52">
        <f>IF(OR(A89="",F89="",C89&lt;&gt;"Mekân"),0,IF(COUNTIFS($F$8:F89,F89,$C$8:C89,"Mekân")=1,1,0))</f>
        <v/>
      </c>
      <c r="T89" s="52">
        <f>IF(OR(A89="",F89="",C89&lt;&gt;"Kapak"),0,IF(COUNTIFS($F$8:F89,F89,$C$8:C89,"Kapak")=1,1,0))</f>
        <v/>
      </c>
    </row>
    <row r="90" ht="54" customHeight="1">
      <c r="A90" s="29" t="n"/>
      <c r="B90" s="29" t="n"/>
      <c r="C90" s="29" t="n"/>
      <c r="D90" s="29" t="n"/>
      <c r="E90" s="29" t="n"/>
      <c r="F90" s="29" t="n"/>
      <c r="G90" s="29" t="n"/>
      <c r="H90" s="29" t="n"/>
      <c r="I90" s="29" t="n"/>
      <c r="J90" s="29" t="n"/>
      <c r="K90" s="29" t="n"/>
      <c r="L90" s="49" t="n"/>
      <c r="M90" s="49" t="n"/>
      <c r="N90" s="29" t="n"/>
      <c r="O90" s="29" t="n"/>
      <c r="P90" s="29" t="n"/>
      <c r="Q90" s="51" t="n"/>
      <c r="R90" s="29" t="n"/>
      <c r="S90" s="52">
        <f>IF(OR(A90="",F90="",C90&lt;&gt;"Mekân"),0,IF(COUNTIFS($F$8:F90,F90,$C$8:C90,"Mekân")=1,1,0))</f>
        <v/>
      </c>
      <c r="T90" s="52">
        <f>IF(OR(A90="",F90="",C90&lt;&gt;"Kapak"),0,IF(COUNTIFS($F$8:F90,F90,$C$8:C90,"Kapak")=1,1,0))</f>
        <v/>
      </c>
    </row>
    <row r="91" ht="54" customHeight="1">
      <c r="A91" s="29" t="n"/>
      <c r="B91" s="29" t="n"/>
      <c r="C91" s="29" t="n"/>
      <c r="D91" s="29" t="n"/>
      <c r="E91" s="29" t="n"/>
      <c r="F91" s="29" t="n"/>
      <c r="G91" s="29" t="n"/>
      <c r="H91" s="29" t="n"/>
      <c r="I91" s="29" t="n"/>
      <c r="J91" s="29" t="n"/>
      <c r="K91" s="29" t="n"/>
      <c r="L91" s="49" t="n"/>
      <c r="M91" s="49" t="n"/>
      <c r="N91" s="29" t="n"/>
      <c r="O91" s="29" t="n"/>
      <c r="P91" s="29" t="n"/>
      <c r="Q91" s="51" t="n"/>
      <c r="R91" s="29" t="n"/>
      <c r="S91" s="52">
        <f>IF(OR(A91="",F91="",C91&lt;&gt;"Mekân"),0,IF(COUNTIFS($F$8:F91,F91,$C$8:C91,"Mekân")=1,1,0))</f>
        <v/>
      </c>
      <c r="T91" s="52">
        <f>IF(OR(A91="",F91="",C91&lt;&gt;"Kapak"),0,IF(COUNTIFS($F$8:F91,F91,$C$8:C91,"Kapak")=1,1,0))</f>
        <v/>
      </c>
    </row>
    <row r="92" ht="54" customHeight="1">
      <c r="A92" s="29" t="n"/>
      <c r="B92" s="29" t="n"/>
      <c r="C92" s="29" t="n"/>
      <c r="D92" s="29" t="n"/>
      <c r="E92" s="29" t="n"/>
      <c r="F92" s="29" t="n"/>
      <c r="G92" s="29" t="n"/>
      <c r="H92" s="29" t="n"/>
      <c r="I92" s="29" t="n"/>
      <c r="J92" s="29" t="n"/>
      <c r="K92" s="29" t="n"/>
      <c r="L92" s="49" t="n"/>
      <c r="M92" s="49" t="n"/>
      <c r="N92" s="29" t="n"/>
      <c r="O92" s="29" t="n"/>
      <c r="P92" s="29" t="n"/>
      <c r="Q92" s="51" t="n"/>
      <c r="R92" s="29" t="n"/>
      <c r="S92" s="52">
        <f>IF(OR(A92="",F92="",C92&lt;&gt;"Mekân"),0,IF(COUNTIFS($F$8:F92,F92,$C$8:C92,"Mekân")=1,1,0))</f>
        <v/>
      </c>
      <c r="T92" s="52">
        <f>IF(OR(A92="",F92="",C92&lt;&gt;"Kapak"),0,IF(COUNTIFS($F$8:F92,F92,$C$8:C92,"Kapak")=1,1,0))</f>
        <v/>
      </c>
    </row>
    <row r="93" ht="54" customHeight="1">
      <c r="A93" s="29" t="n"/>
      <c r="B93" s="29" t="n"/>
      <c r="C93" s="29" t="n"/>
      <c r="D93" s="29" t="n"/>
      <c r="E93" s="29" t="n"/>
      <c r="F93" s="29" t="n"/>
      <c r="G93" s="29" t="n"/>
      <c r="H93" s="29" t="n"/>
      <c r="I93" s="29" t="n"/>
      <c r="J93" s="29" t="n"/>
      <c r="K93" s="29" t="n"/>
      <c r="L93" s="49" t="n"/>
      <c r="M93" s="49" t="n"/>
      <c r="N93" s="29" t="n"/>
      <c r="O93" s="29" t="n"/>
      <c r="P93" s="29" t="n"/>
      <c r="Q93" s="51" t="n"/>
      <c r="R93" s="29" t="n"/>
      <c r="S93" s="52">
        <f>IF(OR(A93="",F93="",C93&lt;&gt;"Mekân"),0,IF(COUNTIFS($F$8:F93,F93,$C$8:C93,"Mekân")=1,1,0))</f>
        <v/>
      </c>
      <c r="T93" s="52">
        <f>IF(OR(A93="",F93="",C93&lt;&gt;"Kapak"),0,IF(COUNTIFS($F$8:F93,F93,$C$8:C93,"Kapak")=1,1,0))</f>
        <v/>
      </c>
    </row>
    <row r="94" ht="54" customHeight="1">
      <c r="A94" s="29" t="n"/>
      <c r="B94" s="29" t="n"/>
      <c r="C94" s="29" t="n"/>
      <c r="D94" s="29" t="n"/>
      <c r="E94" s="29" t="n"/>
      <c r="F94" s="29" t="n"/>
      <c r="G94" s="29" t="n"/>
      <c r="H94" s="29" t="n"/>
      <c r="I94" s="29" t="n"/>
      <c r="J94" s="29" t="n"/>
      <c r="K94" s="29" t="n"/>
      <c r="L94" s="49" t="n"/>
      <c r="M94" s="49" t="n"/>
      <c r="N94" s="29" t="n"/>
      <c r="O94" s="29" t="n"/>
      <c r="P94" s="29" t="n"/>
      <c r="Q94" s="51" t="n"/>
      <c r="R94" s="29" t="n"/>
      <c r="S94" s="52">
        <f>IF(OR(A94="",F94="",C94&lt;&gt;"Mekân"),0,IF(COUNTIFS($F$8:F94,F94,$C$8:C94,"Mekân")=1,1,0))</f>
        <v/>
      </c>
      <c r="T94" s="52">
        <f>IF(OR(A94="",F94="",C94&lt;&gt;"Kapak"),0,IF(COUNTIFS($F$8:F94,F94,$C$8:C94,"Kapak")=1,1,0))</f>
        <v/>
      </c>
    </row>
    <row r="95" ht="54" customHeight="1">
      <c r="A95" s="29" t="n"/>
      <c r="B95" s="29" t="n"/>
      <c r="C95" s="29" t="n"/>
      <c r="D95" s="29" t="n"/>
      <c r="E95" s="29" t="n"/>
      <c r="F95" s="29" t="n"/>
      <c r="G95" s="29" t="n"/>
      <c r="H95" s="29" t="n"/>
      <c r="I95" s="29" t="n"/>
      <c r="J95" s="29" t="n"/>
      <c r="K95" s="29" t="n"/>
      <c r="L95" s="49" t="n"/>
      <c r="M95" s="49" t="n"/>
      <c r="N95" s="29" t="n"/>
      <c r="O95" s="29" t="n"/>
      <c r="P95" s="29" t="n"/>
      <c r="Q95" s="51" t="n"/>
      <c r="R95" s="29" t="n"/>
      <c r="S95" s="52">
        <f>IF(OR(A95="",F95="",C95&lt;&gt;"Mekân"),0,IF(COUNTIFS($F$8:F95,F95,$C$8:C95,"Mekân")=1,1,0))</f>
        <v/>
      </c>
      <c r="T95" s="52">
        <f>IF(OR(A95="",F95="",C95&lt;&gt;"Kapak"),0,IF(COUNTIFS($F$8:F95,F95,$C$8:C95,"Kapak")=1,1,0))</f>
        <v/>
      </c>
    </row>
    <row r="96" ht="54" customHeight="1">
      <c r="A96" s="29" t="n"/>
      <c r="B96" s="29" t="n"/>
      <c r="C96" s="29" t="n"/>
      <c r="D96" s="29" t="n"/>
      <c r="E96" s="29" t="n"/>
      <c r="F96" s="29" t="n"/>
      <c r="G96" s="29" t="n"/>
      <c r="H96" s="29" t="n"/>
      <c r="I96" s="29" t="n"/>
      <c r="J96" s="29" t="n"/>
      <c r="K96" s="29" t="n"/>
      <c r="L96" s="49" t="n"/>
      <c r="M96" s="49" t="n"/>
      <c r="N96" s="29" t="n"/>
      <c r="O96" s="29" t="n"/>
      <c r="P96" s="29" t="n"/>
      <c r="Q96" s="51" t="n"/>
      <c r="R96" s="29" t="n"/>
      <c r="S96" s="52">
        <f>IF(OR(A96="",F96="",C96&lt;&gt;"Mekân"),0,IF(COUNTIFS($F$8:F96,F96,$C$8:C96,"Mekân")=1,1,0))</f>
        <v/>
      </c>
      <c r="T96" s="52">
        <f>IF(OR(A96="",F96="",C96&lt;&gt;"Kapak"),0,IF(COUNTIFS($F$8:F96,F96,$C$8:C96,"Kapak")=1,1,0))</f>
        <v/>
      </c>
    </row>
    <row r="97" ht="54" customHeight="1">
      <c r="A97" s="29" t="n"/>
      <c r="B97" s="29" t="n"/>
      <c r="C97" s="29" t="n"/>
      <c r="D97" s="29" t="n"/>
      <c r="E97" s="29" t="n"/>
      <c r="F97" s="29" t="n"/>
      <c r="G97" s="29" t="n"/>
      <c r="H97" s="29" t="n"/>
      <c r="I97" s="29" t="n"/>
      <c r="J97" s="29" t="n"/>
      <c r="K97" s="29" t="n"/>
      <c r="L97" s="49" t="n"/>
      <c r="M97" s="49" t="n"/>
      <c r="N97" s="29" t="n"/>
      <c r="O97" s="29" t="n"/>
      <c r="P97" s="29" t="n"/>
      <c r="Q97" s="51" t="n"/>
      <c r="R97" s="29" t="n"/>
      <c r="S97" s="52">
        <f>IF(OR(A97="",F97="",C97&lt;&gt;"Mekân"),0,IF(COUNTIFS($F$8:F97,F97,$C$8:C97,"Mekân")=1,1,0))</f>
        <v/>
      </c>
      <c r="T97" s="52">
        <f>IF(OR(A97="",F97="",C97&lt;&gt;"Kapak"),0,IF(COUNTIFS($F$8:F97,F97,$C$8:C97,"Kapak")=1,1,0))</f>
        <v/>
      </c>
    </row>
    <row r="98" ht="54" customHeight="1">
      <c r="A98" s="29" t="n"/>
      <c r="B98" s="29" t="n"/>
      <c r="C98" s="29" t="n"/>
      <c r="D98" s="29" t="n"/>
      <c r="E98" s="29" t="n"/>
      <c r="F98" s="29" t="n"/>
      <c r="G98" s="29" t="n"/>
      <c r="H98" s="29" t="n"/>
      <c r="I98" s="29" t="n"/>
      <c r="J98" s="29" t="n"/>
      <c r="K98" s="29" t="n"/>
      <c r="L98" s="49" t="n"/>
      <c r="M98" s="49" t="n"/>
      <c r="N98" s="29" t="n"/>
      <c r="O98" s="29" t="n"/>
      <c r="P98" s="29" t="n"/>
      <c r="Q98" s="51" t="n"/>
      <c r="R98" s="29" t="n"/>
      <c r="S98" s="52">
        <f>IF(OR(A98="",F98="",C98&lt;&gt;"Mekân"),0,IF(COUNTIFS($F$8:F98,F98,$C$8:C98,"Mekân")=1,1,0))</f>
        <v/>
      </c>
      <c r="T98" s="52">
        <f>IF(OR(A98="",F98="",C98&lt;&gt;"Kapak"),0,IF(COUNTIFS($F$8:F98,F98,$C$8:C98,"Kapak")=1,1,0))</f>
        <v/>
      </c>
    </row>
    <row r="99" ht="54" customHeight="1">
      <c r="A99" s="29" t="n"/>
      <c r="B99" s="29" t="n"/>
      <c r="C99" s="29" t="n"/>
      <c r="D99" s="29" t="n"/>
      <c r="E99" s="29" t="n"/>
      <c r="F99" s="29" t="n"/>
      <c r="G99" s="29" t="n"/>
      <c r="H99" s="29" t="n"/>
      <c r="I99" s="29" t="n"/>
      <c r="J99" s="29" t="n"/>
      <c r="K99" s="29" t="n"/>
      <c r="L99" s="49" t="n"/>
      <c r="M99" s="49" t="n"/>
      <c r="N99" s="29" t="n"/>
      <c r="O99" s="29" t="n"/>
      <c r="P99" s="29" t="n"/>
      <c r="Q99" s="51" t="n"/>
      <c r="R99" s="29" t="n"/>
      <c r="S99" s="52">
        <f>IF(OR(A99="",F99="",C99&lt;&gt;"Mekân"),0,IF(COUNTIFS($F$8:F99,F99,$C$8:C99,"Mekân")=1,1,0))</f>
        <v/>
      </c>
      <c r="T99" s="52">
        <f>IF(OR(A99="",F99="",C99&lt;&gt;"Kapak"),0,IF(COUNTIFS($F$8:F99,F99,$C$8:C99,"Kapak")=1,1,0))</f>
        <v/>
      </c>
    </row>
    <row r="100" ht="54" customHeight="1">
      <c r="A100" s="29" t="n"/>
      <c r="B100" s="29" t="n"/>
      <c r="C100" s="29" t="n"/>
      <c r="D100" s="29" t="n"/>
      <c r="E100" s="29" t="n"/>
      <c r="F100" s="29" t="n"/>
      <c r="G100" s="29" t="n"/>
      <c r="H100" s="29" t="n"/>
      <c r="I100" s="29" t="n"/>
      <c r="J100" s="29" t="n"/>
      <c r="K100" s="29" t="n"/>
      <c r="L100" s="49" t="n"/>
      <c r="M100" s="49" t="n"/>
      <c r="N100" s="29" t="n"/>
      <c r="O100" s="29" t="n"/>
      <c r="P100" s="29" t="n"/>
      <c r="Q100" s="51" t="n"/>
      <c r="R100" s="29" t="n"/>
      <c r="S100" s="52">
        <f>IF(OR(A100="",F100="",C100&lt;&gt;"Mekân"),0,IF(COUNTIFS($F$8:F100,F100,$C$8:C100,"Mekân")=1,1,0))</f>
        <v/>
      </c>
      <c r="T100" s="52">
        <f>IF(OR(A100="",F100="",C100&lt;&gt;"Kapak"),0,IF(COUNTIFS($F$8:F100,F100,$C$8:C100,"Kapak")=1,1,0))</f>
        <v/>
      </c>
    </row>
    <row r="101" ht="54" customHeight="1">
      <c r="A101" s="29" t="n"/>
      <c r="B101" s="29" t="n"/>
      <c r="C101" s="29" t="n"/>
      <c r="D101" s="29" t="n"/>
      <c r="E101" s="29" t="n"/>
      <c r="F101" s="29" t="n"/>
      <c r="G101" s="29" t="n"/>
      <c r="H101" s="29" t="n"/>
      <c r="I101" s="29" t="n"/>
      <c r="J101" s="29" t="n"/>
      <c r="K101" s="29" t="n"/>
      <c r="L101" s="49" t="n"/>
      <c r="M101" s="49" t="n"/>
      <c r="N101" s="29" t="n"/>
      <c r="O101" s="29" t="n"/>
      <c r="P101" s="29" t="n"/>
      <c r="Q101" s="51" t="n"/>
      <c r="R101" s="29" t="n"/>
      <c r="S101" s="52">
        <f>IF(OR(A101="",F101="",C101&lt;&gt;"Mekân"),0,IF(COUNTIFS($F$8:F101,F101,$C$8:C101,"Mekân")=1,1,0))</f>
        <v/>
      </c>
      <c r="T101" s="52">
        <f>IF(OR(A101="",F101="",C101&lt;&gt;"Kapak"),0,IF(COUNTIFS($F$8:F101,F101,$C$8:C101,"Kapak")=1,1,0))</f>
        <v/>
      </c>
    </row>
    <row r="102" ht="54" customHeight="1">
      <c r="A102" s="29" t="n"/>
      <c r="B102" s="29" t="n"/>
      <c r="C102" s="29" t="n"/>
      <c r="D102" s="29" t="n"/>
      <c r="E102" s="29" t="n"/>
      <c r="F102" s="29" t="n"/>
      <c r="G102" s="29" t="n"/>
      <c r="H102" s="29" t="n"/>
      <c r="I102" s="29" t="n"/>
      <c r="J102" s="29" t="n"/>
      <c r="K102" s="29" t="n"/>
      <c r="L102" s="49" t="n"/>
      <c r="M102" s="49" t="n"/>
      <c r="N102" s="29" t="n"/>
      <c r="O102" s="29" t="n"/>
      <c r="P102" s="29" t="n"/>
      <c r="Q102" s="51" t="n"/>
      <c r="R102" s="29" t="n"/>
      <c r="S102" s="52">
        <f>IF(OR(A102="",F102="",C102&lt;&gt;"Mekân"),0,IF(COUNTIFS($F$8:F102,F102,$C$8:C102,"Mekân")=1,1,0))</f>
        <v/>
      </c>
      <c r="T102" s="52">
        <f>IF(OR(A102="",F102="",C102&lt;&gt;"Kapak"),0,IF(COUNTIFS($F$8:F102,F102,$C$8:C102,"Kapak")=1,1,0))</f>
        <v/>
      </c>
    </row>
    <row r="103" ht="54" customHeight="1">
      <c r="A103" s="29" t="n"/>
      <c r="B103" s="29" t="n"/>
      <c r="C103" s="29" t="n"/>
      <c r="D103" s="29" t="n"/>
      <c r="E103" s="29" t="n"/>
      <c r="F103" s="29" t="n"/>
      <c r="G103" s="29" t="n"/>
      <c r="H103" s="29" t="n"/>
      <c r="I103" s="29" t="n"/>
      <c r="J103" s="29" t="n"/>
      <c r="K103" s="29" t="n"/>
      <c r="L103" s="49" t="n"/>
      <c r="M103" s="49" t="n"/>
      <c r="N103" s="29" t="n"/>
      <c r="O103" s="29" t="n"/>
      <c r="P103" s="29" t="n"/>
      <c r="Q103" s="51" t="n"/>
      <c r="R103" s="29" t="n"/>
      <c r="S103" s="52">
        <f>IF(OR(A103="",F103="",C103&lt;&gt;"Mekân"),0,IF(COUNTIFS($F$8:F103,F103,$C$8:C103,"Mekân")=1,1,0))</f>
        <v/>
      </c>
      <c r="T103" s="52">
        <f>IF(OR(A103="",F103="",C103&lt;&gt;"Kapak"),0,IF(COUNTIFS($F$8:F103,F103,$C$8:C103,"Kapak")=1,1,0))</f>
        <v/>
      </c>
    </row>
    <row r="104" ht="54" customHeight="1">
      <c r="A104" s="29" t="n"/>
      <c r="B104" s="29" t="n"/>
      <c r="C104" s="29" t="n"/>
      <c r="D104" s="29" t="n"/>
      <c r="E104" s="29" t="n"/>
      <c r="F104" s="29" t="n"/>
      <c r="G104" s="29" t="n"/>
      <c r="H104" s="29" t="n"/>
      <c r="I104" s="29" t="n"/>
      <c r="J104" s="29" t="n"/>
      <c r="K104" s="29" t="n"/>
      <c r="L104" s="49" t="n"/>
      <c r="M104" s="49" t="n"/>
      <c r="N104" s="29" t="n"/>
      <c r="O104" s="29" t="n"/>
      <c r="P104" s="29" t="n"/>
      <c r="Q104" s="51" t="n"/>
      <c r="R104" s="29" t="n"/>
      <c r="S104" s="52">
        <f>IF(OR(A104="",F104="",C104&lt;&gt;"Mekân"),0,IF(COUNTIFS($F$8:F104,F104,$C$8:C104,"Mekân")=1,1,0))</f>
        <v/>
      </c>
      <c r="T104" s="52">
        <f>IF(OR(A104="",F104="",C104&lt;&gt;"Kapak"),0,IF(COUNTIFS($F$8:F104,F104,$C$8:C104,"Kapak")=1,1,0))</f>
        <v/>
      </c>
    </row>
    <row r="105" ht="54" customHeight="1">
      <c r="A105" s="29" t="n"/>
      <c r="B105" s="29" t="n"/>
      <c r="C105" s="29" t="n"/>
      <c r="D105" s="29" t="n"/>
      <c r="E105" s="29" t="n"/>
      <c r="F105" s="29" t="n"/>
      <c r="G105" s="29" t="n"/>
      <c r="H105" s="29" t="n"/>
      <c r="I105" s="29" t="n"/>
      <c r="J105" s="29" t="n"/>
      <c r="K105" s="29" t="n"/>
      <c r="L105" s="49" t="n"/>
      <c r="M105" s="49" t="n"/>
      <c r="N105" s="29" t="n"/>
      <c r="O105" s="29" t="n"/>
      <c r="P105" s="29" t="n"/>
      <c r="Q105" s="51" t="n"/>
      <c r="R105" s="29" t="n"/>
      <c r="S105" s="52">
        <f>IF(OR(A105="",F105="",C105&lt;&gt;"Mekân"),0,IF(COUNTIFS($F$8:F105,F105,$C$8:C105,"Mekân")=1,1,0))</f>
        <v/>
      </c>
      <c r="T105" s="52">
        <f>IF(OR(A105="",F105="",C105&lt;&gt;"Kapak"),0,IF(COUNTIFS($F$8:F105,F105,$C$8:C105,"Kapak")=1,1,0))</f>
        <v/>
      </c>
    </row>
    <row r="106" ht="54" customHeight="1">
      <c r="A106" s="29" t="n"/>
      <c r="B106" s="29" t="n"/>
      <c r="C106" s="29" t="n"/>
      <c r="D106" s="29" t="n"/>
      <c r="E106" s="29" t="n"/>
      <c r="F106" s="29" t="n"/>
      <c r="G106" s="29" t="n"/>
      <c r="H106" s="29" t="n"/>
      <c r="I106" s="29" t="n"/>
      <c r="J106" s="29" t="n"/>
      <c r="K106" s="29" t="n"/>
      <c r="L106" s="49" t="n"/>
      <c r="M106" s="49" t="n"/>
      <c r="N106" s="29" t="n"/>
      <c r="O106" s="29" t="n"/>
      <c r="P106" s="29" t="n"/>
      <c r="Q106" s="51" t="n"/>
      <c r="R106" s="29" t="n"/>
      <c r="S106" s="52">
        <f>IF(OR(A106="",F106="",C106&lt;&gt;"Mekân"),0,IF(COUNTIFS($F$8:F106,F106,$C$8:C106,"Mekân")=1,1,0))</f>
        <v/>
      </c>
      <c r="T106" s="52">
        <f>IF(OR(A106="",F106="",C106&lt;&gt;"Kapak"),0,IF(COUNTIFS($F$8:F106,F106,$C$8:C106,"Kapak")=1,1,0))</f>
        <v/>
      </c>
    </row>
    <row r="107" ht="54" customHeight="1">
      <c r="A107" s="29" t="n"/>
      <c r="B107" s="29" t="n"/>
      <c r="C107" s="29" t="n"/>
      <c r="D107" s="29" t="n"/>
      <c r="E107" s="29" t="n"/>
      <c r="F107" s="29" t="n"/>
      <c r="G107" s="29" t="n"/>
      <c r="H107" s="29" t="n"/>
      <c r="I107" s="29" t="n"/>
      <c r="J107" s="29" t="n"/>
      <c r="K107" s="29" t="n"/>
      <c r="L107" s="49" t="n"/>
      <c r="M107" s="49" t="n"/>
      <c r="N107" s="29" t="n"/>
      <c r="O107" s="29" t="n"/>
      <c r="P107" s="29" t="n"/>
      <c r="Q107" s="51" t="n"/>
      <c r="R107" s="29" t="n"/>
      <c r="S107" s="52">
        <f>IF(OR(A107="",F107="",C107&lt;&gt;"Mekân"),0,IF(COUNTIFS($F$8:F107,F107,$C$8:C107,"Mekân")=1,1,0))</f>
        <v/>
      </c>
      <c r="T107" s="52">
        <f>IF(OR(A107="",F107="",C107&lt;&gt;"Kapak"),0,IF(COUNTIFS($F$8:F107,F107,$C$8:C107,"Kapak")=1,1,0))</f>
        <v/>
      </c>
    </row>
    <row r="108" ht="54" customHeight="1">
      <c r="A108" s="29" t="n"/>
      <c r="B108" s="29" t="n"/>
      <c r="C108" s="29" t="n"/>
      <c r="D108" s="29" t="n"/>
      <c r="E108" s="29" t="n"/>
      <c r="F108" s="29" t="n"/>
      <c r="G108" s="29" t="n"/>
      <c r="H108" s="29" t="n"/>
      <c r="I108" s="29" t="n"/>
      <c r="J108" s="29" t="n"/>
      <c r="K108" s="29" t="n"/>
      <c r="L108" s="49" t="n"/>
      <c r="M108" s="49" t="n"/>
      <c r="N108" s="29" t="n"/>
      <c r="O108" s="29" t="n"/>
      <c r="P108" s="29" t="n"/>
      <c r="Q108" s="51" t="n"/>
      <c r="R108" s="29" t="n"/>
      <c r="S108" s="52">
        <f>IF(OR(A108="",F108="",C108&lt;&gt;"Mekân"),0,IF(COUNTIFS($F$8:F108,F108,$C$8:C108,"Mekân")=1,1,0))</f>
        <v/>
      </c>
      <c r="T108" s="52">
        <f>IF(OR(A108="",F108="",C108&lt;&gt;"Kapak"),0,IF(COUNTIFS($F$8:F108,F108,$C$8:C108,"Kapak")=1,1,0))</f>
        <v/>
      </c>
    </row>
    <row r="109" ht="54" customHeight="1">
      <c r="A109" s="29" t="n"/>
      <c r="B109" s="29" t="n"/>
      <c r="C109" s="29" t="n"/>
      <c r="D109" s="29" t="n"/>
      <c r="E109" s="29" t="n"/>
      <c r="F109" s="29" t="n"/>
      <c r="G109" s="29" t="n"/>
      <c r="H109" s="29" t="n"/>
      <c r="I109" s="29" t="n"/>
      <c r="J109" s="29" t="n"/>
      <c r="K109" s="29" t="n"/>
      <c r="L109" s="49" t="n"/>
      <c r="M109" s="49" t="n"/>
      <c r="N109" s="29" t="n"/>
      <c r="O109" s="29" t="n"/>
      <c r="P109" s="29" t="n"/>
      <c r="Q109" s="51" t="n"/>
      <c r="R109" s="29" t="n"/>
      <c r="S109" s="52">
        <f>IF(OR(A109="",F109="",C109&lt;&gt;"Mekân"),0,IF(COUNTIFS($F$8:F109,F109,$C$8:C109,"Mekân")=1,1,0))</f>
        <v/>
      </c>
      <c r="T109" s="52">
        <f>IF(OR(A109="",F109="",C109&lt;&gt;"Kapak"),0,IF(COUNTIFS($F$8:F109,F109,$C$8:C109,"Kapak")=1,1,0))</f>
        <v/>
      </c>
    </row>
    <row r="110" ht="54" customHeight="1">
      <c r="A110" s="29" t="n"/>
      <c r="B110" s="29" t="n"/>
      <c r="C110" s="29" t="n"/>
      <c r="D110" s="29" t="n"/>
      <c r="E110" s="29" t="n"/>
      <c r="F110" s="29" t="n"/>
      <c r="G110" s="29" t="n"/>
      <c r="H110" s="29" t="n"/>
      <c r="I110" s="29" t="n"/>
      <c r="J110" s="29" t="n"/>
      <c r="K110" s="29" t="n"/>
      <c r="L110" s="49" t="n"/>
      <c r="M110" s="49" t="n"/>
      <c r="N110" s="29" t="n"/>
      <c r="O110" s="29" t="n"/>
      <c r="P110" s="29" t="n"/>
      <c r="Q110" s="51" t="n"/>
      <c r="R110" s="29" t="n"/>
      <c r="S110" s="52">
        <f>IF(OR(A110="",F110="",C110&lt;&gt;"Mekân"),0,IF(COUNTIFS($F$8:F110,F110,$C$8:C110,"Mekân")=1,1,0))</f>
        <v/>
      </c>
      <c r="T110" s="52">
        <f>IF(OR(A110="",F110="",C110&lt;&gt;"Kapak"),0,IF(COUNTIFS($F$8:F110,F110,$C$8:C110,"Kapak")=1,1,0))</f>
        <v/>
      </c>
    </row>
    <row r="111" ht="54" customHeight="1">
      <c r="A111" s="29" t="n"/>
      <c r="B111" s="29" t="n"/>
      <c r="C111" s="29" t="n"/>
      <c r="D111" s="29" t="n"/>
      <c r="E111" s="29" t="n"/>
      <c r="F111" s="29" t="n"/>
      <c r="G111" s="29" t="n"/>
      <c r="H111" s="29" t="n"/>
      <c r="I111" s="29" t="n"/>
      <c r="J111" s="29" t="n"/>
      <c r="K111" s="29" t="n"/>
      <c r="L111" s="49" t="n"/>
      <c r="M111" s="49" t="n"/>
      <c r="N111" s="29" t="n"/>
      <c r="O111" s="29" t="n"/>
      <c r="P111" s="29" t="n"/>
      <c r="Q111" s="51" t="n"/>
      <c r="R111" s="29" t="n"/>
      <c r="S111" s="52">
        <f>IF(OR(A111="",F111="",C111&lt;&gt;"Mekân"),0,IF(COUNTIFS($F$8:F111,F111,$C$8:C111,"Mekân")=1,1,0))</f>
        <v/>
      </c>
      <c r="T111" s="52">
        <f>IF(OR(A111="",F111="",C111&lt;&gt;"Kapak"),0,IF(COUNTIFS($F$8:F111,F111,$C$8:C111,"Kapak")=1,1,0))</f>
        <v/>
      </c>
    </row>
    <row r="112" ht="54" customHeight="1">
      <c r="A112" s="29" t="n"/>
      <c r="B112" s="29" t="n"/>
      <c r="C112" s="29" t="n"/>
      <c r="D112" s="29" t="n"/>
      <c r="E112" s="29" t="n"/>
      <c r="F112" s="29" t="n"/>
      <c r="G112" s="29" t="n"/>
      <c r="H112" s="29" t="n"/>
      <c r="I112" s="29" t="n"/>
      <c r="J112" s="29" t="n"/>
      <c r="K112" s="29" t="n"/>
      <c r="L112" s="49" t="n"/>
      <c r="M112" s="49" t="n"/>
      <c r="N112" s="29" t="n"/>
      <c r="O112" s="29" t="n"/>
      <c r="P112" s="29" t="n"/>
      <c r="Q112" s="51" t="n"/>
      <c r="R112" s="29" t="n"/>
      <c r="S112" s="52">
        <f>IF(OR(A112="",F112="",C112&lt;&gt;"Mekân"),0,IF(COUNTIFS($F$8:F112,F112,$C$8:C112,"Mekân")=1,1,0))</f>
        <v/>
      </c>
      <c r="T112" s="52">
        <f>IF(OR(A112="",F112="",C112&lt;&gt;"Kapak"),0,IF(COUNTIFS($F$8:F112,F112,$C$8:C112,"Kapak")=1,1,0))</f>
        <v/>
      </c>
    </row>
    <row r="113" ht="54" customHeight="1">
      <c r="A113" s="29" t="n"/>
      <c r="B113" s="29" t="n"/>
      <c r="C113" s="29" t="n"/>
      <c r="D113" s="29" t="n"/>
      <c r="E113" s="29" t="n"/>
      <c r="F113" s="29" t="n"/>
      <c r="G113" s="29" t="n"/>
      <c r="H113" s="29" t="n"/>
      <c r="I113" s="29" t="n"/>
      <c r="J113" s="29" t="n"/>
      <c r="K113" s="29" t="n"/>
      <c r="L113" s="49" t="n"/>
      <c r="M113" s="49" t="n"/>
      <c r="N113" s="29" t="n"/>
      <c r="O113" s="29" t="n"/>
      <c r="P113" s="29" t="n"/>
      <c r="Q113" s="51" t="n"/>
      <c r="R113" s="29" t="n"/>
      <c r="S113" s="52">
        <f>IF(OR(A113="",F113="",C113&lt;&gt;"Mekân"),0,IF(COUNTIFS($F$8:F113,F113,$C$8:C113,"Mekân")=1,1,0))</f>
        <v/>
      </c>
      <c r="T113" s="52">
        <f>IF(OR(A113="",F113="",C113&lt;&gt;"Kapak"),0,IF(COUNTIFS($F$8:F113,F113,$C$8:C113,"Kapak")=1,1,0))</f>
        <v/>
      </c>
    </row>
    <row r="114" ht="54" customHeight="1">
      <c r="A114" s="29" t="n"/>
      <c r="B114" s="29" t="n"/>
      <c r="C114" s="29" t="n"/>
      <c r="D114" s="29" t="n"/>
      <c r="E114" s="29" t="n"/>
      <c r="F114" s="29" t="n"/>
      <c r="G114" s="29" t="n"/>
      <c r="H114" s="29" t="n"/>
      <c r="I114" s="29" t="n"/>
      <c r="J114" s="29" t="n"/>
      <c r="K114" s="29" t="n"/>
      <c r="L114" s="49" t="n"/>
      <c r="M114" s="49" t="n"/>
      <c r="N114" s="29" t="n"/>
      <c r="O114" s="29" t="n"/>
      <c r="P114" s="29" t="n"/>
      <c r="Q114" s="51" t="n"/>
      <c r="R114" s="29" t="n"/>
      <c r="S114" s="52">
        <f>IF(OR(A114="",F114="",C114&lt;&gt;"Mekân"),0,IF(COUNTIFS($F$8:F114,F114,$C$8:C114,"Mekân")=1,1,0))</f>
        <v/>
      </c>
      <c r="T114" s="52">
        <f>IF(OR(A114="",F114="",C114&lt;&gt;"Kapak"),0,IF(COUNTIFS($F$8:F114,F114,$C$8:C114,"Kapak")=1,1,0))</f>
        <v/>
      </c>
    </row>
    <row r="115" ht="54" customHeight="1">
      <c r="A115" s="29" t="n"/>
      <c r="B115" s="29" t="n"/>
      <c r="C115" s="29" t="n"/>
      <c r="D115" s="29" t="n"/>
      <c r="E115" s="29" t="n"/>
      <c r="F115" s="29" t="n"/>
      <c r="G115" s="29" t="n"/>
      <c r="H115" s="29" t="n"/>
      <c r="I115" s="29" t="n"/>
      <c r="J115" s="29" t="n"/>
      <c r="K115" s="29" t="n"/>
      <c r="L115" s="49" t="n"/>
      <c r="M115" s="49" t="n"/>
      <c r="N115" s="29" t="n"/>
      <c r="O115" s="29" t="n"/>
      <c r="P115" s="29" t="n"/>
      <c r="Q115" s="51" t="n"/>
      <c r="R115" s="29" t="n"/>
      <c r="S115" s="52">
        <f>IF(OR(A115="",F115="",C115&lt;&gt;"Mekân"),0,IF(COUNTIFS($F$8:F115,F115,$C$8:C115,"Mekân")=1,1,0))</f>
        <v/>
      </c>
      <c r="T115" s="52">
        <f>IF(OR(A115="",F115="",C115&lt;&gt;"Kapak"),0,IF(COUNTIFS($F$8:F115,F115,$C$8:C115,"Kapak")=1,1,0))</f>
        <v/>
      </c>
    </row>
    <row r="116" ht="54" customHeight="1">
      <c r="A116" s="29" t="n"/>
      <c r="B116" s="29" t="n"/>
      <c r="C116" s="29" t="n"/>
      <c r="D116" s="29" t="n"/>
      <c r="E116" s="29" t="n"/>
      <c r="F116" s="29" t="n"/>
      <c r="G116" s="29" t="n"/>
      <c r="H116" s="29" t="n"/>
      <c r="I116" s="29" t="n"/>
      <c r="J116" s="29" t="n"/>
      <c r="K116" s="29" t="n"/>
      <c r="L116" s="49" t="n"/>
      <c r="M116" s="49" t="n"/>
      <c r="N116" s="29" t="n"/>
      <c r="O116" s="29" t="n"/>
      <c r="P116" s="29" t="n"/>
      <c r="Q116" s="51" t="n"/>
      <c r="R116" s="29" t="n"/>
      <c r="S116" s="52">
        <f>IF(OR(A116="",F116="",C116&lt;&gt;"Mekân"),0,IF(COUNTIFS($F$8:F116,F116,$C$8:C116,"Mekân")=1,1,0))</f>
        <v/>
      </c>
      <c r="T116" s="52">
        <f>IF(OR(A116="",F116="",C116&lt;&gt;"Kapak"),0,IF(COUNTIFS($F$8:F116,F116,$C$8:C116,"Kapak")=1,1,0))</f>
        <v/>
      </c>
    </row>
    <row r="117" ht="54" customHeight="1">
      <c r="A117" s="29" t="n"/>
      <c r="B117" s="29" t="n"/>
      <c r="C117" s="29" t="n"/>
      <c r="D117" s="29" t="n"/>
      <c r="E117" s="29" t="n"/>
      <c r="F117" s="29" t="n"/>
      <c r="G117" s="29" t="n"/>
      <c r="H117" s="29" t="n"/>
      <c r="I117" s="29" t="n"/>
      <c r="J117" s="29" t="n"/>
      <c r="K117" s="29" t="n"/>
      <c r="L117" s="49" t="n"/>
      <c r="M117" s="49" t="n"/>
      <c r="N117" s="29" t="n"/>
      <c r="O117" s="29" t="n"/>
      <c r="P117" s="29" t="n"/>
      <c r="Q117" s="51" t="n"/>
      <c r="R117" s="29" t="n"/>
      <c r="S117" s="52">
        <f>IF(OR(A117="",F117="",C117&lt;&gt;"Mekân"),0,IF(COUNTIFS($F$8:F117,F117,$C$8:C117,"Mekân")=1,1,0))</f>
        <v/>
      </c>
      <c r="T117" s="52">
        <f>IF(OR(A117="",F117="",C117&lt;&gt;"Kapak"),0,IF(COUNTIFS($F$8:F117,F117,$C$8:C117,"Kapak")=1,1,0))</f>
        <v/>
      </c>
    </row>
    <row r="118" ht="54" customHeight="1">
      <c r="A118" s="29" t="n"/>
      <c r="B118" s="29" t="n"/>
      <c r="C118" s="29" t="n"/>
      <c r="D118" s="29" t="n"/>
      <c r="E118" s="29" t="n"/>
      <c r="F118" s="29" t="n"/>
      <c r="G118" s="29" t="n"/>
      <c r="H118" s="29" t="n"/>
      <c r="I118" s="29" t="n"/>
      <c r="J118" s="29" t="n"/>
      <c r="K118" s="29" t="n"/>
      <c r="L118" s="49" t="n"/>
      <c r="M118" s="49" t="n"/>
      <c r="N118" s="29" t="n"/>
      <c r="O118" s="29" t="n"/>
      <c r="P118" s="29" t="n"/>
      <c r="Q118" s="51" t="n"/>
      <c r="R118" s="29" t="n"/>
      <c r="S118" s="52">
        <f>IF(OR(A118="",F118="",C118&lt;&gt;"Mekân"),0,IF(COUNTIFS($F$8:F118,F118,$C$8:C118,"Mekân")=1,1,0))</f>
        <v/>
      </c>
      <c r="T118" s="52">
        <f>IF(OR(A118="",F118="",C118&lt;&gt;"Kapak"),0,IF(COUNTIFS($F$8:F118,F118,$C$8:C118,"Kapak")=1,1,0))</f>
        <v/>
      </c>
    </row>
    <row r="119" ht="54" customHeight="1">
      <c r="A119" s="29" t="n"/>
      <c r="B119" s="29" t="n"/>
      <c r="C119" s="29" t="n"/>
      <c r="D119" s="29" t="n"/>
      <c r="E119" s="29" t="n"/>
      <c r="F119" s="29" t="n"/>
      <c r="G119" s="29" t="n"/>
      <c r="H119" s="29" t="n"/>
      <c r="I119" s="29" t="n"/>
      <c r="J119" s="29" t="n"/>
      <c r="K119" s="29" t="n"/>
      <c r="L119" s="49" t="n"/>
      <c r="M119" s="49" t="n"/>
      <c r="N119" s="29" t="n"/>
      <c r="O119" s="29" t="n"/>
      <c r="P119" s="29" t="n"/>
      <c r="Q119" s="51" t="n"/>
      <c r="R119" s="29" t="n"/>
      <c r="S119" s="52">
        <f>IF(OR(A119="",F119="",C119&lt;&gt;"Mekân"),0,IF(COUNTIFS($F$8:F119,F119,$C$8:C119,"Mekân")=1,1,0))</f>
        <v/>
      </c>
      <c r="T119" s="52">
        <f>IF(OR(A119="",F119="",C119&lt;&gt;"Kapak"),0,IF(COUNTIFS($F$8:F119,F119,$C$8:C119,"Kapak")=1,1,0))</f>
        <v/>
      </c>
    </row>
    <row r="120" ht="54" customHeight="1">
      <c r="A120" s="29" t="n"/>
      <c r="B120" s="29" t="n"/>
      <c r="C120" s="29" t="n"/>
      <c r="D120" s="29" t="n"/>
      <c r="E120" s="29" t="n"/>
      <c r="F120" s="29" t="n"/>
      <c r="G120" s="29" t="n"/>
      <c r="H120" s="29" t="n"/>
      <c r="I120" s="29" t="n"/>
      <c r="J120" s="29" t="n"/>
      <c r="K120" s="29" t="n"/>
      <c r="L120" s="49" t="n"/>
      <c r="M120" s="49" t="n"/>
      <c r="N120" s="29" t="n"/>
      <c r="O120" s="29" t="n"/>
      <c r="P120" s="29" t="n"/>
      <c r="Q120" s="51" t="n"/>
      <c r="R120" s="29" t="n"/>
      <c r="S120" s="52">
        <f>IF(OR(A120="",F120="",C120&lt;&gt;"Mekân"),0,IF(COUNTIFS($F$8:F120,F120,$C$8:C120,"Mekân")=1,1,0))</f>
        <v/>
      </c>
      <c r="T120" s="52">
        <f>IF(OR(A120="",F120="",C120&lt;&gt;"Kapak"),0,IF(COUNTIFS($F$8:F120,F120,$C$8:C120,"Kapak")=1,1,0))</f>
        <v/>
      </c>
    </row>
    <row r="121" ht="54" customHeight="1">
      <c r="A121" s="29" t="n"/>
      <c r="B121" s="29" t="n"/>
      <c r="C121" s="29" t="n"/>
      <c r="D121" s="29" t="n"/>
      <c r="E121" s="29" t="n"/>
      <c r="F121" s="29" t="n"/>
      <c r="G121" s="29" t="n"/>
      <c r="H121" s="29" t="n"/>
      <c r="I121" s="29" t="n"/>
      <c r="J121" s="29" t="n"/>
      <c r="K121" s="29" t="n"/>
      <c r="L121" s="49" t="n"/>
      <c r="M121" s="49" t="n"/>
      <c r="N121" s="29" t="n"/>
      <c r="O121" s="29" t="n"/>
      <c r="P121" s="29" t="n"/>
      <c r="Q121" s="51" t="n"/>
      <c r="R121" s="29" t="n"/>
      <c r="S121" s="52">
        <f>IF(OR(A121="",F121="",C121&lt;&gt;"Mekân"),0,IF(COUNTIFS($F$8:F121,F121,$C$8:C121,"Mekân")=1,1,0))</f>
        <v/>
      </c>
      <c r="T121" s="52">
        <f>IF(OR(A121="",F121="",C121&lt;&gt;"Kapak"),0,IF(COUNTIFS($F$8:F121,F121,$C$8:C121,"Kapak")=1,1,0))</f>
        <v/>
      </c>
    </row>
    <row r="122" ht="54" customHeight="1">
      <c r="A122" s="29" t="n"/>
      <c r="B122" s="29" t="n"/>
      <c r="C122" s="29" t="n"/>
      <c r="D122" s="29" t="n"/>
      <c r="E122" s="29" t="n"/>
      <c r="F122" s="29" t="n"/>
      <c r="G122" s="29" t="n"/>
      <c r="H122" s="29" t="n"/>
      <c r="I122" s="29" t="n"/>
      <c r="J122" s="29" t="n"/>
      <c r="K122" s="29" t="n"/>
      <c r="L122" s="49" t="n"/>
      <c r="M122" s="49" t="n"/>
      <c r="N122" s="29" t="n"/>
      <c r="O122" s="29" t="n"/>
      <c r="P122" s="29" t="n"/>
      <c r="Q122" s="51" t="n"/>
      <c r="R122" s="29" t="n"/>
      <c r="S122" s="52">
        <f>IF(OR(A122="",F122="",C122&lt;&gt;"Mekân"),0,IF(COUNTIFS($F$8:F122,F122,$C$8:C122,"Mekân")=1,1,0))</f>
        <v/>
      </c>
      <c r="T122" s="52">
        <f>IF(OR(A122="",F122="",C122&lt;&gt;"Kapak"),0,IF(COUNTIFS($F$8:F122,F122,$C$8:C122,"Kapak")=1,1,0))</f>
        <v/>
      </c>
    </row>
    <row r="123" ht="54" customHeight="1">
      <c r="A123" s="29" t="n"/>
      <c r="B123" s="29" t="n"/>
      <c r="C123" s="29" t="n"/>
      <c r="D123" s="29" t="n"/>
      <c r="E123" s="29" t="n"/>
      <c r="F123" s="29" t="n"/>
      <c r="G123" s="29" t="n"/>
      <c r="H123" s="29" t="n"/>
      <c r="I123" s="29" t="n"/>
      <c r="J123" s="29" t="n"/>
      <c r="K123" s="29" t="n"/>
      <c r="L123" s="49" t="n"/>
      <c r="M123" s="49" t="n"/>
      <c r="N123" s="29" t="n"/>
      <c r="O123" s="29" t="n"/>
      <c r="P123" s="29" t="n"/>
      <c r="Q123" s="51" t="n"/>
      <c r="R123" s="29" t="n"/>
      <c r="S123" s="52">
        <f>IF(OR(A123="",F123="",C123&lt;&gt;"Mekân"),0,IF(COUNTIFS($F$8:F123,F123,$C$8:C123,"Mekân")=1,1,0))</f>
        <v/>
      </c>
      <c r="T123" s="52">
        <f>IF(OR(A123="",F123="",C123&lt;&gt;"Kapak"),0,IF(COUNTIFS($F$8:F123,F123,$C$8:C123,"Kapak")=1,1,0))</f>
        <v/>
      </c>
    </row>
    <row r="124" ht="54" customHeight="1">
      <c r="A124" s="29" t="n"/>
      <c r="B124" s="29" t="n"/>
      <c r="C124" s="29" t="n"/>
      <c r="D124" s="29" t="n"/>
      <c r="E124" s="29" t="n"/>
      <c r="F124" s="29" t="n"/>
      <c r="G124" s="29" t="n"/>
      <c r="H124" s="29" t="n"/>
      <c r="I124" s="29" t="n"/>
      <c r="J124" s="29" t="n"/>
      <c r="K124" s="29" t="n"/>
      <c r="L124" s="49" t="n"/>
      <c r="M124" s="49" t="n"/>
      <c r="N124" s="29" t="n"/>
      <c r="O124" s="29" t="n"/>
      <c r="P124" s="29" t="n"/>
      <c r="Q124" s="51" t="n"/>
      <c r="R124" s="29" t="n"/>
      <c r="S124" s="52">
        <f>IF(OR(A124="",F124="",C124&lt;&gt;"Mekân"),0,IF(COUNTIFS($F$8:F124,F124,$C$8:C124,"Mekân")=1,1,0))</f>
        <v/>
      </c>
      <c r="T124" s="52">
        <f>IF(OR(A124="",F124="",C124&lt;&gt;"Kapak"),0,IF(COUNTIFS($F$8:F124,F124,$C$8:C124,"Kapak")=1,1,0))</f>
        <v/>
      </c>
    </row>
    <row r="125" ht="54" customHeight="1">
      <c r="A125" s="29" t="n"/>
      <c r="B125" s="29" t="n"/>
      <c r="C125" s="29" t="n"/>
      <c r="D125" s="29" t="n"/>
      <c r="E125" s="29" t="n"/>
      <c r="F125" s="29" t="n"/>
      <c r="G125" s="29" t="n"/>
      <c r="H125" s="29" t="n"/>
      <c r="I125" s="29" t="n"/>
      <c r="J125" s="29" t="n"/>
      <c r="K125" s="29" t="n"/>
      <c r="L125" s="49" t="n"/>
      <c r="M125" s="49" t="n"/>
      <c r="N125" s="29" t="n"/>
      <c r="O125" s="29" t="n"/>
      <c r="P125" s="29" t="n"/>
      <c r="Q125" s="51" t="n"/>
      <c r="R125" s="29" t="n"/>
      <c r="S125" s="52">
        <f>IF(OR(A125="",F125="",C125&lt;&gt;"Mekân"),0,IF(COUNTIFS($F$8:F125,F125,$C$8:C125,"Mekân")=1,1,0))</f>
        <v/>
      </c>
      <c r="T125" s="52">
        <f>IF(OR(A125="",F125="",C125&lt;&gt;"Kapak"),0,IF(COUNTIFS($F$8:F125,F125,$C$8:C125,"Kapak")=1,1,0))</f>
        <v/>
      </c>
    </row>
    <row r="126" ht="54" customHeight="1">
      <c r="A126" s="29" t="n"/>
      <c r="B126" s="29" t="n"/>
      <c r="C126" s="29" t="n"/>
      <c r="D126" s="29" t="n"/>
      <c r="E126" s="29" t="n"/>
      <c r="F126" s="29" t="n"/>
      <c r="G126" s="29" t="n"/>
      <c r="H126" s="29" t="n"/>
      <c r="I126" s="29" t="n"/>
      <c r="J126" s="29" t="n"/>
      <c r="K126" s="29" t="n"/>
      <c r="L126" s="49" t="n"/>
      <c r="M126" s="49" t="n"/>
      <c r="N126" s="29" t="n"/>
      <c r="O126" s="29" t="n"/>
      <c r="P126" s="29" t="n"/>
      <c r="Q126" s="51" t="n"/>
      <c r="R126" s="29" t="n"/>
      <c r="S126" s="52">
        <f>IF(OR(A126="",F126="",C126&lt;&gt;"Mekân"),0,IF(COUNTIFS($F$8:F126,F126,$C$8:C126,"Mekân")=1,1,0))</f>
        <v/>
      </c>
      <c r="T126" s="52">
        <f>IF(OR(A126="",F126="",C126&lt;&gt;"Kapak"),0,IF(COUNTIFS($F$8:F126,F126,$C$8:C126,"Kapak")=1,1,0))</f>
        <v/>
      </c>
    </row>
    <row r="127" ht="54" customHeight="1">
      <c r="A127" s="29" t="n"/>
      <c r="B127" s="29" t="n"/>
      <c r="C127" s="29" t="n"/>
      <c r="D127" s="29" t="n"/>
      <c r="E127" s="29" t="n"/>
      <c r="F127" s="29" t="n"/>
      <c r="G127" s="29" t="n"/>
      <c r="H127" s="29" t="n"/>
      <c r="I127" s="29" t="n"/>
      <c r="J127" s="29" t="n"/>
      <c r="K127" s="29" t="n"/>
      <c r="L127" s="49" t="n"/>
      <c r="M127" s="49" t="n"/>
      <c r="N127" s="29" t="n"/>
      <c r="O127" s="29" t="n"/>
      <c r="P127" s="29" t="n"/>
      <c r="Q127" s="51" t="n"/>
      <c r="R127" s="29" t="n"/>
      <c r="S127" s="52">
        <f>IF(OR(A127="",F127="",C127&lt;&gt;"Mekân"),0,IF(COUNTIFS($F$8:F127,F127,$C$8:C127,"Mekân")=1,1,0))</f>
        <v/>
      </c>
      <c r="T127" s="52">
        <f>IF(OR(A127="",F127="",C127&lt;&gt;"Kapak"),0,IF(COUNTIFS($F$8:F127,F127,$C$8:C127,"Kapak")=1,1,0))</f>
        <v/>
      </c>
    </row>
    <row r="128" ht="54" customHeight="1">
      <c r="A128" s="29" t="n"/>
      <c r="B128" s="29" t="n"/>
      <c r="C128" s="29" t="n"/>
      <c r="D128" s="29" t="n"/>
      <c r="E128" s="29" t="n"/>
      <c r="F128" s="29" t="n"/>
      <c r="G128" s="29" t="n"/>
      <c r="H128" s="29" t="n"/>
      <c r="I128" s="29" t="n"/>
      <c r="J128" s="29" t="n"/>
      <c r="K128" s="29" t="n"/>
      <c r="L128" s="49" t="n"/>
      <c r="M128" s="49" t="n"/>
      <c r="N128" s="29" t="n"/>
      <c r="O128" s="29" t="n"/>
      <c r="P128" s="29" t="n"/>
      <c r="Q128" s="51" t="n"/>
      <c r="R128" s="29" t="n"/>
      <c r="S128" s="52">
        <f>IF(OR(A128="",F128="",C128&lt;&gt;"Mekân"),0,IF(COUNTIFS($F$8:F128,F128,$C$8:C128,"Mekân")=1,1,0))</f>
        <v/>
      </c>
      <c r="T128" s="52">
        <f>IF(OR(A128="",F128="",C128&lt;&gt;"Kapak"),0,IF(COUNTIFS($F$8:F128,F128,$C$8:C128,"Kapak")=1,1,0))</f>
        <v/>
      </c>
    </row>
    <row r="129" ht="54" customHeight="1">
      <c r="A129" s="29" t="n"/>
      <c r="B129" s="29" t="n"/>
      <c r="C129" s="29" t="n"/>
      <c r="D129" s="29" t="n"/>
      <c r="E129" s="29" t="n"/>
      <c r="F129" s="29" t="n"/>
      <c r="G129" s="29" t="n"/>
      <c r="H129" s="29" t="n"/>
      <c r="I129" s="29" t="n"/>
      <c r="J129" s="29" t="n"/>
      <c r="K129" s="29" t="n"/>
      <c r="L129" s="49" t="n"/>
      <c r="M129" s="49" t="n"/>
      <c r="N129" s="29" t="n"/>
      <c r="O129" s="29" t="n"/>
      <c r="P129" s="29" t="n"/>
      <c r="Q129" s="51" t="n"/>
      <c r="R129" s="29" t="n"/>
      <c r="S129" s="52">
        <f>IF(OR(A129="",F129="",C129&lt;&gt;"Mekân"),0,IF(COUNTIFS($F$8:F129,F129,$C$8:C129,"Mekân")=1,1,0))</f>
        <v/>
      </c>
      <c r="T129" s="52">
        <f>IF(OR(A129="",F129="",C129&lt;&gt;"Kapak"),0,IF(COUNTIFS($F$8:F129,F129,$C$8:C129,"Kapak")=1,1,0))</f>
        <v/>
      </c>
    </row>
    <row r="130" ht="54" customHeight="1">
      <c r="A130" s="29" t="n"/>
      <c r="B130" s="29" t="n"/>
      <c r="C130" s="29" t="n"/>
      <c r="D130" s="29" t="n"/>
      <c r="E130" s="29" t="n"/>
      <c r="F130" s="29" t="n"/>
      <c r="G130" s="29" t="n"/>
      <c r="H130" s="29" t="n"/>
      <c r="I130" s="29" t="n"/>
      <c r="J130" s="29" t="n"/>
      <c r="K130" s="29" t="n"/>
      <c r="L130" s="49" t="n"/>
      <c r="M130" s="49" t="n"/>
      <c r="N130" s="29" t="n"/>
      <c r="O130" s="29" t="n"/>
      <c r="P130" s="29" t="n"/>
      <c r="Q130" s="51" t="n"/>
      <c r="R130" s="29" t="n"/>
      <c r="S130" s="52">
        <f>IF(OR(A130="",F130="",C130&lt;&gt;"Mekân"),0,IF(COUNTIFS($F$8:F130,F130,$C$8:C130,"Mekân")=1,1,0))</f>
        <v/>
      </c>
      <c r="T130" s="52">
        <f>IF(OR(A130="",F130="",C130&lt;&gt;"Kapak"),0,IF(COUNTIFS($F$8:F130,F130,$C$8:C130,"Kapak")=1,1,0))</f>
        <v/>
      </c>
    </row>
    <row r="131" ht="54" customHeight="1">
      <c r="A131" s="29" t="n"/>
      <c r="B131" s="29" t="n"/>
      <c r="C131" s="29" t="n"/>
      <c r="D131" s="29" t="n"/>
      <c r="E131" s="29" t="n"/>
      <c r="F131" s="29" t="n"/>
      <c r="G131" s="29" t="n"/>
      <c r="H131" s="29" t="n"/>
      <c r="I131" s="29" t="n"/>
      <c r="J131" s="29" t="n"/>
      <c r="K131" s="29" t="n"/>
      <c r="L131" s="49" t="n"/>
      <c r="M131" s="49" t="n"/>
      <c r="N131" s="29" t="n"/>
      <c r="O131" s="29" t="n"/>
      <c r="P131" s="29" t="n"/>
      <c r="Q131" s="51" t="n"/>
      <c r="R131" s="29" t="n"/>
      <c r="S131" s="52">
        <f>IF(OR(A131="",F131="",C131&lt;&gt;"Mekân"),0,IF(COUNTIFS($F$8:F131,F131,$C$8:C131,"Mekân")=1,1,0))</f>
        <v/>
      </c>
      <c r="T131" s="52">
        <f>IF(OR(A131="",F131="",C131&lt;&gt;"Kapak"),0,IF(COUNTIFS($F$8:F131,F131,$C$8:C131,"Kapak")=1,1,0))</f>
        <v/>
      </c>
    </row>
    <row r="132" ht="54" customHeight="1">
      <c r="A132" s="29" t="n"/>
      <c r="B132" s="29" t="n"/>
      <c r="C132" s="29" t="n"/>
      <c r="D132" s="29" t="n"/>
      <c r="E132" s="29" t="n"/>
      <c r="F132" s="29" t="n"/>
      <c r="G132" s="29" t="n"/>
      <c r="H132" s="29" t="n"/>
      <c r="I132" s="29" t="n"/>
      <c r="J132" s="29" t="n"/>
      <c r="K132" s="29" t="n"/>
      <c r="L132" s="49" t="n"/>
      <c r="M132" s="49" t="n"/>
      <c r="N132" s="29" t="n"/>
      <c r="O132" s="29" t="n"/>
      <c r="P132" s="29" t="n"/>
      <c r="Q132" s="51" t="n"/>
      <c r="R132" s="29" t="n"/>
      <c r="S132" s="52">
        <f>IF(OR(A132="",F132="",C132&lt;&gt;"Mekân"),0,IF(COUNTIFS($F$8:F132,F132,$C$8:C132,"Mekân")=1,1,0))</f>
        <v/>
      </c>
      <c r="T132" s="52">
        <f>IF(OR(A132="",F132="",C132&lt;&gt;"Kapak"),0,IF(COUNTIFS($F$8:F132,F132,$C$8:C132,"Kapak")=1,1,0))</f>
        <v/>
      </c>
    </row>
    <row r="133" ht="54" customHeight="1">
      <c r="A133" s="29" t="n"/>
      <c r="B133" s="29" t="n"/>
      <c r="C133" s="29" t="n"/>
      <c r="D133" s="29" t="n"/>
      <c r="E133" s="29" t="n"/>
      <c r="F133" s="29" t="n"/>
      <c r="G133" s="29" t="n"/>
      <c r="H133" s="29" t="n"/>
      <c r="I133" s="29" t="n"/>
      <c r="J133" s="29" t="n"/>
      <c r="K133" s="29" t="n"/>
      <c r="L133" s="49" t="n"/>
      <c r="M133" s="49" t="n"/>
      <c r="N133" s="29" t="n"/>
      <c r="O133" s="29" t="n"/>
      <c r="P133" s="29" t="n"/>
      <c r="Q133" s="51" t="n"/>
      <c r="R133" s="29" t="n"/>
      <c r="S133" s="52">
        <f>IF(OR(A133="",F133="",C133&lt;&gt;"Mekân"),0,IF(COUNTIFS($F$8:F133,F133,$C$8:C133,"Mekân")=1,1,0))</f>
        <v/>
      </c>
      <c r="T133" s="52">
        <f>IF(OR(A133="",F133="",C133&lt;&gt;"Kapak"),0,IF(COUNTIFS($F$8:F133,F133,$C$8:C133,"Kapak")=1,1,0))</f>
        <v/>
      </c>
    </row>
    <row r="134" ht="54" customHeight="1">
      <c r="A134" s="29" t="n"/>
      <c r="B134" s="29" t="n"/>
      <c r="C134" s="29" t="n"/>
      <c r="D134" s="29" t="n"/>
      <c r="E134" s="29" t="n"/>
      <c r="F134" s="29" t="n"/>
      <c r="G134" s="29" t="n"/>
      <c r="H134" s="29" t="n"/>
      <c r="I134" s="29" t="n"/>
      <c r="J134" s="29" t="n"/>
      <c r="K134" s="29" t="n"/>
      <c r="L134" s="49" t="n"/>
      <c r="M134" s="49" t="n"/>
      <c r="N134" s="29" t="n"/>
      <c r="O134" s="29" t="n"/>
      <c r="P134" s="29" t="n"/>
      <c r="Q134" s="51" t="n"/>
      <c r="R134" s="29" t="n"/>
      <c r="S134" s="52">
        <f>IF(OR(A134="",F134="",C134&lt;&gt;"Mekân"),0,IF(COUNTIFS($F$8:F134,F134,$C$8:C134,"Mekân")=1,1,0))</f>
        <v/>
      </c>
      <c r="T134" s="52">
        <f>IF(OR(A134="",F134="",C134&lt;&gt;"Kapak"),0,IF(COUNTIFS($F$8:F134,F134,$C$8:C134,"Kapak")=1,1,0))</f>
        <v/>
      </c>
    </row>
    <row r="135" ht="54" customHeight="1">
      <c r="A135" s="29" t="n"/>
      <c r="B135" s="29" t="n"/>
      <c r="C135" s="29" t="n"/>
      <c r="D135" s="29" t="n"/>
      <c r="E135" s="29" t="n"/>
      <c r="F135" s="29" t="n"/>
      <c r="G135" s="29" t="n"/>
      <c r="H135" s="29" t="n"/>
      <c r="I135" s="29" t="n"/>
      <c r="J135" s="29" t="n"/>
      <c r="K135" s="29" t="n"/>
      <c r="L135" s="49" t="n"/>
      <c r="M135" s="49" t="n"/>
      <c r="N135" s="29" t="n"/>
      <c r="O135" s="29" t="n"/>
      <c r="P135" s="29" t="n"/>
      <c r="Q135" s="51" t="n"/>
      <c r="R135" s="29" t="n"/>
      <c r="S135" s="52">
        <f>IF(OR(A135="",F135="",C135&lt;&gt;"Mekân"),0,IF(COUNTIFS($F$8:F135,F135,$C$8:C135,"Mekân")=1,1,0))</f>
        <v/>
      </c>
      <c r="T135" s="52">
        <f>IF(OR(A135="",F135="",C135&lt;&gt;"Kapak"),0,IF(COUNTIFS($F$8:F135,F135,$C$8:C135,"Kapak")=1,1,0))</f>
        <v/>
      </c>
    </row>
    <row r="136" ht="54" customHeight="1">
      <c r="A136" s="29" t="n"/>
      <c r="B136" s="29" t="n"/>
      <c r="C136" s="29" t="n"/>
      <c r="D136" s="29" t="n"/>
      <c r="E136" s="29" t="n"/>
      <c r="F136" s="29" t="n"/>
      <c r="G136" s="29" t="n"/>
      <c r="H136" s="29" t="n"/>
      <c r="I136" s="29" t="n"/>
      <c r="J136" s="29" t="n"/>
      <c r="K136" s="29" t="n"/>
      <c r="L136" s="49" t="n"/>
      <c r="M136" s="49" t="n"/>
      <c r="N136" s="29" t="n"/>
      <c r="O136" s="29" t="n"/>
      <c r="P136" s="29" t="n"/>
      <c r="Q136" s="51" t="n"/>
      <c r="R136" s="29" t="n"/>
      <c r="S136" s="52">
        <f>IF(OR(A136="",F136="",C136&lt;&gt;"Mekân"),0,IF(COUNTIFS($F$8:F136,F136,$C$8:C136,"Mekân")=1,1,0))</f>
        <v/>
      </c>
      <c r="T136" s="52">
        <f>IF(OR(A136="",F136="",C136&lt;&gt;"Kapak"),0,IF(COUNTIFS($F$8:F136,F136,$C$8:C136,"Kapak")=1,1,0))</f>
        <v/>
      </c>
    </row>
    <row r="137" ht="54" customHeight="1">
      <c r="A137" s="29" t="n"/>
      <c r="B137" s="29" t="n"/>
      <c r="C137" s="29" t="n"/>
      <c r="D137" s="29" t="n"/>
      <c r="E137" s="29" t="n"/>
      <c r="F137" s="29" t="n"/>
      <c r="G137" s="29" t="n"/>
      <c r="H137" s="29" t="n"/>
      <c r="I137" s="29" t="n"/>
      <c r="J137" s="29" t="n"/>
      <c r="K137" s="29" t="n"/>
      <c r="L137" s="49" t="n"/>
      <c r="M137" s="49" t="n"/>
      <c r="N137" s="29" t="n"/>
      <c r="O137" s="29" t="n"/>
      <c r="P137" s="29" t="n"/>
      <c r="Q137" s="51" t="n"/>
      <c r="R137" s="29" t="n"/>
      <c r="S137" s="52">
        <f>IF(OR(A137="",F137="",C137&lt;&gt;"Mekân"),0,IF(COUNTIFS($F$8:F137,F137,$C$8:C137,"Mekân")=1,1,0))</f>
        <v/>
      </c>
      <c r="T137" s="52">
        <f>IF(OR(A137="",F137="",C137&lt;&gt;"Kapak"),0,IF(COUNTIFS($F$8:F137,F137,$C$8:C137,"Kapak")=1,1,0))</f>
        <v/>
      </c>
    </row>
    <row r="138" ht="54" customHeight="1">
      <c r="A138" s="29" t="n"/>
      <c r="B138" s="29" t="n"/>
      <c r="C138" s="29" t="n"/>
      <c r="D138" s="29" t="n"/>
      <c r="E138" s="29" t="n"/>
      <c r="F138" s="29" t="n"/>
      <c r="G138" s="29" t="n"/>
      <c r="H138" s="29" t="n"/>
      <c r="I138" s="29" t="n"/>
      <c r="J138" s="29" t="n"/>
      <c r="K138" s="29" t="n"/>
      <c r="L138" s="49" t="n"/>
      <c r="M138" s="49" t="n"/>
      <c r="N138" s="29" t="n"/>
      <c r="O138" s="29" t="n"/>
      <c r="P138" s="29" t="n"/>
      <c r="Q138" s="51" t="n"/>
      <c r="R138" s="29" t="n"/>
      <c r="S138" s="52">
        <f>IF(OR(A138="",F138="",C138&lt;&gt;"Mekân"),0,IF(COUNTIFS($F$8:F138,F138,$C$8:C138,"Mekân")=1,1,0))</f>
        <v/>
      </c>
      <c r="T138" s="52">
        <f>IF(OR(A138="",F138="",C138&lt;&gt;"Kapak"),0,IF(COUNTIFS($F$8:F138,F138,$C$8:C138,"Kapak")=1,1,0))</f>
        <v/>
      </c>
    </row>
    <row r="139" ht="54" customHeight="1">
      <c r="A139" s="29" t="n"/>
      <c r="B139" s="29" t="n"/>
      <c r="C139" s="29" t="n"/>
      <c r="D139" s="29" t="n"/>
      <c r="E139" s="29" t="n"/>
      <c r="F139" s="29" t="n"/>
      <c r="G139" s="29" t="n"/>
      <c r="H139" s="29" t="n"/>
      <c r="I139" s="29" t="n"/>
      <c r="J139" s="29" t="n"/>
      <c r="K139" s="29" t="n"/>
      <c r="L139" s="49" t="n"/>
      <c r="M139" s="49" t="n"/>
      <c r="N139" s="29" t="n"/>
      <c r="O139" s="29" t="n"/>
      <c r="P139" s="29" t="n"/>
      <c r="Q139" s="51" t="n"/>
      <c r="R139" s="29" t="n"/>
      <c r="S139" s="52">
        <f>IF(OR(A139="",F139="",C139&lt;&gt;"Mekân"),0,IF(COUNTIFS($F$8:F139,F139,$C$8:C139,"Mekân")=1,1,0))</f>
        <v/>
      </c>
      <c r="T139" s="52">
        <f>IF(OR(A139="",F139="",C139&lt;&gt;"Kapak"),0,IF(COUNTIFS($F$8:F139,F139,$C$8:C139,"Kapak")=1,1,0))</f>
        <v/>
      </c>
    </row>
    <row r="140" ht="54" customHeight="1">
      <c r="A140" s="29" t="n"/>
      <c r="B140" s="29" t="n"/>
      <c r="C140" s="29" t="n"/>
      <c r="D140" s="29" t="n"/>
      <c r="E140" s="29" t="n"/>
      <c r="F140" s="29" t="n"/>
      <c r="G140" s="29" t="n"/>
      <c r="H140" s="29" t="n"/>
      <c r="I140" s="29" t="n"/>
      <c r="J140" s="29" t="n"/>
      <c r="K140" s="29" t="n"/>
      <c r="L140" s="49" t="n"/>
      <c r="M140" s="49" t="n"/>
      <c r="N140" s="29" t="n"/>
      <c r="O140" s="29" t="n"/>
      <c r="P140" s="29" t="n"/>
      <c r="Q140" s="51" t="n"/>
      <c r="R140" s="29" t="n"/>
      <c r="S140" s="52">
        <f>IF(OR(A140="",F140="",C140&lt;&gt;"Mekân"),0,IF(COUNTIFS($F$8:F140,F140,$C$8:C140,"Mekân")=1,1,0))</f>
        <v/>
      </c>
      <c r="T140" s="52">
        <f>IF(OR(A140="",F140="",C140&lt;&gt;"Kapak"),0,IF(COUNTIFS($F$8:F140,F140,$C$8:C140,"Kapak")=1,1,0))</f>
        <v/>
      </c>
    </row>
    <row r="141" ht="54" customHeight="1">
      <c r="A141" s="29" t="n"/>
      <c r="B141" s="29" t="n"/>
      <c r="C141" s="29" t="n"/>
      <c r="D141" s="29" t="n"/>
      <c r="E141" s="29" t="n"/>
      <c r="F141" s="29" t="n"/>
      <c r="G141" s="29" t="n"/>
      <c r="H141" s="29" t="n"/>
      <c r="I141" s="29" t="n"/>
      <c r="J141" s="29" t="n"/>
      <c r="K141" s="29" t="n"/>
      <c r="L141" s="49" t="n"/>
      <c r="M141" s="49" t="n"/>
      <c r="N141" s="29" t="n"/>
      <c r="O141" s="29" t="n"/>
      <c r="P141" s="29" t="n"/>
      <c r="Q141" s="51" t="n"/>
      <c r="R141" s="29" t="n"/>
      <c r="S141" s="52">
        <f>IF(OR(A141="",F141="",C141&lt;&gt;"Mekân"),0,IF(COUNTIFS($F$8:F141,F141,$C$8:C141,"Mekân")=1,1,0))</f>
        <v/>
      </c>
      <c r="T141" s="52">
        <f>IF(OR(A141="",F141="",C141&lt;&gt;"Kapak"),0,IF(COUNTIFS($F$8:F141,F141,$C$8:C141,"Kapak")=1,1,0))</f>
        <v/>
      </c>
    </row>
    <row r="142" ht="54" customHeight="1">
      <c r="A142" s="29" t="n"/>
      <c r="B142" s="29" t="n"/>
      <c r="C142" s="29" t="n"/>
      <c r="D142" s="29" t="n"/>
      <c r="E142" s="29" t="n"/>
      <c r="F142" s="29" t="n"/>
      <c r="G142" s="29" t="n"/>
      <c r="H142" s="29" t="n"/>
      <c r="I142" s="29" t="n"/>
      <c r="J142" s="29" t="n"/>
      <c r="K142" s="29" t="n"/>
      <c r="L142" s="49" t="n"/>
      <c r="M142" s="49" t="n"/>
      <c r="N142" s="29" t="n"/>
      <c r="O142" s="29" t="n"/>
      <c r="P142" s="29" t="n"/>
      <c r="Q142" s="51" t="n"/>
      <c r="R142" s="29" t="n"/>
      <c r="S142" s="52">
        <f>IF(OR(A142="",F142="",C142&lt;&gt;"Mekân"),0,IF(COUNTIFS($F$8:F142,F142,$C$8:C142,"Mekân")=1,1,0))</f>
        <v/>
      </c>
      <c r="T142" s="52">
        <f>IF(OR(A142="",F142="",C142&lt;&gt;"Kapak"),0,IF(COUNTIFS($F$8:F142,F142,$C$8:C142,"Kapak")=1,1,0))</f>
        <v/>
      </c>
    </row>
    <row r="143" ht="54" customHeight="1">
      <c r="A143" s="29" t="n"/>
      <c r="B143" s="29" t="n"/>
      <c r="C143" s="29" t="n"/>
      <c r="D143" s="29" t="n"/>
      <c r="E143" s="29" t="n"/>
      <c r="F143" s="29" t="n"/>
      <c r="G143" s="29" t="n"/>
      <c r="H143" s="29" t="n"/>
      <c r="I143" s="29" t="n"/>
      <c r="J143" s="29" t="n"/>
      <c r="K143" s="29" t="n"/>
      <c r="L143" s="49" t="n"/>
      <c r="M143" s="49" t="n"/>
      <c r="N143" s="29" t="n"/>
      <c r="O143" s="29" t="n"/>
      <c r="P143" s="29" t="n"/>
      <c r="Q143" s="51" t="n"/>
      <c r="R143" s="29" t="n"/>
      <c r="S143" s="52">
        <f>IF(OR(A143="",F143="",C143&lt;&gt;"Mekân"),0,IF(COUNTIFS($F$8:F143,F143,$C$8:C143,"Mekân")=1,1,0))</f>
        <v/>
      </c>
      <c r="T143" s="52">
        <f>IF(OR(A143="",F143="",C143&lt;&gt;"Kapak"),0,IF(COUNTIFS($F$8:F143,F143,$C$8:C143,"Kapak")=1,1,0))</f>
        <v/>
      </c>
    </row>
    <row r="144" ht="54" customHeight="1">
      <c r="A144" s="29" t="n"/>
      <c r="B144" s="29" t="n"/>
      <c r="C144" s="29" t="n"/>
      <c r="D144" s="29" t="n"/>
      <c r="E144" s="29" t="n"/>
      <c r="F144" s="29" t="n"/>
      <c r="G144" s="29" t="n"/>
      <c r="H144" s="29" t="n"/>
      <c r="I144" s="29" t="n"/>
      <c r="J144" s="29" t="n"/>
      <c r="K144" s="29" t="n"/>
      <c r="L144" s="49" t="n"/>
      <c r="M144" s="49" t="n"/>
      <c r="N144" s="29" t="n"/>
      <c r="O144" s="29" t="n"/>
      <c r="P144" s="29" t="n"/>
      <c r="Q144" s="51" t="n"/>
      <c r="R144" s="29" t="n"/>
      <c r="S144" s="52">
        <f>IF(OR(A144="",F144="",C144&lt;&gt;"Mekân"),0,IF(COUNTIFS($F$8:F144,F144,$C$8:C144,"Mekân")=1,1,0))</f>
        <v/>
      </c>
      <c r="T144" s="52">
        <f>IF(OR(A144="",F144="",C144&lt;&gt;"Kapak"),0,IF(COUNTIFS($F$8:F144,F144,$C$8:C144,"Kapak")=1,1,0))</f>
        <v/>
      </c>
    </row>
    <row r="145" ht="54" customHeight="1">
      <c r="A145" s="29" t="n"/>
      <c r="B145" s="29" t="n"/>
      <c r="C145" s="29" t="n"/>
      <c r="D145" s="29" t="n"/>
      <c r="E145" s="29" t="n"/>
      <c r="F145" s="29" t="n"/>
      <c r="G145" s="29" t="n"/>
      <c r="H145" s="29" t="n"/>
      <c r="I145" s="29" t="n"/>
      <c r="J145" s="29" t="n"/>
      <c r="K145" s="29" t="n"/>
      <c r="L145" s="49" t="n"/>
      <c r="M145" s="49" t="n"/>
      <c r="N145" s="29" t="n"/>
      <c r="O145" s="29" t="n"/>
      <c r="P145" s="29" t="n"/>
      <c r="Q145" s="51" t="n"/>
      <c r="R145" s="29" t="n"/>
      <c r="S145" s="52">
        <f>IF(OR(A145="",F145="",C145&lt;&gt;"Mekân"),0,IF(COUNTIFS($F$8:F145,F145,$C$8:C145,"Mekân")=1,1,0))</f>
        <v/>
      </c>
      <c r="T145" s="52">
        <f>IF(OR(A145="",F145="",C145&lt;&gt;"Kapak"),0,IF(COUNTIFS($F$8:F145,F145,$C$8:C145,"Kapak")=1,1,0))</f>
        <v/>
      </c>
    </row>
    <row r="146" ht="54" customHeight="1">
      <c r="A146" s="29" t="n"/>
      <c r="B146" s="29" t="n"/>
      <c r="C146" s="29" t="n"/>
      <c r="D146" s="29" t="n"/>
      <c r="E146" s="29" t="n"/>
      <c r="F146" s="29" t="n"/>
      <c r="G146" s="29" t="n"/>
      <c r="H146" s="29" t="n"/>
      <c r="I146" s="29" t="n"/>
      <c r="J146" s="29" t="n"/>
      <c r="K146" s="29" t="n"/>
      <c r="L146" s="49" t="n"/>
      <c r="M146" s="49" t="n"/>
      <c r="N146" s="29" t="n"/>
      <c r="O146" s="29" t="n"/>
      <c r="P146" s="29" t="n"/>
      <c r="Q146" s="51" t="n"/>
      <c r="R146" s="29" t="n"/>
      <c r="S146" s="52">
        <f>IF(OR(A146="",F146="",C146&lt;&gt;"Mekân"),0,IF(COUNTIFS($F$8:F146,F146,$C$8:C146,"Mekân")=1,1,0))</f>
        <v/>
      </c>
      <c r="T146" s="52">
        <f>IF(OR(A146="",F146="",C146&lt;&gt;"Kapak"),0,IF(COUNTIFS($F$8:F146,F146,$C$8:C146,"Kapak")=1,1,0))</f>
        <v/>
      </c>
    </row>
    <row r="147" ht="54" customHeight="1">
      <c r="A147" s="29" t="n"/>
      <c r="B147" s="29" t="n"/>
      <c r="C147" s="29" t="n"/>
      <c r="D147" s="29" t="n"/>
      <c r="E147" s="29" t="n"/>
      <c r="F147" s="29" t="n"/>
      <c r="G147" s="29" t="n"/>
      <c r="H147" s="29" t="n"/>
      <c r="I147" s="29" t="n"/>
      <c r="J147" s="29" t="n"/>
      <c r="K147" s="29" t="n"/>
      <c r="L147" s="49" t="n"/>
      <c r="M147" s="49" t="n"/>
      <c r="N147" s="29" t="n"/>
      <c r="O147" s="29" t="n"/>
      <c r="P147" s="29" t="n"/>
      <c r="Q147" s="51" t="n"/>
      <c r="R147" s="29" t="n"/>
      <c r="S147" s="52">
        <f>IF(OR(A147="",F147="",C147&lt;&gt;"Mekân"),0,IF(COUNTIFS($F$8:F147,F147,$C$8:C147,"Mekân")=1,1,0))</f>
        <v/>
      </c>
      <c r="T147" s="52">
        <f>IF(OR(A147="",F147="",C147&lt;&gt;"Kapak"),0,IF(COUNTIFS($F$8:F147,F147,$C$8:C147,"Kapak")=1,1,0))</f>
        <v/>
      </c>
    </row>
    <row r="148" ht="54" customHeight="1">
      <c r="A148" s="29" t="n"/>
      <c r="B148" s="29" t="n"/>
      <c r="C148" s="29" t="n"/>
      <c r="D148" s="29" t="n"/>
      <c r="E148" s="29" t="n"/>
      <c r="F148" s="29" t="n"/>
      <c r="G148" s="29" t="n"/>
      <c r="H148" s="29" t="n"/>
      <c r="I148" s="29" t="n"/>
      <c r="J148" s="29" t="n"/>
      <c r="K148" s="29" t="n"/>
      <c r="L148" s="49" t="n"/>
      <c r="M148" s="49" t="n"/>
      <c r="N148" s="29" t="n"/>
      <c r="O148" s="29" t="n"/>
      <c r="P148" s="29" t="n"/>
      <c r="Q148" s="51" t="n"/>
      <c r="R148" s="29" t="n"/>
      <c r="S148" s="52">
        <f>IF(OR(A148="",F148="",C148&lt;&gt;"Mekân"),0,IF(COUNTIFS($F$8:F148,F148,$C$8:C148,"Mekân")=1,1,0))</f>
        <v/>
      </c>
      <c r="T148" s="52">
        <f>IF(OR(A148="",F148="",C148&lt;&gt;"Kapak"),0,IF(COUNTIFS($F$8:F148,F148,$C$8:C148,"Kapak")=1,1,0))</f>
        <v/>
      </c>
    </row>
    <row r="149" ht="54" customHeight="1">
      <c r="A149" s="29" t="n"/>
      <c r="B149" s="29" t="n"/>
      <c r="C149" s="29" t="n"/>
      <c r="D149" s="29" t="n"/>
      <c r="E149" s="29" t="n"/>
      <c r="F149" s="29" t="n"/>
      <c r="G149" s="29" t="n"/>
      <c r="H149" s="29" t="n"/>
      <c r="I149" s="29" t="n"/>
      <c r="J149" s="29" t="n"/>
      <c r="K149" s="29" t="n"/>
      <c r="L149" s="49" t="n"/>
      <c r="M149" s="49" t="n"/>
      <c r="N149" s="29" t="n"/>
      <c r="O149" s="29" t="n"/>
      <c r="P149" s="29" t="n"/>
      <c r="Q149" s="51" t="n"/>
      <c r="R149" s="29" t="n"/>
      <c r="S149" s="52">
        <f>IF(OR(A149="",F149="",C149&lt;&gt;"Mekân"),0,IF(COUNTIFS($F$8:F149,F149,$C$8:C149,"Mekân")=1,1,0))</f>
        <v/>
      </c>
      <c r="T149" s="52">
        <f>IF(OR(A149="",F149="",C149&lt;&gt;"Kapak"),0,IF(COUNTIFS($F$8:F149,F149,$C$8:C149,"Kapak")=1,1,0))</f>
        <v/>
      </c>
    </row>
    <row r="150" ht="54" customHeight="1">
      <c r="A150" s="29" t="n"/>
      <c r="B150" s="29" t="n"/>
      <c r="C150" s="29" t="n"/>
      <c r="D150" s="29" t="n"/>
      <c r="E150" s="29" t="n"/>
      <c r="F150" s="29" t="n"/>
      <c r="G150" s="29" t="n"/>
      <c r="H150" s="29" t="n"/>
      <c r="I150" s="29" t="n"/>
      <c r="J150" s="29" t="n"/>
      <c r="K150" s="29" t="n"/>
      <c r="L150" s="49" t="n"/>
      <c r="M150" s="49" t="n"/>
      <c r="N150" s="29" t="n"/>
      <c r="O150" s="29" t="n"/>
      <c r="P150" s="29" t="n"/>
      <c r="Q150" s="51" t="n"/>
      <c r="R150" s="29" t="n"/>
      <c r="S150" s="52">
        <f>IF(OR(A150="",F150="",C150&lt;&gt;"Mekân"),0,IF(COUNTIFS($F$8:F150,F150,$C$8:C150,"Mekân")=1,1,0))</f>
        <v/>
      </c>
      <c r="T150" s="52">
        <f>IF(OR(A150="",F150="",C150&lt;&gt;"Kapak"),0,IF(COUNTIFS($F$8:F150,F150,$C$8:C150,"Kapak")=1,1,0))</f>
        <v/>
      </c>
    </row>
    <row r="151" ht="54" customHeight="1">
      <c r="A151" s="29" t="n"/>
      <c r="B151" s="29" t="n"/>
      <c r="C151" s="29" t="n"/>
      <c r="D151" s="29" t="n"/>
      <c r="E151" s="29" t="n"/>
      <c r="F151" s="29" t="n"/>
      <c r="G151" s="29" t="n"/>
      <c r="H151" s="29" t="n"/>
      <c r="I151" s="29" t="n"/>
      <c r="J151" s="29" t="n"/>
      <c r="K151" s="29" t="n"/>
      <c r="L151" s="49" t="n"/>
      <c r="M151" s="49" t="n"/>
      <c r="N151" s="29" t="n"/>
      <c r="O151" s="29" t="n"/>
      <c r="P151" s="29" t="n"/>
      <c r="Q151" s="51" t="n"/>
      <c r="R151" s="29" t="n"/>
      <c r="S151" s="52">
        <f>IF(OR(A151="",F151="",C151&lt;&gt;"Mekân"),0,IF(COUNTIFS($F$8:F151,F151,$C$8:C151,"Mekân")=1,1,0))</f>
        <v/>
      </c>
      <c r="T151" s="52">
        <f>IF(OR(A151="",F151="",C151&lt;&gt;"Kapak"),0,IF(COUNTIFS($F$8:F151,F151,$C$8:C151,"Kapak")=1,1,0))</f>
        <v/>
      </c>
    </row>
    <row r="152" ht="54" customHeight="1">
      <c r="A152" s="29" t="n"/>
      <c r="B152" s="29" t="n"/>
      <c r="C152" s="29" t="n"/>
      <c r="D152" s="29" t="n"/>
      <c r="E152" s="29" t="n"/>
      <c r="F152" s="29" t="n"/>
      <c r="G152" s="29" t="n"/>
      <c r="H152" s="29" t="n"/>
      <c r="I152" s="29" t="n"/>
      <c r="J152" s="29" t="n"/>
      <c r="K152" s="29" t="n"/>
      <c r="L152" s="49" t="n"/>
      <c r="M152" s="49" t="n"/>
      <c r="N152" s="29" t="n"/>
      <c r="O152" s="29" t="n"/>
      <c r="P152" s="29" t="n"/>
      <c r="Q152" s="51" t="n"/>
      <c r="R152" s="29" t="n"/>
      <c r="S152" s="52">
        <f>IF(OR(A152="",F152="",C152&lt;&gt;"Mekân"),0,IF(COUNTIFS($F$8:F152,F152,$C$8:C152,"Mekân")=1,1,0))</f>
        <v/>
      </c>
      <c r="T152" s="52">
        <f>IF(OR(A152="",F152="",C152&lt;&gt;"Kapak"),0,IF(COUNTIFS($F$8:F152,F152,$C$8:C152,"Kapak")=1,1,0))</f>
        <v/>
      </c>
    </row>
    <row r="153" ht="54" customHeight="1">
      <c r="A153" s="29" t="n"/>
      <c r="B153" s="29" t="n"/>
      <c r="C153" s="29" t="n"/>
      <c r="D153" s="29" t="n"/>
      <c r="E153" s="29" t="n"/>
      <c r="F153" s="29" t="n"/>
      <c r="G153" s="29" t="n"/>
      <c r="H153" s="29" t="n"/>
      <c r="I153" s="29" t="n"/>
      <c r="J153" s="29" t="n"/>
      <c r="K153" s="29" t="n"/>
      <c r="L153" s="49" t="n"/>
      <c r="M153" s="49" t="n"/>
      <c r="N153" s="29" t="n"/>
      <c r="O153" s="29" t="n"/>
      <c r="P153" s="29" t="n"/>
      <c r="Q153" s="51" t="n"/>
      <c r="R153" s="29" t="n"/>
      <c r="S153" s="52">
        <f>IF(OR(A153="",F153="",C153&lt;&gt;"Mekân"),0,IF(COUNTIFS($F$8:F153,F153,$C$8:C153,"Mekân")=1,1,0))</f>
        <v/>
      </c>
      <c r="T153" s="52">
        <f>IF(OR(A153="",F153="",C153&lt;&gt;"Kapak"),0,IF(COUNTIFS($F$8:F153,F153,$C$8:C153,"Kapak")=1,1,0))</f>
        <v/>
      </c>
    </row>
    <row r="154" ht="54" customHeight="1">
      <c r="A154" s="29" t="n"/>
      <c r="B154" s="29" t="n"/>
      <c r="C154" s="29" t="n"/>
      <c r="D154" s="29" t="n"/>
      <c r="E154" s="29" t="n"/>
      <c r="F154" s="29" t="n"/>
      <c r="G154" s="29" t="n"/>
      <c r="H154" s="29" t="n"/>
      <c r="I154" s="29" t="n"/>
      <c r="J154" s="29" t="n"/>
      <c r="K154" s="29" t="n"/>
      <c r="L154" s="49" t="n"/>
      <c r="M154" s="49" t="n"/>
      <c r="N154" s="29" t="n"/>
      <c r="O154" s="29" t="n"/>
      <c r="P154" s="29" t="n"/>
      <c r="Q154" s="51" t="n"/>
      <c r="R154" s="29" t="n"/>
      <c r="S154" s="52">
        <f>IF(OR(A154="",F154="",C154&lt;&gt;"Mekân"),0,IF(COUNTIFS($F$8:F154,F154,$C$8:C154,"Mekân")=1,1,0))</f>
        <v/>
      </c>
      <c r="T154" s="52">
        <f>IF(OR(A154="",F154="",C154&lt;&gt;"Kapak"),0,IF(COUNTIFS($F$8:F154,F154,$C$8:C154,"Kapak")=1,1,0))</f>
        <v/>
      </c>
    </row>
    <row r="155" ht="54" customHeight="1">
      <c r="A155" s="29" t="n"/>
      <c r="B155" s="29" t="n"/>
      <c r="C155" s="29" t="n"/>
      <c r="D155" s="29" t="n"/>
      <c r="E155" s="29" t="n"/>
      <c r="F155" s="29" t="n"/>
      <c r="G155" s="29" t="n"/>
      <c r="H155" s="29" t="n"/>
      <c r="I155" s="29" t="n"/>
      <c r="J155" s="29" t="n"/>
      <c r="K155" s="29" t="n"/>
      <c r="L155" s="49" t="n"/>
      <c r="M155" s="49" t="n"/>
      <c r="N155" s="29" t="n"/>
      <c r="O155" s="29" t="n"/>
      <c r="P155" s="29" t="n"/>
      <c r="Q155" s="51" t="n"/>
      <c r="R155" s="29" t="n"/>
      <c r="S155" s="52">
        <f>IF(OR(A155="",F155="",C155&lt;&gt;"Mekân"),0,IF(COUNTIFS($F$8:F155,F155,$C$8:C155,"Mekân")=1,1,0))</f>
        <v/>
      </c>
      <c r="T155" s="52">
        <f>IF(OR(A155="",F155="",C155&lt;&gt;"Kapak"),0,IF(COUNTIFS($F$8:F155,F155,$C$8:C155,"Kapak")=1,1,0))</f>
        <v/>
      </c>
    </row>
    <row r="156" ht="54" customHeight="1">
      <c r="A156" s="29" t="n"/>
      <c r="B156" s="29" t="n"/>
      <c r="C156" s="29" t="n"/>
      <c r="D156" s="29" t="n"/>
      <c r="E156" s="29" t="n"/>
      <c r="F156" s="29" t="n"/>
      <c r="G156" s="29" t="n"/>
      <c r="H156" s="29" t="n"/>
      <c r="I156" s="29" t="n"/>
      <c r="J156" s="29" t="n"/>
      <c r="K156" s="29" t="n"/>
      <c r="L156" s="49" t="n"/>
      <c r="M156" s="49" t="n"/>
      <c r="N156" s="29" t="n"/>
      <c r="O156" s="29" t="n"/>
      <c r="P156" s="29" t="n"/>
      <c r="Q156" s="51" t="n"/>
      <c r="R156" s="29" t="n"/>
      <c r="S156" s="52">
        <f>IF(OR(A156="",F156="",C156&lt;&gt;"Mekân"),0,IF(COUNTIFS($F$8:F156,F156,$C$8:C156,"Mekân")=1,1,0))</f>
        <v/>
      </c>
      <c r="T156" s="52">
        <f>IF(OR(A156="",F156="",C156&lt;&gt;"Kapak"),0,IF(COUNTIFS($F$8:F156,F156,$C$8:C156,"Kapak")=1,1,0))</f>
        <v/>
      </c>
    </row>
    <row r="157" ht="54" customHeight="1">
      <c r="A157" s="29" t="n"/>
      <c r="B157" s="29" t="n"/>
      <c r="C157" s="29" t="n"/>
      <c r="D157" s="29" t="n"/>
      <c r="E157" s="29" t="n"/>
      <c r="F157" s="29" t="n"/>
      <c r="G157" s="29" t="n"/>
      <c r="H157" s="29" t="n"/>
      <c r="I157" s="29" t="n"/>
      <c r="J157" s="29" t="n"/>
      <c r="K157" s="29" t="n"/>
      <c r="L157" s="49" t="n"/>
      <c r="M157" s="49" t="n"/>
      <c r="N157" s="29" t="n"/>
      <c r="O157" s="29" t="n"/>
      <c r="P157" s="29" t="n"/>
      <c r="Q157" s="51" t="n"/>
      <c r="R157" s="29" t="n"/>
      <c r="S157" s="52">
        <f>IF(OR(A157="",F157="",C157&lt;&gt;"Mekân"),0,IF(COUNTIFS($F$8:F157,F157,$C$8:C157,"Mekân")=1,1,0))</f>
        <v/>
      </c>
      <c r="T157" s="52">
        <f>IF(OR(A157="",F157="",C157&lt;&gt;"Kapak"),0,IF(COUNTIFS($F$8:F157,F157,$C$8:C157,"Kapak")=1,1,0))</f>
        <v/>
      </c>
    </row>
    <row r="158" ht="54" customHeight="1">
      <c r="A158" s="29" t="n"/>
      <c r="B158" s="29" t="n"/>
      <c r="C158" s="29" t="n"/>
      <c r="D158" s="29" t="n"/>
      <c r="E158" s="29" t="n"/>
      <c r="F158" s="29" t="n"/>
      <c r="G158" s="29" t="n"/>
      <c r="H158" s="29" t="n"/>
      <c r="I158" s="29" t="n"/>
      <c r="J158" s="29" t="n"/>
      <c r="K158" s="29" t="n"/>
      <c r="L158" s="49" t="n"/>
      <c r="M158" s="49" t="n"/>
      <c r="N158" s="29" t="n"/>
      <c r="O158" s="29" t="n"/>
      <c r="P158" s="29" t="n"/>
      <c r="Q158" s="51" t="n"/>
      <c r="R158" s="29" t="n"/>
      <c r="S158" s="52">
        <f>IF(OR(A158="",F158="",C158&lt;&gt;"Mekân"),0,IF(COUNTIFS($F$8:F158,F158,$C$8:C158,"Mekân")=1,1,0))</f>
        <v/>
      </c>
      <c r="T158" s="52">
        <f>IF(OR(A158="",F158="",C158&lt;&gt;"Kapak"),0,IF(COUNTIFS($F$8:F158,F158,$C$8:C158,"Kapak")=1,1,0))</f>
        <v/>
      </c>
    </row>
    <row r="159" ht="54" customHeight="1">
      <c r="A159" s="29" t="n"/>
      <c r="B159" s="29" t="n"/>
      <c r="C159" s="29" t="n"/>
      <c r="D159" s="29" t="n"/>
      <c r="E159" s="29" t="n"/>
      <c r="F159" s="29" t="n"/>
      <c r="G159" s="29" t="n"/>
      <c r="H159" s="29" t="n"/>
      <c r="I159" s="29" t="n"/>
      <c r="J159" s="29" t="n"/>
      <c r="K159" s="29" t="n"/>
      <c r="L159" s="49" t="n"/>
      <c r="M159" s="49" t="n"/>
      <c r="N159" s="29" t="n"/>
      <c r="O159" s="29" t="n"/>
      <c r="P159" s="29" t="n"/>
      <c r="Q159" s="51" t="n"/>
      <c r="R159" s="29" t="n"/>
      <c r="S159" s="52">
        <f>IF(OR(A159="",F159="",C159&lt;&gt;"Mekân"),0,IF(COUNTIFS($F$8:F159,F159,$C$8:C159,"Mekân")=1,1,0))</f>
        <v/>
      </c>
      <c r="T159" s="52">
        <f>IF(OR(A159="",F159="",C159&lt;&gt;"Kapak"),0,IF(COUNTIFS($F$8:F159,F159,$C$8:C159,"Kapak")=1,1,0))</f>
        <v/>
      </c>
    </row>
    <row r="160" ht="54" customHeight="1">
      <c r="A160" s="29" t="n"/>
      <c r="B160" s="29" t="n"/>
      <c r="C160" s="29" t="n"/>
      <c r="D160" s="29" t="n"/>
      <c r="E160" s="29" t="n"/>
      <c r="F160" s="29" t="n"/>
      <c r="G160" s="29" t="n"/>
      <c r="H160" s="29" t="n"/>
      <c r="I160" s="29" t="n"/>
      <c r="J160" s="29" t="n"/>
      <c r="K160" s="29" t="n"/>
      <c r="L160" s="49" t="n"/>
      <c r="M160" s="49" t="n"/>
      <c r="N160" s="29" t="n"/>
      <c r="O160" s="29" t="n"/>
      <c r="P160" s="29" t="n"/>
      <c r="Q160" s="51" t="n"/>
      <c r="R160" s="29" t="n"/>
      <c r="S160" s="52">
        <f>IF(OR(A160="",F160="",C160&lt;&gt;"Mekân"),0,IF(COUNTIFS($F$8:F160,F160,$C$8:C160,"Mekân")=1,1,0))</f>
        <v/>
      </c>
      <c r="T160" s="52">
        <f>IF(OR(A160="",F160="",C160&lt;&gt;"Kapak"),0,IF(COUNTIFS($F$8:F160,F160,$C$8:C160,"Kapak")=1,1,0))</f>
        <v/>
      </c>
    </row>
    <row r="161" ht="54" customHeight="1">
      <c r="A161" s="29" t="n"/>
      <c r="B161" s="29" t="n"/>
      <c r="C161" s="29" t="n"/>
      <c r="D161" s="29" t="n"/>
      <c r="E161" s="29" t="n"/>
      <c r="F161" s="29" t="n"/>
      <c r="G161" s="29" t="n"/>
      <c r="H161" s="29" t="n"/>
      <c r="I161" s="29" t="n"/>
      <c r="J161" s="29" t="n"/>
      <c r="K161" s="29" t="n"/>
      <c r="L161" s="49" t="n"/>
      <c r="M161" s="49" t="n"/>
      <c r="N161" s="29" t="n"/>
      <c r="O161" s="29" t="n"/>
      <c r="P161" s="29" t="n"/>
      <c r="Q161" s="51" t="n"/>
      <c r="R161" s="29" t="n"/>
      <c r="S161" s="52">
        <f>IF(OR(A161="",F161="",C161&lt;&gt;"Mekân"),0,IF(COUNTIFS($F$8:F161,F161,$C$8:C161,"Mekân")=1,1,0))</f>
        <v/>
      </c>
      <c r="T161" s="52">
        <f>IF(OR(A161="",F161="",C161&lt;&gt;"Kapak"),0,IF(COUNTIFS($F$8:F161,F161,$C$8:C161,"Kapak")=1,1,0))</f>
        <v/>
      </c>
    </row>
    <row r="162" ht="54" customHeight="1">
      <c r="A162" s="29" t="n"/>
      <c r="B162" s="29" t="n"/>
      <c r="C162" s="29" t="n"/>
      <c r="D162" s="29" t="n"/>
      <c r="E162" s="29" t="n"/>
      <c r="F162" s="29" t="n"/>
      <c r="G162" s="29" t="n"/>
      <c r="H162" s="29" t="n"/>
      <c r="I162" s="29" t="n"/>
      <c r="J162" s="29" t="n"/>
      <c r="K162" s="29" t="n"/>
      <c r="L162" s="49" t="n"/>
      <c r="M162" s="49" t="n"/>
      <c r="N162" s="29" t="n"/>
      <c r="O162" s="29" t="n"/>
      <c r="P162" s="29" t="n"/>
      <c r="Q162" s="51" t="n"/>
      <c r="R162" s="29" t="n"/>
      <c r="S162" s="52">
        <f>IF(OR(A162="",F162="",C162&lt;&gt;"Mekân"),0,IF(COUNTIFS($F$8:F162,F162,$C$8:C162,"Mekân")=1,1,0))</f>
        <v/>
      </c>
      <c r="T162" s="52">
        <f>IF(OR(A162="",F162="",C162&lt;&gt;"Kapak"),0,IF(COUNTIFS($F$8:F162,F162,$C$8:C162,"Kapak")=1,1,0))</f>
        <v/>
      </c>
    </row>
    <row r="163" ht="54" customHeight="1">
      <c r="A163" s="29" t="n"/>
      <c r="B163" s="29" t="n"/>
      <c r="C163" s="29" t="n"/>
      <c r="D163" s="29" t="n"/>
      <c r="E163" s="29" t="n"/>
      <c r="F163" s="29" t="n"/>
      <c r="G163" s="29" t="n"/>
      <c r="H163" s="29" t="n"/>
      <c r="I163" s="29" t="n"/>
      <c r="J163" s="29" t="n"/>
      <c r="K163" s="29" t="n"/>
      <c r="L163" s="49" t="n"/>
      <c r="M163" s="49" t="n"/>
      <c r="N163" s="29" t="n"/>
      <c r="O163" s="29" t="n"/>
      <c r="P163" s="29" t="n"/>
      <c r="Q163" s="51" t="n"/>
      <c r="R163" s="29" t="n"/>
      <c r="S163" s="52">
        <f>IF(OR(A163="",F163="",C163&lt;&gt;"Mekân"),0,IF(COUNTIFS($F$8:F163,F163,$C$8:C163,"Mekân")=1,1,0))</f>
        <v/>
      </c>
      <c r="T163" s="52">
        <f>IF(OR(A163="",F163="",C163&lt;&gt;"Kapak"),0,IF(COUNTIFS($F$8:F163,F163,$C$8:C163,"Kapak")=1,1,0))</f>
        <v/>
      </c>
    </row>
    <row r="164" ht="54" customHeight="1">
      <c r="A164" s="29" t="n"/>
      <c r="B164" s="29" t="n"/>
      <c r="C164" s="29" t="n"/>
      <c r="D164" s="29" t="n"/>
      <c r="E164" s="29" t="n"/>
      <c r="F164" s="29" t="n"/>
      <c r="G164" s="29" t="n"/>
      <c r="H164" s="29" t="n"/>
      <c r="I164" s="29" t="n"/>
      <c r="J164" s="29" t="n"/>
      <c r="K164" s="29" t="n"/>
      <c r="L164" s="49" t="n"/>
      <c r="M164" s="49" t="n"/>
      <c r="N164" s="29" t="n"/>
      <c r="O164" s="29" t="n"/>
      <c r="P164" s="29" t="n"/>
      <c r="Q164" s="51" t="n"/>
      <c r="R164" s="29" t="n"/>
      <c r="S164" s="52">
        <f>IF(OR(A164="",F164="",C164&lt;&gt;"Mekân"),0,IF(COUNTIFS($F$8:F164,F164,$C$8:C164,"Mekân")=1,1,0))</f>
        <v/>
      </c>
      <c r="T164" s="52">
        <f>IF(OR(A164="",F164="",C164&lt;&gt;"Kapak"),0,IF(COUNTIFS($F$8:F164,F164,$C$8:C164,"Kapak")=1,1,0))</f>
        <v/>
      </c>
    </row>
    <row r="165" ht="54" customHeight="1">
      <c r="A165" s="29" t="n"/>
      <c r="B165" s="29" t="n"/>
      <c r="C165" s="29" t="n"/>
      <c r="D165" s="29" t="n"/>
      <c r="E165" s="29" t="n"/>
      <c r="F165" s="29" t="n"/>
      <c r="G165" s="29" t="n"/>
      <c r="H165" s="29" t="n"/>
      <c r="I165" s="29" t="n"/>
      <c r="J165" s="29" t="n"/>
      <c r="K165" s="29" t="n"/>
      <c r="L165" s="49" t="n"/>
      <c r="M165" s="49" t="n"/>
      <c r="N165" s="29" t="n"/>
      <c r="O165" s="29" t="n"/>
      <c r="P165" s="29" t="n"/>
      <c r="Q165" s="51" t="n"/>
      <c r="R165" s="29" t="n"/>
      <c r="S165" s="52">
        <f>IF(OR(A165="",F165="",C165&lt;&gt;"Mekân"),0,IF(COUNTIFS($F$8:F165,F165,$C$8:C165,"Mekân")=1,1,0))</f>
        <v/>
      </c>
      <c r="T165" s="52">
        <f>IF(OR(A165="",F165="",C165&lt;&gt;"Kapak"),0,IF(COUNTIFS($F$8:F165,F165,$C$8:C165,"Kapak")=1,1,0))</f>
        <v/>
      </c>
    </row>
    <row r="166" ht="54" customHeight="1">
      <c r="A166" s="29" t="n"/>
      <c r="B166" s="29" t="n"/>
      <c r="C166" s="29" t="n"/>
      <c r="D166" s="29" t="n"/>
      <c r="E166" s="29" t="n"/>
      <c r="F166" s="29" t="n"/>
      <c r="G166" s="29" t="n"/>
      <c r="H166" s="29" t="n"/>
      <c r="I166" s="29" t="n"/>
      <c r="J166" s="29" t="n"/>
      <c r="K166" s="29" t="n"/>
      <c r="L166" s="49" t="n"/>
      <c r="M166" s="49" t="n"/>
      <c r="N166" s="29" t="n"/>
      <c r="O166" s="29" t="n"/>
      <c r="P166" s="29" t="n"/>
      <c r="Q166" s="51" t="n"/>
      <c r="R166" s="29" t="n"/>
      <c r="S166" s="52">
        <f>IF(OR(A166="",F166="",C166&lt;&gt;"Mekân"),0,IF(COUNTIFS($F$8:F166,F166,$C$8:C166,"Mekân")=1,1,0))</f>
        <v/>
      </c>
      <c r="T166" s="52">
        <f>IF(OR(A166="",F166="",C166&lt;&gt;"Kapak"),0,IF(COUNTIFS($F$8:F166,F166,$C$8:C166,"Kapak")=1,1,0))</f>
        <v/>
      </c>
    </row>
    <row r="167" ht="54" customHeight="1">
      <c r="A167" s="29" t="n"/>
      <c r="B167" s="29" t="n"/>
      <c r="C167" s="29" t="n"/>
      <c r="D167" s="29" t="n"/>
      <c r="E167" s="29" t="n"/>
      <c r="F167" s="29" t="n"/>
      <c r="G167" s="29" t="n"/>
      <c r="H167" s="29" t="n"/>
      <c r="I167" s="29" t="n"/>
      <c r="J167" s="29" t="n"/>
      <c r="K167" s="29" t="n"/>
      <c r="L167" s="49" t="n"/>
      <c r="M167" s="49" t="n"/>
      <c r="N167" s="29" t="n"/>
      <c r="O167" s="29" t="n"/>
      <c r="P167" s="29" t="n"/>
      <c r="Q167" s="51" t="n"/>
      <c r="R167" s="29" t="n"/>
      <c r="S167" s="52">
        <f>IF(OR(A167="",F167="",C167&lt;&gt;"Mekân"),0,IF(COUNTIFS($F$8:F167,F167,$C$8:C167,"Mekân")=1,1,0))</f>
        <v/>
      </c>
      <c r="T167" s="52">
        <f>IF(OR(A167="",F167="",C167&lt;&gt;"Kapak"),0,IF(COUNTIFS($F$8:F167,F167,$C$8:C167,"Kapak")=1,1,0))</f>
        <v/>
      </c>
    </row>
    <row r="168" ht="54" customHeight="1">
      <c r="A168" s="29" t="n"/>
      <c r="B168" s="29" t="n"/>
      <c r="C168" s="29" t="n"/>
      <c r="D168" s="29" t="n"/>
      <c r="E168" s="29" t="n"/>
      <c r="F168" s="29" t="n"/>
      <c r="G168" s="29" t="n"/>
      <c r="H168" s="29" t="n"/>
      <c r="I168" s="29" t="n"/>
      <c r="J168" s="29" t="n"/>
      <c r="K168" s="29" t="n"/>
      <c r="L168" s="49" t="n"/>
      <c r="M168" s="49" t="n"/>
      <c r="N168" s="29" t="n"/>
      <c r="O168" s="29" t="n"/>
      <c r="P168" s="29" t="n"/>
      <c r="Q168" s="51" t="n"/>
      <c r="R168" s="29" t="n"/>
      <c r="S168" s="52">
        <f>IF(OR(A168="",F168="",C168&lt;&gt;"Mekân"),0,IF(COUNTIFS($F$8:F168,F168,$C$8:C168,"Mekân")=1,1,0))</f>
        <v/>
      </c>
      <c r="T168" s="52">
        <f>IF(OR(A168="",F168="",C168&lt;&gt;"Kapak"),0,IF(COUNTIFS($F$8:F168,F168,$C$8:C168,"Kapak")=1,1,0))</f>
        <v/>
      </c>
    </row>
    <row r="169" ht="54" customHeight="1">
      <c r="A169" s="29" t="n"/>
      <c r="B169" s="29" t="n"/>
      <c r="C169" s="29" t="n"/>
      <c r="D169" s="29" t="n"/>
      <c r="E169" s="29" t="n"/>
      <c r="F169" s="29" t="n"/>
      <c r="G169" s="29" t="n"/>
      <c r="H169" s="29" t="n"/>
      <c r="I169" s="29" t="n"/>
      <c r="J169" s="29" t="n"/>
      <c r="K169" s="29" t="n"/>
      <c r="L169" s="49" t="n"/>
      <c r="M169" s="49" t="n"/>
      <c r="N169" s="29" t="n"/>
      <c r="O169" s="29" t="n"/>
      <c r="P169" s="29" t="n"/>
      <c r="Q169" s="51" t="n"/>
      <c r="R169" s="29" t="n"/>
      <c r="S169" s="52">
        <f>IF(OR(A169="",F169="",C169&lt;&gt;"Mekân"),0,IF(COUNTIFS($F$8:F169,F169,$C$8:C169,"Mekân")=1,1,0))</f>
        <v/>
      </c>
      <c r="T169" s="52">
        <f>IF(OR(A169="",F169="",C169&lt;&gt;"Kapak"),0,IF(COUNTIFS($F$8:F169,F169,$C$8:C169,"Kapak")=1,1,0))</f>
        <v/>
      </c>
    </row>
    <row r="170" ht="54" customHeight="1">
      <c r="A170" s="29" t="n"/>
      <c r="B170" s="29" t="n"/>
      <c r="C170" s="29" t="n"/>
      <c r="D170" s="29" t="n"/>
      <c r="E170" s="29" t="n"/>
      <c r="F170" s="29" t="n"/>
      <c r="G170" s="29" t="n"/>
      <c r="H170" s="29" t="n"/>
      <c r="I170" s="29" t="n"/>
      <c r="J170" s="29" t="n"/>
      <c r="K170" s="29" t="n"/>
      <c r="L170" s="49" t="n"/>
      <c r="M170" s="49" t="n"/>
      <c r="N170" s="29" t="n"/>
      <c r="O170" s="29" t="n"/>
      <c r="P170" s="29" t="n"/>
      <c r="Q170" s="51" t="n"/>
      <c r="R170" s="29" t="n"/>
      <c r="S170" s="52">
        <f>IF(OR(A170="",F170="",C170&lt;&gt;"Mekân"),0,IF(COUNTIFS($F$8:F170,F170,$C$8:C170,"Mekân")=1,1,0))</f>
        <v/>
      </c>
      <c r="T170" s="52">
        <f>IF(OR(A170="",F170="",C170&lt;&gt;"Kapak"),0,IF(COUNTIFS($F$8:F170,F170,$C$8:C170,"Kapak")=1,1,0))</f>
        <v/>
      </c>
    </row>
    <row r="171" ht="54" customHeight="1">
      <c r="A171" s="29" t="n"/>
      <c r="B171" s="29" t="n"/>
      <c r="C171" s="29" t="n"/>
      <c r="D171" s="29" t="n"/>
      <c r="E171" s="29" t="n"/>
      <c r="F171" s="29" t="n"/>
      <c r="G171" s="29" t="n"/>
      <c r="H171" s="29" t="n"/>
      <c r="I171" s="29" t="n"/>
      <c r="J171" s="29" t="n"/>
      <c r="K171" s="29" t="n"/>
      <c r="L171" s="49" t="n"/>
      <c r="M171" s="49" t="n"/>
      <c r="N171" s="29" t="n"/>
      <c r="O171" s="29" t="n"/>
      <c r="P171" s="29" t="n"/>
      <c r="Q171" s="51" t="n"/>
      <c r="R171" s="29" t="n"/>
      <c r="S171" s="52">
        <f>IF(OR(A171="",F171="",C171&lt;&gt;"Mekân"),0,IF(COUNTIFS($F$8:F171,F171,$C$8:C171,"Mekân")=1,1,0))</f>
        <v/>
      </c>
      <c r="T171" s="52">
        <f>IF(OR(A171="",F171="",C171&lt;&gt;"Kapak"),0,IF(COUNTIFS($F$8:F171,F171,$C$8:C171,"Kapak")=1,1,0))</f>
        <v/>
      </c>
    </row>
    <row r="172" ht="54" customHeight="1">
      <c r="A172" s="29" t="n"/>
      <c r="B172" s="29" t="n"/>
      <c r="C172" s="29" t="n"/>
      <c r="D172" s="29" t="n"/>
      <c r="E172" s="29" t="n"/>
      <c r="F172" s="29" t="n"/>
      <c r="G172" s="29" t="n"/>
      <c r="H172" s="29" t="n"/>
      <c r="I172" s="29" t="n"/>
      <c r="J172" s="29" t="n"/>
      <c r="K172" s="29" t="n"/>
      <c r="L172" s="49" t="n"/>
      <c r="M172" s="49" t="n"/>
      <c r="N172" s="29" t="n"/>
      <c r="O172" s="29" t="n"/>
      <c r="P172" s="29" t="n"/>
      <c r="Q172" s="51" t="n"/>
      <c r="R172" s="29" t="n"/>
      <c r="S172" s="52">
        <f>IF(OR(A172="",F172="",C172&lt;&gt;"Mekân"),0,IF(COUNTIFS($F$8:F172,F172,$C$8:C172,"Mekân")=1,1,0))</f>
        <v/>
      </c>
      <c r="T172" s="52">
        <f>IF(OR(A172="",F172="",C172&lt;&gt;"Kapak"),0,IF(COUNTIFS($F$8:F172,F172,$C$8:C172,"Kapak")=1,1,0))</f>
        <v/>
      </c>
    </row>
    <row r="173" ht="54" customHeight="1">
      <c r="A173" s="29" t="n"/>
      <c r="B173" s="29" t="n"/>
      <c r="C173" s="29" t="n"/>
      <c r="D173" s="29" t="n"/>
      <c r="E173" s="29" t="n"/>
      <c r="F173" s="29" t="n"/>
      <c r="G173" s="29" t="n"/>
      <c r="H173" s="29" t="n"/>
      <c r="I173" s="29" t="n"/>
      <c r="J173" s="29" t="n"/>
      <c r="K173" s="29" t="n"/>
      <c r="L173" s="49" t="n"/>
      <c r="M173" s="49" t="n"/>
      <c r="N173" s="29" t="n"/>
      <c r="O173" s="29" t="n"/>
      <c r="P173" s="29" t="n"/>
      <c r="Q173" s="51" t="n"/>
      <c r="R173" s="29" t="n"/>
      <c r="S173" s="52">
        <f>IF(OR(A173="",F173="",C173&lt;&gt;"Mekân"),0,IF(COUNTIFS($F$8:F173,F173,$C$8:C173,"Mekân")=1,1,0))</f>
        <v/>
      </c>
      <c r="T173" s="52">
        <f>IF(OR(A173="",F173="",C173&lt;&gt;"Kapak"),0,IF(COUNTIFS($F$8:F173,F173,$C$8:C173,"Kapak")=1,1,0))</f>
        <v/>
      </c>
    </row>
    <row r="174" ht="54" customHeight="1">
      <c r="A174" s="29" t="n"/>
      <c r="B174" s="29" t="n"/>
      <c r="C174" s="29" t="n"/>
      <c r="D174" s="29" t="n"/>
      <c r="E174" s="29" t="n"/>
      <c r="F174" s="29" t="n"/>
      <c r="G174" s="29" t="n"/>
      <c r="H174" s="29" t="n"/>
      <c r="I174" s="29" t="n"/>
      <c r="J174" s="29" t="n"/>
      <c r="K174" s="29" t="n"/>
      <c r="L174" s="49" t="n"/>
      <c r="M174" s="49" t="n"/>
      <c r="N174" s="29" t="n"/>
      <c r="O174" s="29" t="n"/>
      <c r="P174" s="29" t="n"/>
      <c r="Q174" s="51" t="n"/>
      <c r="R174" s="29" t="n"/>
      <c r="S174" s="52">
        <f>IF(OR(A174="",F174="",C174&lt;&gt;"Mekân"),0,IF(COUNTIFS($F$8:F174,F174,$C$8:C174,"Mekân")=1,1,0))</f>
        <v/>
      </c>
      <c r="T174" s="52">
        <f>IF(OR(A174="",F174="",C174&lt;&gt;"Kapak"),0,IF(COUNTIFS($F$8:F174,F174,$C$8:C174,"Kapak")=1,1,0))</f>
        <v/>
      </c>
    </row>
    <row r="175" ht="54" customHeight="1">
      <c r="A175" s="29" t="n"/>
      <c r="B175" s="29" t="n"/>
      <c r="C175" s="29" t="n"/>
      <c r="D175" s="29" t="n"/>
      <c r="E175" s="29" t="n"/>
      <c r="F175" s="29" t="n"/>
      <c r="G175" s="29" t="n"/>
      <c r="H175" s="29" t="n"/>
      <c r="I175" s="29" t="n"/>
      <c r="J175" s="29" t="n"/>
      <c r="K175" s="29" t="n"/>
      <c r="L175" s="49" t="n"/>
      <c r="M175" s="49" t="n"/>
      <c r="N175" s="29" t="n"/>
      <c r="O175" s="29" t="n"/>
      <c r="P175" s="29" t="n"/>
      <c r="Q175" s="51" t="n"/>
      <c r="R175" s="29" t="n"/>
      <c r="S175" s="52">
        <f>IF(OR(A175="",F175="",C175&lt;&gt;"Mekân"),0,IF(COUNTIFS($F$8:F175,F175,$C$8:C175,"Mekân")=1,1,0))</f>
        <v/>
      </c>
      <c r="T175" s="52">
        <f>IF(OR(A175="",F175="",C175&lt;&gt;"Kapak"),0,IF(COUNTIFS($F$8:F175,F175,$C$8:C175,"Kapak")=1,1,0))</f>
        <v/>
      </c>
    </row>
    <row r="176" ht="54" customHeight="1">
      <c r="A176" s="29" t="n"/>
      <c r="B176" s="29" t="n"/>
      <c r="C176" s="29" t="n"/>
      <c r="D176" s="29" t="n"/>
      <c r="E176" s="29" t="n"/>
      <c r="F176" s="29" t="n"/>
      <c r="G176" s="29" t="n"/>
      <c r="H176" s="29" t="n"/>
      <c r="I176" s="29" t="n"/>
      <c r="J176" s="29" t="n"/>
      <c r="K176" s="29" t="n"/>
      <c r="L176" s="49" t="n"/>
      <c r="M176" s="49" t="n"/>
      <c r="N176" s="29" t="n"/>
      <c r="O176" s="29" t="n"/>
      <c r="P176" s="29" t="n"/>
      <c r="Q176" s="51" t="n"/>
      <c r="R176" s="29" t="n"/>
      <c r="S176" s="52">
        <f>IF(OR(A176="",F176="",C176&lt;&gt;"Mekân"),0,IF(COUNTIFS($F$8:F176,F176,$C$8:C176,"Mekân")=1,1,0))</f>
        <v/>
      </c>
      <c r="T176" s="52">
        <f>IF(OR(A176="",F176="",C176&lt;&gt;"Kapak"),0,IF(COUNTIFS($F$8:F176,F176,$C$8:C176,"Kapak")=1,1,0))</f>
        <v/>
      </c>
    </row>
    <row r="177" ht="54" customHeight="1">
      <c r="A177" s="29" t="n"/>
      <c r="B177" s="29" t="n"/>
      <c r="C177" s="29" t="n"/>
      <c r="D177" s="29" t="n"/>
      <c r="E177" s="29" t="n"/>
      <c r="F177" s="29" t="n"/>
      <c r="G177" s="29" t="n"/>
      <c r="H177" s="29" t="n"/>
      <c r="I177" s="29" t="n"/>
      <c r="J177" s="29" t="n"/>
      <c r="K177" s="29" t="n"/>
      <c r="L177" s="49" t="n"/>
      <c r="M177" s="49" t="n"/>
      <c r="N177" s="29" t="n"/>
      <c r="O177" s="29" t="n"/>
      <c r="P177" s="29" t="n"/>
      <c r="Q177" s="51" t="n"/>
      <c r="R177" s="29" t="n"/>
      <c r="S177" s="52">
        <f>IF(OR(A177="",F177="",C177&lt;&gt;"Mekân"),0,IF(COUNTIFS($F$8:F177,F177,$C$8:C177,"Mekân")=1,1,0))</f>
        <v/>
      </c>
      <c r="T177" s="52">
        <f>IF(OR(A177="",F177="",C177&lt;&gt;"Kapak"),0,IF(COUNTIFS($F$8:F177,F177,$C$8:C177,"Kapak")=1,1,0))</f>
        <v/>
      </c>
    </row>
    <row r="178" ht="54" customHeight="1">
      <c r="A178" s="29" t="n"/>
      <c r="B178" s="29" t="n"/>
      <c r="C178" s="29" t="n"/>
      <c r="D178" s="29" t="n"/>
      <c r="E178" s="29" t="n"/>
      <c r="F178" s="29" t="n"/>
      <c r="G178" s="29" t="n"/>
      <c r="H178" s="29" t="n"/>
      <c r="I178" s="29" t="n"/>
      <c r="J178" s="29" t="n"/>
      <c r="K178" s="29" t="n"/>
      <c r="L178" s="49" t="n"/>
      <c r="M178" s="49" t="n"/>
      <c r="N178" s="29" t="n"/>
      <c r="O178" s="29" t="n"/>
      <c r="P178" s="29" t="n"/>
      <c r="Q178" s="51" t="n"/>
      <c r="R178" s="29" t="n"/>
      <c r="S178" s="52">
        <f>IF(OR(A178="",F178="",C178&lt;&gt;"Mekân"),0,IF(COUNTIFS($F$8:F178,F178,$C$8:C178,"Mekân")=1,1,0))</f>
        <v/>
      </c>
      <c r="T178" s="52">
        <f>IF(OR(A178="",F178="",C178&lt;&gt;"Kapak"),0,IF(COUNTIFS($F$8:F178,F178,$C$8:C178,"Kapak")=1,1,0))</f>
        <v/>
      </c>
    </row>
    <row r="179" ht="54" customHeight="1">
      <c r="A179" s="29" t="n"/>
      <c r="B179" s="29" t="n"/>
      <c r="C179" s="29" t="n"/>
      <c r="D179" s="29" t="n"/>
      <c r="E179" s="29" t="n"/>
      <c r="F179" s="29" t="n"/>
      <c r="G179" s="29" t="n"/>
      <c r="H179" s="29" t="n"/>
      <c r="I179" s="29" t="n"/>
      <c r="J179" s="29" t="n"/>
      <c r="K179" s="29" t="n"/>
      <c r="L179" s="49" t="n"/>
      <c r="M179" s="49" t="n"/>
      <c r="N179" s="29" t="n"/>
      <c r="O179" s="29" t="n"/>
      <c r="P179" s="29" t="n"/>
      <c r="Q179" s="51" t="n"/>
      <c r="R179" s="29" t="n"/>
      <c r="S179" s="52">
        <f>IF(OR(A179="",F179="",C179&lt;&gt;"Mekân"),0,IF(COUNTIFS($F$8:F179,F179,$C$8:C179,"Mekân")=1,1,0))</f>
        <v/>
      </c>
      <c r="T179" s="52">
        <f>IF(OR(A179="",F179="",C179&lt;&gt;"Kapak"),0,IF(COUNTIFS($F$8:F179,F179,$C$8:C179,"Kapak")=1,1,0))</f>
        <v/>
      </c>
    </row>
    <row r="180" ht="54" customHeight="1">
      <c r="A180" s="29" t="n"/>
      <c r="B180" s="29" t="n"/>
      <c r="C180" s="29" t="n"/>
      <c r="D180" s="29" t="n"/>
      <c r="E180" s="29" t="n"/>
      <c r="F180" s="29" t="n"/>
      <c r="G180" s="29" t="n"/>
      <c r="H180" s="29" t="n"/>
      <c r="I180" s="29" t="n"/>
      <c r="J180" s="29" t="n"/>
      <c r="K180" s="29" t="n"/>
      <c r="L180" s="49" t="n"/>
      <c r="M180" s="49" t="n"/>
      <c r="N180" s="29" t="n"/>
      <c r="O180" s="29" t="n"/>
      <c r="P180" s="29" t="n"/>
      <c r="Q180" s="51" t="n"/>
      <c r="R180" s="29" t="n"/>
      <c r="S180" s="52">
        <f>IF(OR(A180="",F180="",C180&lt;&gt;"Mekân"),0,IF(COUNTIFS($F$8:F180,F180,$C$8:C180,"Mekân")=1,1,0))</f>
        <v/>
      </c>
      <c r="T180" s="52">
        <f>IF(OR(A180="",F180="",C180&lt;&gt;"Kapak"),0,IF(COUNTIFS($F$8:F180,F180,$C$8:C180,"Kapak")=1,1,0))</f>
        <v/>
      </c>
    </row>
    <row r="181" ht="54" customHeight="1">
      <c r="A181" s="29" t="n"/>
      <c r="B181" s="29" t="n"/>
      <c r="C181" s="29" t="n"/>
      <c r="D181" s="29" t="n"/>
      <c r="E181" s="29" t="n"/>
      <c r="F181" s="29" t="n"/>
      <c r="G181" s="29" t="n"/>
      <c r="H181" s="29" t="n"/>
      <c r="I181" s="29" t="n"/>
      <c r="J181" s="29" t="n"/>
      <c r="K181" s="29" t="n"/>
      <c r="L181" s="49" t="n"/>
      <c r="M181" s="49" t="n"/>
      <c r="N181" s="29" t="n"/>
      <c r="O181" s="29" t="n"/>
      <c r="P181" s="29" t="n"/>
      <c r="Q181" s="51" t="n"/>
      <c r="R181" s="29" t="n"/>
      <c r="S181" s="52">
        <f>IF(OR(A181="",F181="",C181&lt;&gt;"Mekân"),0,IF(COUNTIFS($F$8:F181,F181,$C$8:C181,"Mekân")=1,1,0))</f>
        <v/>
      </c>
      <c r="T181" s="52">
        <f>IF(OR(A181="",F181="",C181&lt;&gt;"Kapak"),0,IF(COUNTIFS($F$8:F181,F181,$C$8:C181,"Kapak")=1,1,0))</f>
        <v/>
      </c>
    </row>
    <row r="182" ht="54" customHeight="1">
      <c r="A182" s="29" t="n"/>
      <c r="B182" s="29" t="n"/>
      <c r="C182" s="29" t="n"/>
      <c r="D182" s="29" t="n"/>
      <c r="E182" s="29" t="n"/>
      <c r="F182" s="29" t="n"/>
      <c r="G182" s="29" t="n"/>
      <c r="H182" s="29" t="n"/>
      <c r="I182" s="29" t="n"/>
      <c r="J182" s="29" t="n"/>
      <c r="K182" s="29" t="n"/>
      <c r="L182" s="49" t="n"/>
      <c r="M182" s="49" t="n"/>
      <c r="N182" s="29" t="n"/>
      <c r="O182" s="29" t="n"/>
      <c r="P182" s="29" t="n"/>
      <c r="Q182" s="51" t="n"/>
      <c r="R182" s="29" t="n"/>
      <c r="S182" s="52">
        <f>IF(OR(A182="",F182="",C182&lt;&gt;"Mekân"),0,IF(COUNTIFS($F$8:F182,F182,$C$8:C182,"Mekân")=1,1,0))</f>
        <v/>
      </c>
      <c r="T182" s="52">
        <f>IF(OR(A182="",F182="",C182&lt;&gt;"Kapak"),0,IF(COUNTIFS($F$8:F182,F182,$C$8:C182,"Kapak")=1,1,0))</f>
        <v/>
      </c>
    </row>
    <row r="183" ht="54" customHeight="1">
      <c r="A183" s="29" t="n"/>
      <c r="B183" s="29" t="n"/>
      <c r="C183" s="29" t="n"/>
      <c r="D183" s="29" t="n"/>
      <c r="E183" s="29" t="n"/>
      <c r="F183" s="29" t="n"/>
      <c r="G183" s="29" t="n"/>
      <c r="H183" s="29" t="n"/>
      <c r="I183" s="29" t="n"/>
      <c r="J183" s="29" t="n"/>
      <c r="K183" s="29" t="n"/>
      <c r="L183" s="49" t="n"/>
      <c r="M183" s="49" t="n"/>
      <c r="N183" s="29" t="n"/>
      <c r="O183" s="29" t="n"/>
      <c r="P183" s="29" t="n"/>
      <c r="Q183" s="51" t="n"/>
      <c r="R183" s="29" t="n"/>
      <c r="S183" s="52">
        <f>IF(OR(A183="",F183="",C183&lt;&gt;"Mekân"),0,IF(COUNTIFS($F$8:F183,F183,$C$8:C183,"Mekân")=1,1,0))</f>
        <v/>
      </c>
      <c r="T183" s="52">
        <f>IF(OR(A183="",F183="",C183&lt;&gt;"Kapak"),0,IF(COUNTIFS($F$8:F183,F183,$C$8:C183,"Kapak")=1,1,0))</f>
        <v/>
      </c>
    </row>
    <row r="184" ht="54" customHeight="1">
      <c r="A184" s="29" t="n"/>
      <c r="B184" s="29" t="n"/>
      <c r="C184" s="29" t="n"/>
      <c r="D184" s="29" t="n"/>
      <c r="E184" s="29" t="n"/>
      <c r="F184" s="29" t="n"/>
      <c r="G184" s="29" t="n"/>
      <c r="H184" s="29" t="n"/>
      <c r="I184" s="29" t="n"/>
      <c r="J184" s="29" t="n"/>
      <c r="K184" s="29" t="n"/>
      <c r="L184" s="49" t="n"/>
      <c r="M184" s="49" t="n"/>
      <c r="N184" s="29" t="n"/>
      <c r="O184" s="29" t="n"/>
      <c r="P184" s="29" t="n"/>
      <c r="Q184" s="51" t="n"/>
      <c r="R184" s="29" t="n"/>
      <c r="S184" s="52">
        <f>IF(OR(A184="",F184="",C184&lt;&gt;"Mekân"),0,IF(COUNTIFS($F$8:F184,F184,$C$8:C184,"Mekân")=1,1,0))</f>
        <v/>
      </c>
      <c r="T184" s="52">
        <f>IF(OR(A184="",F184="",C184&lt;&gt;"Kapak"),0,IF(COUNTIFS($F$8:F184,F184,$C$8:C184,"Kapak")=1,1,0))</f>
        <v/>
      </c>
    </row>
    <row r="185" ht="54" customHeight="1">
      <c r="A185" s="29" t="n"/>
      <c r="B185" s="29" t="n"/>
      <c r="C185" s="29" t="n"/>
      <c r="D185" s="29" t="n"/>
      <c r="E185" s="29" t="n"/>
      <c r="F185" s="29" t="n"/>
      <c r="G185" s="29" t="n"/>
      <c r="H185" s="29" t="n"/>
      <c r="I185" s="29" t="n"/>
      <c r="J185" s="29" t="n"/>
      <c r="K185" s="29" t="n"/>
      <c r="L185" s="49" t="n"/>
      <c r="M185" s="49" t="n"/>
      <c r="N185" s="29" t="n"/>
      <c r="O185" s="29" t="n"/>
      <c r="P185" s="29" t="n"/>
      <c r="Q185" s="51" t="n"/>
      <c r="R185" s="29" t="n"/>
      <c r="S185" s="52">
        <f>IF(OR(A185="",F185="",C185&lt;&gt;"Mekân"),0,IF(COUNTIFS($F$8:F185,F185,$C$8:C185,"Mekân")=1,1,0))</f>
        <v/>
      </c>
      <c r="T185" s="52">
        <f>IF(OR(A185="",F185="",C185&lt;&gt;"Kapak"),0,IF(COUNTIFS($F$8:F185,F185,$C$8:C185,"Kapak")=1,1,0))</f>
        <v/>
      </c>
    </row>
    <row r="186" ht="54" customHeight="1">
      <c r="A186" s="29" t="n"/>
      <c r="B186" s="29" t="n"/>
      <c r="C186" s="29" t="n"/>
      <c r="D186" s="29" t="n"/>
      <c r="E186" s="29" t="n"/>
      <c r="F186" s="29" t="n"/>
      <c r="G186" s="29" t="n"/>
      <c r="H186" s="29" t="n"/>
      <c r="I186" s="29" t="n"/>
      <c r="J186" s="29" t="n"/>
      <c r="K186" s="29" t="n"/>
      <c r="L186" s="49" t="n"/>
      <c r="M186" s="49" t="n"/>
      <c r="N186" s="29" t="n"/>
      <c r="O186" s="29" t="n"/>
      <c r="P186" s="29" t="n"/>
      <c r="Q186" s="51" t="n"/>
      <c r="R186" s="29" t="n"/>
      <c r="S186" s="52">
        <f>IF(OR(A186="",F186="",C186&lt;&gt;"Mekân"),0,IF(COUNTIFS($F$8:F186,F186,$C$8:C186,"Mekân")=1,1,0))</f>
        <v/>
      </c>
      <c r="T186" s="52">
        <f>IF(OR(A186="",F186="",C186&lt;&gt;"Kapak"),0,IF(COUNTIFS($F$8:F186,F186,$C$8:C186,"Kapak")=1,1,0))</f>
        <v/>
      </c>
    </row>
    <row r="187" ht="54" customHeight="1">
      <c r="A187" s="29" t="n"/>
      <c r="B187" s="29" t="n"/>
      <c r="C187" s="29" t="n"/>
      <c r="D187" s="29" t="n"/>
      <c r="E187" s="29" t="n"/>
      <c r="F187" s="29" t="n"/>
      <c r="G187" s="29" t="n"/>
      <c r="H187" s="29" t="n"/>
      <c r="I187" s="29" t="n"/>
      <c r="J187" s="29" t="n"/>
      <c r="K187" s="29" t="n"/>
      <c r="L187" s="49" t="n"/>
      <c r="M187" s="49" t="n"/>
      <c r="N187" s="29" t="n"/>
      <c r="O187" s="29" t="n"/>
      <c r="P187" s="29" t="n"/>
      <c r="Q187" s="51" t="n"/>
      <c r="R187" s="29" t="n"/>
      <c r="S187" s="52">
        <f>IF(OR(A187="",F187="",C187&lt;&gt;"Mekân"),0,IF(COUNTIFS($F$8:F187,F187,$C$8:C187,"Mekân")=1,1,0))</f>
        <v/>
      </c>
      <c r="T187" s="52">
        <f>IF(OR(A187="",F187="",C187&lt;&gt;"Kapak"),0,IF(COUNTIFS($F$8:F187,F187,$C$8:C187,"Kapak")=1,1,0))</f>
        <v/>
      </c>
    </row>
    <row r="188" ht="54" customHeight="1">
      <c r="A188" s="29" t="n"/>
      <c r="B188" s="29" t="n"/>
      <c r="C188" s="29" t="n"/>
      <c r="D188" s="29" t="n"/>
      <c r="E188" s="29" t="n"/>
      <c r="F188" s="29" t="n"/>
      <c r="G188" s="29" t="n"/>
      <c r="H188" s="29" t="n"/>
      <c r="I188" s="29" t="n"/>
      <c r="J188" s="29" t="n"/>
      <c r="K188" s="29" t="n"/>
      <c r="L188" s="49" t="n"/>
      <c r="M188" s="49" t="n"/>
      <c r="N188" s="29" t="n"/>
      <c r="O188" s="29" t="n"/>
      <c r="P188" s="29" t="n"/>
      <c r="Q188" s="51" t="n"/>
      <c r="R188" s="29" t="n"/>
      <c r="S188" s="52">
        <f>IF(OR(A188="",F188="",C188&lt;&gt;"Mekân"),0,IF(COUNTIFS($F$8:F188,F188,$C$8:C188,"Mekân")=1,1,0))</f>
        <v/>
      </c>
      <c r="T188" s="52">
        <f>IF(OR(A188="",F188="",C188&lt;&gt;"Kapak"),0,IF(COUNTIFS($F$8:F188,F188,$C$8:C188,"Kapak")=1,1,0))</f>
        <v/>
      </c>
    </row>
    <row r="189" ht="54" customHeight="1">
      <c r="A189" s="29" t="n"/>
      <c r="B189" s="29" t="n"/>
      <c r="C189" s="29" t="n"/>
      <c r="D189" s="29" t="n"/>
      <c r="E189" s="29" t="n"/>
      <c r="F189" s="29" t="n"/>
      <c r="G189" s="29" t="n"/>
      <c r="H189" s="29" t="n"/>
      <c r="I189" s="29" t="n"/>
      <c r="J189" s="29" t="n"/>
      <c r="K189" s="29" t="n"/>
      <c r="L189" s="49" t="n"/>
      <c r="M189" s="49" t="n"/>
      <c r="N189" s="29" t="n"/>
      <c r="O189" s="29" t="n"/>
      <c r="P189" s="29" t="n"/>
      <c r="Q189" s="51" t="n"/>
      <c r="R189" s="29" t="n"/>
      <c r="S189" s="52">
        <f>IF(OR(A189="",F189="",C189&lt;&gt;"Mekân"),0,IF(COUNTIFS($F$8:F189,F189,$C$8:C189,"Mekân")=1,1,0))</f>
        <v/>
      </c>
      <c r="T189" s="52">
        <f>IF(OR(A189="",F189="",C189&lt;&gt;"Kapak"),0,IF(COUNTIFS($F$8:F189,F189,$C$8:C189,"Kapak")=1,1,0))</f>
        <v/>
      </c>
    </row>
    <row r="190" ht="54" customHeight="1">
      <c r="A190" s="29" t="n"/>
      <c r="B190" s="29" t="n"/>
      <c r="C190" s="29" t="n"/>
      <c r="D190" s="29" t="n"/>
      <c r="E190" s="29" t="n"/>
      <c r="F190" s="29" t="n"/>
      <c r="G190" s="29" t="n"/>
      <c r="H190" s="29" t="n"/>
      <c r="I190" s="29" t="n"/>
      <c r="J190" s="29" t="n"/>
      <c r="K190" s="29" t="n"/>
      <c r="L190" s="49" t="n"/>
      <c r="M190" s="49" t="n"/>
      <c r="N190" s="29" t="n"/>
      <c r="O190" s="29" t="n"/>
      <c r="P190" s="29" t="n"/>
      <c r="Q190" s="51" t="n"/>
      <c r="R190" s="29" t="n"/>
      <c r="S190" s="52">
        <f>IF(OR(A190="",F190="",C190&lt;&gt;"Mekân"),0,IF(COUNTIFS($F$8:F190,F190,$C$8:C190,"Mekân")=1,1,0))</f>
        <v/>
      </c>
      <c r="T190" s="52">
        <f>IF(OR(A190="",F190="",C190&lt;&gt;"Kapak"),0,IF(COUNTIFS($F$8:F190,F190,$C$8:C190,"Kapak")=1,1,0))</f>
        <v/>
      </c>
    </row>
    <row r="191" ht="54" customHeight="1">
      <c r="A191" s="29" t="n"/>
      <c r="B191" s="29" t="n"/>
      <c r="C191" s="29" t="n"/>
      <c r="D191" s="29" t="n"/>
      <c r="E191" s="29" t="n"/>
      <c r="F191" s="29" t="n"/>
      <c r="G191" s="29" t="n"/>
      <c r="H191" s="29" t="n"/>
      <c r="I191" s="29" t="n"/>
      <c r="J191" s="29" t="n"/>
      <c r="K191" s="29" t="n"/>
      <c r="L191" s="49" t="n"/>
      <c r="M191" s="49" t="n"/>
      <c r="N191" s="29" t="n"/>
      <c r="O191" s="29" t="n"/>
      <c r="P191" s="29" t="n"/>
      <c r="Q191" s="51" t="n"/>
      <c r="R191" s="29" t="n"/>
      <c r="S191" s="52">
        <f>IF(OR(A191="",F191="",C191&lt;&gt;"Mekân"),0,IF(COUNTIFS($F$8:F191,F191,$C$8:C191,"Mekân")=1,1,0))</f>
        <v/>
      </c>
      <c r="T191" s="52">
        <f>IF(OR(A191="",F191="",C191&lt;&gt;"Kapak"),0,IF(COUNTIFS($F$8:F191,F191,$C$8:C191,"Kapak")=1,1,0))</f>
        <v/>
      </c>
    </row>
    <row r="192" ht="54" customHeight="1">
      <c r="A192" s="29" t="n"/>
      <c r="B192" s="29" t="n"/>
      <c r="C192" s="29" t="n"/>
      <c r="D192" s="29" t="n"/>
      <c r="E192" s="29" t="n"/>
      <c r="F192" s="29" t="n"/>
      <c r="G192" s="29" t="n"/>
      <c r="H192" s="29" t="n"/>
      <c r="I192" s="29" t="n"/>
      <c r="J192" s="29" t="n"/>
      <c r="K192" s="29" t="n"/>
      <c r="L192" s="49" t="n"/>
      <c r="M192" s="49" t="n"/>
      <c r="N192" s="29" t="n"/>
      <c r="O192" s="29" t="n"/>
      <c r="P192" s="29" t="n"/>
      <c r="Q192" s="51" t="n"/>
      <c r="R192" s="29" t="n"/>
      <c r="S192" s="52">
        <f>IF(OR(A192="",F192="",C192&lt;&gt;"Mekân"),0,IF(COUNTIFS($F$8:F192,F192,$C$8:C192,"Mekân")=1,1,0))</f>
        <v/>
      </c>
      <c r="T192" s="52">
        <f>IF(OR(A192="",F192="",C192&lt;&gt;"Kapak"),0,IF(COUNTIFS($F$8:F192,F192,$C$8:C192,"Kapak")=1,1,0))</f>
        <v/>
      </c>
    </row>
    <row r="193" ht="54" customHeight="1">
      <c r="A193" s="29" t="n"/>
      <c r="B193" s="29" t="n"/>
      <c r="C193" s="29" t="n"/>
      <c r="D193" s="29" t="n"/>
      <c r="E193" s="29" t="n"/>
      <c r="F193" s="29" t="n"/>
      <c r="G193" s="29" t="n"/>
      <c r="H193" s="29" t="n"/>
      <c r="I193" s="29" t="n"/>
      <c r="J193" s="29" t="n"/>
      <c r="K193" s="29" t="n"/>
      <c r="L193" s="49" t="n"/>
      <c r="M193" s="49" t="n"/>
      <c r="N193" s="29" t="n"/>
      <c r="O193" s="29" t="n"/>
      <c r="P193" s="29" t="n"/>
      <c r="Q193" s="51" t="n"/>
      <c r="R193" s="29" t="n"/>
      <c r="S193" s="52">
        <f>IF(OR(A193="",F193="",C193&lt;&gt;"Mekân"),0,IF(COUNTIFS($F$8:F193,F193,$C$8:C193,"Mekân")=1,1,0))</f>
        <v/>
      </c>
      <c r="T193" s="52">
        <f>IF(OR(A193="",F193="",C193&lt;&gt;"Kapak"),0,IF(COUNTIFS($F$8:F193,F193,$C$8:C193,"Kapak")=1,1,0))</f>
        <v/>
      </c>
    </row>
    <row r="194" ht="54" customHeight="1">
      <c r="A194" s="29" t="n"/>
      <c r="B194" s="29" t="n"/>
      <c r="C194" s="29" t="n"/>
      <c r="D194" s="29" t="n"/>
      <c r="E194" s="29" t="n"/>
      <c r="F194" s="29" t="n"/>
      <c r="G194" s="29" t="n"/>
      <c r="H194" s="29" t="n"/>
      <c r="I194" s="29" t="n"/>
      <c r="J194" s="29" t="n"/>
      <c r="K194" s="29" t="n"/>
      <c r="L194" s="49" t="n"/>
      <c r="M194" s="49" t="n"/>
      <c r="N194" s="29" t="n"/>
      <c r="O194" s="29" t="n"/>
      <c r="P194" s="29" t="n"/>
      <c r="Q194" s="51" t="n"/>
      <c r="R194" s="29" t="n"/>
      <c r="S194" s="52">
        <f>IF(OR(A194="",F194="",C194&lt;&gt;"Mekân"),0,IF(COUNTIFS($F$8:F194,F194,$C$8:C194,"Mekân")=1,1,0))</f>
        <v/>
      </c>
      <c r="T194" s="52">
        <f>IF(OR(A194="",F194="",C194&lt;&gt;"Kapak"),0,IF(COUNTIFS($F$8:F194,F194,$C$8:C194,"Kapak")=1,1,0))</f>
        <v/>
      </c>
    </row>
    <row r="195" ht="54" customHeight="1">
      <c r="A195" s="29" t="n"/>
      <c r="B195" s="29" t="n"/>
      <c r="C195" s="29" t="n"/>
      <c r="D195" s="29" t="n"/>
      <c r="E195" s="29" t="n"/>
      <c r="F195" s="29" t="n"/>
      <c r="G195" s="29" t="n"/>
      <c r="H195" s="29" t="n"/>
      <c r="I195" s="29" t="n"/>
      <c r="J195" s="29" t="n"/>
      <c r="K195" s="29" t="n"/>
      <c r="L195" s="49" t="n"/>
      <c r="M195" s="49" t="n"/>
      <c r="N195" s="29" t="n"/>
      <c r="O195" s="29" t="n"/>
      <c r="P195" s="29" t="n"/>
      <c r="Q195" s="51" t="n"/>
      <c r="R195" s="29" t="n"/>
      <c r="S195" s="52">
        <f>IF(OR(A195="",F195="",C195&lt;&gt;"Mekân"),0,IF(COUNTIFS($F$8:F195,F195,$C$8:C195,"Mekân")=1,1,0))</f>
        <v/>
      </c>
      <c r="T195" s="52">
        <f>IF(OR(A195="",F195="",C195&lt;&gt;"Kapak"),0,IF(COUNTIFS($F$8:F195,F195,$C$8:C195,"Kapak")=1,1,0))</f>
        <v/>
      </c>
    </row>
    <row r="196" ht="54" customHeight="1">
      <c r="A196" s="29" t="n"/>
      <c r="B196" s="29" t="n"/>
      <c r="C196" s="29" t="n"/>
      <c r="D196" s="29" t="n"/>
      <c r="E196" s="29" t="n"/>
      <c r="F196" s="29" t="n"/>
      <c r="G196" s="29" t="n"/>
      <c r="H196" s="29" t="n"/>
      <c r="I196" s="29" t="n"/>
      <c r="J196" s="29" t="n"/>
      <c r="K196" s="29" t="n"/>
      <c r="L196" s="49" t="n"/>
      <c r="M196" s="49" t="n"/>
      <c r="N196" s="29" t="n"/>
      <c r="O196" s="29" t="n"/>
      <c r="P196" s="29" t="n"/>
      <c r="Q196" s="51" t="n"/>
      <c r="R196" s="29" t="n"/>
      <c r="S196" s="52">
        <f>IF(OR(A196="",F196="",C196&lt;&gt;"Mekân"),0,IF(COUNTIFS($F$8:F196,F196,$C$8:C196,"Mekân")=1,1,0))</f>
        <v/>
      </c>
      <c r="T196" s="52">
        <f>IF(OR(A196="",F196="",C196&lt;&gt;"Kapak"),0,IF(COUNTIFS($F$8:F196,F196,$C$8:C196,"Kapak")=1,1,0))</f>
        <v/>
      </c>
    </row>
    <row r="197" ht="54" customHeight="1">
      <c r="A197" s="29" t="n"/>
      <c r="B197" s="29" t="n"/>
      <c r="C197" s="29" t="n"/>
      <c r="D197" s="29" t="n"/>
      <c r="E197" s="29" t="n"/>
      <c r="F197" s="29" t="n"/>
      <c r="G197" s="29" t="n"/>
      <c r="H197" s="29" t="n"/>
      <c r="I197" s="29" t="n"/>
      <c r="J197" s="29" t="n"/>
      <c r="K197" s="29" t="n"/>
      <c r="L197" s="49" t="n"/>
      <c r="M197" s="49" t="n"/>
      <c r="N197" s="29" t="n"/>
      <c r="O197" s="29" t="n"/>
      <c r="P197" s="29" t="n"/>
      <c r="Q197" s="51" t="n"/>
      <c r="R197" s="29" t="n"/>
      <c r="S197" s="52">
        <f>IF(OR(A197="",F197="",C197&lt;&gt;"Mekân"),0,IF(COUNTIFS($F$8:F197,F197,$C$8:C197,"Mekân")=1,1,0))</f>
        <v/>
      </c>
      <c r="T197" s="52">
        <f>IF(OR(A197="",F197="",C197&lt;&gt;"Kapak"),0,IF(COUNTIFS($F$8:F197,F197,$C$8:C197,"Kapak")=1,1,0))</f>
        <v/>
      </c>
    </row>
    <row r="198" ht="54" customHeight="1">
      <c r="A198" s="29" t="n"/>
      <c r="B198" s="29" t="n"/>
      <c r="C198" s="29" t="n"/>
      <c r="D198" s="29" t="n"/>
      <c r="E198" s="29" t="n"/>
      <c r="F198" s="29" t="n"/>
      <c r="G198" s="29" t="n"/>
      <c r="H198" s="29" t="n"/>
      <c r="I198" s="29" t="n"/>
      <c r="J198" s="29" t="n"/>
      <c r="K198" s="29" t="n"/>
      <c r="L198" s="49" t="n"/>
      <c r="M198" s="49" t="n"/>
      <c r="N198" s="29" t="n"/>
      <c r="O198" s="29" t="n"/>
      <c r="P198" s="29" t="n"/>
      <c r="Q198" s="51" t="n"/>
      <c r="R198" s="29" t="n"/>
      <c r="S198" s="52">
        <f>IF(OR(A198="",F198="",C198&lt;&gt;"Mekân"),0,IF(COUNTIFS($F$8:F198,F198,$C$8:C198,"Mekân")=1,1,0))</f>
        <v/>
      </c>
      <c r="T198" s="52">
        <f>IF(OR(A198="",F198="",C198&lt;&gt;"Kapak"),0,IF(COUNTIFS($F$8:F198,F198,$C$8:C198,"Kapak")=1,1,0))</f>
        <v/>
      </c>
    </row>
    <row r="199" ht="54" customHeight="1">
      <c r="A199" s="29" t="n"/>
      <c r="B199" s="29" t="n"/>
      <c r="C199" s="29" t="n"/>
      <c r="D199" s="29" t="n"/>
      <c r="E199" s="29" t="n"/>
      <c r="F199" s="29" t="n"/>
      <c r="G199" s="29" t="n"/>
      <c r="H199" s="29" t="n"/>
      <c r="I199" s="29" t="n"/>
      <c r="J199" s="29" t="n"/>
      <c r="K199" s="29" t="n"/>
      <c r="L199" s="49" t="n"/>
      <c r="M199" s="49" t="n"/>
      <c r="N199" s="29" t="n"/>
      <c r="O199" s="29" t="n"/>
      <c r="P199" s="29" t="n"/>
      <c r="Q199" s="51" t="n"/>
      <c r="R199" s="29" t="n"/>
      <c r="S199" s="52">
        <f>IF(OR(A199="",F199="",C199&lt;&gt;"Mekân"),0,IF(COUNTIFS($F$8:F199,F199,$C$8:C199,"Mekân")=1,1,0))</f>
        <v/>
      </c>
      <c r="T199" s="52">
        <f>IF(OR(A199="",F199="",C199&lt;&gt;"Kapak"),0,IF(COUNTIFS($F$8:F199,F199,$C$8:C199,"Kapak")=1,1,0))</f>
        <v/>
      </c>
    </row>
    <row r="200" ht="54" customHeight="1">
      <c r="A200" s="29" t="n"/>
      <c r="B200" s="29" t="n"/>
      <c r="C200" s="29" t="n"/>
      <c r="D200" s="29" t="n"/>
      <c r="E200" s="29" t="n"/>
      <c r="F200" s="29" t="n"/>
      <c r="G200" s="29" t="n"/>
      <c r="H200" s="29" t="n"/>
      <c r="I200" s="29" t="n"/>
      <c r="J200" s="29" t="n"/>
      <c r="K200" s="29" t="n"/>
      <c r="L200" s="49" t="n"/>
      <c r="M200" s="49" t="n"/>
      <c r="N200" s="29" t="n"/>
      <c r="O200" s="29" t="n"/>
      <c r="P200" s="29" t="n"/>
      <c r="Q200" s="51" t="n"/>
      <c r="R200" s="29" t="n"/>
      <c r="S200" s="52">
        <f>IF(OR(A200="",F200="",C200&lt;&gt;"Mekân"),0,IF(COUNTIFS($F$8:F200,F200,$C$8:C200,"Mekân")=1,1,0))</f>
        <v/>
      </c>
      <c r="T200" s="52">
        <f>IF(OR(A200="",F200="",C200&lt;&gt;"Kapak"),0,IF(COUNTIFS($F$8:F200,F200,$C$8:C200,"Kapak")=1,1,0))</f>
        <v/>
      </c>
    </row>
    <row r="201" ht="54" customHeight="1">
      <c r="A201" s="29" t="n"/>
      <c r="B201" s="29" t="n"/>
      <c r="C201" s="29" t="n"/>
      <c r="D201" s="29" t="n"/>
      <c r="E201" s="29" t="n"/>
      <c r="F201" s="29" t="n"/>
      <c r="G201" s="29" t="n"/>
      <c r="H201" s="29" t="n"/>
      <c r="I201" s="29" t="n"/>
      <c r="J201" s="29" t="n"/>
      <c r="K201" s="29" t="n"/>
      <c r="L201" s="49" t="n"/>
      <c r="M201" s="49" t="n"/>
      <c r="N201" s="29" t="n"/>
      <c r="O201" s="29" t="n"/>
      <c r="P201" s="29" t="n"/>
      <c r="Q201" s="51" t="n"/>
      <c r="R201" s="29" t="n"/>
      <c r="S201" s="52">
        <f>IF(OR(A201="",F201="",C201&lt;&gt;"Mekân"),0,IF(COUNTIFS($F$8:F201,F201,$C$8:C201,"Mekân")=1,1,0))</f>
        <v/>
      </c>
      <c r="T201" s="52">
        <f>IF(OR(A201="",F201="",C201&lt;&gt;"Kapak"),0,IF(COUNTIFS($F$8:F201,F201,$C$8:C201,"Kapak")=1,1,0))</f>
        <v/>
      </c>
    </row>
    <row r="202" ht="54" customHeight="1">
      <c r="A202" s="29" t="n"/>
      <c r="B202" s="29" t="n"/>
      <c r="C202" s="29" t="n"/>
      <c r="D202" s="29" t="n"/>
      <c r="E202" s="29" t="n"/>
      <c r="F202" s="29" t="n"/>
      <c r="G202" s="29" t="n"/>
      <c r="H202" s="29" t="n"/>
      <c r="I202" s="29" t="n"/>
      <c r="J202" s="29" t="n"/>
      <c r="K202" s="29" t="n"/>
      <c r="L202" s="49" t="n"/>
      <c r="M202" s="49" t="n"/>
      <c r="N202" s="29" t="n"/>
      <c r="O202" s="29" t="n"/>
      <c r="P202" s="29" t="n"/>
      <c r="Q202" s="51" t="n"/>
      <c r="R202" s="29" t="n"/>
      <c r="S202" s="52">
        <f>IF(OR(A202="",F202="",C202&lt;&gt;"Mekân"),0,IF(COUNTIFS($F$8:F202,F202,$C$8:C202,"Mekân")=1,1,0))</f>
        <v/>
      </c>
      <c r="T202" s="52">
        <f>IF(OR(A202="",F202="",C202&lt;&gt;"Kapak"),0,IF(COUNTIFS($F$8:F202,F202,$C$8:C202,"Kapak")=1,1,0))</f>
        <v/>
      </c>
    </row>
    <row r="203" ht="54" customHeight="1">
      <c r="A203" s="29" t="n"/>
      <c r="B203" s="29" t="n"/>
      <c r="C203" s="29" t="n"/>
      <c r="D203" s="29" t="n"/>
      <c r="E203" s="29" t="n"/>
      <c r="F203" s="29" t="n"/>
      <c r="G203" s="29" t="n"/>
      <c r="H203" s="29" t="n"/>
      <c r="I203" s="29" t="n"/>
      <c r="J203" s="29" t="n"/>
      <c r="K203" s="29" t="n"/>
      <c r="L203" s="49" t="n"/>
      <c r="M203" s="49" t="n"/>
      <c r="N203" s="29" t="n"/>
      <c r="O203" s="29" t="n"/>
      <c r="P203" s="29" t="n"/>
      <c r="Q203" s="51" t="n"/>
      <c r="R203" s="29" t="n"/>
      <c r="S203" s="52">
        <f>IF(OR(A203="",F203="",C203&lt;&gt;"Mekân"),0,IF(COUNTIFS($F$8:F203,F203,$C$8:C203,"Mekân")=1,1,0))</f>
        <v/>
      </c>
      <c r="T203" s="52">
        <f>IF(OR(A203="",F203="",C203&lt;&gt;"Kapak"),0,IF(COUNTIFS($F$8:F203,F203,$C$8:C203,"Kapak")=1,1,0))</f>
        <v/>
      </c>
    </row>
    <row r="204" ht="54" customHeight="1">
      <c r="A204" s="29" t="n"/>
      <c r="B204" s="29" t="n"/>
      <c r="C204" s="29" t="n"/>
      <c r="D204" s="29" t="n"/>
      <c r="E204" s="29" t="n"/>
      <c r="F204" s="29" t="n"/>
      <c r="G204" s="29" t="n"/>
      <c r="H204" s="29" t="n"/>
      <c r="I204" s="29" t="n"/>
      <c r="J204" s="29" t="n"/>
      <c r="K204" s="29" t="n"/>
      <c r="L204" s="49" t="n"/>
      <c r="M204" s="49" t="n"/>
      <c r="N204" s="29" t="n"/>
      <c r="O204" s="29" t="n"/>
      <c r="P204" s="29" t="n"/>
      <c r="Q204" s="51" t="n"/>
      <c r="R204" s="29" t="n"/>
      <c r="S204" s="52">
        <f>IF(OR(A204="",F204="",C204&lt;&gt;"Mekân"),0,IF(COUNTIFS($F$8:F204,F204,$C$8:C204,"Mekân")=1,1,0))</f>
        <v/>
      </c>
      <c r="T204" s="52">
        <f>IF(OR(A204="",F204="",C204&lt;&gt;"Kapak"),0,IF(COUNTIFS($F$8:F204,F204,$C$8:C204,"Kapak")=1,1,0))</f>
        <v/>
      </c>
    </row>
    <row r="205" ht="54" customHeight="1">
      <c r="A205" s="29" t="n"/>
      <c r="B205" s="29" t="n"/>
      <c r="C205" s="29" t="n"/>
      <c r="D205" s="29" t="n"/>
      <c r="E205" s="29" t="n"/>
      <c r="F205" s="29" t="n"/>
      <c r="G205" s="29" t="n"/>
      <c r="H205" s="29" t="n"/>
      <c r="I205" s="29" t="n"/>
      <c r="J205" s="29" t="n"/>
      <c r="K205" s="29" t="n"/>
      <c r="L205" s="49" t="n"/>
      <c r="M205" s="49" t="n"/>
      <c r="N205" s="29" t="n"/>
      <c r="O205" s="29" t="n"/>
      <c r="P205" s="29" t="n"/>
      <c r="Q205" s="51" t="n"/>
      <c r="R205" s="29" t="n"/>
      <c r="S205" s="52">
        <f>IF(OR(A205="",F205="",C205&lt;&gt;"Mekân"),0,IF(COUNTIFS($F$8:F205,F205,$C$8:C205,"Mekân")=1,1,0))</f>
        <v/>
      </c>
      <c r="T205" s="52">
        <f>IF(OR(A205="",F205="",C205&lt;&gt;"Kapak"),0,IF(COUNTIFS($F$8:F205,F205,$C$8:C205,"Kapak")=1,1,0))</f>
        <v/>
      </c>
    </row>
    <row r="206" ht="54" customHeight="1">
      <c r="A206" s="29" t="n"/>
      <c r="B206" s="29" t="n"/>
      <c r="C206" s="29" t="n"/>
      <c r="D206" s="29" t="n"/>
      <c r="E206" s="29" t="n"/>
      <c r="F206" s="29" t="n"/>
      <c r="G206" s="29" t="n"/>
      <c r="H206" s="29" t="n"/>
      <c r="I206" s="29" t="n"/>
      <c r="J206" s="29" t="n"/>
      <c r="K206" s="29" t="n"/>
      <c r="L206" s="49" t="n"/>
      <c r="M206" s="49" t="n"/>
      <c r="N206" s="29" t="n"/>
      <c r="O206" s="29" t="n"/>
      <c r="P206" s="29" t="n"/>
      <c r="Q206" s="51" t="n"/>
      <c r="R206" s="29" t="n"/>
      <c r="S206" s="52">
        <f>IF(OR(A206="",F206="",C206&lt;&gt;"Mekân"),0,IF(COUNTIFS($F$8:F206,F206,$C$8:C206,"Mekân")=1,1,0))</f>
        <v/>
      </c>
      <c r="T206" s="52">
        <f>IF(OR(A206="",F206="",C206&lt;&gt;"Kapak"),0,IF(COUNTIFS($F$8:F206,F206,$C$8:C206,"Kapak")=1,1,0))</f>
        <v/>
      </c>
    </row>
    <row r="207" ht="54" customHeight="1">
      <c r="A207" s="29" t="n"/>
      <c r="B207" s="29" t="n"/>
      <c r="C207" s="29" t="n"/>
      <c r="D207" s="29" t="n"/>
      <c r="E207" s="29" t="n"/>
      <c r="F207" s="29" t="n"/>
      <c r="G207" s="29" t="n"/>
      <c r="H207" s="29" t="n"/>
      <c r="I207" s="29" t="n"/>
      <c r="J207" s="29" t="n"/>
      <c r="K207" s="29" t="n"/>
      <c r="L207" s="49" t="n"/>
      <c r="M207" s="49" t="n"/>
      <c r="N207" s="29" t="n"/>
      <c r="O207" s="29" t="n"/>
      <c r="P207" s="29" t="n"/>
      <c r="Q207" s="51" t="n"/>
      <c r="R207" s="29" t="n"/>
      <c r="S207" s="52">
        <f>IF(OR(A207="",F207="",C207&lt;&gt;"Mekân"),0,IF(COUNTIFS($F$8:F207,F207,$C$8:C207,"Mekân")=1,1,0))</f>
        <v/>
      </c>
      <c r="T207" s="52">
        <f>IF(OR(A207="",F207="",C207&lt;&gt;"Kapak"),0,IF(COUNTIFS($F$8:F207,F207,$C$8:C207,"Kapak")=1,1,0))</f>
        <v/>
      </c>
    </row>
    <row r="208" ht="54" customHeight="1">
      <c r="A208" s="29" t="n"/>
      <c r="B208" s="29" t="n"/>
      <c r="C208" s="29" t="n"/>
      <c r="D208" s="29" t="n"/>
      <c r="E208" s="29" t="n"/>
      <c r="F208" s="29" t="n"/>
      <c r="G208" s="29" t="n"/>
      <c r="H208" s="29" t="n"/>
      <c r="I208" s="29" t="n"/>
      <c r="J208" s="29" t="n"/>
      <c r="K208" s="29" t="n"/>
      <c r="L208" s="49" t="n"/>
      <c r="M208" s="49" t="n"/>
      <c r="N208" s="29" t="n"/>
      <c r="O208" s="29" t="n"/>
      <c r="P208" s="29" t="n"/>
      <c r="Q208" s="51" t="n"/>
      <c r="R208" s="29" t="n"/>
      <c r="S208" s="52">
        <f>IF(OR(A208="",F208="",C208&lt;&gt;"Mekân"),0,IF(COUNTIFS($F$8:F208,F208,$C$8:C208,"Mekân")=1,1,0))</f>
        <v/>
      </c>
      <c r="T208" s="52">
        <f>IF(OR(A208="",F208="",C208&lt;&gt;"Kapak"),0,IF(COUNTIFS($F$8:F208,F208,$C$8:C208,"Kapak")=1,1,0))</f>
        <v/>
      </c>
    </row>
    <row r="209" ht="54" customHeight="1">
      <c r="A209" s="29" t="n"/>
      <c r="B209" s="29" t="n"/>
      <c r="C209" s="29" t="n"/>
      <c r="D209" s="29" t="n"/>
      <c r="E209" s="29" t="n"/>
      <c r="F209" s="29" t="n"/>
      <c r="G209" s="29" t="n"/>
      <c r="H209" s="29" t="n"/>
      <c r="I209" s="29" t="n"/>
      <c r="J209" s="29" t="n"/>
      <c r="K209" s="29" t="n"/>
      <c r="L209" s="49" t="n"/>
      <c r="M209" s="49" t="n"/>
      <c r="N209" s="29" t="n"/>
      <c r="O209" s="29" t="n"/>
      <c r="P209" s="29" t="n"/>
      <c r="Q209" s="51" t="n"/>
      <c r="R209" s="29" t="n"/>
      <c r="S209" s="52">
        <f>IF(OR(A209="",F209="",C209&lt;&gt;"Mekân"),0,IF(COUNTIFS($F$8:F209,F209,$C$8:C209,"Mekân")=1,1,0))</f>
        <v/>
      </c>
      <c r="T209" s="52">
        <f>IF(OR(A209="",F209="",C209&lt;&gt;"Kapak"),0,IF(COUNTIFS($F$8:F209,F209,$C$8:C209,"Kapak")=1,1,0))</f>
        <v/>
      </c>
    </row>
    <row r="210" ht="54" customHeight="1">
      <c r="A210" s="29" t="n"/>
      <c r="B210" s="29" t="n"/>
      <c r="C210" s="29" t="n"/>
      <c r="D210" s="29" t="n"/>
      <c r="E210" s="29" t="n"/>
      <c r="F210" s="29" t="n"/>
      <c r="G210" s="29" t="n"/>
      <c r="H210" s="29" t="n"/>
      <c r="I210" s="29" t="n"/>
      <c r="J210" s="29" t="n"/>
      <c r="K210" s="29" t="n"/>
      <c r="L210" s="49" t="n"/>
      <c r="M210" s="49" t="n"/>
      <c r="N210" s="29" t="n"/>
      <c r="O210" s="29" t="n"/>
      <c r="P210" s="29" t="n"/>
      <c r="Q210" s="51" t="n"/>
      <c r="R210" s="29" t="n"/>
      <c r="S210" s="52">
        <f>IF(OR(A210="",F210="",C210&lt;&gt;"Mekân"),0,IF(COUNTIFS($F$8:F210,F210,$C$8:C210,"Mekân")=1,1,0))</f>
        <v/>
      </c>
      <c r="T210" s="52">
        <f>IF(OR(A210="",F210="",C210&lt;&gt;"Kapak"),0,IF(COUNTIFS($F$8:F210,F210,$C$8:C210,"Kapak")=1,1,0))</f>
        <v/>
      </c>
    </row>
    <row r="211" ht="54" customHeight="1">
      <c r="A211" s="29" t="n"/>
      <c r="B211" s="29" t="n"/>
      <c r="C211" s="29" t="n"/>
      <c r="D211" s="29" t="n"/>
      <c r="E211" s="29" t="n"/>
      <c r="F211" s="29" t="n"/>
      <c r="G211" s="29" t="n"/>
      <c r="H211" s="29" t="n"/>
      <c r="I211" s="29" t="n"/>
      <c r="J211" s="29" t="n"/>
      <c r="K211" s="29" t="n"/>
      <c r="L211" s="49" t="n"/>
      <c r="M211" s="49" t="n"/>
      <c r="N211" s="29" t="n"/>
      <c r="O211" s="29" t="n"/>
      <c r="P211" s="29" t="n"/>
      <c r="Q211" s="51" t="n"/>
      <c r="R211" s="29" t="n"/>
      <c r="S211" s="52">
        <f>IF(OR(A211="",F211="",C211&lt;&gt;"Mekân"),0,IF(COUNTIFS($F$8:F211,F211,$C$8:C211,"Mekân")=1,1,0))</f>
        <v/>
      </c>
      <c r="T211" s="52">
        <f>IF(OR(A211="",F211="",C211&lt;&gt;"Kapak"),0,IF(COUNTIFS($F$8:F211,F211,$C$8:C211,"Kapak")=1,1,0))</f>
        <v/>
      </c>
    </row>
    <row r="212" ht="54" customHeight="1">
      <c r="A212" s="29" t="n"/>
      <c r="B212" s="29" t="n"/>
      <c r="C212" s="29" t="n"/>
      <c r="D212" s="29" t="n"/>
      <c r="E212" s="29" t="n"/>
      <c r="F212" s="29" t="n"/>
      <c r="G212" s="29" t="n"/>
      <c r="H212" s="29" t="n"/>
      <c r="I212" s="29" t="n"/>
      <c r="J212" s="29" t="n"/>
      <c r="K212" s="29" t="n"/>
      <c r="L212" s="49" t="n"/>
      <c r="M212" s="49" t="n"/>
      <c r="N212" s="29" t="n"/>
      <c r="O212" s="29" t="n"/>
      <c r="P212" s="29" t="n"/>
      <c r="Q212" s="51" t="n"/>
      <c r="R212" s="29" t="n"/>
      <c r="S212" s="52">
        <f>IF(OR(A212="",F212="",C212&lt;&gt;"Mekân"),0,IF(COUNTIFS($F$8:F212,F212,$C$8:C212,"Mekân")=1,1,0))</f>
        <v/>
      </c>
      <c r="T212" s="52">
        <f>IF(OR(A212="",F212="",C212&lt;&gt;"Kapak"),0,IF(COUNTIFS($F$8:F212,F212,$C$8:C212,"Kapak")=1,1,0))</f>
        <v/>
      </c>
    </row>
    <row r="213" ht="54" customHeight="1">
      <c r="A213" s="29" t="n"/>
      <c r="B213" s="29" t="n"/>
      <c r="C213" s="29" t="n"/>
      <c r="D213" s="29" t="n"/>
      <c r="E213" s="29" t="n"/>
      <c r="F213" s="29" t="n"/>
      <c r="G213" s="29" t="n"/>
      <c r="H213" s="29" t="n"/>
      <c r="I213" s="29" t="n"/>
      <c r="J213" s="29" t="n"/>
      <c r="K213" s="29" t="n"/>
      <c r="L213" s="49" t="n"/>
      <c r="M213" s="49" t="n"/>
      <c r="N213" s="29" t="n"/>
      <c r="O213" s="29" t="n"/>
      <c r="P213" s="29" t="n"/>
      <c r="Q213" s="51" t="n"/>
      <c r="R213" s="29" t="n"/>
      <c r="S213" s="52">
        <f>IF(OR(A213="",F213="",C213&lt;&gt;"Mekân"),0,IF(COUNTIFS($F$8:F213,F213,$C$8:C213,"Mekân")=1,1,0))</f>
        <v/>
      </c>
      <c r="T213" s="52">
        <f>IF(OR(A213="",F213="",C213&lt;&gt;"Kapak"),0,IF(COUNTIFS($F$8:F213,F213,$C$8:C213,"Kapak")=1,1,0))</f>
        <v/>
      </c>
    </row>
    <row r="214" ht="54" customHeight="1">
      <c r="A214" s="29" t="n"/>
      <c r="B214" s="29" t="n"/>
      <c r="C214" s="29" t="n"/>
      <c r="D214" s="29" t="n"/>
      <c r="E214" s="29" t="n"/>
      <c r="F214" s="29" t="n"/>
      <c r="G214" s="29" t="n"/>
      <c r="H214" s="29" t="n"/>
      <c r="I214" s="29" t="n"/>
      <c r="J214" s="29" t="n"/>
      <c r="K214" s="29" t="n"/>
      <c r="L214" s="49" t="n"/>
      <c r="M214" s="49" t="n"/>
      <c r="N214" s="29" t="n"/>
      <c r="O214" s="29" t="n"/>
      <c r="P214" s="29" t="n"/>
      <c r="Q214" s="51" t="n"/>
      <c r="R214" s="29" t="n"/>
      <c r="S214" s="52">
        <f>IF(OR(A214="",F214="",C214&lt;&gt;"Mekân"),0,IF(COUNTIFS($F$8:F214,F214,$C$8:C214,"Mekân")=1,1,0))</f>
        <v/>
      </c>
      <c r="T214" s="52">
        <f>IF(OR(A214="",F214="",C214&lt;&gt;"Kapak"),0,IF(COUNTIFS($F$8:F214,F214,$C$8:C214,"Kapak")=1,1,0))</f>
        <v/>
      </c>
    </row>
    <row r="215" ht="54" customHeight="1">
      <c r="A215" s="29" t="n"/>
      <c r="B215" s="29" t="n"/>
      <c r="C215" s="29" t="n"/>
      <c r="D215" s="29" t="n"/>
      <c r="E215" s="29" t="n"/>
      <c r="F215" s="29" t="n"/>
      <c r="G215" s="29" t="n"/>
      <c r="H215" s="29" t="n"/>
      <c r="I215" s="29" t="n"/>
      <c r="J215" s="29" t="n"/>
      <c r="K215" s="29" t="n"/>
      <c r="L215" s="49" t="n"/>
      <c r="M215" s="49" t="n"/>
      <c r="N215" s="29" t="n"/>
      <c r="O215" s="29" t="n"/>
      <c r="P215" s="29" t="n"/>
      <c r="Q215" s="51" t="n"/>
      <c r="R215" s="29" t="n"/>
      <c r="S215" s="52">
        <f>IF(OR(A215="",F215="",C215&lt;&gt;"Mekân"),0,IF(COUNTIFS($F$8:F215,F215,$C$8:C215,"Mekân")=1,1,0))</f>
        <v/>
      </c>
      <c r="T215" s="52">
        <f>IF(OR(A215="",F215="",C215&lt;&gt;"Kapak"),0,IF(COUNTIFS($F$8:F215,F215,$C$8:C215,"Kapak")=1,1,0))</f>
        <v/>
      </c>
    </row>
    <row r="216" ht="54" customHeight="1">
      <c r="A216" s="29" t="n"/>
      <c r="B216" s="29" t="n"/>
      <c r="C216" s="29" t="n"/>
      <c r="D216" s="29" t="n"/>
      <c r="E216" s="29" t="n"/>
      <c r="F216" s="29" t="n"/>
      <c r="G216" s="29" t="n"/>
      <c r="H216" s="29" t="n"/>
      <c r="I216" s="29" t="n"/>
      <c r="J216" s="29" t="n"/>
      <c r="K216" s="29" t="n"/>
      <c r="L216" s="49" t="n"/>
      <c r="M216" s="49" t="n"/>
      <c r="N216" s="29" t="n"/>
      <c r="O216" s="29" t="n"/>
      <c r="P216" s="29" t="n"/>
      <c r="Q216" s="51" t="n"/>
      <c r="R216" s="29" t="n"/>
      <c r="S216" s="52">
        <f>IF(OR(A216="",F216="",C216&lt;&gt;"Mekân"),0,IF(COUNTIFS($F$8:F216,F216,$C$8:C216,"Mekân")=1,1,0))</f>
        <v/>
      </c>
      <c r="T216" s="52">
        <f>IF(OR(A216="",F216="",C216&lt;&gt;"Kapak"),0,IF(COUNTIFS($F$8:F216,F216,$C$8:C216,"Kapak")=1,1,0))</f>
        <v/>
      </c>
    </row>
    <row r="217" ht="54" customHeight="1">
      <c r="A217" s="29" t="n"/>
      <c r="B217" s="29" t="n"/>
      <c r="C217" s="29" t="n"/>
      <c r="D217" s="29" t="n"/>
      <c r="E217" s="29" t="n"/>
      <c r="F217" s="29" t="n"/>
      <c r="G217" s="29" t="n"/>
      <c r="H217" s="29" t="n"/>
      <c r="I217" s="29" t="n"/>
      <c r="J217" s="29" t="n"/>
      <c r="K217" s="29" t="n"/>
      <c r="L217" s="49" t="n"/>
      <c r="M217" s="49" t="n"/>
      <c r="N217" s="29" t="n"/>
      <c r="O217" s="29" t="n"/>
      <c r="P217" s="29" t="n"/>
      <c r="Q217" s="51" t="n"/>
      <c r="R217" s="29" t="n"/>
      <c r="S217" s="52">
        <f>IF(OR(A217="",F217="",C217&lt;&gt;"Mekân"),0,IF(COUNTIFS($F$8:F217,F217,$C$8:C217,"Mekân")=1,1,0))</f>
        <v/>
      </c>
      <c r="T217" s="52">
        <f>IF(OR(A217="",F217="",C217&lt;&gt;"Kapak"),0,IF(COUNTIFS($F$8:F217,F217,$C$8:C217,"Kapak")=1,1,0))</f>
        <v/>
      </c>
    </row>
    <row r="218" ht="54" customHeight="1">
      <c r="A218" s="29" t="n"/>
      <c r="B218" s="29" t="n"/>
      <c r="C218" s="29" t="n"/>
      <c r="D218" s="29" t="n"/>
      <c r="E218" s="29" t="n"/>
      <c r="F218" s="29" t="n"/>
      <c r="G218" s="29" t="n"/>
      <c r="H218" s="29" t="n"/>
      <c r="I218" s="29" t="n"/>
      <c r="J218" s="29" t="n"/>
      <c r="K218" s="29" t="n"/>
      <c r="L218" s="49" t="n"/>
      <c r="M218" s="49" t="n"/>
      <c r="N218" s="29" t="n"/>
      <c r="O218" s="29" t="n"/>
      <c r="P218" s="29" t="n"/>
      <c r="Q218" s="51" t="n"/>
      <c r="R218" s="29" t="n"/>
      <c r="S218" s="52">
        <f>IF(OR(A218="",F218="",C218&lt;&gt;"Mekân"),0,IF(COUNTIFS($F$8:F218,F218,$C$8:C218,"Mekân")=1,1,0))</f>
        <v/>
      </c>
      <c r="T218" s="52">
        <f>IF(OR(A218="",F218="",C218&lt;&gt;"Kapak"),0,IF(COUNTIFS($F$8:F218,F218,$C$8:C218,"Kapak")=1,1,0))</f>
        <v/>
      </c>
    </row>
    <row r="219" ht="54" customHeight="1">
      <c r="A219" s="29" t="n"/>
      <c r="B219" s="29" t="n"/>
      <c r="C219" s="29" t="n"/>
      <c r="D219" s="29" t="n"/>
      <c r="E219" s="29" t="n"/>
      <c r="F219" s="29" t="n"/>
      <c r="G219" s="29" t="n"/>
      <c r="H219" s="29" t="n"/>
      <c r="I219" s="29" t="n"/>
      <c r="J219" s="29" t="n"/>
      <c r="K219" s="29" t="n"/>
      <c r="L219" s="49" t="n"/>
      <c r="M219" s="49" t="n"/>
      <c r="N219" s="29" t="n"/>
      <c r="O219" s="29" t="n"/>
      <c r="P219" s="29" t="n"/>
      <c r="Q219" s="51" t="n"/>
      <c r="R219" s="29" t="n"/>
      <c r="S219" s="52">
        <f>IF(OR(A219="",F219="",C219&lt;&gt;"Mekân"),0,IF(COUNTIFS($F$8:F219,F219,$C$8:C219,"Mekân")=1,1,0))</f>
        <v/>
      </c>
      <c r="T219" s="52">
        <f>IF(OR(A219="",F219="",C219&lt;&gt;"Kapak"),0,IF(COUNTIFS($F$8:F219,F219,$C$8:C219,"Kapak")=1,1,0))</f>
        <v/>
      </c>
    </row>
    <row r="220" ht="54" customHeight="1">
      <c r="A220" s="29" t="n"/>
      <c r="B220" s="29" t="n"/>
      <c r="C220" s="29" t="n"/>
      <c r="D220" s="29" t="n"/>
      <c r="E220" s="29" t="n"/>
      <c r="F220" s="29" t="n"/>
      <c r="G220" s="29" t="n"/>
      <c r="H220" s="29" t="n"/>
      <c r="I220" s="29" t="n"/>
      <c r="J220" s="29" t="n"/>
      <c r="K220" s="29" t="n"/>
      <c r="L220" s="49" t="n"/>
      <c r="M220" s="49" t="n"/>
      <c r="N220" s="29" t="n"/>
      <c r="O220" s="29" t="n"/>
      <c r="P220" s="29" t="n"/>
      <c r="Q220" s="51" t="n"/>
      <c r="R220" s="29" t="n"/>
      <c r="S220" s="52">
        <f>IF(OR(A220="",F220="",C220&lt;&gt;"Mekân"),0,IF(COUNTIFS($F$8:F220,F220,$C$8:C220,"Mekân")=1,1,0))</f>
        <v/>
      </c>
      <c r="T220" s="52">
        <f>IF(OR(A220="",F220="",C220&lt;&gt;"Kapak"),0,IF(COUNTIFS($F$8:F220,F220,$C$8:C220,"Kapak")=1,1,0))</f>
        <v/>
      </c>
    </row>
    <row r="221" ht="54" customHeight="1">
      <c r="A221" s="29" t="n"/>
      <c r="B221" s="29" t="n"/>
      <c r="C221" s="29" t="n"/>
      <c r="D221" s="29" t="n"/>
      <c r="E221" s="29" t="n"/>
      <c r="F221" s="29" t="n"/>
      <c r="G221" s="29" t="n"/>
      <c r="H221" s="29" t="n"/>
      <c r="I221" s="29" t="n"/>
      <c r="J221" s="29" t="n"/>
      <c r="K221" s="29" t="n"/>
      <c r="L221" s="49" t="n"/>
      <c r="M221" s="49" t="n"/>
      <c r="N221" s="29" t="n"/>
      <c r="O221" s="29" t="n"/>
      <c r="P221" s="29" t="n"/>
      <c r="Q221" s="51" t="n"/>
      <c r="R221" s="29" t="n"/>
      <c r="S221" s="52">
        <f>IF(OR(A221="",F221="",C221&lt;&gt;"Mekân"),0,IF(COUNTIFS($F$8:F221,F221,$C$8:C221,"Mekân")=1,1,0))</f>
        <v/>
      </c>
      <c r="T221" s="52">
        <f>IF(OR(A221="",F221="",C221&lt;&gt;"Kapak"),0,IF(COUNTIFS($F$8:F221,F221,$C$8:C221,"Kapak")=1,1,0))</f>
        <v/>
      </c>
    </row>
    <row r="222" ht="54" customHeight="1">
      <c r="A222" s="29" t="n"/>
      <c r="B222" s="29" t="n"/>
      <c r="C222" s="29" t="n"/>
      <c r="D222" s="29" t="n"/>
      <c r="E222" s="29" t="n"/>
      <c r="F222" s="29" t="n"/>
      <c r="G222" s="29" t="n"/>
      <c r="H222" s="29" t="n"/>
      <c r="I222" s="29" t="n"/>
      <c r="J222" s="29" t="n"/>
      <c r="K222" s="29" t="n"/>
      <c r="L222" s="49" t="n"/>
      <c r="M222" s="49" t="n"/>
      <c r="N222" s="29" t="n"/>
      <c r="O222" s="29" t="n"/>
      <c r="P222" s="29" t="n"/>
      <c r="Q222" s="51" t="n"/>
      <c r="R222" s="29" t="n"/>
      <c r="S222" s="52">
        <f>IF(OR(A222="",F222="",C222&lt;&gt;"Mekân"),0,IF(COUNTIFS($F$8:F222,F222,$C$8:C222,"Mekân")=1,1,0))</f>
        <v/>
      </c>
      <c r="T222" s="52">
        <f>IF(OR(A222="",F222="",C222&lt;&gt;"Kapak"),0,IF(COUNTIFS($F$8:F222,F222,$C$8:C222,"Kapak")=1,1,0))</f>
        <v/>
      </c>
    </row>
    <row r="223" ht="54" customHeight="1">
      <c r="A223" s="29" t="n"/>
      <c r="B223" s="29" t="n"/>
      <c r="C223" s="29" t="n"/>
      <c r="D223" s="29" t="n"/>
      <c r="E223" s="29" t="n"/>
      <c r="F223" s="29" t="n"/>
      <c r="G223" s="29" t="n"/>
      <c r="H223" s="29" t="n"/>
      <c r="I223" s="29" t="n"/>
      <c r="J223" s="29" t="n"/>
      <c r="K223" s="29" t="n"/>
      <c r="L223" s="49" t="n"/>
      <c r="M223" s="49" t="n"/>
      <c r="N223" s="29" t="n"/>
      <c r="O223" s="29" t="n"/>
      <c r="P223" s="29" t="n"/>
      <c r="Q223" s="51" t="n"/>
      <c r="R223" s="29" t="n"/>
      <c r="S223" s="52">
        <f>IF(OR(A223="",F223="",C223&lt;&gt;"Mekân"),0,IF(COUNTIFS($F$8:F223,F223,$C$8:C223,"Mekân")=1,1,0))</f>
        <v/>
      </c>
      <c r="T223" s="52">
        <f>IF(OR(A223="",F223="",C223&lt;&gt;"Kapak"),0,IF(COUNTIFS($F$8:F223,F223,$C$8:C223,"Kapak")=1,1,0))</f>
        <v/>
      </c>
    </row>
    <row r="224" ht="54" customHeight="1">
      <c r="A224" s="29" t="n"/>
      <c r="B224" s="29" t="n"/>
      <c r="C224" s="29" t="n"/>
      <c r="D224" s="29" t="n"/>
      <c r="E224" s="29" t="n"/>
      <c r="F224" s="29" t="n"/>
      <c r="G224" s="29" t="n"/>
      <c r="H224" s="29" t="n"/>
      <c r="I224" s="29" t="n"/>
      <c r="J224" s="29" t="n"/>
      <c r="K224" s="29" t="n"/>
      <c r="L224" s="49" t="n"/>
      <c r="M224" s="49" t="n"/>
      <c r="N224" s="29" t="n"/>
      <c r="O224" s="29" t="n"/>
      <c r="P224" s="29" t="n"/>
      <c r="Q224" s="51" t="n"/>
      <c r="R224" s="29" t="n"/>
      <c r="S224" s="52">
        <f>IF(OR(A224="",F224="",C224&lt;&gt;"Mekân"),0,IF(COUNTIFS($F$8:F224,F224,$C$8:C224,"Mekân")=1,1,0))</f>
        <v/>
      </c>
      <c r="T224" s="52">
        <f>IF(OR(A224="",F224="",C224&lt;&gt;"Kapak"),0,IF(COUNTIFS($F$8:F224,F224,$C$8:C224,"Kapak")=1,1,0))</f>
        <v/>
      </c>
    </row>
    <row r="225" ht="54" customHeight="1">
      <c r="A225" s="29" t="n"/>
      <c r="B225" s="29" t="n"/>
      <c r="C225" s="29" t="n"/>
      <c r="D225" s="29" t="n"/>
      <c r="E225" s="29" t="n"/>
      <c r="F225" s="29" t="n"/>
      <c r="G225" s="29" t="n"/>
      <c r="H225" s="29" t="n"/>
      <c r="I225" s="29" t="n"/>
      <c r="J225" s="29" t="n"/>
      <c r="K225" s="29" t="n"/>
      <c r="L225" s="49" t="n"/>
      <c r="M225" s="49" t="n"/>
      <c r="N225" s="29" t="n"/>
      <c r="O225" s="29" t="n"/>
      <c r="P225" s="29" t="n"/>
      <c r="Q225" s="51" t="n"/>
      <c r="R225" s="29" t="n"/>
      <c r="S225" s="52">
        <f>IF(OR(A225="",F225="",C225&lt;&gt;"Mekân"),0,IF(COUNTIFS($F$8:F225,F225,$C$8:C225,"Mekân")=1,1,0))</f>
        <v/>
      </c>
      <c r="T225" s="52">
        <f>IF(OR(A225="",F225="",C225&lt;&gt;"Kapak"),0,IF(COUNTIFS($F$8:F225,F225,$C$8:C225,"Kapak")=1,1,0))</f>
        <v/>
      </c>
    </row>
    <row r="226" ht="54" customHeight="1">
      <c r="A226" s="29" t="n"/>
      <c r="B226" s="29" t="n"/>
      <c r="C226" s="29" t="n"/>
      <c r="D226" s="29" t="n"/>
      <c r="E226" s="29" t="n"/>
      <c r="F226" s="29" t="n"/>
      <c r="G226" s="29" t="n"/>
      <c r="H226" s="29" t="n"/>
      <c r="I226" s="29" t="n"/>
      <c r="J226" s="29" t="n"/>
      <c r="K226" s="29" t="n"/>
      <c r="L226" s="49" t="n"/>
      <c r="M226" s="49" t="n"/>
      <c r="N226" s="29" t="n"/>
      <c r="O226" s="29" t="n"/>
      <c r="P226" s="29" t="n"/>
      <c r="Q226" s="51" t="n"/>
      <c r="R226" s="29" t="n"/>
      <c r="S226" s="52">
        <f>IF(OR(A226="",F226="",C226&lt;&gt;"Mekân"),0,IF(COUNTIFS($F$8:F226,F226,$C$8:C226,"Mekân")=1,1,0))</f>
        <v/>
      </c>
      <c r="T226" s="52">
        <f>IF(OR(A226="",F226="",C226&lt;&gt;"Kapak"),0,IF(COUNTIFS($F$8:F226,F226,$C$8:C226,"Kapak")=1,1,0))</f>
        <v/>
      </c>
    </row>
    <row r="227" ht="54" customHeight="1">
      <c r="A227" s="29" t="n"/>
      <c r="B227" s="29" t="n"/>
      <c r="C227" s="29" t="n"/>
      <c r="D227" s="29" t="n"/>
      <c r="E227" s="29" t="n"/>
      <c r="F227" s="29" t="n"/>
      <c r="G227" s="29" t="n"/>
      <c r="H227" s="29" t="n"/>
      <c r="I227" s="29" t="n"/>
      <c r="J227" s="29" t="n"/>
      <c r="K227" s="29" t="n"/>
      <c r="L227" s="49" t="n"/>
      <c r="M227" s="49" t="n"/>
      <c r="N227" s="29" t="n"/>
      <c r="O227" s="29" t="n"/>
      <c r="P227" s="29" t="n"/>
      <c r="Q227" s="51" t="n"/>
      <c r="R227" s="29" t="n"/>
      <c r="S227" s="52">
        <f>IF(OR(A227="",F227="",C227&lt;&gt;"Mekân"),0,IF(COUNTIFS($F$8:F227,F227,$C$8:C227,"Mekân")=1,1,0))</f>
        <v/>
      </c>
      <c r="T227" s="52">
        <f>IF(OR(A227="",F227="",C227&lt;&gt;"Kapak"),0,IF(COUNTIFS($F$8:F227,F227,$C$8:C227,"Kapak")=1,1,0))</f>
        <v/>
      </c>
    </row>
    <row r="228" ht="54" customHeight="1">
      <c r="A228" s="29" t="n"/>
      <c r="B228" s="29" t="n"/>
      <c r="C228" s="29" t="n"/>
      <c r="D228" s="29" t="n"/>
      <c r="E228" s="29" t="n"/>
      <c r="F228" s="29" t="n"/>
      <c r="G228" s="29" t="n"/>
      <c r="H228" s="29" t="n"/>
      <c r="I228" s="29" t="n"/>
      <c r="J228" s="29" t="n"/>
      <c r="K228" s="29" t="n"/>
      <c r="L228" s="49" t="n"/>
      <c r="M228" s="49" t="n"/>
      <c r="N228" s="29" t="n"/>
      <c r="O228" s="29" t="n"/>
      <c r="P228" s="29" t="n"/>
      <c r="Q228" s="51" t="n"/>
      <c r="R228" s="29" t="n"/>
      <c r="S228" s="52">
        <f>IF(OR(A228="",F228="",C228&lt;&gt;"Mekân"),0,IF(COUNTIFS($F$8:F228,F228,$C$8:C228,"Mekân")=1,1,0))</f>
        <v/>
      </c>
      <c r="T228" s="52">
        <f>IF(OR(A228="",F228="",C228&lt;&gt;"Kapak"),0,IF(COUNTIFS($F$8:F228,F228,$C$8:C228,"Kapak")=1,1,0))</f>
        <v/>
      </c>
    </row>
    <row r="229" ht="54" customHeight="1">
      <c r="A229" s="29" t="n"/>
      <c r="B229" s="29" t="n"/>
      <c r="C229" s="29" t="n"/>
      <c r="D229" s="29" t="n"/>
      <c r="E229" s="29" t="n"/>
      <c r="F229" s="29" t="n"/>
      <c r="G229" s="29" t="n"/>
      <c r="H229" s="29" t="n"/>
      <c r="I229" s="29" t="n"/>
      <c r="J229" s="29" t="n"/>
      <c r="K229" s="29" t="n"/>
      <c r="L229" s="49" t="n"/>
      <c r="M229" s="49" t="n"/>
      <c r="N229" s="29" t="n"/>
      <c r="O229" s="29" t="n"/>
      <c r="P229" s="29" t="n"/>
      <c r="Q229" s="51" t="n"/>
      <c r="R229" s="29" t="n"/>
      <c r="S229" s="52">
        <f>IF(OR(A229="",F229="",C229&lt;&gt;"Mekân"),0,IF(COUNTIFS($F$8:F229,F229,$C$8:C229,"Mekân")=1,1,0))</f>
        <v/>
      </c>
      <c r="T229" s="52">
        <f>IF(OR(A229="",F229="",C229&lt;&gt;"Kapak"),0,IF(COUNTIFS($F$8:F229,F229,$C$8:C229,"Kapak")=1,1,0))</f>
        <v/>
      </c>
    </row>
    <row r="230" ht="54" customHeight="1">
      <c r="A230" s="29" t="n"/>
      <c r="B230" s="29" t="n"/>
      <c r="C230" s="29" t="n"/>
      <c r="D230" s="29" t="n"/>
      <c r="E230" s="29" t="n"/>
      <c r="F230" s="29" t="n"/>
      <c r="G230" s="29" t="n"/>
      <c r="H230" s="29" t="n"/>
      <c r="I230" s="29" t="n"/>
      <c r="J230" s="29" t="n"/>
      <c r="K230" s="29" t="n"/>
      <c r="L230" s="49" t="n"/>
      <c r="M230" s="49" t="n"/>
      <c r="N230" s="29" t="n"/>
      <c r="O230" s="29" t="n"/>
      <c r="P230" s="29" t="n"/>
      <c r="Q230" s="51" t="n"/>
      <c r="R230" s="29" t="n"/>
      <c r="S230" s="52">
        <f>IF(OR(A230="",F230="",C230&lt;&gt;"Mekân"),0,IF(COUNTIFS($F$8:F230,F230,$C$8:C230,"Mekân")=1,1,0))</f>
        <v/>
      </c>
      <c r="T230" s="52">
        <f>IF(OR(A230="",F230="",C230&lt;&gt;"Kapak"),0,IF(COUNTIFS($F$8:F230,F230,$C$8:C230,"Kapak")=1,1,0))</f>
        <v/>
      </c>
    </row>
    <row r="231" ht="54" customHeight="1">
      <c r="A231" s="29" t="n"/>
      <c r="B231" s="29" t="n"/>
      <c r="C231" s="29" t="n"/>
      <c r="D231" s="29" t="n"/>
      <c r="E231" s="29" t="n"/>
      <c r="F231" s="29" t="n"/>
      <c r="G231" s="29" t="n"/>
      <c r="H231" s="29" t="n"/>
      <c r="I231" s="29" t="n"/>
      <c r="J231" s="29" t="n"/>
      <c r="K231" s="29" t="n"/>
      <c r="L231" s="49" t="n"/>
      <c r="M231" s="49" t="n"/>
      <c r="N231" s="29" t="n"/>
      <c r="O231" s="29" t="n"/>
      <c r="P231" s="29" t="n"/>
      <c r="Q231" s="51" t="n"/>
      <c r="R231" s="29" t="n"/>
      <c r="S231" s="52">
        <f>IF(OR(A231="",F231="",C231&lt;&gt;"Mekân"),0,IF(COUNTIFS($F$8:F231,F231,$C$8:C231,"Mekân")=1,1,0))</f>
        <v/>
      </c>
      <c r="T231" s="52">
        <f>IF(OR(A231="",F231="",C231&lt;&gt;"Kapak"),0,IF(COUNTIFS($F$8:F231,F231,$C$8:C231,"Kapak")=1,1,0))</f>
        <v/>
      </c>
    </row>
    <row r="232" ht="54" customHeight="1">
      <c r="A232" s="29" t="n"/>
      <c r="B232" s="29" t="n"/>
      <c r="C232" s="29" t="n"/>
      <c r="D232" s="29" t="n"/>
      <c r="E232" s="29" t="n"/>
      <c r="F232" s="29" t="n"/>
      <c r="G232" s="29" t="n"/>
      <c r="H232" s="29" t="n"/>
      <c r="I232" s="29" t="n"/>
      <c r="J232" s="29" t="n"/>
      <c r="K232" s="29" t="n"/>
      <c r="L232" s="49" t="n"/>
      <c r="M232" s="49" t="n"/>
      <c r="N232" s="29" t="n"/>
      <c r="O232" s="29" t="n"/>
      <c r="P232" s="29" t="n"/>
      <c r="Q232" s="51" t="n"/>
      <c r="R232" s="29" t="n"/>
      <c r="S232" s="52">
        <f>IF(OR(A232="",F232="",C232&lt;&gt;"Mekân"),0,IF(COUNTIFS($F$8:F232,F232,$C$8:C232,"Mekân")=1,1,0))</f>
        <v/>
      </c>
      <c r="T232" s="52">
        <f>IF(OR(A232="",F232="",C232&lt;&gt;"Kapak"),0,IF(COUNTIFS($F$8:F232,F232,$C$8:C232,"Kapak")=1,1,0))</f>
        <v/>
      </c>
    </row>
    <row r="233" ht="54" customHeight="1">
      <c r="A233" s="29" t="n"/>
      <c r="B233" s="29" t="n"/>
      <c r="C233" s="29" t="n"/>
      <c r="D233" s="29" t="n"/>
      <c r="E233" s="29" t="n"/>
      <c r="F233" s="29" t="n"/>
      <c r="G233" s="29" t="n"/>
      <c r="H233" s="29" t="n"/>
      <c r="I233" s="29" t="n"/>
      <c r="J233" s="29" t="n"/>
      <c r="K233" s="29" t="n"/>
      <c r="L233" s="49" t="n"/>
      <c r="M233" s="49" t="n"/>
      <c r="N233" s="29" t="n"/>
      <c r="O233" s="29" t="n"/>
      <c r="P233" s="29" t="n"/>
      <c r="Q233" s="51" t="n"/>
      <c r="R233" s="29" t="n"/>
      <c r="S233" s="52">
        <f>IF(OR(A233="",F233="",C233&lt;&gt;"Mekân"),0,IF(COUNTIFS($F$8:F233,F233,$C$8:C233,"Mekân")=1,1,0))</f>
        <v/>
      </c>
      <c r="T233" s="52">
        <f>IF(OR(A233="",F233="",C233&lt;&gt;"Kapak"),0,IF(COUNTIFS($F$8:F233,F233,$C$8:C233,"Kapak")=1,1,0))</f>
        <v/>
      </c>
    </row>
    <row r="234" ht="54" customHeight="1">
      <c r="A234" s="29" t="n"/>
      <c r="B234" s="29" t="n"/>
      <c r="C234" s="29" t="n"/>
      <c r="D234" s="29" t="n"/>
      <c r="E234" s="29" t="n"/>
      <c r="F234" s="29" t="n"/>
      <c r="G234" s="29" t="n"/>
      <c r="H234" s="29" t="n"/>
      <c r="I234" s="29" t="n"/>
      <c r="J234" s="29" t="n"/>
      <c r="K234" s="29" t="n"/>
      <c r="L234" s="49" t="n"/>
      <c r="M234" s="49" t="n"/>
      <c r="N234" s="29" t="n"/>
      <c r="O234" s="29" t="n"/>
      <c r="P234" s="29" t="n"/>
      <c r="Q234" s="51" t="n"/>
      <c r="R234" s="29" t="n"/>
      <c r="S234" s="52">
        <f>IF(OR(A234="",F234="",C234&lt;&gt;"Mekân"),0,IF(COUNTIFS($F$8:F234,F234,$C$8:C234,"Mekân")=1,1,0))</f>
        <v/>
      </c>
      <c r="T234" s="52">
        <f>IF(OR(A234="",F234="",C234&lt;&gt;"Kapak"),0,IF(COUNTIFS($F$8:F234,F234,$C$8:C234,"Kapak")=1,1,0))</f>
        <v/>
      </c>
    </row>
    <row r="235" ht="54" customHeight="1">
      <c r="A235" s="29" t="n"/>
      <c r="B235" s="29" t="n"/>
      <c r="C235" s="29" t="n"/>
      <c r="D235" s="29" t="n"/>
      <c r="E235" s="29" t="n"/>
      <c r="F235" s="29" t="n"/>
      <c r="G235" s="29" t="n"/>
      <c r="H235" s="29" t="n"/>
      <c r="I235" s="29" t="n"/>
      <c r="J235" s="29" t="n"/>
      <c r="K235" s="29" t="n"/>
      <c r="L235" s="49" t="n"/>
      <c r="M235" s="49" t="n"/>
      <c r="N235" s="29" t="n"/>
      <c r="O235" s="29" t="n"/>
      <c r="P235" s="29" t="n"/>
      <c r="Q235" s="51" t="n"/>
      <c r="R235" s="29" t="n"/>
      <c r="S235" s="52">
        <f>IF(OR(A235="",F235="",C235&lt;&gt;"Mekân"),0,IF(COUNTIFS($F$8:F235,F235,$C$8:C235,"Mekân")=1,1,0))</f>
        <v/>
      </c>
      <c r="T235" s="52">
        <f>IF(OR(A235="",F235="",C235&lt;&gt;"Kapak"),0,IF(COUNTIFS($F$8:F235,F235,$C$8:C235,"Kapak")=1,1,0))</f>
        <v/>
      </c>
    </row>
    <row r="236" ht="54" customHeight="1">
      <c r="A236" s="29" t="n"/>
      <c r="B236" s="29" t="n"/>
      <c r="C236" s="29" t="n"/>
      <c r="D236" s="29" t="n"/>
      <c r="E236" s="29" t="n"/>
      <c r="F236" s="29" t="n"/>
      <c r="G236" s="29" t="n"/>
      <c r="H236" s="29" t="n"/>
      <c r="I236" s="29" t="n"/>
      <c r="J236" s="29" t="n"/>
      <c r="K236" s="29" t="n"/>
      <c r="L236" s="49" t="n"/>
      <c r="M236" s="49" t="n"/>
      <c r="N236" s="29" t="n"/>
      <c r="O236" s="29" t="n"/>
      <c r="P236" s="29" t="n"/>
      <c r="Q236" s="51" t="n"/>
      <c r="R236" s="29" t="n"/>
      <c r="S236" s="52">
        <f>IF(OR(A236="",F236="",C236&lt;&gt;"Mekân"),0,IF(COUNTIFS($F$8:F236,F236,$C$8:C236,"Mekân")=1,1,0))</f>
        <v/>
      </c>
      <c r="T236" s="52">
        <f>IF(OR(A236="",F236="",C236&lt;&gt;"Kapak"),0,IF(COUNTIFS($F$8:F236,F236,$C$8:C236,"Kapak")=1,1,0))</f>
        <v/>
      </c>
    </row>
    <row r="237" ht="54" customHeight="1">
      <c r="A237" s="29" t="n"/>
      <c r="B237" s="29" t="n"/>
      <c r="C237" s="29" t="n"/>
      <c r="D237" s="29" t="n"/>
      <c r="E237" s="29" t="n"/>
      <c r="F237" s="29" t="n"/>
      <c r="G237" s="29" t="n"/>
      <c r="H237" s="29" t="n"/>
      <c r="I237" s="29" t="n"/>
      <c r="J237" s="29" t="n"/>
      <c r="K237" s="29" t="n"/>
      <c r="L237" s="49" t="n"/>
      <c r="M237" s="49" t="n"/>
      <c r="N237" s="29" t="n"/>
      <c r="O237" s="29" t="n"/>
      <c r="P237" s="29" t="n"/>
      <c r="Q237" s="51" t="n"/>
      <c r="R237" s="29" t="n"/>
      <c r="S237" s="52">
        <f>IF(OR(A237="",F237="",C237&lt;&gt;"Mekân"),0,IF(COUNTIFS($F$8:F237,F237,$C$8:C237,"Mekân")=1,1,0))</f>
        <v/>
      </c>
      <c r="T237" s="52">
        <f>IF(OR(A237="",F237="",C237&lt;&gt;"Kapak"),0,IF(COUNTIFS($F$8:F237,F237,$C$8:C237,"Kapak")=1,1,0))</f>
        <v/>
      </c>
    </row>
    <row r="238" ht="54" customHeight="1">
      <c r="A238" s="29" t="n"/>
      <c r="B238" s="29" t="n"/>
      <c r="C238" s="29" t="n"/>
      <c r="D238" s="29" t="n"/>
      <c r="E238" s="29" t="n"/>
      <c r="F238" s="29" t="n"/>
      <c r="G238" s="29" t="n"/>
      <c r="H238" s="29" t="n"/>
      <c r="I238" s="29" t="n"/>
      <c r="J238" s="29" t="n"/>
      <c r="K238" s="29" t="n"/>
      <c r="L238" s="49" t="n"/>
      <c r="M238" s="49" t="n"/>
      <c r="N238" s="29" t="n"/>
      <c r="O238" s="29" t="n"/>
      <c r="P238" s="29" t="n"/>
      <c r="Q238" s="51" t="n"/>
      <c r="R238" s="29" t="n"/>
      <c r="S238" s="52">
        <f>IF(OR(A238="",F238="",C238&lt;&gt;"Mekân"),0,IF(COUNTIFS($F$8:F238,F238,$C$8:C238,"Mekân")=1,1,0))</f>
        <v/>
      </c>
      <c r="T238" s="52">
        <f>IF(OR(A238="",F238="",C238&lt;&gt;"Kapak"),0,IF(COUNTIFS($F$8:F238,F238,$C$8:C238,"Kapak")=1,1,0))</f>
        <v/>
      </c>
    </row>
    <row r="239" ht="54" customHeight="1">
      <c r="A239" s="29" t="n"/>
      <c r="B239" s="29" t="n"/>
      <c r="C239" s="29" t="n"/>
      <c r="D239" s="29" t="n"/>
      <c r="E239" s="29" t="n"/>
      <c r="F239" s="29" t="n"/>
      <c r="G239" s="29" t="n"/>
      <c r="H239" s="29" t="n"/>
      <c r="I239" s="29" t="n"/>
      <c r="J239" s="29" t="n"/>
      <c r="K239" s="29" t="n"/>
      <c r="L239" s="49" t="n"/>
      <c r="M239" s="49" t="n"/>
      <c r="N239" s="29" t="n"/>
      <c r="O239" s="29" t="n"/>
      <c r="P239" s="29" t="n"/>
      <c r="Q239" s="51" t="n"/>
      <c r="R239" s="29" t="n"/>
      <c r="S239" s="52">
        <f>IF(OR(A239="",F239="",C239&lt;&gt;"Mekân"),0,IF(COUNTIFS($F$8:F239,F239,$C$8:C239,"Mekân")=1,1,0))</f>
        <v/>
      </c>
      <c r="T239" s="52">
        <f>IF(OR(A239="",F239="",C239&lt;&gt;"Kapak"),0,IF(COUNTIFS($F$8:F239,F239,$C$8:C239,"Kapak")=1,1,0))</f>
        <v/>
      </c>
    </row>
    <row r="240" ht="54" customHeight="1">
      <c r="A240" s="29" t="n"/>
      <c r="B240" s="29" t="n"/>
      <c r="C240" s="29" t="n"/>
      <c r="D240" s="29" t="n"/>
      <c r="E240" s="29" t="n"/>
      <c r="F240" s="29" t="n"/>
      <c r="G240" s="29" t="n"/>
      <c r="H240" s="29" t="n"/>
      <c r="I240" s="29" t="n"/>
      <c r="J240" s="29" t="n"/>
      <c r="K240" s="29" t="n"/>
      <c r="L240" s="49" t="n"/>
      <c r="M240" s="49" t="n"/>
      <c r="N240" s="29" t="n"/>
      <c r="O240" s="29" t="n"/>
      <c r="P240" s="29" t="n"/>
      <c r="Q240" s="51" t="n"/>
      <c r="R240" s="29" t="n"/>
      <c r="S240" s="52">
        <f>IF(OR(A240="",F240="",C240&lt;&gt;"Mekân"),0,IF(COUNTIFS($F$8:F240,F240,$C$8:C240,"Mekân")=1,1,0))</f>
        <v/>
      </c>
      <c r="T240" s="52">
        <f>IF(OR(A240="",F240="",C240&lt;&gt;"Kapak"),0,IF(COUNTIFS($F$8:F240,F240,$C$8:C240,"Kapak")=1,1,0))</f>
        <v/>
      </c>
    </row>
    <row r="241" ht="54" customHeight="1">
      <c r="A241" s="29" t="n"/>
      <c r="B241" s="29" t="n"/>
      <c r="C241" s="29" t="n"/>
      <c r="D241" s="29" t="n"/>
      <c r="E241" s="29" t="n"/>
      <c r="F241" s="29" t="n"/>
      <c r="G241" s="29" t="n"/>
      <c r="H241" s="29" t="n"/>
      <c r="I241" s="29" t="n"/>
      <c r="J241" s="29" t="n"/>
      <c r="K241" s="29" t="n"/>
      <c r="L241" s="49" t="n"/>
      <c r="M241" s="49" t="n"/>
      <c r="N241" s="29" t="n"/>
      <c r="O241" s="29" t="n"/>
      <c r="P241" s="29" t="n"/>
      <c r="Q241" s="51" t="n"/>
      <c r="R241" s="29" t="n"/>
      <c r="S241" s="52">
        <f>IF(OR(A241="",F241="",C241&lt;&gt;"Mekân"),0,IF(COUNTIFS($F$8:F241,F241,$C$8:C241,"Mekân")=1,1,0))</f>
        <v/>
      </c>
      <c r="T241" s="52">
        <f>IF(OR(A241="",F241="",C241&lt;&gt;"Kapak"),0,IF(COUNTIFS($F$8:F241,F241,$C$8:C241,"Kapak")=1,1,0))</f>
        <v/>
      </c>
    </row>
    <row r="242" ht="54" customHeight="1">
      <c r="A242" s="29" t="n"/>
      <c r="B242" s="29" t="n"/>
      <c r="C242" s="29" t="n"/>
      <c r="D242" s="29" t="n"/>
      <c r="E242" s="29" t="n"/>
      <c r="F242" s="29" t="n"/>
      <c r="G242" s="29" t="n"/>
      <c r="H242" s="29" t="n"/>
      <c r="I242" s="29" t="n"/>
      <c r="J242" s="29" t="n"/>
      <c r="K242" s="29" t="n"/>
      <c r="L242" s="49" t="n"/>
      <c r="M242" s="49" t="n"/>
      <c r="N242" s="29" t="n"/>
      <c r="O242" s="29" t="n"/>
      <c r="P242" s="29" t="n"/>
      <c r="Q242" s="51" t="n"/>
      <c r="R242" s="29" t="n"/>
      <c r="S242" s="52">
        <f>IF(OR(A242="",F242="",C242&lt;&gt;"Mekân"),0,IF(COUNTIFS($F$8:F242,F242,$C$8:C242,"Mekân")=1,1,0))</f>
        <v/>
      </c>
      <c r="T242" s="52">
        <f>IF(OR(A242="",F242="",C242&lt;&gt;"Kapak"),0,IF(COUNTIFS($F$8:F242,F242,$C$8:C242,"Kapak")=1,1,0))</f>
        <v/>
      </c>
    </row>
    <row r="243" ht="54" customHeight="1">
      <c r="A243" s="29" t="n"/>
      <c r="B243" s="29" t="n"/>
      <c r="C243" s="29" t="n"/>
      <c r="D243" s="29" t="n"/>
      <c r="E243" s="29" t="n"/>
      <c r="F243" s="29" t="n"/>
      <c r="G243" s="29" t="n"/>
      <c r="H243" s="29" t="n"/>
      <c r="I243" s="29" t="n"/>
      <c r="J243" s="29" t="n"/>
      <c r="K243" s="29" t="n"/>
      <c r="L243" s="49" t="n"/>
      <c r="M243" s="49" t="n"/>
      <c r="N243" s="29" t="n"/>
      <c r="O243" s="29" t="n"/>
      <c r="P243" s="29" t="n"/>
      <c r="Q243" s="51" t="n"/>
      <c r="R243" s="29" t="n"/>
      <c r="S243" s="52">
        <f>IF(OR(A243="",F243="",C243&lt;&gt;"Mekân"),0,IF(COUNTIFS($F$8:F243,F243,$C$8:C243,"Mekân")=1,1,0))</f>
        <v/>
      </c>
      <c r="T243" s="52">
        <f>IF(OR(A243="",F243="",C243&lt;&gt;"Kapak"),0,IF(COUNTIFS($F$8:F243,F243,$C$8:C243,"Kapak")=1,1,0))</f>
        <v/>
      </c>
    </row>
    <row r="244" ht="54" customHeight="1">
      <c r="A244" s="29" t="n"/>
      <c r="B244" s="29" t="n"/>
      <c r="C244" s="29" t="n"/>
      <c r="D244" s="29" t="n"/>
      <c r="E244" s="29" t="n"/>
      <c r="F244" s="29" t="n"/>
      <c r="G244" s="29" t="n"/>
      <c r="H244" s="29" t="n"/>
      <c r="I244" s="29" t="n"/>
      <c r="J244" s="29" t="n"/>
      <c r="K244" s="29" t="n"/>
      <c r="L244" s="49" t="n"/>
      <c r="M244" s="49" t="n"/>
      <c r="N244" s="29" t="n"/>
      <c r="O244" s="29" t="n"/>
      <c r="P244" s="29" t="n"/>
      <c r="Q244" s="51" t="n"/>
      <c r="R244" s="29" t="n"/>
      <c r="S244" s="52">
        <f>IF(OR(A244="",F244="",C244&lt;&gt;"Mekân"),0,IF(COUNTIFS($F$8:F244,F244,$C$8:C244,"Mekân")=1,1,0))</f>
        <v/>
      </c>
      <c r="T244" s="52">
        <f>IF(OR(A244="",F244="",C244&lt;&gt;"Kapak"),0,IF(COUNTIFS($F$8:F244,F244,$C$8:C244,"Kapak")=1,1,0))</f>
        <v/>
      </c>
    </row>
    <row r="245" ht="54" customHeight="1">
      <c r="A245" s="29" t="n"/>
      <c r="B245" s="29" t="n"/>
      <c r="C245" s="29" t="n"/>
      <c r="D245" s="29" t="n"/>
      <c r="E245" s="29" t="n"/>
      <c r="F245" s="29" t="n"/>
      <c r="G245" s="29" t="n"/>
      <c r="H245" s="29" t="n"/>
      <c r="I245" s="29" t="n"/>
      <c r="J245" s="29" t="n"/>
      <c r="K245" s="29" t="n"/>
      <c r="L245" s="49" t="n"/>
      <c r="M245" s="49" t="n"/>
      <c r="N245" s="29" t="n"/>
      <c r="O245" s="29" t="n"/>
      <c r="P245" s="29" t="n"/>
      <c r="Q245" s="51" t="n"/>
      <c r="R245" s="29" t="n"/>
      <c r="S245" s="52">
        <f>IF(OR(A245="",F245="",C245&lt;&gt;"Mekân"),0,IF(COUNTIFS($F$8:F245,F245,$C$8:C245,"Mekân")=1,1,0))</f>
        <v/>
      </c>
      <c r="T245" s="52">
        <f>IF(OR(A245="",F245="",C245&lt;&gt;"Kapak"),0,IF(COUNTIFS($F$8:F245,F245,$C$8:C245,"Kapak")=1,1,0))</f>
        <v/>
      </c>
    </row>
    <row r="246" ht="54" customHeight="1">
      <c r="A246" s="29" t="n"/>
      <c r="B246" s="29" t="n"/>
      <c r="C246" s="29" t="n"/>
      <c r="D246" s="29" t="n"/>
      <c r="E246" s="29" t="n"/>
      <c r="F246" s="29" t="n"/>
      <c r="G246" s="29" t="n"/>
      <c r="H246" s="29" t="n"/>
      <c r="I246" s="29" t="n"/>
      <c r="J246" s="29" t="n"/>
      <c r="K246" s="29" t="n"/>
      <c r="L246" s="49" t="n"/>
      <c r="M246" s="49" t="n"/>
      <c r="N246" s="29" t="n"/>
      <c r="O246" s="29" t="n"/>
      <c r="P246" s="29" t="n"/>
      <c r="Q246" s="51" t="n"/>
      <c r="R246" s="29" t="n"/>
      <c r="S246" s="52">
        <f>IF(OR(A246="",F246="",C246&lt;&gt;"Mekân"),0,IF(COUNTIFS($F$8:F246,F246,$C$8:C246,"Mekân")=1,1,0))</f>
        <v/>
      </c>
      <c r="T246" s="52">
        <f>IF(OR(A246="",F246="",C246&lt;&gt;"Kapak"),0,IF(COUNTIFS($F$8:F246,F246,$C$8:C246,"Kapak")=1,1,0))</f>
        <v/>
      </c>
    </row>
    <row r="247" ht="54" customHeight="1">
      <c r="A247" s="29" t="n"/>
      <c r="B247" s="29" t="n"/>
      <c r="C247" s="29" t="n"/>
      <c r="D247" s="29" t="n"/>
      <c r="E247" s="29" t="n"/>
      <c r="F247" s="29" t="n"/>
      <c r="G247" s="29" t="n"/>
      <c r="H247" s="29" t="n"/>
      <c r="I247" s="29" t="n"/>
      <c r="J247" s="29" t="n"/>
      <c r="K247" s="29" t="n"/>
      <c r="L247" s="49" t="n"/>
      <c r="M247" s="49" t="n"/>
      <c r="N247" s="29" t="n"/>
      <c r="O247" s="29" t="n"/>
      <c r="P247" s="29" t="n"/>
      <c r="Q247" s="51" t="n"/>
      <c r="R247" s="29" t="n"/>
      <c r="S247" s="52">
        <f>IF(OR(A247="",F247="",C247&lt;&gt;"Mekân"),0,IF(COUNTIFS($F$8:F247,F247,$C$8:C247,"Mekân")=1,1,0))</f>
        <v/>
      </c>
      <c r="T247" s="52">
        <f>IF(OR(A247="",F247="",C247&lt;&gt;"Kapak"),0,IF(COUNTIFS($F$8:F247,F247,$C$8:C247,"Kapak")=1,1,0))</f>
        <v/>
      </c>
    </row>
    <row r="248" ht="54" customHeight="1">
      <c r="A248" s="29" t="n"/>
      <c r="B248" s="29" t="n"/>
      <c r="C248" s="29" t="n"/>
      <c r="D248" s="29" t="n"/>
      <c r="E248" s="29" t="n"/>
      <c r="F248" s="29" t="n"/>
      <c r="G248" s="29" t="n"/>
      <c r="H248" s="29" t="n"/>
      <c r="I248" s="29" t="n"/>
      <c r="J248" s="29" t="n"/>
      <c r="K248" s="29" t="n"/>
      <c r="L248" s="49" t="n"/>
      <c r="M248" s="49" t="n"/>
      <c r="N248" s="29" t="n"/>
      <c r="O248" s="29" t="n"/>
      <c r="P248" s="29" t="n"/>
      <c r="Q248" s="51" t="n"/>
      <c r="R248" s="29" t="n"/>
      <c r="S248" s="52">
        <f>IF(OR(A248="",F248="",C248&lt;&gt;"Mekân"),0,IF(COUNTIFS($F$8:F248,F248,$C$8:C248,"Mekân")=1,1,0))</f>
        <v/>
      </c>
      <c r="T248" s="52">
        <f>IF(OR(A248="",F248="",C248&lt;&gt;"Kapak"),0,IF(COUNTIFS($F$8:F248,F248,$C$8:C248,"Kapak")=1,1,0))</f>
        <v/>
      </c>
    </row>
    <row r="249" ht="54" customHeight="1">
      <c r="A249" s="29" t="n"/>
      <c r="B249" s="29" t="n"/>
      <c r="C249" s="29" t="n"/>
      <c r="D249" s="29" t="n"/>
      <c r="E249" s="29" t="n"/>
      <c r="F249" s="29" t="n"/>
      <c r="G249" s="29" t="n"/>
      <c r="H249" s="29" t="n"/>
      <c r="I249" s="29" t="n"/>
      <c r="J249" s="29" t="n"/>
      <c r="K249" s="29" t="n"/>
      <c r="L249" s="49" t="n"/>
      <c r="M249" s="49" t="n"/>
      <c r="N249" s="29" t="n"/>
      <c r="O249" s="29" t="n"/>
      <c r="P249" s="29" t="n"/>
      <c r="Q249" s="51" t="n"/>
      <c r="R249" s="29" t="n"/>
      <c r="S249" s="52">
        <f>IF(OR(A249="",F249="",C249&lt;&gt;"Mekân"),0,IF(COUNTIFS($F$8:F249,F249,$C$8:C249,"Mekân")=1,1,0))</f>
        <v/>
      </c>
      <c r="T249" s="52">
        <f>IF(OR(A249="",F249="",C249&lt;&gt;"Kapak"),0,IF(COUNTIFS($F$8:F249,F249,$C$8:C249,"Kapak")=1,1,0))</f>
        <v/>
      </c>
    </row>
    <row r="250" ht="54" customHeight="1">
      <c r="A250" s="29" t="n"/>
      <c r="B250" s="29" t="n"/>
      <c r="C250" s="29" t="n"/>
      <c r="D250" s="29" t="n"/>
      <c r="E250" s="29" t="n"/>
      <c r="F250" s="29" t="n"/>
      <c r="G250" s="29" t="n"/>
      <c r="H250" s="29" t="n"/>
      <c r="I250" s="29" t="n"/>
      <c r="J250" s="29" t="n"/>
      <c r="K250" s="29" t="n"/>
      <c r="L250" s="49" t="n"/>
      <c r="M250" s="49" t="n"/>
      <c r="N250" s="29" t="n"/>
      <c r="O250" s="29" t="n"/>
      <c r="P250" s="29" t="n"/>
      <c r="Q250" s="51" t="n"/>
      <c r="R250" s="29" t="n"/>
      <c r="S250" s="52">
        <f>IF(OR(A250="",F250="",C250&lt;&gt;"Mekân"),0,IF(COUNTIFS($F$8:F250,F250,$C$8:C250,"Mekân")=1,1,0))</f>
        <v/>
      </c>
      <c r="T250" s="52">
        <f>IF(OR(A250="",F250="",C250&lt;&gt;"Kapak"),0,IF(COUNTIFS($F$8:F250,F250,$C$8:C250,"Kapak")=1,1,0))</f>
        <v/>
      </c>
    </row>
    <row r="251" ht="54" customHeight="1">
      <c r="A251" s="29" t="n"/>
      <c r="B251" s="29" t="n"/>
      <c r="C251" s="29" t="n"/>
      <c r="D251" s="29" t="n"/>
      <c r="E251" s="29" t="n"/>
      <c r="F251" s="29" t="n"/>
      <c r="G251" s="29" t="n"/>
      <c r="H251" s="29" t="n"/>
      <c r="I251" s="29" t="n"/>
      <c r="J251" s="29" t="n"/>
      <c r="K251" s="29" t="n"/>
      <c r="L251" s="49" t="n"/>
      <c r="M251" s="49" t="n"/>
      <c r="N251" s="29" t="n"/>
      <c r="O251" s="29" t="n"/>
      <c r="P251" s="29" t="n"/>
      <c r="Q251" s="51" t="n"/>
      <c r="R251" s="29" t="n"/>
      <c r="S251" s="52">
        <f>IF(OR(A251="",F251="",C251&lt;&gt;"Mekân"),0,IF(COUNTIFS($F$8:F251,F251,$C$8:C251,"Mekân")=1,1,0))</f>
        <v/>
      </c>
      <c r="T251" s="52">
        <f>IF(OR(A251="",F251="",C251&lt;&gt;"Kapak"),0,IF(COUNTIFS($F$8:F251,F251,$C$8:C251,"Kapak")=1,1,0))</f>
        <v/>
      </c>
    </row>
    <row r="252" ht="54" customHeight="1">
      <c r="A252" s="29" t="n"/>
      <c r="B252" s="29" t="n"/>
      <c r="C252" s="29" t="n"/>
      <c r="D252" s="29" t="n"/>
      <c r="E252" s="29" t="n"/>
      <c r="F252" s="29" t="n"/>
      <c r="G252" s="29" t="n"/>
      <c r="H252" s="29" t="n"/>
      <c r="I252" s="29" t="n"/>
      <c r="J252" s="29" t="n"/>
      <c r="K252" s="29" t="n"/>
      <c r="L252" s="49" t="n"/>
      <c r="M252" s="49" t="n"/>
      <c r="N252" s="29" t="n"/>
      <c r="O252" s="29" t="n"/>
      <c r="P252" s="29" t="n"/>
      <c r="Q252" s="51" t="n"/>
      <c r="R252" s="29" t="n"/>
      <c r="S252" s="52">
        <f>IF(OR(A252="",F252="",C252&lt;&gt;"Mekân"),0,IF(COUNTIFS($F$8:F252,F252,$C$8:C252,"Mekân")=1,1,0))</f>
        <v/>
      </c>
      <c r="T252" s="52">
        <f>IF(OR(A252="",F252="",C252&lt;&gt;"Kapak"),0,IF(COUNTIFS($F$8:F252,F252,$C$8:C252,"Kapak")=1,1,0))</f>
        <v/>
      </c>
    </row>
    <row r="253" ht="54" customHeight="1">
      <c r="A253" s="29" t="n"/>
      <c r="B253" s="29" t="n"/>
      <c r="C253" s="29" t="n"/>
      <c r="D253" s="29" t="n"/>
      <c r="E253" s="29" t="n"/>
      <c r="F253" s="29" t="n"/>
      <c r="G253" s="29" t="n"/>
      <c r="H253" s="29" t="n"/>
      <c r="I253" s="29" t="n"/>
      <c r="J253" s="29" t="n"/>
      <c r="K253" s="29" t="n"/>
      <c r="L253" s="49" t="n"/>
      <c r="M253" s="49" t="n"/>
      <c r="N253" s="29" t="n"/>
      <c r="O253" s="29" t="n"/>
      <c r="P253" s="29" t="n"/>
      <c r="Q253" s="51" t="n"/>
      <c r="R253" s="29" t="n"/>
      <c r="S253" s="52">
        <f>IF(OR(A253="",F253="",C253&lt;&gt;"Mekân"),0,IF(COUNTIFS($F$8:F253,F253,$C$8:C253,"Mekân")=1,1,0))</f>
        <v/>
      </c>
      <c r="T253" s="52">
        <f>IF(OR(A253="",F253="",C253&lt;&gt;"Kapak"),0,IF(COUNTIFS($F$8:F253,F253,$C$8:C253,"Kapak")=1,1,0))</f>
        <v/>
      </c>
    </row>
    <row r="254" ht="54" customHeight="1">
      <c r="A254" s="29" t="n"/>
      <c r="B254" s="29" t="n"/>
      <c r="C254" s="29" t="n"/>
      <c r="D254" s="29" t="n"/>
      <c r="E254" s="29" t="n"/>
      <c r="F254" s="29" t="n"/>
      <c r="G254" s="29" t="n"/>
      <c r="H254" s="29" t="n"/>
      <c r="I254" s="29" t="n"/>
      <c r="J254" s="29" t="n"/>
      <c r="K254" s="29" t="n"/>
      <c r="L254" s="49" t="n"/>
      <c r="M254" s="49" t="n"/>
      <c r="N254" s="29" t="n"/>
      <c r="O254" s="29" t="n"/>
      <c r="P254" s="29" t="n"/>
      <c r="Q254" s="51" t="n"/>
      <c r="R254" s="29" t="n"/>
      <c r="S254" s="52">
        <f>IF(OR(A254="",F254="",C254&lt;&gt;"Mekân"),0,IF(COUNTIFS($F$8:F254,F254,$C$8:C254,"Mekân")=1,1,0))</f>
        <v/>
      </c>
      <c r="T254" s="52">
        <f>IF(OR(A254="",F254="",C254&lt;&gt;"Kapak"),0,IF(COUNTIFS($F$8:F254,F254,$C$8:C254,"Kapak")=1,1,0))</f>
        <v/>
      </c>
    </row>
    <row r="255" ht="54" customHeight="1">
      <c r="A255" s="29" t="n"/>
      <c r="B255" s="29" t="n"/>
      <c r="C255" s="29" t="n"/>
      <c r="D255" s="29" t="n"/>
      <c r="E255" s="29" t="n"/>
      <c r="F255" s="29" t="n"/>
      <c r="G255" s="29" t="n"/>
      <c r="H255" s="29" t="n"/>
      <c r="I255" s="29" t="n"/>
      <c r="J255" s="29" t="n"/>
      <c r="K255" s="29" t="n"/>
      <c r="L255" s="49" t="n"/>
      <c r="M255" s="49" t="n"/>
      <c r="N255" s="29" t="n"/>
      <c r="O255" s="29" t="n"/>
      <c r="P255" s="29" t="n"/>
      <c r="Q255" s="51" t="n"/>
      <c r="R255" s="29" t="n"/>
      <c r="S255" s="52">
        <f>IF(OR(A255="",F255="",C255&lt;&gt;"Mekân"),0,IF(COUNTIFS($F$8:F255,F255,$C$8:C255,"Mekân")=1,1,0))</f>
        <v/>
      </c>
      <c r="T255" s="52">
        <f>IF(OR(A255="",F255="",C255&lt;&gt;"Kapak"),0,IF(COUNTIFS($F$8:F255,F255,$C$8:C255,"Kapak")=1,1,0))</f>
        <v/>
      </c>
    </row>
    <row r="256" ht="54" customHeight="1">
      <c r="A256" s="29" t="n"/>
      <c r="B256" s="29" t="n"/>
      <c r="C256" s="29" t="n"/>
      <c r="D256" s="29" t="n"/>
      <c r="E256" s="29" t="n"/>
      <c r="F256" s="29" t="n"/>
      <c r="G256" s="29" t="n"/>
      <c r="H256" s="29" t="n"/>
      <c r="I256" s="29" t="n"/>
      <c r="J256" s="29" t="n"/>
      <c r="K256" s="29" t="n"/>
      <c r="L256" s="49" t="n"/>
      <c r="M256" s="49" t="n"/>
      <c r="N256" s="29" t="n"/>
      <c r="O256" s="29" t="n"/>
      <c r="P256" s="29" t="n"/>
      <c r="Q256" s="51" t="n"/>
      <c r="R256" s="29" t="n"/>
      <c r="S256" s="52">
        <f>IF(OR(A256="",F256="",C256&lt;&gt;"Mekân"),0,IF(COUNTIFS($F$8:F256,F256,$C$8:C256,"Mekân")=1,1,0))</f>
        <v/>
      </c>
      <c r="T256" s="52">
        <f>IF(OR(A256="",F256="",C256&lt;&gt;"Kapak"),0,IF(COUNTIFS($F$8:F256,F256,$C$8:C256,"Kapak")=1,1,0))</f>
        <v/>
      </c>
    </row>
    <row r="257" ht="54" customHeight="1">
      <c r="A257" s="29" t="n"/>
      <c r="B257" s="29" t="n"/>
      <c r="C257" s="29" t="n"/>
      <c r="D257" s="29" t="n"/>
      <c r="E257" s="29" t="n"/>
      <c r="F257" s="29" t="n"/>
      <c r="G257" s="29" t="n"/>
      <c r="H257" s="29" t="n"/>
      <c r="I257" s="29" t="n"/>
      <c r="J257" s="29" t="n"/>
      <c r="K257" s="29" t="n"/>
      <c r="L257" s="49" t="n"/>
      <c r="M257" s="49" t="n"/>
      <c r="N257" s="29" t="n"/>
      <c r="O257" s="29" t="n"/>
      <c r="P257" s="29" t="n"/>
      <c r="Q257" s="51" t="n"/>
      <c r="R257" s="29" t="n"/>
      <c r="S257" s="52">
        <f>IF(OR(A257="",F257="",C257&lt;&gt;"Mekân"),0,IF(COUNTIFS($F$8:F257,F257,$C$8:C257,"Mekân")=1,1,0))</f>
        <v/>
      </c>
      <c r="T257" s="52">
        <f>IF(OR(A257="",F257="",C257&lt;&gt;"Kapak"),0,IF(COUNTIFS($F$8:F257,F257,$C$8:C257,"Kapak")=1,1,0))</f>
        <v/>
      </c>
    </row>
    <row r="258" ht="54" customHeight="1">
      <c r="A258" s="29" t="n"/>
      <c r="B258" s="29" t="n"/>
      <c r="C258" s="29" t="n"/>
      <c r="D258" s="29" t="n"/>
      <c r="E258" s="29" t="n"/>
      <c r="F258" s="29" t="n"/>
      <c r="G258" s="29" t="n"/>
      <c r="H258" s="29" t="n"/>
      <c r="I258" s="29" t="n"/>
      <c r="J258" s="29" t="n"/>
      <c r="K258" s="29" t="n"/>
      <c r="L258" s="49" t="n"/>
      <c r="M258" s="49" t="n"/>
      <c r="N258" s="29" t="n"/>
      <c r="O258" s="29" t="n"/>
      <c r="P258" s="29" t="n"/>
      <c r="Q258" s="51" t="n"/>
      <c r="R258" s="29" t="n"/>
      <c r="S258" s="52">
        <f>IF(OR(A258="",F258="",C258&lt;&gt;"Mekân"),0,IF(COUNTIFS($F$8:F258,F258,$C$8:C258,"Mekân")=1,1,0))</f>
        <v/>
      </c>
      <c r="T258" s="52">
        <f>IF(OR(A258="",F258="",C258&lt;&gt;"Kapak"),0,IF(COUNTIFS($F$8:F258,F258,$C$8:C258,"Kapak")=1,1,0))</f>
        <v/>
      </c>
    </row>
    <row r="259" ht="54" customHeight="1">
      <c r="A259" s="29" t="n"/>
      <c r="B259" s="29" t="n"/>
      <c r="C259" s="29" t="n"/>
      <c r="D259" s="29" t="n"/>
      <c r="E259" s="29" t="n"/>
      <c r="F259" s="29" t="n"/>
      <c r="G259" s="29" t="n"/>
      <c r="H259" s="29" t="n"/>
      <c r="I259" s="29" t="n"/>
      <c r="J259" s="29" t="n"/>
      <c r="K259" s="29" t="n"/>
      <c r="L259" s="49" t="n"/>
      <c r="M259" s="49" t="n"/>
      <c r="N259" s="29" t="n"/>
      <c r="O259" s="29" t="n"/>
      <c r="P259" s="29" t="n"/>
      <c r="Q259" s="51" t="n"/>
      <c r="R259" s="29" t="n"/>
      <c r="S259" s="52">
        <f>IF(OR(A259="",F259="",C259&lt;&gt;"Mekân"),0,IF(COUNTIFS($F$8:F259,F259,$C$8:C259,"Mekân")=1,1,0))</f>
        <v/>
      </c>
      <c r="T259" s="52">
        <f>IF(OR(A259="",F259="",C259&lt;&gt;"Kapak"),0,IF(COUNTIFS($F$8:F259,F259,$C$8:C259,"Kapak")=1,1,0))</f>
        <v/>
      </c>
    </row>
    <row r="260" ht="54" customHeight="1">
      <c r="A260" s="29" t="n"/>
      <c r="B260" s="29" t="n"/>
      <c r="C260" s="29" t="n"/>
      <c r="D260" s="29" t="n"/>
      <c r="E260" s="29" t="n"/>
      <c r="F260" s="29" t="n"/>
      <c r="G260" s="29" t="n"/>
      <c r="H260" s="29" t="n"/>
      <c r="I260" s="29" t="n"/>
      <c r="J260" s="29" t="n"/>
      <c r="K260" s="29" t="n"/>
      <c r="L260" s="49" t="n"/>
      <c r="M260" s="49" t="n"/>
      <c r="N260" s="29" t="n"/>
      <c r="O260" s="29" t="n"/>
      <c r="P260" s="29" t="n"/>
      <c r="Q260" s="51" t="n"/>
      <c r="R260" s="29" t="n"/>
      <c r="S260" s="52">
        <f>IF(OR(A260="",F260="",C260&lt;&gt;"Mekân"),0,IF(COUNTIFS($F$8:F260,F260,$C$8:C260,"Mekân")=1,1,0))</f>
        <v/>
      </c>
      <c r="T260" s="52">
        <f>IF(OR(A260="",F260="",C260&lt;&gt;"Kapak"),0,IF(COUNTIFS($F$8:F260,F260,$C$8:C260,"Kapak")=1,1,0))</f>
        <v/>
      </c>
    </row>
    <row r="261" ht="54" customHeight="1">
      <c r="A261" s="29" t="n"/>
      <c r="B261" s="29" t="n"/>
      <c r="C261" s="29" t="n"/>
      <c r="D261" s="29" t="n"/>
      <c r="E261" s="29" t="n"/>
      <c r="F261" s="29" t="n"/>
      <c r="G261" s="29" t="n"/>
      <c r="H261" s="29" t="n"/>
      <c r="I261" s="29" t="n"/>
      <c r="J261" s="29" t="n"/>
      <c r="K261" s="29" t="n"/>
      <c r="L261" s="49" t="n"/>
      <c r="M261" s="49" t="n"/>
      <c r="N261" s="29" t="n"/>
      <c r="O261" s="29" t="n"/>
      <c r="P261" s="29" t="n"/>
      <c r="Q261" s="51" t="n"/>
      <c r="R261" s="29" t="n"/>
      <c r="S261" s="52">
        <f>IF(OR(A261="",F261="",C261&lt;&gt;"Mekân"),0,IF(COUNTIFS($F$8:F261,F261,$C$8:C261,"Mekân")=1,1,0))</f>
        <v/>
      </c>
      <c r="T261" s="52">
        <f>IF(OR(A261="",F261="",C261&lt;&gt;"Kapak"),0,IF(COUNTIFS($F$8:F261,F261,$C$8:C261,"Kapak")=1,1,0))</f>
        <v/>
      </c>
    </row>
    <row r="262" ht="54" customHeight="1">
      <c r="A262" s="29" t="n"/>
      <c r="B262" s="29" t="n"/>
      <c r="C262" s="29" t="n"/>
      <c r="D262" s="29" t="n"/>
      <c r="E262" s="29" t="n"/>
      <c r="F262" s="29" t="n"/>
      <c r="G262" s="29" t="n"/>
      <c r="H262" s="29" t="n"/>
      <c r="I262" s="29" t="n"/>
      <c r="J262" s="29" t="n"/>
      <c r="K262" s="29" t="n"/>
      <c r="L262" s="49" t="n"/>
      <c r="M262" s="49" t="n"/>
      <c r="N262" s="29" t="n"/>
      <c r="O262" s="29" t="n"/>
      <c r="P262" s="29" t="n"/>
      <c r="Q262" s="51" t="n"/>
      <c r="R262" s="29" t="n"/>
      <c r="S262" s="52">
        <f>IF(OR(A262="",F262="",C262&lt;&gt;"Mekân"),0,IF(COUNTIFS($F$8:F262,F262,$C$8:C262,"Mekân")=1,1,0))</f>
        <v/>
      </c>
      <c r="T262" s="52">
        <f>IF(OR(A262="",F262="",C262&lt;&gt;"Kapak"),0,IF(COUNTIFS($F$8:F262,F262,$C$8:C262,"Kapak")=1,1,0))</f>
        <v/>
      </c>
    </row>
    <row r="263" ht="54" customHeight="1">
      <c r="A263" s="29" t="n"/>
      <c r="B263" s="29" t="n"/>
      <c r="C263" s="29" t="n"/>
      <c r="D263" s="29" t="n"/>
      <c r="E263" s="29" t="n"/>
      <c r="F263" s="29" t="n"/>
      <c r="G263" s="29" t="n"/>
      <c r="H263" s="29" t="n"/>
      <c r="I263" s="29" t="n"/>
      <c r="J263" s="29" t="n"/>
      <c r="K263" s="29" t="n"/>
      <c r="L263" s="49" t="n"/>
      <c r="M263" s="49" t="n"/>
      <c r="N263" s="29" t="n"/>
      <c r="O263" s="29" t="n"/>
      <c r="P263" s="29" t="n"/>
      <c r="Q263" s="51" t="n"/>
      <c r="R263" s="29" t="n"/>
      <c r="S263" s="52">
        <f>IF(OR(A263="",F263="",C263&lt;&gt;"Mekân"),0,IF(COUNTIFS($F$8:F263,F263,$C$8:C263,"Mekân")=1,1,0))</f>
        <v/>
      </c>
      <c r="T263" s="52">
        <f>IF(OR(A263="",F263="",C263&lt;&gt;"Kapak"),0,IF(COUNTIFS($F$8:F263,F263,$C$8:C263,"Kapak")=1,1,0))</f>
        <v/>
      </c>
    </row>
    <row r="264" ht="54" customHeight="1">
      <c r="A264" s="29" t="n"/>
      <c r="B264" s="29" t="n"/>
      <c r="C264" s="29" t="n"/>
      <c r="D264" s="29" t="n"/>
      <c r="E264" s="29" t="n"/>
      <c r="F264" s="29" t="n"/>
      <c r="G264" s="29" t="n"/>
      <c r="H264" s="29" t="n"/>
      <c r="I264" s="29" t="n"/>
      <c r="J264" s="29" t="n"/>
      <c r="K264" s="29" t="n"/>
      <c r="L264" s="49" t="n"/>
      <c r="M264" s="49" t="n"/>
      <c r="N264" s="29" t="n"/>
      <c r="O264" s="29" t="n"/>
      <c r="P264" s="29" t="n"/>
      <c r="Q264" s="51" t="n"/>
      <c r="R264" s="29" t="n"/>
      <c r="S264" s="52">
        <f>IF(OR(A264="",F264="",C264&lt;&gt;"Mekân"),0,IF(COUNTIFS($F$8:F264,F264,$C$8:C264,"Mekân")=1,1,0))</f>
        <v/>
      </c>
      <c r="T264" s="52">
        <f>IF(OR(A264="",F264="",C264&lt;&gt;"Kapak"),0,IF(COUNTIFS($F$8:F264,F264,$C$8:C264,"Kapak")=1,1,0))</f>
        <v/>
      </c>
    </row>
    <row r="265" ht="54" customHeight="1">
      <c r="A265" s="29" t="n"/>
      <c r="B265" s="29" t="n"/>
      <c r="C265" s="29" t="n"/>
      <c r="D265" s="29" t="n"/>
      <c r="E265" s="29" t="n"/>
      <c r="F265" s="29" t="n"/>
      <c r="G265" s="29" t="n"/>
      <c r="H265" s="29" t="n"/>
      <c r="I265" s="29" t="n"/>
      <c r="J265" s="29" t="n"/>
      <c r="K265" s="29" t="n"/>
      <c r="L265" s="49" t="n"/>
      <c r="M265" s="49" t="n"/>
      <c r="N265" s="29" t="n"/>
      <c r="O265" s="29" t="n"/>
      <c r="P265" s="29" t="n"/>
      <c r="Q265" s="51" t="n"/>
      <c r="R265" s="29" t="n"/>
      <c r="S265" s="52">
        <f>IF(OR(A265="",F265="",C265&lt;&gt;"Mekân"),0,IF(COUNTIFS($F$8:F265,F265,$C$8:C265,"Mekân")=1,1,0))</f>
        <v/>
      </c>
      <c r="T265" s="52">
        <f>IF(OR(A265="",F265="",C265&lt;&gt;"Kapak"),0,IF(COUNTIFS($F$8:F265,F265,$C$8:C265,"Kapak")=1,1,0))</f>
        <v/>
      </c>
    </row>
    <row r="266" ht="54" customHeight="1">
      <c r="A266" s="29" t="n"/>
      <c r="B266" s="29" t="n"/>
      <c r="C266" s="29" t="n"/>
      <c r="D266" s="29" t="n"/>
      <c r="E266" s="29" t="n"/>
      <c r="F266" s="29" t="n"/>
      <c r="G266" s="29" t="n"/>
      <c r="H266" s="29" t="n"/>
      <c r="I266" s="29" t="n"/>
      <c r="J266" s="29" t="n"/>
      <c r="K266" s="29" t="n"/>
      <c r="L266" s="49" t="n"/>
      <c r="M266" s="49" t="n"/>
      <c r="N266" s="29" t="n"/>
      <c r="O266" s="29" t="n"/>
      <c r="P266" s="29" t="n"/>
      <c r="Q266" s="51" t="n"/>
      <c r="R266" s="29" t="n"/>
      <c r="S266" s="52">
        <f>IF(OR(A266="",F266="",C266&lt;&gt;"Mekân"),0,IF(COUNTIFS($F$8:F266,F266,$C$8:C266,"Mekân")=1,1,0))</f>
        <v/>
      </c>
      <c r="T266" s="52">
        <f>IF(OR(A266="",F266="",C266&lt;&gt;"Kapak"),0,IF(COUNTIFS($F$8:F266,F266,$C$8:C266,"Kapak")=1,1,0))</f>
        <v/>
      </c>
    </row>
    <row r="267" ht="54" customHeight="1">
      <c r="A267" s="29" t="n"/>
      <c r="B267" s="29" t="n"/>
      <c r="C267" s="29" t="n"/>
      <c r="D267" s="29" t="n"/>
      <c r="E267" s="29" t="n"/>
      <c r="F267" s="29" t="n"/>
      <c r="G267" s="29" t="n"/>
      <c r="H267" s="29" t="n"/>
      <c r="I267" s="29" t="n"/>
      <c r="J267" s="29" t="n"/>
      <c r="K267" s="29" t="n"/>
      <c r="L267" s="49" t="n"/>
      <c r="M267" s="49" t="n"/>
      <c r="N267" s="29" t="n"/>
      <c r="O267" s="29" t="n"/>
      <c r="P267" s="29" t="n"/>
      <c r="Q267" s="51" t="n"/>
      <c r="R267" s="29" t="n"/>
      <c r="S267" s="52">
        <f>IF(OR(A267="",F267="",C267&lt;&gt;"Mekân"),0,IF(COUNTIFS($F$8:F267,F267,$C$8:C267,"Mekân")=1,1,0))</f>
        <v/>
      </c>
      <c r="T267" s="52">
        <f>IF(OR(A267="",F267="",C267&lt;&gt;"Kapak"),0,IF(COUNTIFS($F$8:F267,F267,$C$8:C267,"Kapak")=1,1,0))</f>
        <v/>
      </c>
    </row>
    <row r="268" ht="54" customHeight="1">
      <c r="A268" s="29" t="n"/>
      <c r="B268" s="29" t="n"/>
      <c r="C268" s="29" t="n"/>
      <c r="D268" s="29" t="n"/>
      <c r="E268" s="29" t="n"/>
      <c r="F268" s="29" t="n"/>
      <c r="G268" s="29" t="n"/>
      <c r="H268" s="29" t="n"/>
      <c r="I268" s="29" t="n"/>
      <c r="J268" s="29" t="n"/>
      <c r="K268" s="29" t="n"/>
      <c r="L268" s="49" t="n"/>
      <c r="M268" s="49" t="n"/>
      <c r="N268" s="29" t="n"/>
      <c r="O268" s="29" t="n"/>
      <c r="P268" s="29" t="n"/>
      <c r="Q268" s="51" t="n"/>
      <c r="R268" s="29" t="n"/>
      <c r="S268" s="52">
        <f>IF(OR(A268="",F268="",C268&lt;&gt;"Mekân"),0,IF(COUNTIFS($F$8:F268,F268,$C$8:C268,"Mekân")=1,1,0))</f>
        <v/>
      </c>
      <c r="T268" s="52">
        <f>IF(OR(A268="",F268="",C268&lt;&gt;"Kapak"),0,IF(COUNTIFS($F$8:F268,F268,$C$8:C268,"Kapak")=1,1,0))</f>
        <v/>
      </c>
    </row>
    <row r="269" ht="54" customHeight="1">
      <c r="A269" s="29" t="n"/>
      <c r="B269" s="29" t="n"/>
      <c r="C269" s="29" t="n"/>
      <c r="D269" s="29" t="n"/>
      <c r="E269" s="29" t="n"/>
      <c r="F269" s="29" t="n"/>
      <c r="G269" s="29" t="n"/>
      <c r="H269" s="29" t="n"/>
      <c r="I269" s="29" t="n"/>
      <c r="J269" s="29" t="n"/>
      <c r="K269" s="29" t="n"/>
      <c r="L269" s="49" t="n"/>
      <c r="M269" s="49" t="n"/>
      <c r="N269" s="29" t="n"/>
      <c r="O269" s="29" t="n"/>
      <c r="P269" s="29" t="n"/>
      <c r="Q269" s="51" t="n"/>
      <c r="R269" s="29" t="n"/>
      <c r="S269" s="52">
        <f>IF(OR(A269="",F269="",C269&lt;&gt;"Mekân"),0,IF(COUNTIFS($F$8:F269,F269,$C$8:C269,"Mekân")=1,1,0))</f>
        <v/>
      </c>
      <c r="T269" s="52">
        <f>IF(OR(A269="",F269="",C269&lt;&gt;"Kapak"),0,IF(COUNTIFS($F$8:F269,F269,$C$8:C269,"Kapak")=1,1,0))</f>
        <v/>
      </c>
    </row>
    <row r="270" ht="54" customHeight="1">
      <c r="A270" s="29" t="n"/>
      <c r="B270" s="29" t="n"/>
      <c r="C270" s="29" t="n"/>
      <c r="D270" s="29" t="n"/>
      <c r="E270" s="29" t="n"/>
      <c r="F270" s="29" t="n"/>
      <c r="G270" s="29" t="n"/>
      <c r="H270" s="29" t="n"/>
      <c r="I270" s="29" t="n"/>
      <c r="J270" s="29" t="n"/>
      <c r="K270" s="29" t="n"/>
      <c r="L270" s="49" t="n"/>
      <c r="M270" s="49" t="n"/>
      <c r="N270" s="29" t="n"/>
      <c r="O270" s="29" t="n"/>
      <c r="P270" s="29" t="n"/>
      <c r="Q270" s="51" t="n"/>
      <c r="R270" s="29" t="n"/>
      <c r="S270" s="52">
        <f>IF(OR(A270="",F270="",C270&lt;&gt;"Mekân"),0,IF(COUNTIFS($F$8:F270,F270,$C$8:C270,"Mekân")=1,1,0))</f>
        <v/>
      </c>
      <c r="T270" s="52">
        <f>IF(OR(A270="",F270="",C270&lt;&gt;"Kapak"),0,IF(COUNTIFS($F$8:F270,F270,$C$8:C270,"Kapak")=1,1,0))</f>
        <v/>
      </c>
    </row>
    <row r="271" ht="54" customHeight="1">
      <c r="A271" s="29" t="n"/>
      <c r="B271" s="29" t="n"/>
      <c r="C271" s="29" t="n"/>
      <c r="D271" s="29" t="n"/>
      <c r="E271" s="29" t="n"/>
      <c r="F271" s="29" t="n"/>
      <c r="G271" s="29" t="n"/>
      <c r="H271" s="29" t="n"/>
      <c r="I271" s="29" t="n"/>
      <c r="J271" s="29" t="n"/>
      <c r="K271" s="29" t="n"/>
      <c r="L271" s="49" t="n"/>
      <c r="M271" s="49" t="n"/>
      <c r="N271" s="29" t="n"/>
      <c r="O271" s="29" t="n"/>
      <c r="P271" s="29" t="n"/>
      <c r="Q271" s="51" t="n"/>
      <c r="R271" s="29" t="n"/>
      <c r="S271" s="52">
        <f>IF(OR(A271="",F271="",C271&lt;&gt;"Mekân"),0,IF(COUNTIFS($F$8:F271,F271,$C$8:C271,"Mekân")=1,1,0))</f>
        <v/>
      </c>
      <c r="T271" s="52">
        <f>IF(OR(A271="",F271="",C271&lt;&gt;"Kapak"),0,IF(COUNTIFS($F$8:F271,F271,$C$8:C271,"Kapak")=1,1,0))</f>
        <v/>
      </c>
    </row>
    <row r="272" ht="54" customHeight="1">
      <c r="A272" s="29" t="n"/>
      <c r="B272" s="29" t="n"/>
      <c r="C272" s="29" t="n"/>
      <c r="D272" s="29" t="n"/>
      <c r="E272" s="29" t="n"/>
      <c r="F272" s="29" t="n"/>
      <c r="G272" s="29" t="n"/>
      <c r="H272" s="29" t="n"/>
      <c r="I272" s="29" t="n"/>
      <c r="J272" s="29" t="n"/>
      <c r="K272" s="29" t="n"/>
      <c r="L272" s="49" t="n"/>
      <c r="M272" s="49" t="n"/>
      <c r="N272" s="29" t="n"/>
      <c r="O272" s="29" t="n"/>
      <c r="P272" s="29" t="n"/>
      <c r="Q272" s="51" t="n"/>
      <c r="R272" s="29" t="n"/>
      <c r="S272" s="52">
        <f>IF(OR(A272="",F272="",C272&lt;&gt;"Mekân"),0,IF(COUNTIFS($F$8:F272,F272,$C$8:C272,"Mekân")=1,1,0))</f>
        <v/>
      </c>
      <c r="T272" s="52">
        <f>IF(OR(A272="",F272="",C272&lt;&gt;"Kapak"),0,IF(COUNTIFS($F$8:F272,F272,$C$8:C272,"Kapak")=1,1,0))</f>
        <v/>
      </c>
    </row>
    <row r="273" ht="54" customHeight="1">
      <c r="A273" s="29" t="n"/>
      <c r="B273" s="29" t="n"/>
      <c r="C273" s="29" t="n"/>
      <c r="D273" s="29" t="n"/>
      <c r="E273" s="29" t="n"/>
      <c r="F273" s="29" t="n"/>
      <c r="G273" s="29" t="n"/>
      <c r="H273" s="29" t="n"/>
      <c r="I273" s="29" t="n"/>
      <c r="J273" s="29" t="n"/>
      <c r="K273" s="29" t="n"/>
      <c r="L273" s="49" t="n"/>
      <c r="M273" s="49" t="n"/>
      <c r="N273" s="29" t="n"/>
      <c r="O273" s="29" t="n"/>
      <c r="P273" s="29" t="n"/>
      <c r="Q273" s="51" t="n"/>
      <c r="R273" s="29" t="n"/>
      <c r="S273" s="52">
        <f>IF(OR(A273="",F273="",C273&lt;&gt;"Mekân"),0,IF(COUNTIFS($F$8:F273,F273,$C$8:C273,"Mekân")=1,1,0))</f>
        <v/>
      </c>
      <c r="T273" s="52">
        <f>IF(OR(A273="",F273="",C273&lt;&gt;"Kapak"),0,IF(COUNTIFS($F$8:F273,F273,$C$8:C273,"Kapak")=1,1,0))</f>
        <v/>
      </c>
    </row>
    <row r="274" ht="54" customHeight="1">
      <c r="A274" s="29" t="n"/>
      <c r="B274" s="29" t="n"/>
      <c r="C274" s="29" t="n"/>
      <c r="D274" s="29" t="n"/>
      <c r="E274" s="29" t="n"/>
      <c r="F274" s="29" t="n"/>
      <c r="G274" s="29" t="n"/>
      <c r="H274" s="29" t="n"/>
      <c r="I274" s="29" t="n"/>
      <c r="J274" s="29" t="n"/>
      <c r="K274" s="29" t="n"/>
      <c r="L274" s="49" t="n"/>
      <c r="M274" s="49" t="n"/>
      <c r="N274" s="29" t="n"/>
      <c r="O274" s="29" t="n"/>
      <c r="P274" s="29" t="n"/>
      <c r="Q274" s="51" t="n"/>
      <c r="R274" s="29" t="n"/>
      <c r="S274" s="52">
        <f>IF(OR(A274="",F274="",C274&lt;&gt;"Mekân"),0,IF(COUNTIFS($F$8:F274,F274,$C$8:C274,"Mekân")=1,1,0))</f>
        <v/>
      </c>
      <c r="T274" s="52">
        <f>IF(OR(A274="",F274="",C274&lt;&gt;"Kapak"),0,IF(COUNTIFS($F$8:F274,F274,$C$8:C274,"Kapak")=1,1,0))</f>
        <v/>
      </c>
    </row>
    <row r="275" ht="54" customHeight="1">
      <c r="A275" s="29" t="n"/>
      <c r="B275" s="29" t="n"/>
      <c r="C275" s="29" t="n"/>
      <c r="D275" s="29" t="n"/>
      <c r="E275" s="29" t="n"/>
      <c r="F275" s="29" t="n"/>
      <c r="G275" s="29" t="n"/>
      <c r="H275" s="29" t="n"/>
      <c r="I275" s="29" t="n"/>
      <c r="J275" s="29" t="n"/>
      <c r="K275" s="29" t="n"/>
      <c r="L275" s="49" t="n"/>
      <c r="M275" s="49" t="n"/>
      <c r="N275" s="29" t="n"/>
      <c r="O275" s="29" t="n"/>
      <c r="P275" s="29" t="n"/>
      <c r="Q275" s="51" t="n"/>
      <c r="R275" s="29" t="n"/>
      <c r="S275" s="52">
        <f>IF(OR(A275="",F275="",C275&lt;&gt;"Mekân"),0,IF(COUNTIFS($F$8:F275,F275,$C$8:C275,"Mekân")=1,1,0))</f>
        <v/>
      </c>
      <c r="T275" s="52">
        <f>IF(OR(A275="",F275="",C275&lt;&gt;"Kapak"),0,IF(COUNTIFS($F$8:F275,F275,$C$8:C275,"Kapak")=1,1,0))</f>
        <v/>
      </c>
    </row>
    <row r="276" ht="54" customHeight="1">
      <c r="A276" s="29" t="n"/>
      <c r="B276" s="29" t="n"/>
      <c r="C276" s="29" t="n"/>
      <c r="D276" s="29" t="n"/>
      <c r="E276" s="29" t="n"/>
      <c r="F276" s="29" t="n"/>
      <c r="G276" s="29" t="n"/>
      <c r="H276" s="29" t="n"/>
      <c r="I276" s="29" t="n"/>
      <c r="J276" s="29" t="n"/>
      <c r="K276" s="29" t="n"/>
      <c r="L276" s="49" t="n"/>
      <c r="M276" s="49" t="n"/>
      <c r="N276" s="29" t="n"/>
      <c r="O276" s="29" t="n"/>
      <c r="P276" s="29" t="n"/>
      <c r="Q276" s="51" t="n"/>
      <c r="R276" s="29" t="n"/>
      <c r="S276" s="52">
        <f>IF(OR(A276="",F276="",C276&lt;&gt;"Mekân"),0,IF(COUNTIFS($F$8:F276,F276,$C$8:C276,"Mekân")=1,1,0))</f>
        <v/>
      </c>
      <c r="T276" s="52">
        <f>IF(OR(A276="",F276="",C276&lt;&gt;"Kapak"),0,IF(COUNTIFS($F$8:F276,F276,$C$8:C276,"Kapak")=1,1,0))</f>
        <v/>
      </c>
    </row>
    <row r="277" ht="54" customHeight="1">
      <c r="A277" s="29" t="n"/>
      <c r="B277" s="29" t="n"/>
      <c r="C277" s="29" t="n"/>
      <c r="D277" s="29" t="n"/>
      <c r="E277" s="29" t="n"/>
      <c r="F277" s="29" t="n"/>
      <c r="G277" s="29" t="n"/>
      <c r="H277" s="29" t="n"/>
      <c r="I277" s="29" t="n"/>
      <c r="J277" s="29" t="n"/>
      <c r="K277" s="29" t="n"/>
      <c r="L277" s="49" t="n"/>
      <c r="M277" s="49" t="n"/>
      <c r="N277" s="29" t="n"/>
      <c r="O277" s="29" t="n"/>
      <c r="P277" s="29" t="n"/>
      <c r="Q277" s="51" t="n"/>
      <c r="R277" s="29" t="n"/>
      <c r="S277" s="52">
        <f>IF(OR(A277="",F277="",C277&lt;&gt;"Mekân"),0,IF(COUNTIFS($F$8:F277,F277,$C$8:C277,"Mekân")=1,1,0))</f>
        <v/>
      </c>
      <c r="T277" s="52">
        <f>IF(OR(A277="",F277="",C277&lt;&gt;"Kapak"),0,IF(COUNTIFS($F$8:F277,F277,$C$8:C277,"Kapak")=1,1,0))</f>
        <v/>
      </c>
    </row>
    <row r="278" ht="54" customHeight="1">
      <c r="A278" s="29" t="n"/>
      <c r="B278" s="29" t="n"/>
      <c r="C278" s="29" t="n"/>
      <c r="D278" s="29" t="n"/>
      <c r="E278" s="29" t="n"/>
      <c r="F278" s="29" t="n"/>
      <c r="G278" s="29" t="n"/>
      <c r="H278" s="29" t="n"/>
      <c r="I278" s="29" t="n"/>
      <c r="J278" s="29" t="n"/>
      <c r="K278" s="29" t="n"/>
      <c r="L278" s="49" t="n"/>
      <c r="M278" s="49" t="n"/>
      <c r="N278" s="29" t="n"/>
      <c r="O278" s="29" t="n"/>
      <c r="P278" s="29" t="n"/>
      <c r="Q278" s="51" t="n"/>
      <c r="R278" s="29" t="n"/>
      <c r="S278" s="52">
        <f>IF(OR(A278="",F278="",C278&lt;&gt;"Mekân"),0,IF(COUNTIFS($F$8:F278,F278,$C$8:C278,"Mekân")=1,1,0))</f>
        <v/>
      </c>
      <c r="T278" s="52">
        <f>IF(OR(A278="",F278="",C278&lt;&gt;"Kapak"),0,IF(COUNTIFS($F$8:F278,F278,$C$8:C278,"Kapak")=1,1,0))</f>
        <v/>
      </c>
    </row>
    <row r="279" ht="54" customHeight="1">
      <c r="A279" s="29" t="n"/>
      <c r="B279" s="29" t="n"/>
      <c r="C279" s="29" t="n"/>
      <c r="D279" s="29" t="n"/>
      <c r="E279" s="29" t="n"/>
      <c r="F279" s="29" t="n"/>
      <c r="G279" s="29" t="n"/>
      <c r="H279" s="29" t="n"/>
      <c r="I279" s="29" t="n"/>
      <c r="J279" s="29" t="n"/>
      <c r="K279" s="29" t="n"/>
      <c r="L279" s="49" t="n"/>
      <c r="M279" s="49" t="n"/>
      <c r="N279" s="29" t="n"/>
      <c r="O279" s="29" t="n"/>
      <c r="P279" s="29" t="n"/>
      <c r="Q279" s="51" t="n"/>
      <c r="R279" s="29" t="n"/>
      <c r="S279" s="52">
        <f>IF(OR(A279="",F279="",C279&lt;&gt;"Mekân"),0,IF(COUNTIFS($F$8:F279,F279,$C$8:C279,"Mekân")=1,1,0))</f>
        <v/>
      </c>
      <c r="T279" s="52">
        <f>IF(OR(A279="",F279="",C279&lt;&gt;"Kapak"),0,IF(COUNTIFS($F$8:F279,F279,$C$8:C279,"Kapak")=1,1,0))</f>
        <v/>
      </c>
    </row>
    <row r="280" ht="54" customHeight="1">
      <c r="A280" s="29" t="n"/>
      <c r="B280" s="29" t="n"/>
      <c r="C280" s="29" t="n"/>
      <c r="D280" s="29" t="n"/>
      <c r="E280" s="29" t="n"/>
      <c r="F280" s="29" t="n"/>
      <c r="G280" s="29" t="n"/>
      <c r="H280" s="29" t="n"/>
      <c r="I280" s="29" t="n"/>
      <c r="J280" s="29" t="n"/>
      <c r="K280" s="29" t="n"/>
      <c r="L280" s="49" t="n"/>
      <c r="M280" s="49" t="n"/>
      <c r="N280" s="29" t="n"/>
      <c r="O280" s="29" t="n"/>
      <c r="P280" s="29" t="n"/>
      <c r="Q280" s="51" t="n"/>
      <c r="R280" s="29" t="n"/>
      <c r="S280" s="52">
        <f>IF(OR(A280="",F280="",C280&lt;&gt;"Mekân"),0,IF(COUNTIFS($F$8:F280,F280,$C$8:C280,"Mekân")=1,1,0))</f>
        <v/>
      </c>
      <c r="T280" s="52">
        <f>IF(OR(A280="",F280="",C280&lt;&gt;"Kapak"),0,IF(COUNTIFS($F$8:F280,F280,$C$8:C280,"Kapak")=1,1,0))</f>
        <v/>
      </c>
    </row>
    <row r="281" ht="54" customHeight="1">
      <c r="A281" s="29" t="n"/>
      <c r="B281" s="29" t="n"/>
      <c r="C281" s="29" t="n"/>
      <c r="D281" s="29" t="n"/>
      <c r="E281" s="29" t="n"/>
      <c r="F281" s="29" t="n"/>
      <c r="G281" s="29" t="n"/>
      <c r="H281" s="29" t="n"/>
      <c r="I281" s="29" t="n"/>
      <c r="J281" s="29" t="n"/>
      <c r="K281" s="29" t="n"/>
      <c r="L281" s="49" t="n"/>
      <c r="M281" s="49" t="n"/>
      <c r="N281" s="29" t="n"/>
      <c r="O281" s="29" t="n"/>
      <c r="P281" s="29" t="n"/>
      <c r="Q281" s="51" t="n"/>
      <c r="R281" s="29" t="n"/>
      <c r="S281" s="52">
        <f>IF(OR(A281="",F281="",C281&lt;&gt;"Mekân"),0,IF(COUNTIFS($F$8:F281,F281,$C$8:C281,"Mekân")=1,1,0))</f>
        <v/>
      </c>
      <c r="T281" s="52">
        <f>IF(OR(A281="",F281="",C281&lt;&gt;"Kapak"),0,IF(COUNTIFS($F$8:F281,F281,$C$8:C281,"Kapak")=1,1,0))</f>
        <v/>
      </c>
    </row>
    <row r="282" ht="54" customHeight="1">
      <c r="A282" s="29" t="n"/>
      <c r="B282" s="29" t="n"/>
      <c r="C282" s="29" t="n"/>
      <c r="D282" s="29" t="n"/>
      <c r="E282" s="29" t="n"/>
      <c r="F282" s="29" t="n"/>
      <c r="G282" s="29" t="n"/>
      <c r="H282" s="29" t="n"/>
      <c r="I282" s="29" t="n"/>
      <c r="J282" s="29" t="n"/>
      <c r="K282" s="29" t="n"/>
      <c r="L282" s="49" t="n"/>
      <c r="M282" s="49" t="n"/>
      <c r="N282" s="29" t="n"/>
      <c r="O282" s="29" t="n"/>
      <c r="P282" s="29" t="n"/>
      <c r="Q282" s="51" t="n"/>
      <c r="R282" s="29" t="n"/>
      <c r="S282" s="52">
        <f>IF(OR(A282="",F282="",C282&lt;&gt;"Mekân"),0,IF(COUNTIFS($F$8:F282,F282,$C$8:C282,"Mekân")=1,1,0))</f>
        <v/>
      </c>
      <c r="T282" s="52">
        <f>IF(OR(A282="",F282="",C282&lt;&gt;"Kapak"),0,IF(COUNTIFS($F$8:F282,F282,$C$8:C282,"Kapak")=1,1,0))</f>
        <v/>
      </c>
    </row>
    <row r="283" ht="54" customHeight="1">
      <c r="A283" s="29" t="n"/>
      <c r="B283" s="29" t="n"/>
      <c r="C283" s="29" t="n"/>
      <c r="D283" s="29" t="n"/>
      <c r="E283" s="29" t="n"/>
      <c r="F283" s="29" t="n"/>
      <c r="G283" s="29" t="n"/>
      <c r="H283" s="29" t="n"/>
      <c r="I283" s="29" t="n"/>
      <c r="J283" s="29" t="n"/>
      <c r="K283" s="29" t="n"/>
      <c r="L283" s="49" t="n"/>
      <c r="M283" s="49" t="n"/>
      <c r="N283" s="29" t="n"/>
      <c r="O283" s="29" t="n"/>
      <c r="P283" s="29" t="n"/>
      <c r="Q283" s="51" t="n"/>
      <c r="R283" s="29" t="n"/>
      <c r="S283" s="52">
        <f>IF(OR(A283="",F283="",C283&lt;&gt;"Mekân"),0,IF(COUNTIFS($F$8:F283,F283,$C$8:C283,"Mekân")=1,1,0))</f>
        <v/>
      </c>
      <c r="T283" s="52">
        <f>IF(OR(A283="",F283="",C283&lt;&gt;"Kapak"),0,IF(COUNTIFS($F$8:F283,F283,$C$8:C283,"Kapak")=1,1,0))</f>
        <v/>
      </c>
    </row>
    <row r="284" ht="54" customHeight="1">
      <c r="A284" s="29" t="n"/>
      <c r="B284" s="29" t="n"/>
      <c r="C284" s="29" t="n"/>
      <c r="D284" s="29" t="n"/>
      <c r="E284" s="29" t="n"/>
      <c r="F284" s="29" t="n"/>
      <c r="G284" s="29" t="n"/>
      <c r="H284" s="29" t="n"/>
      <c r="I284" s="29" t="n"/>
      <c r="J284" s="29" t="n"/>
      <c r="K284" s="29" t="n"/>
      <c r="L284" s="49" t="n"/>
      <c r="M284" s="49" t="n"/>
      <c r="N284" s="29" t="n"/>
      <c r="O284" s="29" t="n"/>
      <c r="P284" s="29" t="n"/>
      <c r="Q284" s="51" t="n"/>
      <c r="R284" s="29" t="n"/>
      <c r="S284" s="52">
        <f>IF(OR(A284="",F284="",C284&lt;&gt;"Mekân"),0,IF(COUNTIFS($F$8:F284,F284,$C$8:C284,"Mekân")=1,1,0))</f>
        <v/>
      </c>
      <c r="T284" s="52">
        <f>IF(OR(A284="",F284="",C284&lt;&gt;"Kapak"),0,IF(COUNTIFS($F$8:F284,F284,$C$8:C284,"Kapak")=1,1,0))</f>
        <v/>
      </c>
    </row>
    <row r="285" ht="54" customHeight="1">
      <c r="A285" s="29" t="n"/>
      <c r="B285" s="29" t="n"/>
      <c r="C285" s="29" t="n"/>
      <c r="D285" s="29" t="n"/>
      <c r="E285" s="29" t="n"/>
      <c r="F285" s="29" t="n"/>
      <c r="G285" s="29" t="n"/>
      <c r="H285" s="29" t="n"/>
      <c r="I285" s="29" t="n"/>
      <c r="J285" s="29" t="n"/>
      <c r="K285" s="29" t="n"/>
      <c r="L285" s="49" t="n"/>
      <c r="M285" s="49" t="n"/>
      <c r="N285" s="29" t="n"/>
      <c r="O285" s="29" t="n"/>
      <c r="P285" s="29" t="n"/>
      <c r="Q285" s="51" t="n"/>
      <c r="R285" s="29" t="n"/>
      <c r="S285" s="52">
        <f>IF(OR(A285="",F285="",C285&lt;&gt;"Mekân"),0,IF(COUNTIFS($F$8:F285,F285,$C$8:C285,"Mekân")=1,1,0))</f>
        <v/>
      </c>
      <c r="T285" s="52">
        <f>IF(OR(A285="",F285="",C285&lt;&gt;"Kapak"),0,IF(COUNTIFS($F$8:F285,F285,$C$8:C285,"Kapak")=1,1,0))</f>
        <v/>
      </c>
    </row>
    <row r="286" ht="54" customHeight="1">
      <c r="A286" s="29" t="n"/>
      <c r="B286" s="29" t="n"/>
      <c r="C286" s="29" t="n"/>
      <c r="D286" s="29" t="n"/>
      <c r="E286" s="29" t="n"/>
      <c r="F286" s="29" t="n"/>
      <c r="G286" s="29" t="n"/>
      <c r="H286" s="29" t="n"/>
      <c r="I286" s="29" t="n"/>
      <c r="J286" s="29" t="n"/>
      <c r="K286" s="29" t="n"/>
      <c r="L286" s="49" t="n"/>
      <c r="M286" s="49" t="n"/>
      <c r="N286" s="29" t="n"/>
      <c r="O286" s="29" t="n"/>
      <c r="P286" s="29" t="n"/>
      <c r="Q286" s="51" t="n"/>
      <c r="R286" s="29" t="n"/>
      <c r="S286" s="52">
        <f>IF(OR(A286="",F286="",C286&lt;&gt;"Mekân"),0,IF(COUNTIFS($F$8:F286,F286,$C$8:C286,"Mekân")=1,1,0))</f>
        <v/>
      </c>
      <c r="T286" s="52">
        <f>IF(OR(A286="",F286="",C286&lt;&gt;"Kapak"),0,IF(COUNTIFS($F$8:F286,F286,$C$8:C286,"Kapak")=1,1,0))</f>
        <v/>
      </c>
    </row>
    <row r="287" ht="54" customHeight="1">
      <c r="A287" s="29" t="n"/>
      <c r="B287" s="29" t="n"/>
      <c r="C287" s="29" t="n"/>
      <c r="D287" s="29" t="n"/>
      <c r="E287" s="29" t="n"/>
      <c r="F287" s="29" t="n"/>
      <c r="G287" s="29" t="n"/>
      <c r="H287" s="29" t="n"/>
      <c r="I287" s="29" t="n"/>
      <c r="J287" s="29" t="n"/>
      <c r="K287" s="29" t="n"/>
      <c r="L287" s="49" t="n"/>
      <c r="M287" s="49" t="n"/>
      <c r="N287" s="29" t="n"/>
      <c r="O287" s="29" t="n"/>
      <c r="P287" s="29" t="n"/>
      <c r="Q287" s="51" t="n"/>
      <c r="R287" s="29" t="n"/>
      <c r="S287" s="52">
        <f>IF(OR(A287="",F287="",C287&lt;&gt;"Mekân"),0,IF(COUNTIFS($F$8:F287,F287,$C$8:C287,"Mekân")=1,1,0))</f>
        <v/>
      </c>
      <c r="T287" s="52">
        <f>IF(OR(A287="",F287="",C287&lt;&gt;"Kapak"),0,IF(COUNTIFS($F$8:F287,F287,$C$8:C287,"Kapak")=1,1,0))</f>
        <v/>
      </c>
    </row>
    <row r="288" ht="54" customHeight="1">
      <c r="A288" s="29" t="n"/>
      <c r="B288" s="29" t="n"/>
      <c r="C288" s="29" t="n"/>
      <c r="D288" s="29" t="n"/>
      <c r="E288" s="29" t="n"/>
      <c r="F288" s="29" t="n"/>
      <c r="G288" s="29" t="n"/>
      <c r="H288" s="29" t="n"/>
      <c r="I288" s="29" t="n"/>
      <c r="J288" s="29" t="n"/>
      <c r="K288" s="29" t="n"/>
      <c r="L288" s="49" t="n"/>
      <c r="M288" s="49" t="n"/>
      <c r="N288" s="29" t="n"/>
      <c r="O288" s="29" t="n"/>
      <c r="P288" s="29" t="n"/>
      <c r="Q288" s="51" t="n"/>
      <c r="R288" s="29" t="n"/>
      <c r="S288" s="52">
        <f>IF(OR(A288="",F288="",C288&lt;&gt;"Mekân"),0,IF(COUNTIFS($F$8:F288,F288,$C$8:C288,"Mekân")=1,1,0))</f>
        <v/>
      </c>
      <c r="T288" s="52">
        <f>IF(OR(A288="",F288="",C288&lt;&gt;"Kapak"),0,IF(COUNTIFS($F$8:F288,F288,$C$8:C288,"Kapak")=1,1,0))</f>
        <v/>
      </c>
    </row>
    <row r="289" ht="54" customHeight="1">
      <c r="A289" s="29" t="n"/>
      <c r="B289" s="29" t="n"/>
      <c r="C289" s="29" t="n"/>
      <c r="D289" s="29" t="n"/>
      <c r="E289" s="29" t="n"/>
      <c r="F289" s="29" t="n"/>
      <c r="G289" s="29" t="n"/>
      <c r="H289" s="29" t="n"/>
      <c r="I289" s="29" t="n"/>
      <c r="J289" s="29" t="n"/>
      <c r="K289" s="29" t="n"/>
      <c r="L289" s="49" t="n"/>
      <c r="M289" s="49" t="n"/>
      <c r="N289" s="29" t="n"/>
      <c r="O289" s="29" t="n"/>
      <c r="P289" s="29" t="n"/>
      <c r="Q289" s="51" t="n"/>
      <c r="R289" s="29" t="n"/>
      <c r="S289" s="52">
        <f>IF(OR(A289="",F289="",C289&lt;&gt;"Mekân"),0,IF(COUNTIFS($F$8:F289,F289,$C$8:C289,"Mekân")=1,1,0))</f>
        <v/>
      </c>
      <c r="T289" s="52">
        <f>IF(OR(A289="",F289="",C289&lt;&gt;"Kapak"),0,IF(COUNTIFS($F$8:F289,F289,$C$8:C289,"Kapak")=1,1,0))</f>
        <v/>
      </c>
    </row>
    <row r="290" ht="54" customHeight="1">
      <c r="A290" s="29" t="n"/>
      <c r="B290" s="29" t="n"/>
      <c r="C290" s="29" t="n"/>
      <c r="D290" s="29" t="n"/>
      <c r="E290" s="29" t="n"/>
      <c r="F290" s="29" t="n"/>
      <c r="G290" s="29" t="n"/>
      <c r="H290" s="29" t="n"/>
      <c r="I290" s="29" t="n"/>
      <c r="J290" s="29" t="n"/>
      <c r="K290" s="29" t="n"/>
      <c r="L290" s="49" t="n"/>
      <c r="M290" s="49" t="n"/>
      <c r="N290" s="29" t="n"/>
      <c r="O290" s="29" t="n"/>
      <c r="P290" s="29" t="n"/>
      <c r="Q290" s="51" t="n"/>
      <c r="R290" s="29" t="n"/>
      <c r="S290" s="52">
        <f>IF(OR(A290="",F290="",C290&lt;&gt;"Mekân"),0,IF(COUNTIFS($F$8:F290,F290,$C$8:C290,"Mekân")=1,1,0))</f>
        <v/>
      </c>
      <c r="T290" s="52">
        <f>IF(OR(A290="",F290="",C290&lt;&gt;"Kapak"),0,IF(COUNTIFS($F$8:F290,F290,$C$8:C290,"Kapak")=1,1,0))</f>
        <v/>
      </c>
    </row>
    <row r="291" ht="54" customHeight="1">
      <c r="A291" s="29" t="n"/>
      <c r="B291" s="29" t="n"/>
      <c r="C291" s="29" t="n"/>
      <c r="D291" s="29" t="n"/>
      <c r="E291" s="29" t="n"/>
      <c r="F291" s="29" t="n"/>
      <c r="G291" s="29" t="n"/>
      <c r="H291" s="29" t="n"/>
      <c r="I291" s="29" t="n"/>
      <c r="J291" s="29" t="n"/>
      <c r="K291" s="29" t="n"/>
      <c r="L291" s="49" t="n"/>
      <c r="M291" s="49" t="n"/>
      <c r="N291" s="29" t="n"/>
      <c r="O291" s="29" t="n"/>
      <c r="P291" s="29" t="n"/>
      <c r="Q291" s="51" t="n"/>
      <c r="R291" s="29" t="n"/>
      <c r="S291" s="52">
        <f>IF(OR(A291="",F291="",C291&lt;&gt;"Mekân"),0,IF(COUNTIFS($F$8:F291,F291,$C$8:C291,"Mekân")=1,1,0))</f>
        <v/>
      </c>
      <c r="T291" s="52">
        <f>IF(OR(A291="",F291="",C291&lt;&gt;"Kapak"),0,IF(COUNTIFS($F$8:F291,F291,$C$8:C291,"Kapak")=1,1,0))</f>
        <v/>
      </c>
    </row>
    <row r="292" ht="54" customHeight="1">
      <c r="A292" s="29" t="n"/>
      <c r="B292" s="29" t="n"/>
      <c r="C292" s="29" t="n"/>
      <c r="D292" s="29" t="n"/>
      <c r="E292" s="29" t="n"/>
      <c r="F292" s="29" t="n"/>
      <c r="G292" s="29" t="n"/>
      <c r="H292" s="29" t="n"/>
      <c r="I292" s="29" t="n"/>
      <c r="J292" s="29" t="n"/>
      <c r="K292" s="29" t="n"/>
      <c r="L292" s="49" t="n"/>
      <c r="M292" s="49" t="n"/>
      <c r="N292" s="29" t="n"/>
      <c r="O292" s="29" t="n"/>
      <c r="P292" s="29" t="n"/>
      <c r="Q292" s="51" t="n"/>
      <c r="R292" s="29" t="n"/>
      <c r="S292" s="52">
        <f>IF(OR(A292="",F292="",C292&lt;&gt;"Mekân"),0,IF(COUNTIFS($F$8:F292,F292,$C$8:C292,"Mekân")=1,1,0))</f>
        <v/>
      </c>
      <c r="T292" s="52">
        <f>IF(OR(A292="",F292="",C292&lt;&gt;"Kapak"),0,IF(COUNTIFS($F$8:F292,F292,$C$8:C292,"Kapak")=1,1,0))</f>
        <v/>
      </c>
    </row>
    <row r="293" ht="54" customHeight="1">
      <c r="A293" s="29" t="n"/>
      <c r="B293" s="29" t="n"/>
      <c r="C293" s="29" t="n"/>
      <c r="D293" s="29" t="n"/>
      <c r="E293" s="29" t="n"/>
      <c r="F293" s="29" t="n"/>
      <c r="G293" s="29" t="n"/>
      <c r="H293" s="29" t="n"/>
      <c r="I293" s="29" t="n"/>
      <c r="J293" s="29" t="n"/>
      <c r="K293" s="29" t="n"/>
      <c r="L293" s="49" t="n"/>
      <c r="M293" s="49" t="n"/>
      <c r="N293" s="29" t="n"/>
      <c r="O293" s="29" t="n"/>
      <c r="P293" s="29" t="n"/>
      <c r="Q293" s="51" t="n"/>
      <c r="R293" s="29" t="n"/>
      <c r="S293" s="52">
        <f>IF(OR(A293="",F293="",C293&lt;&gt;"Mekân"),0,IF(COUNTIFS($F$8:F293,F293,$C$8:C293,"Mekân")=1,1,0))</f>
        <v/>
      </c>
      <c r="T293" s="52">
        <f>IF(OR(A293="",F293="",C293&lt;&gt;"Kapak"),0,IF(COUNTIFS($F$8:F293,F293,$C$8:C293,"Kapak")=1,1,0))</f>
        <v/>
      </c>
    </row>
    <row r="294" ht="54" customHeight="1">
      <c r="A294" s="29" t="n"/>
      <c r="B294" s="29" t="n"/>
      <c r="C294" s="29" t="n"/>
      <c r="D294" s="29" t="n"/>
      <c r="E294" s="29" t="n"/>
      <c r="F294" s="29" t="n"/>
      <c r="G294" s="29" t="n"/>
      <c r="H294" s="29" t="n"/>
      <c r="I294" s="29" t="n"/>
      <c r="J294" s="29" t="n"/>
      <c r="K294" s="29" t="n"/>
      <c r="L294" s="49" t="n"/>
      <c r="M294" s="49" t="n"/>
      <c r="N294" s="29" t="n"/>
      <c r="O294" s="29" t="n"/>
      <c r="P294" s="29" t="n"/>
      <c r="Q294" s="51" t="n"/>
      <c r="R294" s="29" t="n"/>
      <c r="S294" s="52">
        <f>IF(OR(A294="",F294="",C294&lt;&gt;"Mekân"),0,IF(COUNTIFS($F$8:F294,F294,$C$8:C294,"Mekân")=1,1,0))</f>
        <v/>
      </c>
      <c r="T294" s="52">
        <f>IF(OR(A294="",F294="",C294&lt;&gt;"Kapak"),0,IF(COUNTIFS($F$8:F294,F294,$C$8:C294,"Kapak")=1,1,0))</f>
        <v/>
      </c>
    </row>
    <row r="295" ht="54" customHeight="1">
      <c r="A295" s="29" t="n"/>
      <c r="B295" s="29" t="n"/>
      <c r="C295" s="29" t="n"/>
      <c r="D295" s="29" t="n"/>
      <c r="E295" s="29" t="n"/>
      <c r="F295" s="29" t="n"/>
      <c r="G295" s="29" t="n"/>
      <c r="H295" s="29" t="n"/>
      <c r="I295" s="29" t="n"/>
      <c r="J295" s="29" t="n"/>
      <c r="K295" s="29" t="n"/>
      <c r="L295" s="49" t="n"/>
      <c r="M295" s="49" t="n"/>
      <c r="N295" s="29" t="n"/>
      <c r="O295" s="29" t="n"/>
      <c r="P295" s="29" t="n"/>
      <c r="Q295" s="51" t="n"/>
      <c r="R295" s="29" t="n"/>
      <c r="S295" s="52">
        <f>IF(OR(A295="",F295="",C295&lt;&gt;"Mekân"),0,IF(COUNTIFS($F$8:F295,F295,$C$8:C295,"Mekân")=1,1,0))</f>
        <v/>
      </c>
      <c r="T295" s="52">
        <f>IF(OR(A295="",F295="",C295&lt;&gt;"Kapak"),0,IF(COUNTIFS($F$8:F295,F295,$C$8:C295,"Kapak")=1,1,0))</f>
        <v/>
      </c>
    </row>
    <row r="296" ht="54" customHeight="1">
      <c r="A296" s="29" t="n"/>
      <c r="B296" s="29" t="n"/>
      <c r="C296" s="29" t="n"/>
      <c r="D296" s="29" t="n"/>
      <c r="E296" s="29" t="n"/>
      <c r="F296" s="29" t="n"/>
      <c r="G296" s="29" t="n"/>
      <c r="H296" s="29" t="n"/>
      <c r="I296" s="29" t="n"/>
      <c r="J296" s="29" t="n"/>
      <c r="K296" s="29" t="n"/>
      <c r="L296" s="49" t="n"/>
      <c r="M296" s="49" t="n"/>
      <c r="N296" s="29" t="n"/>
      <c r="O296" s="29" t="n"/>
      <c r="P296" s="29" t="n"/>
      <c r="Q296" s="51" t="n"/>
      <c r="R296" s="29" t="n"/>
      <c r="S296" s="52">
        <f>IF(OR(A296="",F296="",C296&lt;&gt;"Mekân"),0,IF(COUNTIFS($F$8:F296,F296,$C$8:C296,"Mekân")=1,1,0))</f>
        <v/>
      </c>
      <c r="T296" s="52">
        <f>IF(OR(A296="",F296="",C296&lt;&gt;"Kapak"),0,IF(COUNTIFS($F$8:F296,F296,$C$8:C296,"Kapak")=1,1,0))</f>
        <v/>
      </c>
    </row>
    <row r="297" ht="54" customHeight="1">
      <c r="A297" s="29" t="n"/>
      <c r="B297" s="29" t="n"/>
      <c r="C297" s="29" t="n"/>
      <c r="D297" s="29" t="n"/>
      <c r="E297" s="29" t="n"/>
      <c r="F297" s="29" t="n"/>
      <c r="G297" s="29" t="n"/>
      <c r="H297" s="29" t="n"/>
      <c r="I297" s="29" t="n"/>
      <c r="J297" s="29" t="n"/>
      <c r="K297" s="29" t="n"/>
      <c r="L297" s="49" t="n"/>
      <c r="M297" s="49" t="n"/>
      <c r="N297" s="29" t="n"/>
      <c r="O297" s="29" t="n"/>
      <c r="P297" s="29" t="n"/>
      <c r="Q297" s="51" t="n"/>
      <c r="R297" s="29" t="n"/>
      <c r="S297" s="52">
        <f>IF(OR(A297="",F297="",C297&lt;&gt;"Mekân"),0,IF(COUNTIFS($F$8:F297,F297,$C$8:C297,"Mekân")=1,1,0))</f>
        <v/>
      </c>
      <c r="T297" s="52">
        <f>IF(OR(A297="",F297="",C297&lt;&gt;"Kapak"),0,IF(COUNTIFS($F$8:F297,F297,$C$8:C297,"Kapak")=1,1,0))</f>
        <v/>
      </c>
    </row>
    <row r="298" ht="54" customHeight="1">
      <c r="A298" s="29" t="n"/>
      <c r="B298" s="29" t="n"/>
      <c r="C298" s="29" t="n"/>
      <c r="D298" s="29" t="n"/>
      <c r="E298" s="29" t="n"/>
      <c r="F298" s="29" t="n"/>
      <c r="G298" s="29" t="n"/>
      <c r="H298" s="29" t="n"/>
      <c r="I298" s="29" t="n"/>
      <c r="J298" s="29" t="n"/>
      <c r="K298" s="29" t="n"/>
      <c r="L298" s="49" t="n"/>
      <c r="M298" s="49" t="n"/>
      <c r="N298" s="29" t="n"/>
      <c r="O298" s="29" t="n"/>
      <c r="P298" s="29" t="n"/>
      <c r="Q298" s="51" t="n"/>
      <c r="R298" s="29" t="n"/>
      <c r="S298" s="52">
        <f>IF(OR(A298="",F298="",C298&lt;&gt;"Mekân"),0,IF(COUNTIFS($F$8:F298,F298,$C$8:C298,"Mekân")=1,1,0))</f>
        <v/>
      </c>
      <c r="T298" s="52">
        <f>IF(OR(A298="",F298="",C298&lt;&gt;"Kapak"),0,IF(COUNTIFS($F$8:F298,F298,$C$8:C298,"Kapak")=1,1,0))</f>
        <v/>
      </c>
    </row>
    <row r="299" ht="54" customHeight="1">
      <c r="A299" s="29" t="n"/>
      <c r="B299" s="29" t="n"/>
      <c r="C299" s="29" t="n"/>
      <c r="D299" s="29" t="n"/>
      <c r="E299" s="29" t="n"/>
      <c r="F299" s="29" t="n"/>
      <c r="G299" s="29" t="n"/>
      <c r="H299" s="29" t="n"/>
      <c r="I299" s="29" t="n"/>
      <c r="J299" s="29" t="n"/>
      <c r="K299" s="29" t="n"/>
      <c r="L299" s="49" t="n"/>
      <c r="M299" s="49" t="n"/>
      <c r="N299" s="29" t="n"/>
      <c r="O299" s="29" t="n"/>
      <c r="P299" s="29" t="n"/>
      <c r="Q299" s="51" t="n"/>
      <c r="R299" s="29" t="n"/>
      <c r="S299" s="52">
        <f>IF(OR(A299="",F299="",C299&lt;&gt;"Mekân"),0,IF(COUNTIFS($F$8:F299,F299,$C$8:C299,"Mekân")=1,1,0))</f>
        <v/>
      </c>
      <c r="T299" s="52">
        <f>IF(OR(A299="",F299="",C299&lt;&gt;"Kapak"),0,IF(COUNTIFS($F$8:F299,F299,$C$8:C299,"Kapak")=1,1,0))</f>
        <v/>
      </c>
    </row>
    <row r="300" ht="54" customHeight="1">
      <c r="A300" s="29" t="n"/>
      <c r="B300" s="29" t="n"/>
      <c r="C300" s="29" t="n"/>
      <c r="D300" s="29" t="n"/>
      <c r="E300" s="29" t="n"/>
      <c r="F300" s="29" t="n"/>
      <c r="G300" s="29" t="n"/>
      <c r="H300" s="29" t="n"/>
      <c r="I300" s="29" t="n"/>
      <c r="J300" s="29" t="n"/>
      <c r="K300" s="29" t="n"/>
      <c r="L300" s="49" t="n"/>
      <c r="M300" s="49" t="n"/>
      <c r="N300" s="29" t="n"/>
      <c r="O300" s="29" t="n"/>
      <c r="P300" s="29" t="n"/>
      <c r="Q300" s="51" t="n"/>
      <c r="R300" s="29" t="n"/>
      <c r="S300" s="52">
        <f>IF(OR(A300="",F300="",C300&lt;&gt;"Mekân"),0,IF(COUNTIFS($F$8:F300,F300,$C$8:C300,"Mekân")=1,1,0))</f>
        <v/>
      </c>
      <c r="T300" s="52">
        <f>IF(OR(A300="",F300="",C300&lt;&gt;"Kapak"),0,IF(COUNTIFS($F$8:F300,F300,$C$8:C300,"Kapak")=1,1,0))</f>
        <v/>
      </c>
    </row>
    <row r="301" ht="54" customHeight="1">
      <c r="A301" s="29" t="n"/>
      <c r="B301" s="29" t="n"/>
      <c r="C301" s="29" t="n"/>
      <c r="D301" s="29" t="n"/>
      <c r="E301" s="29" t="n"/>
      <c r="F301" s="29" t="n"/>
      <c r="G301" s="29" t="n"/>
      <c r="H301" s="29" t="n"/>
      <c r="I301" s="29" t="n"/>
      <c r="J301" s="29" t="n"/>
      <c r="K301" s="29" t="n"/>
      <c r="L301" s="49" t="n"/>
      <c r="M301" s="49" t="n"/>
      <c r="N301" s="29" t="n"/>
      <c r="O301" s="29" t="n"/>
      <c r="P301" s="29" t="n"/>
      <c r="Q301" s="51" t="n"/>
      <c r="R301" s="29" t="n"/>
      <c r="S301" s="52">
        <f>IF(OR(A301="",F301="",C301&lt;&gt;"Mekân"),0,IF(COUNTIFS($F$8:F301,F301,$C$8:C301,"Mekân")=1,1,0))</f>
        <v/>
      </c>
      <c r="T301" s="52">
        <f>IF(OR(A301="",F301="",C301&lt;&gt;"Kapak"),0,IF(COUNTIFS($F$8:F301,F301,$C$8:C301,"Kapak")=1,1,0))</f>
        <v/>
      </c>
    </row>
    <row r="302" ht="54" customHeight="1">
      <c r="A302" s="29" t="n"/>
      <c r="B302" s="29" t="n"/>
      <c r="C302" s="29" t="n"/>
      <c r="D302" s="29" t="n"/>
      <c r="E302" s="29" t="n"/>
      <c r="F302" s="29" t="n"/>
      <c r="G302" s="29" t="n"/>
      <c r="H302" s="29" t="n"/>
      <c r="I302" s="29" t="n"/>
      <c r="J302" s="29" t="n"/>
      <c r="K302" s="29" t="n"/>
      <c r="L302" s="49" t="n"/>
      <c r="M302" s="49" t="n"/>
      <c r="N302" s="29" t="n"/>
      <c r="O302" s="29" t="n"/>
      <c r="P302" s="29" t="n"/>
      <c r="Q302" s="51" t="n"/>
      <c r="R302" s="29" t="n"/>
      <c r="S302" s="52">
        <f>IF(OR(A302="",F302="",C302&lt;&gt;"Mekân"),0,IF(COUNTIFS($F$8:F302,F302,$C$8:C302,"Mekân")=1,1,0))</f>
        <v/>
      </c>
      <c r="T302" s="52">
        <f>IF(OR(A302="",F302="",C302&lt;&gt;"Kapak"),0,IF(COUNTIFS($F$8:F302,F302,$C$8:C302,"Kapak")=1,1,0))</f>
        <v/>
      </c>
    </row>
    <row r="303" ht="54" customHeight="1">
      <c r="A303" s="29" t="n"/>
      <c r="B303" s="29" t="n"/>
      <c r="C303" s="29" t="n"/>
      <c r="D303" s="29" t="n"/>
      <c r="E303" s="29" t="n"/>
      <c r="F303" s="29" t="n"/>
      <c r="G303" s="29" t="n"/>
      <c r="H303" s="29" t="n"/>
      <c r="I303" s="29" t="n"/>
      <c r="J303" s="29" t="n"/>
      <c r="K303" s="29" t="n"/>
      <c r="L303" s="49" t="n"/>
      <c r="M303" s="49" t="n"/>
      <c r="N303" s="29" t="n"/>
      <c r="O303" s="29" t="n"/>
      <c r="P303" s="29" t="n"/>
      <c r="Q303" s="51" t="n"/>
      <c r="R303" s="29" t="n"/>
      <c r="S303" s="52">
        <f>IF(OR(A303="",F303="",C303&lt;&gt;"Mekân"),0,IF(COUNTIFS($F$8:F303,F303,$C$8:C303,"Mekân")=1,1,0))</f>
        <v/>
      </c>
      <c r="T303" s="52">
        <f>IF(OR(A303="",F303="",C303&lt;&gt;"Kapak"),0,IF(COUNTIFS($F$8:F303,F303,$C$8:C303,"Kapak")=1,1,0))</f>
        <v/>
      </c>
    </row>
    <row r="304" ht="54" customHeight="1">
      <c r="A304" s="29" t="n"/>
      <c r="B304" s="29" t="n"/>
      <c r="C304" s="29" t="n"/>
      <c r="D304" s="29" t="n"/>
      <c r="E304" s="29" t="n"/>
      <c r="F304" s="29" t="n"/>
      <c r="G304" s="29" t="n"/>
      <c r="H304" s="29" t="n"/>
      <c r="I304" s="29" t="n"/>
      <c r="J304" s="29" t="n"/>
      <c r="K304" s="29" t="n"/>
      <c r="L304" s="49" t="n"/>
      <c r="M304" s="49" t="n"/>
      <c r="N304" s="29" t="n"/>
      <c r="O304" s="29" t="n"/>
      <c r="P304" s="29" t="n"/>
      <c r="Q304" s="51" t="n"/>
      <c r="R304" s="29" t="n"/>
      <c r="S304" s="52">
        <f>IF(OR(A304="",F304="",C304&lt;&gt;"Mekân"),0,IF(COUNTIFS($F$8:F304,F304,$C$8:C304,"Mekân")=1,1,0))</f>
        <v/>
      </c>
      <c r="T304" s="52">
        <f>IF(OR(A304="",F304="",C304&lt;&gt;"Kapak"),0,IF(COUNTIFS($F$8:F304,F304,$C$8:C304,"Kapak")=1,1,0))</f>
        <v/>
      </c>
    </row>
    <row r="305" ht="54" customHeight="1">
      <c r="A305" s="29" t="n"/>
      <c r="B305" s="29" t="n"/>
      <c r="C305" s="29" t="n"/>
      <c r="D305" s="29" t="n"/>
      <c r="E305" s="29" t="n"/>
      <c r="F305" s="29" t="n"/>
      <c r="G305" s="29" t="n"/>
      <c r="H305" s="29" t="n"/>
      <c r="I305" s="29" t="n"/>
      <c r="J305" s="29" t="n"/>
      <c r="K305" s="29" t="n"/>
      <c r="L305" s="49" t="n"/>
      <c r="M305" s="49" t="n"/>
      <c r="N305" s="29" t="n"/>
      <c r="O305" s="29" t="n"/>
      <c r="P305" s="29" t="n"/>
      <c r="Q305" s="51" t="n"/>
      <c r="R305" s="29" t="n"/>
      <c r="S305" s="52">
        <f>IF(OR(A305="",F305="",C305&lt;&gt;"Mekân"),0,IF(COUNTIFS($F$8:F305,F305,$C$8:C305,"Mekân")=1,1,0))</f>
        <v/>
      </c>
      <c r="T305" s="52">
        <f>IF(OR(A305="",F305="",C305&lt;&gt;"Kapak"),0,IF(COUNTIFS($F$8:F305,F305,$C$8:C305,"Kapak")=1,1,0))</f>
        <v/>
      </c>
    </row>
    <row r="306" ht="54" customHeight="1">
      <c r="A306" s="29" t="n"/>
      <c r="B306" s="29" t="n"/>
      <c r="C306" s="29" t="n"/>
      <c r="D306" s="29" t="n"/>
      <c r="E306" s="29" t="n"/>
      <c r="F306" s="29" t="n"/>
      <c r="G306" s="29" t="n"/>
      <c r="H306" s="29" t="n"/>
      <c r="I306" s="29" t="n"/>
      <c r="J306" s="29" t="n"/>
      <c r="K306" s="29" t="n"/>
      <c r="L306" s="49" t="n"/>
      <c r="M306" s="49" t="n"/>
      <c r="N306" s="29" t="n"/>
      <c r="O306" s="29" t="n"/>
      <c r="P306" s="29" t="n"/>
      <c r="Q306" s="51" t="n"/>
      <c r="R306" s="29" t="n"/>
      <c r="S306" s="52">
        <f>IF(OR(A306="",F306="",C306&lt;&gt;"Mekân"),0,IF(COUNTIFS($F$8:F306,F306,$C$8:C306,"Mekân")=1,1,0))</f>
        <v/>
      </c>
      <c r="T306" s="52">
        <f>IF(OR(A306="",F306="",C306&lt;&gt;"Kapak"),0,IF(COUNTIFS($F$8:F306,F306,$C$8:C306,"Kapak")=1,1,0))</f>
        <v/>
      </c>
    </row>
    <row r="307" ht="54" customHeight="1">
      <c r="A307" s="29" t="n"/>
      <c r="B307" s="29" t="n"/>
      <c r="C307" s="29" t="n"/>
      <c r="D307" s="29" t="n"/>
      <c r="E307" s="29" t="n"/>
      <c r="F307" s="29" t="n"/>
      <c r="G307" s="29" t="n"/>
      <c r="H307" s="29" t="n"/>
      <c r="I307" s="29" t="n"/>
      <c r="J307" s="29" t="n"/>
      <c r="K307" s="29" t="n"/>
      <c r="L307" s="49" t="n"/>
      <c r="M307" s="49" t="n"/>
      <c r="N307" s="29" t="n"/>
      <c r="O307" s="29" t="n"/>
      <c r="P307" s="29" t="n"/>
      <c r="Q307" s="51" t="n"/>
      <c r="R307" s="29" t="n"/>
      <c r="S307" s="52">
        <f>IF(OR(A307="",F307="",C307&lt;&gt;"Mekân"),0,IF(COUNTIFS($F$8:F307,F307,$C$8:C307,"Mekân")=1,1,0))</f>
        <v/>
      </c>
      <c r="T307" s="52">
        <f>IF(OR(A307="",F307="",C307&lt;&gt;"Kapak"),0,IF(COUNTIFS($F$8:F307,F307,$C$8:C307,"Kapak")=1,1,0))</f>
        <v/>
      </c>
    </row>
    <row r="308" ht="54" customHeight="1">
      <c r="A308" s="29" t="n"/>
      <c r="B308" s="29" t="n"/>
      <c r="C308" s="29" t="n"/>
      <c r="D308" s="29" t="n"/>
      <c r="E308" s="29" t="n"/>
      <c r="F308" s="29" t="n"/>
      <c r="G308" s="29" t="n"/>
      <c r="H308" s="29" t="n"/>
      <c r="I308" s="29" t="n"/>
      <c r="J308" s="29" t="n"/>
      <c r="K308" s="29" t="n"/>
      <c r="L308" s="49" t="n"/>
      <c r="M308" s="49" t="n"/>
      <c r="N308" s="29" t="n"/>
      <c r="O308" s="29" t="n"/>
      <c r="P308" s="29" t="n"/>
      <c r="Q308" s="51" t="n"/>
      <c r="R308" s="29" t="n"/>
      <c r="S308" s="52">
        <f>IF(OR(A308="",F308="",C308&lt;&gt;"Mekân"),0,IF(COUNTIFS($F$8:F308,F308,$C$8:C308,"Mekân")=1,1,0))</f>
        <v/>
      </c>
      <c r="T308" s="52">
        <f>IF(OR(A308="",F308="",C308&lt;&gt;"Kapak"),0,IF(COUNTIFS($F$8:F308,F308,$C$8:C308,"Kapak")=1,1,0))</f>
        <v/>
      </c>
    </row>
    <row r="309" ht="54" customHeight="1">
      <c r="A309" s="29" t="n"/>
      <c r="B309" s="29" t="n"/>
      <c r="C309" s="29" t="n"/>
      <c r="D309" s="29" t="n"/>
      <c r="E309" s="29" t="n"/>
      <c r="F309" s="29" t="n"/>
      <c r="G309" s="29" t="n"/>
      <c r="H309" s="29" t="n"/>
      <c r="I309" s="29" t="n"/>
      <c r="J309" s="29" t="n"/>
      <c r="K309" s="29" t="n"/>
      <c r="L309" s="49" t="n"/>
      <c r="M309" s="49" t="n"/>
      <c r="N309" s="29" t="n"/>
      <c r="O309" s="29" t="n"/>
      <c r="P309" s="29" t="n"/>
      <c r="Q309" s="51" t="n"/>
      <c r="R309" s="29" t="n"/>
      <c r="S309" s="52">
        <f>IF(OR(A309="",F309="",C309&lt;&gt;"Mekân"),0,IF(COUNTIFS($F$8:F309,F309,$C$8:C309,"Mekân")=1,1,0))</f>
        <v/>
      </c>
      <c r="T309" s="52">
        <f>IF(OR(A309="",F309="",C309&lt;&gt;"Kapak"),0,IF(COUNTIFS($F$8:F309,F309,$C$8:C309,"Kapak")=1,1,0))</f>
        <v/>
      </c>
    </row>
    <row r="310" ht="54" customHeight="1">
      <c r="A310" s="29" t="n"/>
      <c r="B310" s="29" t="n"/>
      <c r="C310" s="29" t="n"/>
      <c r="D310" s="29" t="n"/>
      <c r="E310" s="29" t="n"/>
      <c r="F310" s="29" t="n"/>
      <c r="G310" s="29" t="n"/>
      <c r="H310" s="29" t="n"/>
      <c r="I310" s="29" t="n"/>
      <c r="J310" s="29" t="n"/>
      <c r="K310" s="29" t="n"/>
      <c r="L310" s="49" t="n"/>
      <c r="M310" s="49" t="n"/>
      <c r="N310" s="29" t="n"/>
      <c r="O310" s="29" t="n"/>
      <c r="P310" s="29" t="n"/>
      <c r="Q310" s="51" t="n"/>
      <c r="R310" s="29" t="n"/>
      <c r="S310" s="52">
        <f>IF(OR(A310="",F310="",C310&lt;&gt;"Mekân"),0,IF(COUNTIFS($F$8:F310,F310,$C$8:C310,"Mekân")=1,1,0))</f>
        <v/>
      </c>
      <c r="T310" s="52">
        <f>IF(OR(A310="",F310="",C310&lt;&gt;"Kapak"),0,IF(COUNTIFS($F$8:F310,F310,$C$8:C310,"Kapak")=1,1,0))</f>
        <v/>
      </c>
    </row>
    <row r="311" ht="54" customHeight="1">
      <c r="A311" s="29" t="n"/>
      <c r="B311" s="29" t="n"/>
      <c r="C311" s="29" t="n"/>
      <c r="D311" s="29" t="n"/>
      <c r="E311" s="29" t="n"/>
      <c r="F311" s="29" t="n"/>
      <c r="G311" s="29" t="n"/>
      <c r="H311" s="29" t="n"/>
      <c r="I311" s="29" t="n"/>
      <c r="J311" s="29" t="n"/>
      <c r="K311" s="29" t="n"/>
      <c r="L311" s="49" t="n"/>
      <c r="M311" s="49" t="n"/>
      <c r="N311" s="29" t="n"/>
      <c r="O311" s="29" t="n"/>
      <c r="P311" s="29" t="n"/>
      <c r="Q311" s="51" t="n"/>
      <c r="R311" s="29" t="n"/>
      <c r="S311" s="52">
        <f>IF(OR(A311="",F311="",C311&lt;&gt;"Mekân"),0,IF(COUNTIFS($F$8:F311,F311,$C$8:C311,"Mekân")=1,1,0))</f>
        <v/>
      </c>
      <c r="T311" s="52">
        <f>IF(OR(A311="",F311="",C311&lt;&gt;"Kapak"),0,IF(COUNTIFS($F$8:F311,F311,$C$8:C311,"Kapak")=1,1,0))</f>
        <v/>
      </c>
    </row>
    <row r="312" ht="54" customHeight="1">
      <c r="A312" s="29" t="n"/>
      <c r="B312" s="29" t="n"/>
      <c r="C312" s="29" t="n"/>
      <c r="D312" s="29" t="n"/>
      <c r="E312" s="29" t="n"/>
      <c r="F312" s="29" t="n"/>
      <c r="G312" s="29" t="n"/>
      <c r="H312" s="29" t="n"/>
      <c r="I312" s="29" t="n"/>
      <c r="J312" s="29" t="n"/>
      <c r="K312" s="29" t="n"/>
      <c r="L312" s="49" t="n"/>
      <c r="M312" s="49" t="n"/>
      <c r="N312" s="29" t="n"/>
      <c r="O312" s="29" t="n"/>
      <c r="P312" s="29" t="n"/>
      <c r="Q312" s="51" t="n"/>
      <c r="R312" s="29" t="n"/>
      <c r="S312" s="52">
        <f>IF(OR(A312="",F312="",C312&lt;&gt;"Mekân"),0,IF(COUNTIFS($F$8:F312,F312,$C$8:C312,"Mekân")=1,1,0))</f>
        <v/>
      </c>
      <c r="T312" s="52">
        <f>IF(OR(A312="",F312="",C312&lt;&gt;"Kapak"),0,IF(COUNTIFS($F$8:F312,F312,$C$8:C312,"Kapak")=1,1,0))</f>
        <v/>
      </c>
    </row>
    <row r="313" ht="54" customHeight="1">
      <c r="A313" s="29" t="n"/>
      <c r="B313" s="29" t="n"/>
      <c r="C313" s="29" t="n"/>
      <c r="D313" s="29" t="n"/>
      <c r="E313" s="29" t="n"/>
      <c r="F313" s="29" t="n"/>
      <c r="G313" s="29" t="n"/>
      <c r="H313" s="29" t="n"/>
      <c r="I313" s="29" t="n"/>
      <c r="J313" s="29" t="n"/>
      <c r="K313" s="29" t="n"/>
      <c r="L313" s="49" t="n"/>
      <c r="M313" s="49" t="n"/>
      <c r="N313" s="29" t="n"/>
      <c r="O313" s="29" t="n"/>
      <c r="P313" s="29" t="n"/>
      <c r="Q313" s="51" t="n"/>
      <c r="R313" s="29" t="n"/>
      <c r="S313" s="52">
        <f>IF(OR(A313="",F313="",C313&lt;&gt;"Mekân"),0,IF(COUNTIFS($F$8:F313,F313,$C$8:C313,"Mekân")=1,1,0))</f>
        <v/>
      </c>
      <c r="T313" s="52">
        <f>IF(OR(A313="",F313="",C313&lt;&gt;"Kapak"),0,IF(COUNTIFS($F$8:F313,F313,$C$8:C313,"Kapak")=1,1,0))</f>
        <v/>
      </c>
    </row>
    <row r="314" ht="54" customHeight="1">
      <c r="A314" s="29" t="n"/>
      <c r="B314" s="29" t="n"/>
      <c r="C314" s="29" t="n"/>
      <c r="D314" s="29" t="n"/>
      <c r="E314" s="29" t="n"/>
      <c r="F314" s="29" t="n"/>
      <c r="G314" s="29" t="n"/>
      <c r="H314" s="29" t="n"/>
      <c r="I314" s="29" t="n"/>
      <c r="J314" s="29" t="n"/>
      <c r="K314" s="29" t="n"/>
      <c r="L314" s="49" t="n"/>
      <c r="M314" s="49" t="n"/>
      <c r="N314" s="29" t="n"/>
      <c r="O314" s="29" t="n"/>
      <c r="P314" s="29" t="n"/>
      <c r="Q314" s="51" t="n"/>
      <c r="R314" s="29" t="n"/>
      <c r="S314" s="52">
        <f>IF(OR(A314="",F314="",C314&lt;&gt;"Mekân"),0,IF(COUNTIFS($F$8:F314,F314,$C$8:C314,"Mekân")=1,1,0))</f>
        <v/>
      </c>
      <c r="T314" s="52">
        <f>IF(OR(A314="",F314="",C314&lt;&gt;"Kapak"),0,IF(COUNTIFS($F$8:F314,F314,$C$8:C314,"Kapak")=1,1,0))</f>
        <v/>
      </c>
    </row>
    <row r="315" ht="54" customHeight="1">
      <c r="A315" s="29" t="n"/>
      <c r="B315" s="29" t="n"/>
      <c r="C315" s="29" t="n"/>
      <c r="D315" s="29" t="n"/>
      <c r="E315" s="29" t="n"/>
      <c r="F315" s="29" t="n"/>
      <c r="G315" s="29" t="n"/>
      <c r="H315" s="29" t="n"/>
      <c r="I315" s="29" t="n"/>
      <c r="J315" s="29" t="n"/>
      <c r="K315" s="29" t="n"/>
      <c r="L315" s="49" t="n"/>
      <c r="M315" s="49" t="n"/>
      <c r="N315" s="29" t="n"/>
      <c r="O315" s="29" t="n"/>
      <c r="P315" s="29" t="n"/>
      <c r="Q315" s="51" t="n"/>
      <c r="R315" s="29" t="n"/>
      <c r="S315" s="52">
        <f>IF(OR(A315="",F315="",C315&lt;&gt;"Mekân"),0,IF(COUNTIFS($F$8:F315,F315,$C$8:C315,"Mekân")=1,1,0))</f>
        <v/>
      </c>
      <c r="T315" s="52">
        <f>IF(OR(A315="",F315="",C315&lt;&gt;"Kapak"),0,IF(COUNTIFS($F$8:F315,F315,$C$8:C315,"Kapak")=1,1,0))</f>
        <v/>
      </c>
    </row>
    <row r="316" ht="54" customHeight="1">
      <c r="A316" s="29" t="n"/>
      <c r="B316" s="29" t="n"/>
      <c r="C316" s="29" t="n"/>
      <c r="D316" s="29" t="n"/>
      <c r="E316" s="29" t="n"/>
      <c r="F316" s="29" t="n"/>
      <c r="G316" s="29" t="n"/>
      <c r="H316" s="29" t="n"/>
      <c r="I316" s="29" t="n"/>
      <c r="J316" s="29" t="n"/>
      <c r="K316" s="29" t="n"/>
      <c r="L316" s="49" t="n"/>
      <c r="M316" s="49" t="n"/>
      <c r="N316" s="29" t="n"/>
      <c r="O316" s="29" t="n"/>
      <c r="P316" s="29" t="n"/>
      <c r="Q316" s="51" t="n"/>
      <c r="R316" s="29" t="n"/>
      <c r="S316" s="52">
        <f>IF(OR(A316="",F316="",C316&lt;&gt;"Mekân"),0,IF(COUNTIFS($F$8:F316,F316,$C$8:C316,"Mekân")=1,1,0))</f>
        <v/>
      </c>
      <c r="T316" s="52">
        <f>IF(OR(A316="",F316="",C316&lt;&gt;"Kapak"),0,IF(COUNTIFS($F$8:F316,F316,$C$8:C316,"Kapak")=1,1,0))</f>
        <v/>
      </c>
    </row>
    <row r="317" ht="54" customHeight="1">
      <c r="A317" s="29" t="n"/>
      <c r="B317" s="29" t="n"/>
      <c r="C317" s="29" t="n"/>
      <c r="D317" s="29" t="n"/>
      <c r="E317" s="29" t="n"/>
      <c r="F317" s="29" t="n"/>
      <c r="G317" s="29" t="n"/>
      <c r="H317" s="29" t="n"/>
      <c r="I317" s="29" t="n"/>
      <c r="J317" s="29" t="n"/>
      <c r="K317" s="29" t="n"/>
      <c r="L317" s="49" t="n"/>
      <c r="M317" s="49" t="n"/>
      <c r="N317" s="29" t="n"/>
      <c r="O317" s="29" t="n"/>
      <c r="P317" s="29" t="n"/>
      <c r="Q317" s="51" t="n"/>
      <c r="R317" s="29" t="n"/>
      <c r="S317" s="52">
        <f>IF(OR(A317="",F317="",C317&lt;&gt;"Mekân"),0,IF(COUNTIFS($F$8:F317,F317,$C$8:C317,"Mekân")=1,1,0))</f>
        <v/>
      </c>
      <c r="T317" s="52">
        <f>IF(OR(A317="",F317="",C317&lt;&gt;"Kapak"),0,IF(COUNTIFS($F$8:F317,F317,$C$8:C317,"Kapak")=1,1,0))</f>
        <v/>
      </c>
    </row>
    <row r="318" ht="54" customHeight="1">
      <c r="A318" s="29" t="n"/>
      <c r="B318" s="29" t="n"/>
      <c r="C318" s="29" t="n"/>
      <c r="D318" s="29" t="n"/>
      <c r="E318" s="29" t="n"/>
      <c r="F318" s="29" t="n"/>
      <c r="G318" s="29" t="n"/>
      <c r="H318" s="29" t="n"/>
      <c r="I318" s="29" t="n"/>
      <c r="J318" s="29" t="n"/>
      <c r="K318" s="29" t="n"/>
      <c r="L318" s="49" t="n"/>
      <c r="M318" s="49" t="n"/>
      <c r="N318" s="29" t="n"/>
      <c r="O318" s="29" t="n"/>
      <c r="P318" s="29" t="n"/>
      <c r="Q318" s="51" t="n"/>
      <c r="R318" s="29" t="n"/>
      <c r="S318" s="52">
        <f>IF(OR(A318="",F318="",C318&lt;&gt;"Mekân"),0,IF(COUNTIFS($F$8:F318,F318,$C$8:C318,"Mekân")=1,1,0))</f>
        <v/>
      </c>
      <c r="T318" s="52">
        <f>IF(OR(A318="",F318="",C318&lt;&gt;"Kapak"),0,IF(COUNTIFS($F$8:F318,F318,$C$8:C318,"Kapak")=1,1,0))</f>
        <v/>
      </c>
    </row>
    <row r="319" ht="54" customHeight="1">
      <c r="A319" s="29" t="n"/>
      <c r="B319" s="29" t="n"/>
      <c r="C319" s="29" t="n"/>
      <c r="D319" s="29" t="n"/>
      <c r="E319" s="29" t="n"/>
      <c r="F319" s="29" t="n"/>
      <c r="G319" s="29" t="n"/>
      <c r="H319" s="29" t="n"/>
      <c r="I319" s="29" t="n"/>
      <c r="J319" s="29" t="n"/>
      <c r="K319" s="29" t="n"/>
      <c r="L319" s="49" t="n"/>
      <c r="M319" s="49" t="n"/>
      <c r="N319" s="29" t="n"/>
      <c r="O319" s="29" t="n"/>
      <c r="P319" s="29" t="n"/>
      <c r="Q319" s="51" t="n"/>
      <c r="R319" s="29" t="n"/>
      <c r="S319" s="52">
        <f>IF(OR(A319="",F319="",C319&lt;&gt;"Mekân"),0,IF(COUNTIFS($F$8:F319,F319,$C$8:C319,"Mekân")=1,1,0))</f>
        <v/>
      </c>
      <c r="T319" s="52">
        <f>IF(OR(A319="",F319="",C319&lt;&gt;"Kapak"),0,IF(COUNTIFS($F$8:F319,F319,$C$8:C319,"Kapak")=1,1,0))</f>
        <v/>
      </c>
    </row>
    <row r="320" ht="54" customHeight="1">
      <c r="A320" s="29" t="n"/>
      <c r="B320" s="29" t="n"/>
      <c r="C320" s="29" t="n"/>
      <c r="D320" s="29" t="n"/>
      <c r="E320" s="29" t="n"/>
      <c r="F320" s="29" t="n"/>
      <c r="G320" s="29" t="n"/>
      <c r="H320" s="29" t="n"/>
      <c r="I320" s="29" t="n"/>
      <c r="J320" s="29" t="n"/>
      <c r="K320" s="29" t="n"/>
      <c r="L320" s="49" t="n"/>
      <c r="M320" s="49" t="n"/>
      <c r="N320" s="29" t="n"/>
      <c r="O320" s="29" t="n"/>
      <c r="P320" s="29" t="n"/>
      <c r="Q320" s="51" t="n"/>
      <c r="R320" s="29" t="n"/>
      <c r="S320" s="52">
        <f>IF(OR(A320="",F320="",C320&lt;&gt;"Mekân"),0,IF(COUNTIFS($F$8:F320,F320,$C$8:C320,"Mekân")=1,1,0))</f>
        <v/>
      </c>
      <c r="T320" s="52">
        <f>IF(OR(A320="",F320="",C320&lt;&gt;"Kapak"),0,IF(COUNTIFS($F$8:F320,F320,$C$8:C320,"Kapak")=1,1,0))</f>
        <v/>
      </c>
    </row>
    <row r="321" ht="54" customHeight="1">
      <c r="A321" s="29" t="n"/>
      <c r="B321" s="29" t="n"/>
      <c r="C321" s="29" t="n"/>
      <c r="D321" s="29" t="n"/>
      <c r="E321" s="29" t="n"/>
      <c r="F321" s="29" t="n"/>
      <c r="G321" s="29" t="n"/>
      <c r="H321" s="29" t="n"/>
      <c r="I321" s="29" t="n"/>
      <c r="J321" s="29" t="n"/>
      <c r="K321" s="29" t="n"/>
      <c r="L321" s="49" t="n"/>
      <c r="M321" s="49" t="n"/>
      <c r="N321" s="29" t="n"/>
      <c r="O321" s="29" t="n"/>
      <c r="P321" s="29" t="n"/>
      <c r="Q321" s="51" t="n"/>
      <c r="R321" s="29" t="n"/>
      <c r="S321" s="52">
        <f>IF(OR(A321="",F321="",C321&lt;&gt;"Mekân"),0,IF(COUNTIFS($F$8:F321,F321,$C$8:C321,"Mekân")=1,1,0))</f>
        <v/>
      </c>
      <c r="T321" s="52">
        <f>IF(OR(A321="",F321="",C321&lt;&gt;"Kapak"),0,IF(COUNTIFS($F$8:F321,F321,$C$8:C321,"Kapak")=1,1,0))</f>
        <v/>
      </c>
    </row>
    <row r="322" ht="54" customHeight="1">
      <c r="A322" s="29" t="n"/>
      <c r="B322" s="29" t="n"/>
      <c r="C322" s="29" t="n"/>
      <c r="D322" s="29" t="n"/>
      <c r="E322" s="29" t="n"/>
      <c r="F322" s="29" t="n"/>
      <c r="G322" s="29" t="n"/>
      <c r="H322" s="29" t="n"/>
      <c r="I322" s="29" t="n"/>
      <c r="J322" s="29" t="n"/>
      <c r="K322" s="29" t="n"/>
      <c r="L322" s="49" t="n"/>
      <c r="M322" s="49" t="n"/>
      <c r="N322" s="29" t="n"/>
      <c r="O322" s="29" t="n"/>
      <c r="P322" s="29" t="n"/>
      <c r="Q322" s="51" t="n"/>
      <c r="R322" s="29" t="n"/>
      <c r="S322" s="52">
        <f>IF(OR(A322="",F322="",C322&lt;&gt;"Mekân"),0,IF(COUNTIFS($F$8:F322,F322,$C$8:C322,"Mekân")=1,1,0))</f>
        <v/>
      </c>
      <c r="T322" s="52">
        <f>IF(OR(A322="",F322="",C322&lt;&gt;"Kapak"),0,IF(COUNTIFS($F$8:F322,F322,$C$8:C322,"Kapak")=1,1,0))</f>
        <v/>
      </c>
    </row>
    <row r="323" ht="54" customHeight="1">
      <c r="A323" s="29" t="n"/>
      <c r="B323" s="29" t="n"/>
      <c r="C323" s="29" t="n"/>
      <c r="D323" s="29" t="n"/>
      <c r="E323" s="29" t="n"/>
      <c r="F323" s="29" t="n"/>
      <c r="G323" s="29" t="n"/>
      <c r="H323" s="29" t="n"/>
      <c r="I323" s="29" t="n"/>
      <c r="J323" s="29" t="n"/>
      <c r="K323" s="29" t="n"/>
      <c r="L323" s="49" t="n"/>
      <c r="M323" s="49" t="n"/>
      <c r="N323" s="29" t="n"/>
      <c r="O323" s="29" t="n"/>
      <c r="P323" s="29" t="n"/>
      <c r="Q323" s="51" t="n"/>
      <c r="R323" s="29" t="n"/>
      <c r="S323" s="52">
        <f>IF(OR(A323="",F323="",C323&lt;&gt;"Mekân"),0,IF(COUNTIFS($F$8:F323,F323,$C$8:C323,"Mekân")=1,1,0))</f>
        <v/>
      </c>
      <c r="T323" s="52">
        <f>IF(OR(A323="",F323="",C323&lt;&gt;"Kapak"),0,IF(COUNTIFS($F$8:F323,F323,$C$8:C323,"Kapak")=1,1,0))</f>
        <v/>
      </c>
    </row>
    <row r="324" ht="54" customHeight="1">
      <c r="A324" s="29" t="n"/>
      <c r="B324" s="29" t="n"/>
      <c r="C324" s="29" t="n"/>
      <c r="D324" s="29" t="n"/>
      <c r="E324" s="29" t="n"/>
      <c r="F324" s="29" t="n"/>
      <c r="G324" s="29" t="n"/>
      <c r="H324" s="29" t="n"/>
      <c r="I324" s="29" t="n"/>
      <c r="J324" s="29" t="n"/>
      <c r="K324" s="29" t="n"/>
      <c r="L324" s="49" t="n"/>
      <c r="M324" s="49" t="n"/>
      <c r="N324" s="29" t="n"/>
      <c r="O324" s="29" t="n"/>
      <c r="P324" s="29" t="n"/>
      <c r="Q324" s="51" t="n"/>
      <c r="R324" s="29" t="n"/>
      <c r="S324" s="52">
        <f>IF(OR(A324="",F324="",C324&lt;&gt;"Mekân"),0,IF(COUNTIFS($F$8:F324,F324,$C$8:C324,"Mekân")=1,1,0))</f>
        <v/>
      </c>
      <c r="T324" s="52">
        <f>IF(OR(A324="",F324="",C324&lt;&gt;"Kapak"),0,IF(COUNTIFS($F$8:F324,F324,$C$8:C324,"Kapak")=1,1,0))</f>
        <v/>
      </c>
    </row>
    <row r="325" ht="54" customHeight="1">
      <c r="A325" s="29" t="n"/>
      <c r="B325" s="29" t="n"/>
      <c r="C325" s="29" t="n"/>
      <c r="D325" s="29" t="n"/>
      <c r="E325" s="29" t="n"/>
      <c r="F325" s="29" t="n"/>
      <c r="G325" s="29" t="n"/>
      <c r="H325" s="29" t="n"/>
      <c r="I325" s="29" t="n"/>
      <c r="J325" s="29" t="n"/>
      <c r="K325" s="29" t="n"/>
      <c r="L325" s="49" t="n"/>
      <c r="M325" s="49" t="n"/>
      <c r="N325" s="29" t="n"/>
      <c r="O325" s="29" t="n"/>
      <c r="P325" s="29" t="n"/>
      <c r="Q325" s="51" t="n"/>
      <c r="R325" s="29" t="n"/>
      <c r="S325" s="52">
        <f>IF(OR(A325="",F325="",C325&lt;&gt;"Mekân"),0,IF(COUNTIFS($F$8:F325,F325,$C$8:C325,"Mekân")=1,1,0))</f>
        <v/>
      </c>
      <c r="T325" s="52">
        <f>IF(OR(A325="",F325="",C325&lt;&gt;"Kapak"),0,IF(COUNTIFS($F$8:F325,F325,$C$8:C325,"Kapak")=1,1,0))</f>
        <v/>
      </c>
    </row>
    <row r="326" ht="54" customHeight="1">
      <c r="A326" s="29" t="n"/>
      <c r="B326" s="29" t="n"/>
      <c r="C326" s="29" t="n"/>
      <c r="D326" s="29" t="n"/>
      <c r="E326" s="29" t="n"/>
      <c r="F326" s="29" t="n"/>
      <c r="G326" s="29" t="n"/>
      <c r="H326" s="29" t="n"/>
      <c r="I326" s="29" t="n"/>
      <c r="J326" s="29" t="n"/>
      <c r="K326" s="29" t="n"/>
      <c r="L326" s="49" t="n"/>
      <c r="M326" s="49" t="n"/>
      <c r="N326" s="29" t="n"/>
      <c r="O326" s="29" t="n"/>
      <c r="P326" s="29" t="n"/>
      <c r="Q326" s="51" t="n"/>
      <c r="R326" s="29" t="n"/>
      <c r="S326" s="52">
        <f>IF(OR(A326="",F326="",C326&lt;&gt;"Mekân"),0,IF(COUNTIFS($F$8:F326,F326,$C$8:C326,"Mekân")=1,1,0))</f>
        <v/>
      </c>
      <c r="T326" s="52">
        <f>IF(OR(A326="",F326="",C326&lt;&gt;"Kapak"),0,IF(COUNTIFS($F$8:F326,F326,$C$8:C326,"Kapak")=1,1,0))</f>
        <v/>
      </c>
    </row>
    <row r="327" ht="54" customHeight="1">
      <c r="A327" s="29" t="n"/>
      <c r="B327" s="29" t="n"/>
      <c r="C327" s="29" t="n"/>
      <c r="D327" s="29" t="n"/>
      <c r="E327" s="29" t="n"/>
      <c r="F327" s="29" t="n"/>
      <c r="G327" s="29" t="n"/>
      <c r="H327" s="29" t="n"/>
      <c r="I327" s="29" t="n"/>
      <c r="J327" s="29" t="n"/>
      <c r="K327" s="29" t="n"/>
      <c r="L327" s="49" t="n"/>
      <c r="M327" s="49" t="n"/>
      <c r="N327" s="29" t="n"/>
      <c r="O327" s="29" t="n"/>
      <c r="P327" s="29" t="n"/>
      <c r="Q327" s="51" t="n"/>
      <c r="R327" s="29" t="n"/>
      <c r="S327" s="52">
        <f>IF(OR(A327="",F327="",C327&lt;&gt;"Mekân"),0,IF(COUNTIFS($F$8:F327,F327,$C$8:C327,"Mekân")=1,1,0))</f>
        <v/>
      </c>
      <c r="T327" s="52">
        <f>IF(OR(A327="",F327="",C327&lt;&gt;"Kapak"),0,IF(COUNTIFS($F$8:F327,F327,$C$8:C327,"Kapak")=1,1,0))</f>
        <v/>
      </c>
    </row>
    <row r="328" ht="54" customHeight="1">
      <c r="A328" s="29" t="n"/>
      <c r="B328" s="29" t="n"/>
      <c r="C328" s="29" t="n"/>
      <c r="D328" s="29" t="n"/>
      <c r="E328" s="29" t="n"/>
      <c r="F328" s="29" t="n"/>
      <c r="G328" s="29" t="n"/>
      <c r="H328" s="29" t="n"/>
      <c r="I328" s="29" t="n"/>
      <c r="J328" s="29" t="n"/>
      <c r="K328" s="29" t="n"/>
      <c r="L328" s="49" t="n"/>
      <c r="M328" s="49" t="n"/>
      <c r="N328" s="29" t="n"/>
      <c r="O328" s="29" t="n"/>
      <c r="P328" s="29" t="n"/>
      <c r="Q328" s="51" t="n"/>
      <c r="R328" s="29" t="n"/>
      <c r="S328" s="52">
        <f>IF(OR(A328="",F328="",C328&lt;&gt;"Mekân"),0,IF(COUNTIFS($F$8:F328,F328,$C$8:C328,"Mekân")=1,1,0))</f>
        <v/>
      </c>
      <c r="T328" s="52">
        <f>IF(OR(A328="",F328="",C328&lt;&gt;"Kapak"),0,IF(COUNTIFS($F$8:F328,F328,$C$8:C328,"Kapak")=1,1,0))</f>
        <v/>
      </c>
    </row>
    <row r="329" ht="54" customHeight="1">
      <c r="A329" s="29" t="n"/>
      <c r="B329" s="29" t="n"/>
      <c r="C329" s="29" t="n"/>
      <c r="D329" s="29" t="n"/>
      <c r="E329" s="29" t="n"/>
      <c r="F329" s="29" t="n"/>
      <c r="G329" s="29" t="n"/>
      <c r="H329" s="29" t="n"/>
      <c r="I329" s="29" t="n"/>
      <c r="J329" s="29" t="n"/>
      <c r="K329" s="29" t="n"/>
      <c r="L329" s="49" t="n"/>
      <c r="M329" s="49" t="n"/>
      <c r="N329" s="29" t="n"/>
      <c r="O329" s="29" t="n"/>
      <c r="P329" s="29" t="n"/>
      <c r="Q329" s="51" t="n"/>
      <c r="R329" s="29" t="n"/>
      <c r="S329" s="52">
        <f>IF(OR(A329="",F329="",C329&lt;&gt;"Mekân"),0,IF(COUNTIFS($F$8:F329,F329,$C$8:C329,"Mekân")=1,1,0))</f>
        <v/>
      </c>
      <c r="T329" s="52">
        <f>IF(OR(A329="",F329="",C329&lt;&gt;"Kapak"),0,IF(COUNTIFS($F$8:F329,F329,$C$8:C329,"Kapak")=1,1,0))</f>
        <v/>
      </c>
    </row>
    <row r="330" ht="54" customHeight="1">
      <c r="A330" s="29" t="n"/>
      <c r="B330" s="29" t="n"/>
      <c r="C330" s="29" t="n"/>
      <c r="D330" s="29" t="n"/>
      <c r="E330" s="29" t="n"/>
      <c r="F330" s="29" t="n"/>
      <c r="G330" s="29" t="n"/>
      <c r="H330" s="29" t="n"/>
      <c r="I330" s="29" t="n"/>
      <c r="J330" s="29" t="n"/>
      <c r="K330" s="29" t="n"/>
      <c r="L330" s="49" t="n"/>
      <c r="M330" s="49" t="n"/>
      <c r="N330" s="29" t="n"/>
      <c r="O330" s="29" t="n"/>
      <c r="P330" s="29" t="n"/>
      <c r="Q330" s="51" t="n"/>
      <c r="R330" s="29" t="n"/>
      <c r="S330" s="52">
        <f>IF(OR(A330="",F330="",C330&lt;&gt;"Mekân"),0,IF(COUNTIFS($F$8:F330,F330,$C$8:C330,"Mekân")=1,1,0))</f>
        <v/>
      </c>
      <c r="T330" s="52">
        <f>IF(OR(A330="",F330="",C330&lt;&gt;"Kapak"),0,IF(COUNTIFS($F$8:F330,F330,$C$8:C330,"Kapak")=1,1,0))</f>
        <v/>
      </c>
    </row>
    <row r="331" ht="54" customHeight="1">
      <c r="A331" s="29" t="n"/>
      <c r="B331" s="29" t="n"/>
      <c r="C331" s="29" t="n"/>
      <c r="D331" s="29" t="n"/>
      <c r="E331" s="29" t="n"/>
      <c r="F331" s="29" t="n"/>
      <c r="G331" s="29" t="n"/>
      <c r="H331" s="29" t="n"/>
      <c r="I331" s="29" t="n"/>
      <c r="J331" s="29" t="n"/>
      <c r="K331" s="29" t="n"/>
      <c r="L331" s="49" t="n"/>
      <c r="M331" s="49" t="n"/>
      <c r="N331" s="29" t="n"/>
      <c r="O331" s="29" t="n"/>
      <c r="P331" s="29" t="n"/>
      <c r="Q331" s="51" t="n"/>
      <c r="R331" s="29" t="n"/>
      <c r="S331" s="52">
        <f>IF(OR(A331="",F331="",C331&lt;&gt;"Mekân"),0,IF(COUNTIFS($F$8:F331,F331,$C$8:C331,"Mekân")=1,1,0))</f>
        <v/>
      </c>
      <c r="T331" s="52">
        <f>IF(OR(A331="",F331="",C331&lt;&gt;"Kapak"),0,IF(COUNTIFS($F$8:F331,F331,$C$8:C331,"Kapak")=1,1,0))</f>
        <v/>
      </c>
    </row>
    <row r="332" ht="54" customHeight="1">
      <c r="A332" s="29" t="n"/>
      <c r="B332" s="29" t="n"/>
      <c r="C332" s="29" t="n"/>
      <c r="D332" s="29" t="n"/>
      <c r="E332" s="29" t="n"/>
      <c r="F332" s="29" t="n"/>
      <c r="G332" s="29" t="n"/>
      <c r="H332" s="29" t="n"/>
      <c r="I332" s="29" t="n"/>
      <c r="J332" s="29" t="n"/>
      <c r="K332" s="29" t="n"/>
      <c r="L332" s="49" t="n"/>
      <c r="M332" s="49" t="n"/>
      <c r="N332" s="29" t="n"/>
      <c r="O332" s="29" t="n"/>
      <c r="P332" s="29" t="n"/>
      <c r="Q332" s="51" t="n"/>
      <c r="R332" s="29" t="n"/>
      <c r="S332" s="52">
        <f>IF(OR(A332="",F332="",C332&lt;&gt;"Mekân"),0,IF(COUNTIFS($F$8:F332,F332,$C$8:C332,"Mekân")=1,1,0))</f>
        <v/>
      </c>
      <c r="T332" s="52">
        <f>IF(OR(A332="",F332="",C332&lt;&gt;"Kapak"),0,IF(COUNTIFS($F$8:F332,F332,$C$8:C332,"Kapak")=1,1,0))</f>
        <v/>
      </c>
    </row>
    <row r="333" ht="54" customHeight="1">
      <c r="A333" s="29" t="n"/>
      <c r="B333" s="29" t="n"/>
      <c r="C333" s="29" t="n"/>
      <c r="D333" s="29" t="n"/>
      <c r="E333" s="29" t="n"/>
      <c r="F333" s="29" t="n"/>
      <c r="G333" s="29" t="n"/>
      <c r="H333" s="29" t="n"/>
      <c r="I333" s="29" t="n"/>
      <c r="J333" s="29" t="n"/>
      <c r="K333" s="29" t="n"/>
      <c r="L333" s="49" t="n"/>
      <c r="M333" s="49" t="n"/>
      <c r="N333" s="29" t="n"/>
      <c r="O333" s="29" t="n"/>
      <c r="P333" s="29" t="n"/>
      <c r="Q333" s="51" t="n"/>
      <c r="R333" s="29" t="n"/>
      <c r="S333" s="52">
        <f>IF(OR(A333="",F333="",C333&lt;&gt;"Mekân"),0,IF(COUNTIFS($F$8:F333,F333,$C$8:C333,"Mekân")=1,1,0))</f>
        <v/>
      </c>
      <c r="T333" s="52">
        <f>IF(OR(A333="",F333="",C333&lt;&gt;"Kapak"),0,IF(COUNTIFS($F$8:F333,F333,$C$8:C333,"Kapak")=1,1,0))</f>
        <v/>
      </c>
    </row>
    <row r="334" ht="54" customHeight="1">
      <c r="A334" s="29" t="n"/>
      <c r="B334" s="29" t="n"/>
      <c r="C334" s="29" t="n"/>
      <c r="D334" s="29" t="n"/>
      <c r="E334" s="29" t="n"/>
      <c r="F334" s="29" t="n"/>
      <c r="G334" s="29" t="n"/>
      <c r="H334" s="29" t="n"/>
      <c r="I334" s="29" t="n"/>
      <c r="J334" s="29" t="n"/>
      <c r="K334" s="29" t="n"/>
      <c r="L334" s="49" t="n"/>
      <c r="M334" s="49" t="n"/>
      <c r="N334" s="29" t="n"/>
      <c r="O334" s="29" t="n"/>
      <c r="P334" s="29" t="n"/>
      <c r="Q334" s="51" t="n"/>
      <c r="R334" s="29" t="n"/>
      <c r="S334" s="52">
        <f>IF(OR(A334="",F334="",C334&lt;&gt;"Mekân"),0,IF(COUNTIFS($F$8:F334,F334,$C$8:C334,"Mekân")=1,1,0))</f>
        <v/>
      </c>
      <c r="T334" s="52">
        <f>IF(OR(A334="",F334="",C334&lt;&gt;"Kapak"),0,IF(COUNTIFS($F$8:F334,F334,$C$8:C334,"Kapak")=1,1,0))</f>
        <v/>
      </c>
    </row>
    <row r="335" ht="54" customHeight="1">
      <c r="A335" s="29" t="n"/>
      <c r="B335" s="29" t="n"/>
      <c r="C335" s="29" t="n"/>
      <c r="D335" s="29" t="n"/>
      <c r="E335" s="29" t="n"/>
      <c r="F335" s="29" t="n"/>
      <c r="G335" s="29" t="n"/>
      <c r="H335" s="29" t="n"/>
      <c r="I335" s="29" t="n"/>
      <c r="J335" s="29" t="n"/>
      <c r="K335" s="29" t="n"/>
      <c r="L335" s="49" t="n"/>
      <c r="M335" s="49" t="n"/>
      <c r="N335" s="29" t="n"/>
      <c r="O335" s="29" t="n"/>
      <c r="P335" s="29" t="n"/>
      <c r="Q335" s="51" t="n"/>
      <c r="R335" s="29" t="n"/>
      <c r="S335" s="52">
        <f>IF(OR(A335="",F335="",C335&lt;&gt;"Mekân"),0,IF(COUNTIFS($F$8:F335,F335,$C$8:C335,"Mekân")=1,1,0))</f>
        <v/>
      </c>
      <c r="T335" s="52">
        <f>IF(OR(A335="",F335="",C335&lt;&gt;"Kapak"),0,IF(COUNTIFS($F$8:F335,F335,$C$8:C335,"Kapak")=1,1,0))</f>
        <v/>
      </c>
    </row>
    <row r="336" ht="54" customHeight="1">
      <c r="A336" s="29" t="n"/>
      <c r="B336" s="29" t="n"/>
      <c r="C336" s="29" t="n"/>
      <c r="D336" s="29" t="n"/>
      <c r="E336" s="29" t="n"/>
      <c r="F336" s="29" t="n"/>
      <c r="G336" s="29" t="n"/>
      <c r="H336" s="29" t="n"/>
      <c r="I336" s="29" t="n"/>
      <c r="J336" s="29" t="n"/>
      <c r="K336" s="29" t="n"/>
      <c r="L336" s="49" t="n"/>
      <c r="M336" s="49" t="n"/>
      <c r="N336" s="29" t="n"/>
      <c r="O336" s="29" t="n"/>
      <c r="P336" s="29" t="n"/>
      <c r="Q336" s="51" t="n"/>
      <c r="R336" s="29" t="n"/>
      <c r="S336" s="52">
        <f>IF(OR(A336="",F336="",C336&lt;&gt;"Mekân"),0,IF(COUNTIFS($F$8:F336,F336,$C$8:C336,"Mekân")=1,1,0))</f>
        <v/>
      </c>
      <c r="T336" s="52">
        <f>IF(OR(A336="",F336="",C336&lt;&gt;"Kapak"),0,IF(COUNTIFS($F$8:F336,F336,$C$8:C336,"Kapak")=1,1,0))</f>
        <v/>
      </c>
    </row>
    <row r="337" ht="54" customHeight="1">
      <c r="A337" s="29" t="n"/>
      <c r="B337" s="29" t="n"/>
      <c r="C337" s="29" t="n"/>
      <c r="D337" s="29" t="n"/>
      <c r="E337" s="29" t="n"/>
      <c r="F337" s="29" t="n"/>
      <c r="G337" s="29" t="n"/>
      <c r="H337" s="29" t="n"/>
      <c r="I337" s="29" t="n"/>
      <c r="J337" s="29" t="n"/>
      <c r="K337" s="29" t="n"/>
      <c r="L337" s="49" t="n"/>
      <c r="M337" s="49" t="n"/>
      <c r="N337" s="29" t="n"/>
      <c r="O337" s="29" t="n"/>
      <c r="P337" s="29" t="n"/>
      <c r="Q337" s="51" t="n"/>
      <c r="R337" s="29" t="n"/>
      <c r="S337" s="52">
        <f>IF(OR(A337="",F337="",C337&lt;&gt;"Mekân"),0,IF(COUNTIFS($F$8:F337,F337,$C$8:C337,"Mekân")=1,1,0))</f>
        <v/>
      </c>
      <c r="T337" s="52">
        <f>IF(OR(A337="",F337="",C337&lt;&gt;"Kapak"),0,IF(COUNTIFS($F$8:F337,F337,$C$8:C337,"Kapak")=1,1,0))</f>
        <v/>
      </c>
    </row>
    <row r="338" ht="54" customHeight="1">
      <c r="A338" s="29" t="n"/>
      <c r="B338" s="29" t="n"/>
      <c r="C338" s="29" t="n"/>
      <c r="D338" s="29" t="n"/>
      <c r="E338" s="29" t="n"/>
      <c r="F338" s="29" t="n"/>
      <c r="G338" s="29" t="n"/>
      <c r="H338" s="29" t="n"/>
      <c r="I338" s="29" t="n"/>
      <c r="J338" s="29" t="n"/>
      <c r="K338" s="29" t="n"/>
      <c r="L338" s="49" t="n"/>
      <c r="M338" s="49" t="n"/>
      <c r="N338" s="29" t="n"/>
      <c r="O338" s="29" t="n"/>
      <c r="P338" s="29" t="n"/>
      <c r="Q338" s="51" t="n"/>
      <c r="R338" s="29" t="n"/>
      <c r="S338" s="52">
        <f>IF(OR(A338="",F338="",C338&lt;&gt;"Mekân"),0,IF(COUNTIFS($F$8:F338,F338,$C$8:C338,"Mekân")=1,1,0))</f>
        <v/>
      </c>
      <c r="T338" s="52">
        <f>IF(OR(A338="",F338="",C338&lt;&gt;"Kapak"),0,IF(COUNTIFS($F$8:F338,F338,$C$8:C338,"Kapak")=1,1,0))</f>
        <v/>
      </c>
    </row>
    <row r="339" ht="54" customHeight="1">
      <c r="A339" s="29" t="n"/>
      <c r="B339" s="29" t="n"/>
      <c r="C339" s="29" t="n"/>
      <c r="D339" s="29" t="n"/>
      <c r="E339" s="29" t="n"/>
      <c r="F339" s="29" t="n"/>
      <c r="G339" s="29" t="n"/>
      <c r="H339" s="29" t="n"/>
      <c r="I339" s="29" t="n"/>
      <c r="J339" s="29" t="n"/>
      <c r="K339" s="29" t="n"/>
      <c r="L339" s="49" t="n"/>
      <c r="M339" s="49" t="n"/>
      <c r="N339" s="29" t="n"/>
      <c r="O339" s="29" t="n"/>
      <c r="P339" s="29" t="n"/>
      <c r="Q339" s="51" t="n"/>
      <c r="R339" s="29" t="n"/>
      <c r="S339" s="52">
        <f>IF(OR(A339="",F339="",C339&lt;&gt;"Mekân"),0,IF(COUNTIFS($F$8:F339,F339,$C$8:C339,"Mekân")=1,1,0))</f>
        <v/>
      </c>
      <c r="T339" s="52">
        <f>IF(OR(A339="",F339="",C339&lt;&gt;"Kapak"),0,IF(COUNTIFS($F$8:F339,F339,$C$8:C339,"Kapak")=1,1,0))</f>
        <v/>
      </c>
    </row>
    <row r="340" ht="54" customHeight="1">
      <c r="A340" s="29" t="n"/>
      <c r="B340" s="29" t="n"/>
      <c r="C340" s="29" t="n"/>
      <c r="D340" s="29" t="n"/>
      <c r="E340" s="29" t="n"/>
      <c r="F340" s="29" t="n"/>
      <c r="G340" s="29" t="n"/>
      <c r="H340" s="29" t="n"/>
      <c r="I340" s="29" t="n"/>
      <c r="J340" s="29" t="n"/>
      <c r="K340" s="29" t="n"/>
      <c r="L340" s="49" t="n"/>
      <c r="M340" s="49" t="n"/>
      <c r="N340" s="29" t="n"/>
      <c r="O340" s="29" t="n"/>
      <c r="P340" s="29" t="n"/>
      <c r="Q340" s="51" t="n"/>
      <c r="R340" s="29" t="n"/>
      <c r="S340" s="52">
        <f>IF(OR(A340="",F340="",C340&lt;&gt;"Mekân"),0,IF(COUNTIFS($F$8:F340,F340,$C$8:C340,"Mekân")=1,1,0))</f>
        <v/>
      </c>
      <c r="T340" s="52">
        <f>IF(OR(A340="",F340="",C340&lt;&gt;"Kapak"),0,IF(COUNTIFS($F$8:F340,F340,$C$8:C340,"Kapak")=1,1,0))</f>
        <v/>
      </c>
    </row>
    <row r="341" ht="54" customHeight="1">
      <c r="A341" s="29" t="n"/>
      <c r="B341" s="29" t="n"/>
      <c r="C341" s="29" t="n"/>
      <c r="D341" s="29" t="n"/>
      <c r="E341" s="29" t="n"/>
      <c r="F341" s="29" t="n"/>
      <c r="G341" s="29" t="n"/>
      <c r="H341" s="29" t="n"/>
      <c r="I341" s="29" t="n"/>
      <c r="J341" s="29" t="n"/>
      <c r="K341" s="29" t="n"/>
      <c r="L341" s="49" t="n"/>
      <c r="M341" s="49" t="n"/>
      <c r="N341" s="29" t="n"/>
      <c r="O341" s="29" t="n"/>
      <c r="P341" s="29" t="n"/>
      <c r="Q341" s="51" t="n"/>
      <c r="R341" s="29" t="n"/>
      <c r="S341" s="52">
        <f>IF(OR(A341="",F341="",C341&lt;&gt;"Mekân"),0,IF(COUNTIFS($F$8:F341,F341,$C$8:C341,"Mekân")=1,1,0))</f>
        <v/>
      </c>
      <c r="T341" s="52">
        <f>IF(OR(A341="",F341="",C341&lt;&gt;"Kapak"),0,IF(COUNTIFS($F$8:F341,F341,$C$8:C341,"Kapak")=1,1,0))</f>
        <v/>
      </c>
    </row>
    <row r="342" ht="54" customHeight="1">
      <c r="A342" s="29" t="n"/>
      <c r="B342" s="29" t="n"/>
      <c r="C342" s="29" t="n"/>
      <c r="D342" s="29" t="n"/>
      <c r="E342" s="29" t="n"/>
      <c r="F342" s="29" t="n"/>
      <c r="G342" s="29" t="n"/>
      <c r="H342" s="29" t="n"/>
      <c r="I342" s="29" t="n"/>
      <c r="J342" s="29" t="n"/>
      <c r="K342" s="29" t="n"/>
      <c r="L342" s="49" t="n"/>
      <c r="M342" s="49" t="n"/>
      <c r="N342" s="29" t="n"/>
      <c r="O342" s="29" t="n"/>
      <c r="P342" s="29" t="n"/>
      <c r="Q342" s="51" t="n"/>
      <c r="R342" s="29" t="n"/>
      <c r="S342" s="52">
        <f>IF(OR(A342="",F342="",C342&lt;&gt;"Mekân"),0,IF(COUNTIFS($F$8:F342,F342,$C$8:C342,"Mekân")=1,1,0))</f>
        <v/>
      </c>
      <c r="T342" s="52">
        <f>IF(OR(A342="",F342="",C342&lt;&gt;"Kapak"),0,IF(COUNTIFS($F$8:F342,F342,$C$8:C342,"Kapak")=1,1,0))</f>
        <v/>
      </c>
    </row>
    <row r="343" ht="54" customHeight="1">
      <c r="A343" s="29" t="n"/>
      <c r="B343" s="29" t="n"/>
      <c r="C343" s="29" t="n"/>
      <c r="D343" s="29" t="n"/>
      <c r="E343" s="29" t="n"/>
      <c r="F343" s="29" t="n"/>
      <c r="G343" s="29" t="n"/>
      <c r="H343" s="29" t="n"/>
      <c r="I343" s="29" t="n"/>
      <c r="J343" s="29" t="n"/>
      <c r="K343" s="29" t="n"/>
      <c r="L343" s="49" t="n"/>
      <c r="M343" s="49" t="n"/>
      <c r="N343" s="29" t="n"/>
      <c r="O343" s="29" t="n"/>
      <c r="P343" s="29" t="n"/>
      <c r="Q343" s="51" t="n"/>
      <c r="R343" s="29" t="n"/>
      <c r="S343" s="52">
        <f>IF(OR(A343="",F343="",C343&lt;&gt;"Mekân"),0,IF(COUNTIFS($F$8:F343,F343,$C$8:C343,"Mekân")=1,1,0))</f>
        <v/>
      </c>
      <c r="T343" s="52">
        <f>IF(OR(A343="",F343="",C343&lt;&gt;"Kapak"),0,IF(COUNTIFS($F$8:F343,F343,$C$8:C343,"Kapak")=1,1,0))</f>
        <v/>
      </c>
    </row>
    <row r="344" ht="54" customHeight="1">
      <c r="A344" s="29" t="n"/>
      <c r="B344" s="29" t="n"/>
      <c r="C344" s="29" t="n"/>
      <c r="D344" s="29" t="n"/>
      <c r="E344" s="29" t="n"/>
      <c r="F344" s="29" t="n"/>
      <c r="G344" s="29" t="n"/>
      <c r="H344" s="29" t="n"/>
      <c r="I344" s="29" t="n"/>
      <c r="J344" s="29" t="n"/>
      <c r="K344" s="29" t="n"/>
      <c r="L344" s="49" t="n"/>
      <c r="M344" s="49" t="n"/>
      <c r="N344" s="29" t="n"/>
      <c r="O344" s="29" t="n"/>
      <c r="P344" s="29" t="n"/>
      <c r="Q344" s="51" t="n"/>
      <c r="R344" s="29" t="n"/>
      <c r="S344" s="52">
        <f>IF(OR(A344="",F344="",C344&lt;&gt;"Mekân"),0,IF(COUNTIFS($F$8:F344,F344,$C$8:C344,"Mekân")=1,1,0))</f>
        <v/>
      </c>
      <c r="T344" s="52">
        <f>IF(OR(A344="",F344="",C344&lt;&gt;"Kapak"),0,IF(COUNTIFS($F$8:F344,F344,$C$8:C344,"Kapak")=1,1,0))</f>
        <v/>
      </c>
    </row>
    <row r="345" ht="54" customHeight="1">
      <c r="A345" s="29" t="n"/>
      <c r="B345" s="29" t="n"/>
      <c r="C345" s="29" t="n"/>
      <c r="D345" s="29" t="n"/>
      <c r="E345" s="29" t="n"/>
      <c r="F345" s="29" t="n"/>
      <c r="G345" s="29" t="n"/>
      <c r="H345" s="29" t="n"/>
      <c r="I345" s="29" t="n"/>
      <c r="J345" s="29" t="n"/>
      <c r="K345" s="29" t="n"/>
      <c r="L345" s="49" t="n"/>
      <c r="M345" s="49" t="n"/>
      <c r="N345" s="29" t="n"/>
      <c r="O345" s="29" t="n"/>
      <c r="P345" s="29" t="n"/>
      <c r="Q345" s="51" t="n"/>
      <c r="R345" s="29" t="n"/>
      <c r="S345" s="52">
        <f>IF(OR(A345="",F345="",C345&lt;&gt;"Mekân"),0,IF(COUNTIFS($F$8:F345,F345,$C$8:C345,"Mekân")=1,1,0))</f>
        <v/>
      </c>
      <c r="T345" s="52">
        <f>IF(OR(A345="",F345="",C345&lt;&gt;"Kapak"),0,IF(COUNTIFS($F$8:F345,F345,$C$8:C345,"Kapak")=1,1,0))</f>
        <v/>
      </c>
    </row>
    <row r="346" ht="54" customHeight="1">
      <c r="A346" s="29" t="n"/>
      <c r="B346" s="29" t="n"/>
      <c r="C346" s="29" t="n"/>
      <c r="D346" s="29" t="n"/>
      <c r="E346" s="29" t="n"/>
      <c r="F346" s="29" t="n"/>
      <c r="G346" s="29" t="n"/>
      <c r="H346" s="29" t="n"/>
      <c r="I346" s="29" t="n"/>
      <c r="J346" s="29" t="n"/>
      <c r="K346" s="29" t="n"/>
      <c r="L346" s="49" t="n"/>
      <c r="M346" s="49" t="n"/>
      <c r="N346" s="29" t="n"/>
      <c r="O346" s="29" t="n"/>
      <c r="P346" s="29" t="n"/>
      <c r="Q346" s="51" t="n"/>
      <c r="R346" s="29" t="n"/>
      <c r="S346" s="52">
        <f>IF(OR(A346="",F346="",C346&lt;&gt;"Mekân"),0,IF(COUNTIFS($F$8:F346,F346,$C$8:C346,"Mekân")=1,1,0))</f>
        <v/>
      </c>
      <c r="T346" s="52">
        <f>IF(OR(A346="",F346="",C346&lt;&gt;"Kapak"),0,IF(COUNTIFS($F$8:F346,F346,$C$8:C346,"Kapak")=1,1,0))</f>
        <v/>
      </c>
    </row>
    <row r="347" ht="54" customHeight="1">
      <c r="A347" s="29" t="n"/>
      <c r="B347" s="29" t="n"/>
      <c r="C347" s="29" t="n"/>
      <c r="D347" s="29" t="n"/>
      <c r="E347" s="29" t="n"/>
      <c r="F347" s="29" t="n"/>
      <c r="G347" s="29" t="n"/>
      <c r="H347" s="29" t="n"/>
      <c r="I347" s="29" t="n"/>
      <c r="J347" s="29" t="n"/>
      <c r="K347" s="29" t="n"/>
      <c r="L347" s="49" t="n"/>
      <c r="M347" s="49" t="n"/>
      <c r="N347" s="29" t="n"/>
      <c r="O347" s="29" t="n"/>
      <c r="P347" s="29" t="n"/>
      <c r="Q347" s="51" t="n"/>
      <c r="R347" s="29" t="n"/>
      <c r="S347" s="52">
        <f>IF(OR(A347="",F347="",C347&lt;&gt;"Mekân"),0,IF(COUNTIFS($F$8:F347,F347,$C$8:C347,"Mekân")=1,1,0))</f>
        <v/>
      </c>
      <c r="T347" s="52">
        <f>IF(OR(A347="",F347="",C347&lt;&gt;"Kapak"),0,IF(COUNTIFS($F$8:F347,F347,$C$8:C347,"Kapak")=1,1,0))</f>
        <v/>
      </c>
    </row>
    <row r="348" ht="54" customHeight="1">
      <c r="A348" s="29" t="n"/>
      <c r="B348" s="29" t="n"/>
      <c r="C348" s="29" t="n"/>
      <c r="D348" s="29" t="n"/>
      <c r="E348" s="29" t="n"/>
      <c r="F348" s="29" t="n"/>
      <c r="G348" s="29" t="n"/>
      <c r="H348" s="29" t="n"/>
      <c r="I348" s="29" t="n"/>
      <c r="J348" s="29" t="n"/>
      <c r="K348" s="29" t="n"/>
      <c r="L348" s="49" t="n"/>
      <c r="M348" s="49" t="n"/>
      <c r="N348" s="29" t="n"/>
      <c r="O348" s="29" t="n"/>
      <c r="P348" s="29" t="n"/>
      <c r="Q348" s="51" t="n"/>
      <c r="R348" s="29" t="n"/>
      <c r="S348" s="52">
        <f>IF(OR(A348="",F348="",C348&lt;&gt;"Mekân"),0,IF(COUNTIFS($F$8:F348,F348,$C$8:C348,"Mekân")=1,1,0))</f>
        <v/>
      </c>
      <c r="T348" s="52">
        <f>IF(OR(A348="",F348="",C348&lt;&gt;"Kapak"),0,IF(COUNTIFS($F$8:F348,F348,$C$8:C348,"Kapak")=1,1,0))</f>
        <v/>
      </c>
    </row>
    <row r="349" ht="54" customHeight="1">
      <c r="A349" s="29" t="n"/>
      <c r="B349" s="29" t="n"/>
      <c r="C349" s="29" t="n"/>
      <c r="D349" s="29" t="n"/>
      <c r="E349" s="29" t="n"/>
      <c r="F349" s="29" t="n"/>
      <c r="G349" s="29" t="n"/>
      <c r="H349" s="29" t="n"/>
      <c r="I349" s="29" t="n"/>
      <c r="J349" s="29" t="n"/>
      <c r="K349" s="29" t="n"/>
      <c r="L349" s="49" t="n"/>
      <c r="M349" s="49" t="n"/>
      <c r="N349" s="29" t="n"/>
      <c r="O349" s="29" t="n"/>
      <c r="P349" s="29" t="n"/>
      <c r="Q349" s="51" t="n"/>
      <c r="R349" s="29" t="n"/>
      <c r="S349" s="52">
        <f>IF(OR(A349="",F349="",C349&lt;&gt;"Mekân"),0,IF(COUNTIFS($F$8:F349,F349,$C$8:C349,"Mekân")=1,1,0))</f>
        <v/>
      </c>
      <c r="T349" s="52">
        <f>IF(OR(A349="",F349="",C349&lt;&gt;"Kapak"),0,IF(COUNTIFS($F$8:F349,F349,$C$8:C349,"Kapak")=1,1,0))</f>
        <v/>
      </c>
    </row>
    <row r="350" ht="54" customHeight="1">
      <c r="A350" s="29" t="n"/>
      <c r="B350" s="29" t="n"/>
      <c r="C350" s="29" t="n"/>
      <c r="D350" s="29" t="n"/>
      <c r="E350" s="29" t="n"/>
      <c r="F350" s="29" t="n"/>
      <c r="G350" s="29" t="n"/>
      <c r="H350" s="29" t="n"/>
      <c r="I350" s="29" t="n"/>
      <c r="J350" s="29" t="n"/>
      <c r="K350" s="29" t="n"/>
      <c r="L350" s="49" t="n"/>
      <c r="M350" s="49" t="n"/>
      <c r="N350" s="29" t="n"/>
      <c r="O350" s="29" t="n"/>
      <c r="P350" s="29" t="n"/>
      <c r="Q350" s="51" t="n"/>
      <c r="R350" s="29" t="n"/>
      <c r="S350" s="52">
        <f>IF(OR(A350="",F350="",C350&lt;&gt;"Mekân"),0,IF(COUNTIFS($F$8:F350,F350,$C$8:C350,"Mekân")=1,1,0))</f>
        <v/>
      </c>
      <c r="T350" s="52">
        <f>IF(OR(A350="",F350="",C350&lt;&gt;"Kapak"),0,IF(COUNTIFS($F$8:F350,F350,$C$8:C350,"Kapak")=1,1,0))</f>
        <v/>
      </c>
    </row>
    <row r="351" ht="54" customHeight="1">
      <c r="A351" s="29" t="n"/>
      <c r="B351" s="29" t="n"/>
      <c r="C351" s="29" t="n"/>
      <c r="D351" s="29" t="n"/>
      <c r="E351" s="29" t="n"/>
      <c r="F351" s="29" t="n"/>
      <c r="G351" s="29" t="n"/>
      <c r="H351" s="29" t="n"/>
      <c r="I351" s="29" t="n"/>
      <c r="J351" s="29" t="n"/>
      <c r="K351" s="29" t="n"/>
      <c r="L351" s="49" t="n"/>
      <c r="M351" s="49" t="n"/>
      <c r="N351" s="29" t="n"/>
      <c r="O351" s="29" t="n"/>
      <c r="P351" s="29" t="n"/>
      <c r="Q351" s="51" t="n"/>
      <c r="R351" s="29" t="n"/>
      <c r="S351" s="52">
        <f>IF(OR(A351="",F351="",C351&lt;&gt;"Mekân"),0,IF(COUNTIFS($F$8:F351,F351,$C$8:C351,"Mekân")=1,1,0))</f>
        <v/>
      </c>
      <c r="T351" s="52">
        <f>IF(OR(A351="",F351="",C351&lt;&gt;"Kapak"),0,IF(COUNTIFS($F$8:F351,F351,$C$8:C351,"Kapak")=1,1,0))</f>
        <v/>
      </c>
    </row>
    <row r="352" ht="54" customHeight="1">
      <c r="A352" s="29" t="n"/>
      <c r="B352" s="29" t="n"/>
      <c r="C352" s="29" t="n"/>
      <c r="D352" s="29" t="n"/>
      <c r="E352" s="29" t="n"/>
      <c r="F352" s="29" t="n"/>
      <c r="G352" s="29" t="n"/>
      <c r="H352" s="29" t="n"/>
      <c r="I352" s="29" t="n"/>
      <c r="J352" s="29" t="n"/>
      <c r="K352" s="29" t="n"/>
      <c r="L352" s="49" t="n"/>
      <c r="M352" s="49" t="n"/>
      <c r="N352" s="29" t="n"/>
      <c r="O352" s="29" t="n"/>
      <c r="P352" s="29" t="n"/>
      <c r="Q352" s="51" t="n"/>
      <c r="R352" s="29" t="n"/>
      <c r="S352" s="52">
        <f>IF(OR(A352="",F352="",C352&lt;&gt;"Mekân"),0,IF(COUNTIFS($F$8:F352,F352,$C$8:C352,"Mekân")=1,1,0))</f>
        <v/>
      </c>
      <c r="T352" s="52">
        <f>IF(OR(A352="",F352="",C352&lt;&gt;"Kapak"),0,IF(COUNTIFS($F$8:F352,F352,$C$8:C352,"Kapak")=1,1,0))</f>
        <v/>
      </c>
    </row>
    <row r="353" ht="54" customHeight="1">
      <c r="A353" s="29" t="n"/>
      <c r="B353" s="29" t="n"/>
      <c r="C353" s="29" t="n"/>
      <c r="D353" s="29" t="n"/>
      <c r="E353" s="29" t="n"/>
      <c r="F353" s="29" t="n"/>
      <c r="G353" s="29" t="n"/>
      <c r="H353" s="29" t="n"/>
      <c r="I353" s="29" t="n"/>
      <c r="J353" s="29" t="n"/>
      <c r="K353" s="29" t="n"/>
      <c r="L353" s="49" t="n"/>
      <c r="M353" s="49" t="n"/>
      <c r="N353" s="29" t="n"/>
      <c r="O353" s="29" t="n"/>
      <c r="P353" s="29" t="n"/>
      <c r="Q353" s="51" t="n"/>
      <c r="R353" s="29" t="n"/>
      <c r="S353" s="52">
        <f>IF(OR(A353="",F353="",C353&lt;&gt;"Mekân"),0,IF(COUNTIFS($F$8:F353,F353,$C$8:C353,"Mekân")=1,1,0))</f>
        <v/>
      </c>
      <c r="T353" s="52">
        <f>IF(OR(A353="",F353="",C353&lt;&gt;"Kapak"),0,IF(COUNTIFS($F$8:F353,F353,$C$8:C353,"Kapak")=1,1,0))</f>
        <v/>
      </c>
    </row>
    <row r="354" ht="54" customHeight="1">
      <c r="A354" s="29" t="n"/>
      <c r="B354" s="29" t="n"/>
      <c r="C354" s="29" t="n"/>
      <c r="D354" s="29" t="n"/>
      <c r="E354" s="29" t="n"/>
      <c r="F354" s="29" t="n"/>
      <c r="G354" s="29" t="n"/>
      <c r="H354" s="29" t="n"/>
      <c r="I354" s="29" t="n"/>
      <c r="J354" s="29" t="n"/>
      <c r="K354" s="29" t="n"/>
      <c r="L354" s="49" t="n"/>
      <c r="M354" s="49" t="n"/>
      <c r="N354" s="29" t="n"/>
      <c r="O354" s="29" t="n"/>
      <c r="P354" s="29" t="n"/>
      <c r="Q354" s="51" t="n"/>
      <c r="R354" s="29" t="n"/>
      <c r="S354" s="52">
        <f>IF(OR(A354="",F354="",C354&lt;&gt;"Mekân"),0,IF(COUNTIFS($F$8:F354,F354,$C$8:C354,"Mekân")=1,1,0))</f>
        <v/>
      </c>
      <c r="T354" s="52">
        <f>IF(OR(A354="",F354="",C354&lt;&gt;"Kapak"),0,IF(COUNTIFS($F$8:F354,F354,$C$8:C354,"Kapak")=1,1,0))</f>
        <v/>
      </c>
    </row>
    <row r="355" ht="54" customHeight="1">
      <c r="A355" s="29" t="n"/>
      <c r="B355" s="29" t="n"/>
      <c r="C355" s="29" t="n"/>
      <c r="D355" s="29" t="n"/>
      <c r="E355" s="29" t="n"/>
      <c r="F355" s="29" t="n"/>
      <c r="G355" s="29" t="n"/>
      <c r="H355" s="29" t="n"/>
      <c r="I355" s="29" t="n"/>
      <c r="J355" s="29" t="n"/>
      <c r="K355" s="29" t="n"/>
      <c r="L355" s="49" t="n"/>
      <c r="M355" s="49" t="n"/>
      <c r="N355" s="29" t="n"/>
      <c r="O355" s="29" t="n"/>
      <c r="P355" s="29" t="n"/>
      <c r="Q355" s="51" t="n"/>
      <c r="R355" s="29" t="n"/>
      <c r="S355" s="52">
        <f>IF(OR(A355="",F355="",C355&lt;&gt;"Mekân"),0,IF(COUNTIFS($F$8:F355,F355,$C$8:C355,"Mekân")=1,1,0))</f>
        <v/>
      </c>
      <c r="T355" s="52">
        <f>IF(OR(A355="",F355="",C355&lt;&gt;"Kapak"),0,IF(COUNTIFS($F$8:F355,F355,$C$8:C355,"Kapak")=1,1,0))</f>
        <v/>
      </c>
    </row>
    <row r="356" ht="54" customHeight="1">
      <c r="A356" s="29" t="n"/>
      <c r="B356" s="29" t="n"/>
      <c r="C356" s="29" t="n"/>
      <c r="D356" s="29" t="n"/>
      <c r="E356" s="29" t="n"/>
      <c r="F356" s="29" t="n"/>
      <c r="G356" s="29" t="n"/>
      <c r="H356" s="29" t="n"/>
      <c r="I356" s="29" t="n"/>
      <c r="J356" s="29" t="n"/>
      <c r="K356" s="29" t="n"/>
      <c r="L356" s="49" t="n"/>
      <c r="M356" s="49" t="n"/>
      <c r="N356" s="29" t="n"/>
      <c r="O356" s="29" t="n"/>
      <c r="P356" s="29" t="n"/>
      <c r="Q356" s="51" t="n"/>
      <c r="R356" s="29" t="n"/>
      <c r="S356" s="52">
        <f>IF(OR(A356="",F356="",C356&lt;&gt;"Mekân"),0,IF(COUNTIFS($F$8:F356,F356,$C$8:C356,"Mekân")=1,1,0))</f>
        <v/>
      </c>
      <c r="T356" s="52">
        <f>IF(OR(A356="",F356="",C356&lt;&gt;"Kapak"),0,IF(COUNTIFS($F$8:F356,F356,$C$8:C356,"Kapak")=1,1,0))</f>
        <v/>
      </c>
    </row>
    <row r="357" ht="54" customHeight="1">
      <c r="A357" s="29" t="n"/>
      <c r="B357" s="29" t="n"/>
      <c r="C357" s="29" t="n"/>
      <c r="D357" s="29" t="n"/>
      <c r="E357" s="29" t="n"/>
      <c r="F357" s="29" t="n"/>
      <c r="G357" s="29" t="n"/>
      <c r="H357" s="29" t="n"/>
      <c r="I357" s="29" t="n"/>
      <c r="J357" s="29" t="n"/>
      <c r="K357" s="29" t="n"/>
      <c r="L357" s="49" t="n"/>
      <c r="M357" s="49" t="n"/>
      <c r="N357" s="29" t="n"/>
      <c r="O357" s="29" t="n"/>
      <c r="P357" s="29" t="n"/>
      <c r="Q357" s="51" t="n"/>
      <c r="R357" s="29" t="n"/>
      <c r="S357" s="52">
        <f>IF(OR(A357="",F357="",C357&lt;&gt;"Mekân"),0,IF(COUNTIFS($F$8:F357,F357,$C$8:C357,"Mekân")=1,1,0))</f>
        <v/>
      </c>
      <c r="T357" s="52">
        <f>IF(OR(A357="",F357="",C357&lt;&gt;"Kapak"),0,IF(COUNTIFS($F$8:F357,F357,$C$8:C357,"Kapak")=1,1,0))</f>
        <v/>
      </c>
    </row>
    <row r="358">
      <c r="S358" s="52">
        <f>IF(OR(A358="",F358="",C358&lt;&gt;"Mekân"),0,IF(COUNTIFS($F$8:F358,F358,$C$8:C358,"Mekân")=1,1,0))</f>
        <v/>
      </c>
      <c r="T358" s="52">
        <f>IF(OR(A358="",F358="",C358&lt;&gt;"Kapak"),0,IF(COUNTIFS($F$8:F358,F358,$C$8:C358,"Kapak")=1,1,0))</f>
        <v/>
      </c>
    </row>
    <row r="359">
      <c r="S359" s="52">
        <f>IF(OR(A359="",F359="",C359&lt;&gt;"Mekân"),0,IF(COUNTIFS($F$8:F359,F359,$C$8:C359,"Mekân")=1,1,0))</f>
        <v/>
      </c>
      <c r="T359" s="52">
        <f>IF(OR(A359="",F359="",C359&lt;&gt;"Kapak"),0,IF(COUNTIFS($F$8:F359,F359,$C$8:C359,"Kapak")=1,1,0))</f>
        <v/>
      </c>
    </row>
    <row r="360">
      <c r="S360" s="52">
        <f>IF(OR(A360="",F360="",C360&lt;&gt;"Mekân"),0,IF(COUNTIFS($F$8:F360,F360,$C$8:C360,"Mekân")=1,1,0))</f>
        <v/>
      </c>
      <c r="T360" s="52">
        <f>IF(OR(A360="",F360="",C360&lt;&gt;"Kapak"),0,IF(COUNTIFS($F$8:F360,F360,$C$8:C360,"Kapak")=1,1,0))</f>
        <v/>
      </c>
    </row>
    <row r="361">
      <c r="S361" s="52">
        <f>IF(OR(A361="",F361="",C361&lt;&gt;"Mekân"),0,IF(COUNTIFS($F$8:F361,F361,$C$8:C361,"Mekân")=1,1,0))</f>
        <v/>
      </c>
      <c r="T361" s="52">
        <f>IF(OR(A361="",F361="",C361&lt;&gt;"Kapak"),0,IF(COUNTIFS($F$8:F361,F361,$C$8:C361,"Kapak")=1,1,0))</f>
        <v/>
      </c>
    </row>
    <row r="362">
      <c r="S362" s="52">
        <f>IF(OR(A362="",F362="",C362&lt;&gt;"Mekân"),0,IF(COUNTIFS($F$8:F362,F362,$C$8:C362,"Mekân")=1,1,0))</f>
        <v/>
      </c>
      <c r="T362" s="52">
        <f>IF(OR(A362="",F362="",C362&lt;&gt;"Kapak"),0,IF(COUNTIFS($F$8:F362,F362,$C$8:C362,"Kapak")=1,1,0))</f>
        <v/>
      </c>
    </row>
    <row r="363">
      <c r="S363" s="52">
        <f>IF(OR(A363="",F363="",C363&lt;&gt;"Mekân"),0,IF(COUNTIFS($F$8:F363,F363,$C$8:C363,"Mekân")=1,1,0))</f>
        <v/>
      </c>
      <c r="T363" s="52">
        <f>IF(OR(A363="",F363="",C363&lt;&gt;"Kapak"),0,IF(COUNTIFS($F$8:F363,F363,$C$8:C363,"Kapak")=1,1,0))</f>
        <v/>
      </c>
    </row>
    <row r="364">
      <c r="S364" s="52">
        <f>IF(OR(A364="",F364="",C364&lt;&gt;"Mekân"),0,IF(COUNTIFS($F$8:F364,F364,$C$8:C364,"Mekân")=1,1,0))</f>
        <v/>
      </c>
      <c r="T364" s="52">
        <f>IF(OR(A364="",F364="",C364&lt;&gt;"Kapak"),0,IF(COUNTIFS($F$8:F364,F364,$C$8:C364,"Kapak")=1,1,0))</f>
        <v/>
      </c>
    </row>
    <row r="365">
      <c r="S365" s="52">
        <f>IF(OR(A365="",F365="",C365&lt;&gt;"Mekân"),0,IF(COUNTIFS($F$8:F365,F365,$C$8:C365,"Mekân")=1,1,0))</f>
        <v/>
      </c>
      <c r="T365" s="52">
        <f>IF(OR(A365="",F365="",C365&lt;&gt;"Kapak"),0,IF(COUNTIFS($F$8:F365,F365,$C$8:C365,"Kapak")=1,1,0))</f>
        <v/>
      </c>
    </row>
    <row r="366">
      <c r="S366" s="52">
        <f>IF(OR(A366="",F366="",C366&lt;&gt;"Mekân"),0,IF(COUNTIFS($F$8:F366,F366,$C$8:C366,"Mekân")=1,1,0))</f>
        <v/>
      </c>
      <c r="T366" s="52">
        <f>IF(OR(A366="",F366="",C366&lt;&gt;"Kapak"),0,IF(COUNTIFS($F$8:F366,F366,$C$8:C366,"Kapak")=1,1,0))</f>
        <v/>
      </c>
    </row>
    <row r="367">
      <c r="S367" s="52">
        <f>IF(OR(A367="",F367="",C367&lt;&gt;"Mekân"),0,IF(COUNTIFS($F$8:F367,F367,$C$8:C367,"Mekân")=1,1,0))</f>
        <v/>
      </c>
      <c r="T367" s="52">
        <f>IF(OR(A367="",F367="",C367&lt;&gt;"Kapak"),0,IF(COUNTIFS($F$8:F367,F367,$C$8:C367,"Kapak")=1,1,0))</f>
        <v/>
      </c>
    </row>
    <row r="368">
      <c r="S368" s="52">
        <f>IF(OR(A368="",F368="",C368&lt;&gt;"Mekân"),0,IF(COUNTIFS($F$8:F368,F368,$C$8:C368,"Mekân")=1,1,0))</f>
        <v/>
      </c>
      <c r="T368" s="52">
        <f>IF(OR(A368="",F368="",C368&lt;&gt;"Kapak"),0,IF(COUNTIFS($F$8:F368,F368,$C$8:C368,"Kapak")=1,1,0))</f>
        <v/>
      </c>
    </row>
    <row r="369">
      <c r="S369" s="52">
        <f>IF(OR(A369="",F369="",C369&lt;&gt;"Mekân"),0,IF(COUNTIFS($F$8:F369,F369,$C$8:C369,"Mekân")=1,1,0))</f>
        <v/>
      </c>
      <c r="T369" s="52">
        <f>IF(OR(A369="",F369="",C369&lt;&gt;"Kapak"),0,IF(COUNTIFS($F$8:F369,F369,$C$8:C369,"Kapak")=1,1,0))</f>
        <v/>
      </c>
    </row>
    <row r="370">
      <c r="S370" s="52">
        <f>IF(OR(A370="",F370="",C370&lt;&gt;"Mekân"),0,IF(COUNTIFS($F$8:F370,F370,$C$8:C370,"Mekân")=1,1,0))</f>
        <v/>
      </c>
      <c r="T370" s="52">
        <f>IF(OR(A370="",F370="",C370&lt;&gt;"Kapak"),0,IF(COUNTIFS($F$8:F370,F370,$C$8:C370,"Kapak")=1,1,0))</f>
        <v/>
      </c>
    </row>
    <row r="371">
      <c r="S371" s="52">
        <f>IF(OR(A371="",F371="",C371&lt;&gt;"Mekân"),0,IF(COUNTIFS($F$8:F371,F371,$C$8:C371,"Mekân")=1,1,0))</f>
        <v/>
      </c>
      <c r="T371" s="52">
        <f>IF(OR(A371="",F371="",C371&lt;&gt;"Kapak"),0,IF(COUNTIFS($F$8:F371,F371,$C$8:C371,"Kapak")=1,1,0))</f>
        <v/>
      </c>
    </row>
    <row r="372">
      <c r="S372" s="52">
        <f>IF(OR(A372="",F372="",C372&lt;&gt;"Mekân"),0,IF(COUNTIFS($F$8:F372,F372,$C$8:C372,"Mekân")=1,1,0))</f>
        <v/>
      </c>
      <c r="T372" s="52">
        <f>IF(OR(A372="",F372="",C372&lt;&gt;"Kapak"),0,IF(COUNTIFS($F$8:F372,F372,$C$8:C372,"Kapak")=1,1,0))</f>
        <v/>
      </c>
    </row>
    <row r="373">
      <c r="S373" s="52">
        <f>IF(OR(A373="",F373="",C373&lt;&gt;"Mekân"),0,IF(COUNTIFS($F$8:F373,F373,$C$8:C373,"Mekân")=1,1,0))</f>
        <v/>
      </c>
      <c r="T373" s="52">
        <f>IF(OR(A373="",F373="",C373&lt;&gt;"Kapak"),0,IF(COUNTIFS($F$8:F373,F373,$C$8:C373,"Kapak")=1,1,0))</f>
        <v/>
      </c>
    </row>
    <row r="374">
      <c r="S374" s="52">
        <f>IF(OR(A374="",F374="",C374&lt;&gt;"Mekân"),0,IF(COUNTIFS($F$8:F374,F374,$C$8:C374,"Mekân")=1,1,0))</f>
        <v/>
      </c>
      <c r="T374" s="52">
        <f>IF(OR(A374="",F374="",C374&lt;&gt;"Kapak"),0,IF(COUNTIFS($F$8:F374,F374,$C$8:C374,"Kapak")=1,1,0))</f>
        <v/>
      </c>
    </row>
    <row r="375">
      <c r="S375" s="52">
        <f>IF(OR(A375="",F375="",C375&lt;&gt;"Mekân"),0,IF(COUNTIFS($F$8:F375,F375,$C$8:C375,"Mekân")=1,1,0))</f>
        <v/>
      </c>
      <c r="T375" s="52">
        <f>IF(OR(A375="",F375="",C375&lt;&gt;"Kapak"),0,IF(COUNTIFS($F$8:F375,F375,$C$8:C375,"Kapak")=1,1,0))</f>
        <v/>
      </c>
    </row>
    <row r="376">
      <c r="S376" s="52">
        <f>IF(OR(A376="",F376="",C376&lt;&gt;"Mekân"),0,IF(COUNTIFS($F$8:F376,F376,$C$8:C376,"Mekân")=1,1,0))</f>
        <v/>
      </c>
      <c r="T376" s="52">
        <f>IF(OR(A376="",F376="",C376&lt;&gt;"Kapak"),0,IF(COUNTIFS($F$8:F376,F376,$C$8:C376,"Kapak")=1,1,0))</f>
        <v/>
      </c>
    </row>
    <row r="377">
      <c r="S377" s="52">
        <f>IF(OR(A377="",F377="",C377&lt;&gt;"Mekân"),0,IF(COUNTIFS($F$8:F377,F377,$C$8:C377,"Mekân")=1,1,0))</f>
        <v/>
      </c>
      <c r="T377" s="52">
        <f>IF(OR(A377="",F377="",C377&lt;&gt;"Kapak"),0,IF(COUNTIFS($F$8:F377,F377,$C$8:C377,"Kapak")=1,1,0))</f>
        <v/>
      </c>
    </row>
    <row r="378">
      <c r="S378" s="52">
        <f>IF(OR(A378="",F378="",C378&lt;&gt;"Mekân"),0,IF(COUNTIFS($F$8:F378,F378,$C$8:C378,"Mekân")=1,1,0))</f>
        <v/>
      </c>
      <c r="T378" s="52">
        <f>IF(OR(A378="",F378="",C378&lt;&gt;"Kapak"),0,IF(COUNTIFS($F$8:F378,F378,$C$8:C378,"Kapak")=1,1,0))</f>
        <v/>
      </c>
    </row>
    <row r="379">
      <c r="S379" s="52">
        <f>IF(OR(A379="",F379="",C379&lt;&gt;"Mekân"),0,IF(COUNTIFS($F$8:F379,F379,$C$8:C379,"Mekân")=1,1,0))</f>
        <v/>
      </c>
      <c r="T379" s="52">
        <f>IF(OR(A379="",F379="",C379&lt;&gt;"Kapak"),0,IF(COUNTIFS($F$8:F379,F379,$C$8:C379,"Kapak")=1,1,0))</f>
        <v/>
      </c>
    </row>
    <row r="380">
      <c r="S380" s="52">
        <f>IF(OR(A380="",F380="",C380&lt;&gt;"Mekân"),0,IF(COUNTIFS($F$8:F380,F380,$C$8:C380,"Mekân")=1,1,0))</f>
        <v/>
      </c>
      <c r="T380" s="52">
        <f>IF(OR(A380="",F380="",C380&lt;&gt;"Kapak"),0,IF(COUNTIFS($F$8:F380,F380,$C$8:C380,"Kapak")=1,1,0))</f>
        <v/>
      </c>
    </row>
    <row r="381">
      <c r="S381" s="52">
        <f>IF(OR(A381="",F381="",C381&lt;&gt;"Mekân"),0,IF(COUNTIFS($F$8:F381,F381,$C$8:C381,"Mekân")=1,1,0))</f>
        <v/>
      </c>
      <c r="T381" s="52">
        <f>IF(OR(A381="",F381="",C381&lt;&gt;"Kapak"),0,IF(COUNTIFS($F$8:F381,F381,$C$8:C381,"Kapak")=1,1,0))</f>
        <v/>
      </c>
    </row>
    <row r="382">
      <c r="S382" s="52">
        <f>IF(OR(A382="",F382="",C382&lt;&gt;"Mekân"),0,IF(COUNTIFS($F$8:F382,F382,$C$8:C382,"Mekân")=1,1,0))</f>
        <v/>
      </c>
      <c r="T382" s="52">
        <f>IF(OR(A382="",F382="",C382&lt;&gt;"Kapak"),0,IF(COUNTIFS($F$8:F382,F382,$C$8:C382,"Kapak")=1,1,0))</f>
        <v/>
      </c>
    </row>
    <row r="383">
      <c r="S383" s="52">
        <f>IF(OR(A383="",F383="",C383&lt;&gt;"Mekân"),0,IF(COUNTIFS($F$8:F383,F383,$C$8:C383,"Mekân")=1,1,0))</f>
        <v/>
      </c>
      <c r="T383" s="52">
        <f>IF(OR(A383="",F383="",C383&lt;&gt;"Kapak"),0,IF(COUNTIFS($F$8:F383,F383,$C$8:C383,"Kapak")=1,1,0))</f>
        <v/>
      </c>
    </row>
    <row r="384">
      <c r="S384" s="52">
        <f>IF(OR(A384="",F384="",C384&lt;&gt;"Mekân"),0,IF(COUNTIFS($F$8:F384,F384,$C$8:C384,"Mekân")=1,1,0))</f>
        <v/>
      </c>
      <c r="T384" s="52">
        <f>IF(OR(A384="",F384="",C384&lt;&gt;"Kapak"),0,IF(COUNTIFS($F$8:F384,F384,$C$8:C384,"Kapak")=1,1,0))</f>
        <v/>
      </c>
    </row>
    <row r="385">
      <c r="S385" s="52">
        <f>IF(OR(A385="",F385="",C385&lt;&gt;"Mekân"),0,IF(COUNTIFS($F$8:F385,F385,$C$8:C385,"Mekân")=1,1,0))</f>
        <v/>
      </c>
      <c r="T385" s="52">
        <f>IF(OR(A385="",F385="",C385&lt;&gt;"Kapak"),0,IF(COUNTIFS($F$8:F385,F385,$C$8:C385,"Kapak")=1,1,0))</f>
        <v/>
      </c>
    </row>
    <row r="386">
      <c r="S386" s="52">
        <f>IF(OR(A386="",F386="",C386&lt;&gt;"Mekân"),0,IF(COUNTIFS($F$8:F386,F386,$C$8:C386,"Mekân")=1,1,0))</f>
        <v/>
      </c>
      <c r="T386" s="52">
        <f>IF(OR(A386="",F386="",C386&lt;&gt;"Kapak"),0,IF(COUNTIFS($F$8:F386,F386,$C$8:C386,"Kapak")=1,1,0))</f>
        <v/>
      </c>
    </row>
    <row r="387">
      <c r="S387" s="52">
        <f>IF(OR(A387="",F387="",C387&lt;&gt;"Mekân"),0,IF(COUNTIFS($F$8:F387,F387,$C$8:C387,"Mekân")=1,1,0))</f>
        <v/>
      </c>
      <c r="T387" s="52">
        <f>IF(OR(A387="",F387="",C387&lt;&gt;"Kapak"),0,IF(COUNTIFS($F$8:F387,F387,$C$8:C387,"Kapak")=1,1,0))</f>
        <v/>
      </c>
    </row>
    <row r="388">
      <c r="S388" s="52">
        <f>IF(OR(A388="",F388="",C388&lt;&gt;"Mekân"),0,IF(COUNTIFS($F$8:F388,F388,$C$8:C388,"Mekân")=1,1,0))</f>
        <v/>
      </c>
      <c r="T388" s="52">
        <f>IF(OR(A388="",F388="",C388&lt;&gt;"Kapak"),0,IF(COUNTIFS($F$8:F388,F388,$C$8:C388,"Kapak")=1,1,0))</f>
        <v/>
      </c>
    </row>
    <row r="389">
      <c r="S389" s="52">
        <f>IF(OR(A389="",F389="",C389&lt;&gt;"Mekân"),0,IF(COUNTIFS($F$8:F389,F389,$C$8:C389,"Mekân")=1,1,0))</f>
        <v/>
      </c>
      <c r="T389" s="52">
        <f>IF(OR(A389="",F389="",C389&lt;&gt;"Kapak"),0,IF(COUNTIFS($F$8:F389,F389,$C$8:C389,"Kapak")=1,1,0))</f>
        <v/>
      </c>
    </row>
    <row r="390">
      <c r="S390" s="52">
        <f>IF(OR(A390="",F390="",C390&lt;&gt;"Mekân"),0,IF(COUNTIFS($F$8:F390,F390,$C$8:C390,"Mekân")=1,1,0))</f>
        <v/>
      </c>
      <c r="T390" s="52">
        <f>IF(OR(A390="",F390="",C390&lt;&gt;"Kapak"),0,IF(COUNTIFS($F$8:F390,F390,$C$8:C390,"Kapak")=1,1,0))</f>
        <v/>
      </c>
    </row>
    <row r="391">
      <c r="S391" s="52">
        <f>IF(OR(A391="",F391="",C391&lt;&gt;"Mekân"),0,IF(COUNTIFS($F$8:F391,F391,$C$8:C391,"Mekân")=1,1,0))</f>
        <v/>
      </c>
      <c r="T391" s="52">
        <f>IF(OR(A391="",F391="",C391&lt;&gt;"Kapak"),0,IF(COUNTIFS($F$8:F391,F391,$C$8:C391,"Kapak")=1,1,0))</f>
        <v/>
      </c>
    </row>
    <row r="392">
      <c r="S392" s="52">
        <f>IF(OR(A392="",F392="",C392&lt;&gt;"Mekân"),0,IF(COUNTIFS($F$8:F392,F392,$C$8:C392,"Mekân")=1,1,0))</f>
        <v/>
      </c>
      <c r="T392" s="52">
        <f>IF(OR(A392="",F392="",C392&lt;&gt;"Kapak"),0,IF(COUNTIFS($F$8:F392,F392,$C$8:C392,"Kapak")=1,1,0))</f>
        <v/>
      </c>
    </row>
    <row r="393">
      <c r="S393" s="52">
        <f>IF(OR(A393="",F393="",C393&lt;&gt;"Mekân"),0,IF(COUNTIFS($F$8:F393,F393,$C$8:C393,"Mekân")=1,1,0))</f>
        <v/>
      </c>
      <c r="T393" s="52">
        <f>IF(OR(A393="",F393="",C393&lt;&gt;"Kapak"),0,IF(COUNTIFS($F$8:F393,F393,$C$8:C393,"Kapak")=1,1,0))</f>
        <v/>
      </c>
    </row>
    <row r="394">
      <c r="S394" s="52">
        <f>IF(OR(A394="",F394="",C394&lt;&gt;"Mekân"),0,IF(COUNTIFS($F$8:F394,F394,$C$8:C394,"Mekân")=1,1,0))</f>
        <v/>
      </c>
      <c r="T394" s="52">
        <f>IF(OR(A394="",F394="",C394&lt;&gt;"Kapak"),0,IF(COUNTIFS($F$8:F394,F394,$C$8:C394,"Kapak")=1,1,0))</f>
        <v/>
      </c>
    </row>
    <row r="395">
      <c r="S395" s="52">
        <f>IF(OR(A395="",F395="",C395&lt;&gt;"Mekân"),0,IF(COUNTIFS($F$8:F395,F395,$C$8:C395,"Mekân")=1,1,0))</f>
        <v/>
      </c>
      <c r="T395" s="52">
        <f>IF(OR(A395="",F395="",C395&lt;&gt;"Kapak"),0,IF(COUNTIFS($F$8:F395,F395,$C$8:C395,"Kapak")=1,1,0))</f>
        <v/>
      </c>
    </row>
    <row r="396">
      <c r="S396" s="52">
        <f>IF(OR(A396="",F396="",C396&lt;&gt;"Mekân"),0,IF(COUNTIFS($F$8:F396,F396,$C$8:C396,"Mekân")=1,1,0))</f>
        <v/>
      </c>
      <c r="T396" s="52">
        <f>IF(OR(A396="",F396="",C396&lt;&gt;"Kapak"),0,IF(COUNTIFS($F$8:F396,F396,$C$8:C396,"Kapak")=1,1,0))</f>
        <v/>
      </c>
    </row>
    <row r="397">
      <c r="S397" s="52">
        <f>IF(OR(A397="",F397="",C397&lt;&gt;"Mekân"),0,IF(COUNTIFS($F$8:F397,F397,$C$8:C397,"Mekân")=1,1,0))</f>
        <v/>
      </c>
      <c r="T397" s="52">
        <f>IF(OR(A397="",F397="",C397&lt;&gt;"Kapak"),0,IF(COUNTIFS($F$8:F397,F397,$C$8:C397,"Kapak")=1,1,0))</f>
        <v/>
      </c>
    </row>
    <row r="398">
      <c r="S398" s="52">
        <f>IF(OR(A398="",F398="",C398&lt;&gt;"Mekân"),0,IF(COUNTIFS($F$8:F398,F398,$C$8:C398,"Mekân")=1,1,0))</f>
        <v/>
      </c>
      <c r="T398" s="52">
        <f>IF(OR(A398="",F398="",C398&lt;&gt;"Kapak"),0,IF(COUNTIFS($F$8:F398,F398,$C$8:C398,"Kapak")=1,1,0))</f>
        <v/>
      </c>
    </row>
    <row r="399">
      <c r="S399" s="52">
        <f>IF(OR(A399="",F399="",C399&lt;&gt;"Mekân"),0,IF(COUNTIFS($F$8:F399,F399,$C$8:C399,"Mekân")=1,1,0))</f>
        <v/>
      </c>
      <c r="T399" s="52">
        <f>IF(OR(A399="",F399="",C399&lt;&gt;"Kapak"),0,IF(COUNTIFS($F$8:F399,F399,$C$8:C399,"Kapak")=1,1,0))</f>
        <v/>
      </c>
    </row>
    <row r="400">
      <c r="S400" s="52">
        <f>IF(OR(A400="",F400="",C400&lt;&gt;"Mekân"),0,IF(COUNTIFS($F$8:F400,F400,$C$8:C400,"Mekân")=1,1,0))</f>
        <v/>
      </c>
      <c r="T400" s="52">
        <f>IF(OR(A400="",F400="",C400&lt;&gt;"Kapak"),0,IF(COUNTIFS($F$8:F400,F400,$C$8:C400,"Kapak")=1,1,0))</f>
        <v/>
      </c>
    </row>
    <row r="401">
      <c r="S401" s="52">
        <f>IF(OR(A401="",F401="",C401&lt;&gt;"Mekân"),0,IF(COUNTIFS($F$8:F401,F401,$C$8:C401,"Mekân")=1,1,0))</f>
        <v/>
      </c>
      <c r="T401" s="52">
        <f>IF(OR(A401="",F401="",C401&lt;&gt;"Kapak"),0,IF(COUNTIFS($F$8:F401,F401,$C$8:C401,"Kapak")=1,1,0))</f>
        <v/>
      </c>
    </row>
    <row r="402">
      <c r="S402" s="52">
        <f>IF(OR(A402="",F402="",C402&lt;&gt;"Mekân"),0,IF(COUNTIFS($F$8:F402,F402,$C$8:C402,"Mekân")=1,1,0))</f>
        <v/>
      </c>
      <c r="T402" s="52">
        <f>IF(OR(A402="",F402="",C402&lt;&gt;"Kapak"),0,IF(COUNTIFS($F$8:F402,F402,$C$8:C402,"Kapak")=1,1,0))</f>
        <v/>
      </c>
    </row>
    <row r="403">
      <c r="S403" s="52">
        <f>IF(OR(A403="",F403="",C403&lt;&gt;"Mekân"),0,IF(COUNTIFS($F$8:F403,F403,$C$8:C403,"Mekân")=1,1,0))</f>
        <v/>
      </c>
      <c r="T403" s="52">
        <f>IF(OR(A403="",F403="",C403&lt;&gt;"Kapak"),0,IF(COUNTIFS($F$8:F403,F403,$C$8:C403,"Kapak")=1,1,0))</f>
        <v/>
      </c>
    </row>
    <row r="404">
      <c r="S404" s="52">
        <f>IF(OR(A404="",F404="",C404&lt;&gt;"Mekân"),0,IF(COUNTIFS($F$8:F404,F404,$C$8:C404,"Mekân")=1,1,0))</f>
        <v/>
      </c>
      <c r="T404" s="52">
        <f>IF(OR(A404="",F404="",C404&lt;&gt;"Kapak"),0,IF(COUNTIFS($F$8:F404,F404,$C$8:C404,"Kapak")=1,1,0))</f>
        <v/>
      </c>
    </row>
    <row r="405">
      <c r="S405" s="52">
        <f>IF(OR(A405="",F405="",C405&lt;&gt;"Mekân"),0,IF(COUNTIFS($F$8:F405,F405,$C$8:C405,"Mekân")=1,1,0))</f>
        <v/>
      </c>
      <c r="T405" s="52">
        <f>IF(OR(A405="",F405="",C405&lt;&gt;"Kapak"),0,IF(COUNTIFS($F$8:F405,F405,$C$8:C405,"Kapak")=1,1,0))</f>
        <v/>
      </c>
    </row>
    <row r="406">
      <c r="S406" s="52">
        <f>IF(OR(A406="",F406="",C406&lt;&gt;"Mekân"),0,IF(COUNTIFS($F$8:F406,F406,$C$8:C406,"Mekân")=1,1,0))</f>
        <v/>
      </c>
      <c r="T406" s="52">
        <f>IF(OR(A406="",F406="",C406&lt;&gt;"Kapak"),0,IF(COUNTIFS($F$8:F406,F406,$C$8:C406,"Kapak")=1,1,0))</f>
        <v/>
      </c>
    </row>
    <row r="407">
      <c r="S407" s="52">
        <f>IF(OR(A407="",F407="",C407&lt;&gt;"Mekân"),0,IF(COUNTIFS($F$8:F407,F407,$C$8:C407,"Mekân")=1,1,0))</f>
        <v/>
      </c>
      <c r="T407" s="52">
        <f>IF(OR(A407="",F407="",C407&lt;&gt;"Kapak"),0,IF(COUNTIFS($F$8:F407,F407,$C$8:C407,"Kapak")=1,1,0))</f>
        <v/>
      </c>
    </row>
    <row r="408">
      <c r="S408" s="52">
        <f>IF(OR(A408="",F408="",C408&lt;&gt;"Mekân"),0,IF(COUNTIFS($F$8:F408,F408,$C$8:C408,"Mekân")=1,1,0))</f>
        <v/>
      </c>
      <c r="T408" s="52">
        <f>IF(OR(A408="",F408="",C408&lt;&gt;"Kapak"),0,IF(COUNTIFS($F$8:F408,F408,$C$8:C408,"Kapak")=1,1,0))</f>
        <v/>
      </c>
    </row>
    <row r="409">
      <c r="S409" s="52">
        <f>IF(OR(A409="",F409="",C409&lt;&gt;"Mekân"),0,IF(COUNTIFS($F$8:F409,F409,$C$8:C409,"Mekân")=1,1,0))</f>
        <v/>
      </c>
      <c r="T409" s="52">
        <f>IF(OR(A409="",F409="",C409&lt;&gt;"Kapak"),0,IF(COUNTIFS($F$8:F409,F409,$C$8:C409,"Kapak")=1,1,0))</f>
        <v/>
      </c>
    </row>
    <row r="410">
      <c r="S410" s="52">
        <f>IF(OR(A410="",F410="",C410&lt;&gt;"Mekân"),0,IF(COUNTIFS($F$8:F410,F410,$C$8:C410,"Mekân")=1,1,0))</f>
        <v/>
      </c>
      <c r="T410" s="52">
        <f>IF(OR(A410="",F410="",C410&lt;&gt;"Kapak"),0,IF(COUNTIFS($F$8:F410,F410,$C$8:C410,"Kapak")=1,1,0))</f>
        <v/>
      </c>
    </row>
    <row r="411">
      <c r="S411" s="52">
        <f>IF(OR(A411="",F411="",C411&lt;&gt;"Mekân"),0,IF(COUNTIFS($F$8:F411,F411,$C$8:C411,"Mekân")=1,1,0))</f>
        <v/>
      </c>
      <c r="T411" s="52">
        <f>IF(OR(A411="",F411="",C411&lt;&gt;"Kapak"),0,IF(COUNTIFS($F$8:F411,F411,$C$8:C411,"Kapak")=1,1,0))</f>
        <v/>
      </c>
    </row>
    <row r="412">
      <c r="S412" s="52">
        <f>IF(OR(A412="",F412="",C412&lt;&gt;"Mekân"),0,IF(COUNTIFS($F$8:F412,F412,$C$8:C412,"Mekân")=1,1,0))</f>
        <v/>
      </c>
      <c r="T412" s="52">
        <f>IF(OR(A412="",F412="",C412&lt;&gt;"Kapak"),0,IF(COUNTIFS($F$8:F412,F412,$C$8:C412,"Kapak")=1,1,0))</f>
        <v/>
      </c>
    </row>
    <row r="413">
      <c r="S413" s="52">
        <f>IF(OR(A413="",F413="",C413&lt;&gt;"Mekân"),0,IF(COUNTIFS($F$8:F413,F413,$C$8:C413,"Mekân")=1,1,0))</f>
        <v/>
      </c>
      <c r="T413" s="52">
        <f>IF(OR(A413="",F413="",C413&lt;&gt;"Kapak"),0,IF(COUNTIFS($F$8:F413,F413,$C$8:C413,"Kapak")=1,1,0))</f>
        <v/>
      </c>
    </row>
    <row r="414">
      <c r="S414" s="52">
        <f>IF(OR(A414="",F414="",C414&lt;&gt;"Mekân"),0,IF(COUNTIFS($F$8:F414,F414,$C$8:C414,"Mekân")=1,1,0))</f>
        <v/>
      </c>
      <c r="T414" s="52">
        <f>IF(OR(A414="",F414="",C414&lt;&gt;"Kapak"),0,IF(COUNTIFS($F$8:F414,F414,$C$8:C414,"Kapak")=1,1,0))</f>
        <v/>
      </c>
    </row>
    <row r="415">
      <c r="S415" s="52">
        <f>IF(OR(A415="",F415="",C415&lt;&gt;"Mekân"),0,IF(COUNTIFS($F$8:F415,F415,$C$8:C415,"Mekân")=1,1,0))</f>
        <v/>
      </c>
      <c r="T415" s="52">
        <f>IF(OR(A415="",F415="",C415&lt;&gt;"Kapak"),0,IF(COUNTIFS($F$8:F415,F415,$C$8:C415,"Kapak")=1,1,0))</f>
        <v/>
      </c>
    </row>
    <row r="416">
      <c r="S416" s="52">
        <f>IF(OR(A416="",F416="",C416&lt;&gt;"Mekân"),0,IF(COUNTIFS($F$8:F416,F416,$C$8:C416,"Mekân")=1,1,0))</f>
        <v/>
      </c>
      <c r="T416" s="52">
        <f>IF(OR(A416="",F416="",C416&lt;&gt;"Kapak"),0,IF(COUNTIFS($F$8:F416,F416,$C$8:C416,"Kapak")=1,1,0))</f>
        <v/>
      </c>
    </row>
    <row r="417">
      <c r="S417" s="52">
        <f>IF(OR(A417="",F417="",C417&lt;&gt;"Mekân"),0,IF(COUNTIFS($F$8:F417,F417,$C$8:C417,"Mekân")=1,1,0))</f>
        <v/>
      </c>
      <c r="T417" s="52">
        <f>IF(OR(A417="",F417="",C417&lt;&gt;"Kapak"),0,IF(COUNTIFS($F$8:F417,F417,$C$8:C417,"Kapak")=1,1,0))</f>
        <v/>
      </c>
    </row>
    <row r="418">
      <c r="S418" s="52">
        <f>IF(OR(A418="",F418="",C418&lt;&gt;"Mekân"),0,IF(COUNTIFS($F$8:F418,F418,$C$8:C418,"Mekân")=1,1,0))</f>
        <v/>
      </c>
      <c r="T418" s="52">
        <f>IF(OR(A418="",F418="",C418&lt;&gt;"Kapak"),0,IF(COUNTIFS($F$8:F418,F418,$C$8:C418,"Kapak")=1,1,0))</f>
        <v/>
      </c>
    </row>
    <row r="419">
      <c r="S419" s="52">
        <f>IF(OR(A419="",F419="",C419&lt;&gt;"Mekân"),0,IF(COUNTIFS($F$8:F419,F419,$C$8:C419,"Mekân")=1,1,0))</f>
        <v/>
      </c>
      <c r="T419" s="52">
        <f>IF(OR(A419="",F419="",C419&lt;&gt;"Kapak"),0,IF(COUNTIFS($F$8:F419,F419,$C$8:C419,"Kapak")=1,1,0))</f>
        <v/>
      </c>
    </row>
    <row r="420">
      <c r="S420" s="52">
        <f>IF(OR(A420="",F420="",C420&lt;&gt;"Mekân"),0,IF(COUNTIFS($F$8:F420,F420,$C$8:C420,"Mekân")=1,1,0))</f>
        <v/>
      </c>
      <c r="T420" s="52">
        <f>IF(OR(A420="",F420="",C420&lt;&gt;"Kapak"),0,IF(COUNTIFS($F$8:F420,F420,$C$8:C420,"Kapak")=1,1,0))</f>
        <v/>
      </c>
    </row>
    <row r="421">
      <c r="S421" s="52">
        <f>IF(OR(A421="",F421="",C421&lt;&gt;"Mekân"),0,IF(COUNTIFS($F$8:F421,F421,$C$8:C421,"Mekân")=1,1,0))</f>
        <v/>
      </c>
      <c r="T421" s="52">
        <f>IF(OR(A421="",F421="",C421&lt;&gt;"Kapak"),0,IF(COUNTIFS($F$8:F421,F421,$C$8:C421,"Kapak")=1,1,0))</f>
        <v/>
      </c>
    </row>
    <row r="422">
      <c r="S422" s="52">
        <f>IF(OR(A422="",F422="",C422&lt;&gt;"Mekân"),0,IF(COUNTIFS($F$8:F422,F422,$C$8:C422,"Mekân")=1,1,0))</f>
        <v/>
      </c>
      <c r="T422" s="52">
        <f>IF(OR(A422="",F422="",C422&lt;&gt;"Kapak"),0,IF(COUNTIFS($F$8:F422,F422,$C$8:C422,"Kapak")=1,1,0))</f>
        <v/>
      </c>
    </row>
    <row r="423">
      <c r="S423" s="52">
        <f>IF(OR(A423="",F423="",C423&lt;&gt;"Mekân"),0,IF(COUNTIFS($F$8:F423,F423,$C$8:C423,"Mekân")=1,1,0))</f>
        <v/>
      </c>
      <c r="T423" s="52">
        <f>IF(OR(A423="",F423="",C423&lt;&gt;"Kapak"),0,IF(COUNTIFS($F$8:F423,F423,$C$8:C423,"Kapak")=1,1,0))</f>
        <v/>
      </c>
    </row>
    <row r="424">
      <c r="S424" s="52">
        <f>IF(OR(A424="",F424="",C424&lt;&gt;"Mekân"),0,IF(COUNTIFS($F$8:F424,F424,$C$8:C424,"Mekân")=1,1,0))</f>
        <v/>
      </c>
      <c r="T424" s="52">
        <f>IF(OR(A424="",F424="",C424&lt;&gt;"Kapak"),0,IF(COUNTIFS($F$8:F424,F424,$C$8:C424,"Kapak")=1,1,0))</f>
        <v/>
      </c>
    </row>
    <row r="425">
      <c r="S425" s="52">
        <f>IF(OR(A425="",F425="",C425&lt;&gt;"Mekân"),0,IF(COUNTIFS($F$8:F425,F425,$C$8:C425,"Mekân")=1,1,0))</f>
        <v/>
      </c>
      <c r="T425" s="52">
        <f>IF(OR(A425="",F425="",C425&lt;&gt;"Kapak"),0,IF(COUNTIFS($F$8:F425,F425,$C$8:C425,"Kapak")=1,1,0))</f>
        <v/>
      </c>
    </row>
    <row r="426">
      <c r="S426" s="52">
        <f>IF(OR(A426="",F426="",C426&lt;&gt;"Mekân"),0,IF(COUNTIFS($F$8:F426,F426,$C$8:C426,"Mekân")=1,1,0))</f>
        <v/>
      </c>
      <c r="T426" s="52">
        <f>IF(OR(A426="",F426="",C426&lt;&gt;"Kapak"),0,IF(COUNTIFS($F$8:F426,F426,$C$8:C426,"Kapak")=1,1,0))</f>
        <v/>
      </c>
    </row>
    <row r="427">
      <c r="S427" s="52">
        <f>IF(OR(A427="",F427="",C427&lt;&gt;"Mekân"),0,IF(COUNTIFS($F$8:F427,F427,$C$8:C427,"Mekân")=1,1,0))</f>
        <v/>
      </c>
      <c r="T427" s="52">
        <f>IF(OR(A427="",F427="",C427&lt;&gt;"Kapak"),0,IF(COUNTIFS($F$8:F427,F427,$C$8:C427,"Kapak")=1,1,0))</f>
        <v/>
      </c>
    </row>
    <row r="428">
      <c r="S428" s="52">
        <f>IF(OR(A428="",F428="",C428&lt;&gt;"Mekân"),0,IF(COUNTIFS($F$8:F428,F428,$C$8:C428,"Mekân")=1,1,0))</f>
        <v/>
      </c>
      <c r="T428" s="52">
        <f>IF(OR(A428="",F428="",C428&lt;&gt;"Kapak"),0,IF(COUNTIFS($F$8:F428,F428,$C$8:C428,"Kapak")=1,1,0))</f>
        <v/>
      </c>
    </row>
    <row r="429">
      <c r="S429" s="52">
        <f>IF(OR(A429="",F429="",C429&lt;&gt;"Mekân"),0,IF(COUNTIFS($F$8:F429,F429,$C$8:C429,"Mekân")=1,1,0))</f>
        <v/>
      </c>
      <c r="T429" s="52">
        <f>IF(OR(A429="",F429="",C429&lt;&gt;"Kapak"),0,IF(COUNTIFS($F$8:F429,F429,$C$8:C429,"Kapak")=1,1,0))</f>
        <v/>
      </c>
    </row>
    <row r="430">
      <c r="S430" s="52">
        <f>IF(OR(A430="",F430="",C430&lt;&gt;"Mekân"),0,IF(COUNTIFS($F$8:F430,F430,$C$8:C430,"Mekân")=1,1,0))</f>
        <v/>
      </c>
      <c r="T430" s="52">
        <f>IF(OR(A430="",F430="",C430&lt;&gt;"Kapak"),0,IF(COUNTIFS($F$8:F430,F430,$C$8:C430,"Kapak")=1,1,0))</f>
        <v/>
      </c>
    </row>
    <row r="431">
      <c r="S431" s="52">
        <f>IF(OR(A431="",F431="",C431&lt;&gt;"Mekân"),0,IF(COUNTIFS($F$8:F431,F431,$C$8:C431,"Mekân")=1,1,0))</f>
        <v/>
      </c>
      <c r="T431" s="52">
        <f>IF(OR(A431="",F431="",C431&lt;&gt;"Kapak"),0,IF(COUNTIFS($F$8:F431,F431,$C$8:C431,"Kapak")=1,1,0))</f>
        <v/>
      </c>
    </row>
    <row r="432">
      <c r="S432" s="52">
        <f>IF(OR(A432="",F432="",C432&lt;&gt;"Mekân"),0,IF(COUNTIFS($F$8:F432,F432,$C$8:C432,"Mekân")=1,1,0))</f>
        <v/>
      </c>
      <c r="T432" s="52">
        <f>IF(OR(A432="",F432="",C432&lt;&gt;"Kapak"),0,IF(COUNTIFS($F$8:F432,F432,$C$8:C432,"Kapak")=1,1,0))</f>
        <v/>
      </c>
    </row>
    <row r="433">
      <c r="S433" s="52">
        <f>IF(OR(A433="",F433="",C433&lt;&gt;"Mekân"),0,IF(COUNTIFS($F$8:F433,F433,$C$8:C433,"Mekân")=1,1,0))</f>
        <v/>
      </c>
      <c r="T433" s="52">
        <f>IF(OR(A433="",F433="",C433&lt;&gt;"Kapak"),0,IF(COUNTIFS($F$8:F433,F433,$C$8:C433,"Kapak")=1,1,0))</f>
        <v/>
      </c>
    </row>
    <row r="434">
      <c r="S434" s="52">
        <f>IF(OR(A434="",F434="",C434&lt;&gt;"Mekân"),0,IF(COUNTIFS($F$8:F434,F434,$C$8:C434,"Mekân")=1,1,0))</f>
        <v/>
      </c>
      <c r="T434" s="52">
        <f>IF(OR(A434="",F434="",C434&lt;&gt;"Kapak"),0,IF(COUNTIFS($F$8:F434,F434,$C$8:C434,"Kapak")=1,1,0))</f>
        <v/>
      </c>
    </row>
    <row r="435">
      <c r="S435" s="52">
        <f>IF(OR(A435="",F435="",C435&lt;&gt;"Mekân"),0,IF(COUNTIFS($F$8:F435,F435,$C$8:C435,"Mekân")=1,1,0))</f>
        <v/>
      </c>
      <c r="T435" s="52">
        <f>IF(OR(A435="",F435="",C435&lt;&gt;"Kapak"),0,IF(COUNTIFS($F$8:F435,F435,$C$8:C435,"Kapak")=1,1,0))</f>
        <v/>
      </c>
    </row>
    <row r="436">
      <c r="S436" s="52">
        <f>IF(OR(A436="",F436="",C436&lt;&gt;"Mekân"),0,IF(COUNTIFS($F$8:F436,F436,$C$8:C436,"Mekân")=1,1,0))</f>
        <v/>
      </c>
      <c r="T436" s="52">
        <f>IF(OR(A436="",F436="",C436&lt;&gt;"Kapak"),0,IF(COUNTIFS($F$8:F436,F436,$C$8:C436,"Kapak")=1,1,0))</f>
        <v/>
      </c>
    </row>
    <row r="437">
      <c r="S437" s="52">
        <f>IF(OR(A437="",F437="",C437&lt;&gt;"Mekân"),0,IF(COUNTIFS($F$8:F437,F437,$C$8:C437,"Mekân")=1,1,0))</f>
        <v/>
      </c>
      <c r="T437" s="52">
        <f>IF(OR(A437="",F437="",C437&lt;&gt;"Kapak"),0,IF(COUNTIFS($F$8:F437,F437,$C$8:C437,"Kapak")=1,1,0))</f>
        <v/>
      </c>
    </row>
    <row r="438">
      <c r="S438" s="52">
        <f>IF(OR(A438="",F438="",C438&lt;&gt;"Mekân"),0,IF(COUNTIFS($F$8:F438,F438,$C$8:C438,"Mekân")=1,1,0))</f>
        <v/>
      </c>
      <c r="T438" s="52">
        <f>IF(OR(A438="",F438="",C438&lt;&gt;"Kapak"),0,IF(COUNTIFS($F$8:F438,F438,$C$8:C438,"Kapak")=1,1,0))</f>
        <v/>
      </c>
    </row>
    <row r="439">
      <c r="S439" s="52">
        <f>IF(OR(A439="",F439="",C439&lt;&gt;"Mekân"),0,IF(COUNTIFS($F$8:F439,F439,$C$8:C439,"Mekân")=1,1,0))</f>
        <v/>
      </c>
      <c r="T439" s="52">
        <f>IF(OR(A439="",F439="",C439&lt;&gt;"Kapak"),0,IF(COUNTIFS($F$8:F439,F439,$C$8:C439,"Kapak")=1,1,0))</f>
        <v/>
      </c>
    </row>
    <row r="440">
      <c r="S440" s="52">
        <f>IF(OR(A440="",F440="",C440&lt;&gt;"Mekân"),0,IF(COUNTIFS($F$8:F440,F440,$C$8:C440,"Mekân")=1,1,0))</f>
        <v/>
      </c>
      <c r="T440" s="52">
        <f>IF(OR(A440="",F440="",C440&lt;&gt;"Kapak"),0,IF(COUNTIFS($F$8:F440,F440,$C$8:C440,"Kapak")=1,1,0))</f>
        <v/>
      </c>
    </row>
    <row r="441">
      <c r="S441" s="52">
        <f>IF(OR(A441="",F441="",C441&lt;&gt;"Mekân"),0,IF(COUNTIFS($F$8:F441,F441,$C$8:C441,"Mekân")=1,1,0))</f>
        <v/>
      </c>
      <c r="T441" s="52">
        <f>IF(OR(A441="",F441="",C441&lt;&gt;"Kapak"),0,IF(COUNTIFS($F$8:F441,F441,$C$8:C441,"Kapak")=1,1,0))</f>
        <v/>
      </c>
    </row>
    <row r="442">
      <c r="S442" s="52">
        <f>IF(OR(A442="",F442="",C442&lt;&gt;"Mekân"),0,IF(COUNTIFS($F$8:F442,F442,$C$8:C442,"Mekân")=1,1,0))</f>
        <v/>
      </c>
      <c r="T442" s="52">
        <f>IF(OR(A442="",F442="",C442&lt;&gt;"Kapak"),0,IF(COUNTIFS($F$8:F442,F442,$C$8:C442,"Kapak")=1,1,0))</f>
        <v/>
      </c>
    </row>
    <row r="443">
      <c r="S443" s="52">
        <f>IF(OR(A443="",F443="",C443&lt;&gt;"Mekân"),0,IF(COUNTIFS($F$8:F443,F443,$C$8:C443,"Mekân")=1,1,0))</f>
        <v/>
      </c>
      <c r="T443" s="52">
        <f>IF(OR(A443="",F443="",C443&lt;&gt;"Kapak"),0,IF(COUNTIFS($F$8:F443,F443,$C$8:C443,"Kapak")=1,1,0))</f>
        <v/>
      </c>
    </row>
    <row r="444">
      <c r="S444" s="52">
        <f>IF(OR(A444="",F444="",C444&lt;&gt;"Mekân"),0,IF(COUNTIFS($F$8:F444,F444,$C$8:C444,"Mekân")=1,1,0))</f>
        <v/>
      </c>
      <c r="T444" s="52">
        <f>IF(OR(A444="",F444="",C444&lt;&gt;"Kapak"),0,IF(COUNTIFS($F$8:F444,F444,$C$8:C444,"Kapak")=1,1,0))</f>
        <v/>
      </c>
    </row>
    <row r="445">
      <c r="S445" s="52">
        <f>IF(OR(A445="",F445="",C445&lt;&gt;"Mekân"),0,IF(COUNTIFS($F$8:F445,F445,$C$8:C445,"Mekân")=1,1,0))</f>
        <v/>
      </c>
      <c r="T445" s="52">
        <f>IF(OR(A445="",F445="",C445&lt;&gt;"Kapak"),0,IF(COUNTIFS($F$8:F445,F445,$C$8:C445,"Kapak")=1,1,0))</f>
        <v/>
      </c>
    </row>
    <row r="446">
      <c r="S446" s="52">
        <f>IF(OR(A446="",F446="",C446&lt;&gt;"Mekân"),0,IF(COUNTIFS($F$8:F446,F446,$C$8:C446,"Mekân")=1,1,0))</f>
        <v/>
      </c>
      <c r="T446" s="52">
        <f>IF(OR(A446="",F446="",C446&lt;&gt;"Kapak"),0,IF(COUNTIFS($F$8:F446,F446,$C$8:C446,"Kapak")=1,1,0))</f>
        <v/>
      </c>
    </row>
    <row r="447">
      <c r="S447" s="52">
        <f>IF(OR(A447="",F447="",C447&lt;&gt;"Mekân"),0,IF(COUNTIFS($F$8:F447,F447,$C$8:C447,"Mekân")=1,1,0))</f>
        <v/>
      </c>
      <c r="T447" s="52">
        <f>IF(OR(A447="",F447="",C447&lt;&gt;"Kapak"),0,IF(COUNTIFS($F$8:F447,F447,$C$8:C447,"Kapak")=1,1,0))</f>
        <v/>
      </c>
    </row>
    <row r="448">
      <c r="S448" s="52">
        <f>IF(OR(A448="",F448="",C448&lt;&gt;"Mekân"),0,IF(COUNTIFS($F$8:F448,F448,$C$8:C448,"Mekân")=1,1,0))</f>
        <v/>
      </c>
      <c r="T448" s="52">
        <f>IF(OR(A448="",F448="",C448&lt;&gt;"Kapak"),0,IF(COUNTIFS($F$8:F448,F448,$C$8:C448,"Kapak")=1,1,0))</f>
        <v/>
      </c>
    </row>
    <row r="449">
      <c r="S449" s="52">
        <f>IF(OR(A449="",F449="",C449&lt;&gt;"Mekân"),0,IF(COUNTIFS($F$8:F449,F449,$C$8:C449,"Mekân")=1,1,0))</f>
        <v/>
      </c>
      <c r="T449" s="52">
        <f>IF(OR(A449="",F449="",C449&lt;&gt;"Kapak"),0,IF(COUNTIFS($F$8:F449,F449,$C$8:C449,"Kapak")=1,1,0))</f>
        <v/>
      </c>
    </row>
    <row r="450">
      <c r="S450" s="52">
        <f>IF(OR(A450="",F450="",C450&lt;&gt;"Mekân"),0,IF(COUNTIFS($F$8:F450,F450,$C$8:C450,"Mekân")=1,1,0))</f>
        <v/>
      </c>
      <c r="T450" s="52">
        <f>IF(OR(A450="",F450="",C450&lt;&gt;"Kapak"),0,IF(COUNTIFS($F$8:F450,F450,$C$8:C450,"Kapak")=1,1,0))</f>
        <v/>
      </c>
    </row>
    <row r="451">
      <c r="S451" s="52">
        <f>IF(OR(A451="",F451="",C451&lt;&gt;"Mekân"),0,IF(COUNTIFS($F$8:F451,F451,$C$8:C451,"Mekân")=1,1,0))</f>
        <v/>
      </c>
      <c r="T451" s="52">
        <f>IF(OR(A451="",F451="",C451&lt;&gt;"Kapak"),0,IF(COUNTIFS($F$8:F451,F451,$C$8:C451,"Kapak")=1,1,0))</f>
        <v/>
      </c>
    </row>
    <row r="452">
      <c r="S452" s="52">
        <f>IF(OR(A452="",F452="",C452&lt;&gt;"Mekân"),0,IF(COUNTIFS($F$8:F452,F452,$C$8:C452,"Mekân")=1,1,0))</f>
        <v/>
      </c>
      <c r="T452" s="52">
        <f>IF(OR(A452="",F452="",C452&lt;&gt;"Kapak"),0,IF(COUNTIFS($F$8:F452,F452,$C$8:C452,"Kapak")=1,1,0))</f>
        <v/>
      </c>
    </row>
    <row r="453">
      <c r="S453" s="52">
        <f>IF(OR(A453="",F453="",C453&lt;&gt;"Mekân"),0,IF(COUNTIFS($F$8:F453,F453,$C$8:C453,"Mekân")=1,1,0))</f>
        <v/>
      </c>
      <c r="T453" s="52">
        <f>IF(OR(A453="",F453="",C453&lt;&gt;"Kapak"),0,IF(COUNTIFS($F$8:F453,F453,$C$8:C453,"Kapak")=1,1,0))</f>
        <v/>
      </c>
    </row>
    <row r="454">
      <c r="S454" s="52">
        <f>IF(OR(A454="",F454="",C454&lt;&gt;"Mekân"),0,IF(COUNTIFS($F$8:F454,F454,$C$8:C454,"Mekân")=1,1,0))</f>
        <v/>
      </c>
      <c r="T454" s="52">
        <f>IF(OR(A454="",F454="",C454&lt;&gt;"Kapak"),0,IF(COUNTIFS($F$8:F454,F454,$C$8:C454,"Kapak")=1,1,0))</f>
        <v/>
      </c>
    </row>
    <row r="455">
      <c r="S455" s="52">
        <f>IF(OR(A455="",F455="",C455&lt;&gt;"Mekân"),0,IF(COUNTIFS($F$8:F455,F455,$C$8:C455,"Mekân")=1,1,0))</f>
        <v/>
      </c>
      <c r="T455" s="52">
        <f>IF(OR(A455="",F455="",C455&lt;&gt;"Kapak"),0,IF(COUNTIFS($F$8:F455,F455,$C$8:C455,"Kapak")=1,1,0))</f>
        <v/>
      </c>
    </row>
    <row r="456">
      <c r="S456" s="52">
        <f>IF(OR(A456="",F456="",C456&lt;&gt;"Mekân"),0,IF(COUNTIFS($F$8:F456,F456,$C$8:C456,"Mekân")=1,1,0))</f>
        <v/>
      </c>
      <c r="T456" s="52">
        <f>IF(OR(A456="",F456="",C456&lt;&gt;"Kapak"),0,IF(COUNTIFS($F$8:F456,F456,$C$8:C456,"Kapak")=1,1,0))</f>
        <v/>
      </c>
    </row>
    <row r="457">
      <c r="S457" s="52">
        <f>IF(OR(A457="",F457="",C457&lt;&gt;"Mekân"),0,IF(COUNTIFS($F$8:F457,F457,$C$8:C457,"Mekân")=1,1,0))</f>
        <v/>
      </c>
      <c r="T457" s="52">
        <f>IF(OR(A457="",F457="",C457&lt;&gt;"Kapak"),0,IF(COUNTIFS($F$8:F457,F457,$C$8:C457,"Kapak")=1,1,0))</f>
        <v/>
      </c>
    </row>
    <row r="458">
      <c r="S458" s="52">
        <f>IF(OR(A458="",F458="",C458&lt;&gt;"Mekân"),0,IF(COUNTIFS($F$8:F458,F458,$C$8:C458,"Mekân")=1,1,0))</f>
        <v/>
      </c>
      <c r="T458" s="52">
        <f>IF(OR(A458="",F458="",C458&lt;&gt;"Kapak"),0,IF(COUNTIFS($F$8:F458,F458,$C$8:C458,"Kapak")=1,1,0))</f>
        <v/>
      </c>
    </row>
    <row r="459">
      <c r="S459" s="52">
        <f>IF(OR(A459="",F459="",C459&lt;&gt;"Mekân"),0,IF(COUNTIFS($F$8:F459,F459,$C$8:C459,"Mekân")=1,1,0))</f>
        <v/>
      </c>
      <c r="T459" s="52">
        <f>IF(OR(A459="",F459="",C459&lt;&gt;"Kapak"),0,IF(COUNTIFS($F$8:F459,F459,$C$8:C459,"Kapak")=1,1,0))</f>
        <v/>
      </c>
    </row>
    <row r="460">
      <c r="S460" s="52">
        <f>IF(OR(A460="",F460="",C460&lt;&gt;"Mekân"),0,IF(COUNTIFS($F$8:F460,F460,$C$8:C460,"Mekân")=1,1,0))</f>
        <v/>
      </c>
      <c r="T460" s="52">
        <f>IF(OR(A460="",F460="",C460&lt;&gt;"Kapak"),0,IF(COUNTIFS($F$8:F460,F460,$C$8:C460,"Kapak")=1,1,0))</f>
        <v/>
      </c>
    </row>
    <row r="461">
      <c r="S461" s="52">
        <f>IF(OR(A461="",F461="",C461&lt;&gt;"Mekân"),0,IF(COUNTIFS($F$8:F461,F461,$C$8:C461,"Mekân")=1,1,0))</f>
        <v/>
      </c>
      <c r="T461" s="52">
        <f>IF(OR(A461="",F461="",C461&lt;&gt;"Kapak"),0,IF(COUNTIFS($F$8:F461,F461,$C$8:C461,"Kapak")=1,1,0))</f>
        <v/>
      </c>
    </row>
    <row r="462">
      <c r="S462" s="52">
        <f>IF(OR(A462="",F462="",C462&lt;&gt;"Mekân"),0,IF(COUNTIFS($F$8:F462,F462,$C$8:C462,"Mekân")=1,1,0))</f>
        <v/>
      </c>
      <c r="T462" s="52">
        <f>IF(OR(A462="",F462="",C462&lt;&gt;"Kapak"),0,IF(COUNTIFS($F$8:F462,F462,$C$8:C462,"Kapak")=1,1,0))</f>
        <v/>
      </c>
    </row>
    <row r="463">
      <c r="S463" s="52">
        <f>IF(OR(A463="",F463="",C463&lt;&gt;"Mekân"),0,IF(COUNTIFS($F$8:F463,F463,$C$8:C463,"Mekân")=1,1,0))</f>
        <v/>
      </c>
      <c r="T463" s="52">
        <f>IF(OR(A463="",F463="",C463&lt;&gt;"Kapak"),0,IF(COUNTIFS($F$8:F463,F463,$C$8:C463,"Kapak")=1,1,0))</f>
        <v/>
      </c>
    </row>
    <row r="464">
      <c r="S464" s="52">
        <f>IF(OR(A464="",F464="",C464&lt;&gt;"Mekân"),0,IF(COUNTIFS($F$8:F464,F464,$C$8:C464,"Mekân")=1,1,0))</f>
        <v/>
      </c>
      <c r="T464" s="52">
        <f>IF(OR(A464="",F464="",C464&lt;&gt;"Kapak"),0,IF(COUNTIFS($F$8:F464,F464,$C$8:C464,"Kapak")=1,1,0))</f>
        <v/>
      </c>
    </row>
    <row r="465">
      <c r="S465" s="52">
        <f>IF(OR(A465="",F465="",C465&lt;&gt;"Mekân"),0,IF(COUNTIFS($F$8:F465,F465,$C$8:C465,"Mekân")=1,1,0))</f>
        <v/>
      </c>
      <c r="T465" s="52">
        <f>IF(OR(A465="",F465="",C465&lt;&gt;"Kapak"),0,IF(COUNTIFS($F$8:F465,F465,$C$8:C465,"Kapak")=1,1,0))</f>
        <v/>
      </c>
    </row>
    <row r="466">
      <c r="S466" s="52">
        <f>IF(OR(A466="",F466="",C466&lt;&gt;"Mekân"),0,IF(COUNTIFS($F$8:F466,F466,$C$8:C466,"Mekân")=1,1,0))</f>
        <v/>
      </c>
      <c r="T466" s="52">
        <f>IF(OR(A466="",F466="",C466&lt;&gt;"Kapak"),0,IF(COUNTIFS($F$8:F466,F466,$C$8:C466,"Kapak")=1,1,0))</f>
        <v/>
      </c>
    </row>
    <row r="467">
      <c r="S467" s="52">
        <f>IF(OR(A467="",F467="",C467&lt;&gt;"Mekân"),0,IF(COUNTIFS($F$8:F467,F467,$C$8:C467,"Mekân")=1,1,0))</f>
        <v/>
      </c>
      <c r="T467" s="52">
        <f>IF(OR(A467="",F467="",C467&lt;&gt;"Kapak"),0,IF(COUNTIFS($F$8:F467,F467,$C$8:C467,"Kapak")=1,1,0))</f>
        <v/>
      </c>
    </row>
    <row r="468">
      <c r="S468" s="52">
        <f>IF(OR(A468="",F468="",C468&lt;&gt;"Mekân"),0,IF(COUNTIFS($F$8:F468,F468,$C$8:C468,"Mekân")=1,1,0))</f>
        <v/>
      </c>
      <c r="T468" s="52">
        <f>IF(OR(A468="",F468="",C468&lt;&gt;"Kapak"),0,IF(COUNTIFS($F$8:F468,F468,$C$8:C468,"Kapak")=1,1,0))</f>
        <v/>
      </c>
    </row>
    <row r="469">
      <c r="S469" s="52">
        <f>IF(OR(A469="",F469="",C469&lt;&gt;"Mekân"),0,IF(COUNTIFS($F$8:F469,F469,$C$8:C469,"Mekân")=1,1,0))</f>
        <v/>
      </c>
      <c r="T469" s="52">
        <f>IF(OR(A469="",F469="",C469&lt;&gt;"Kapak"),0,IF(COUNTIFS($F$8:F469,F469,$C$8:C469,"Kapak")=1,1,0))</f>
        <v/>
      </c>
    </row>
    <row r="470">
      <c r="S470" s="52">
        <f>IF(OR(A470="",F470="",C470&lt;&gt;"Mekân"),0,IF(COUNTIFS($F$8:F470,F470,$C$8:C470,"Mekân")=1,1,0))</f>
        <v/>
      </c>
      <c r="T470" s="52">
        <f>IF(OR(A470="",F470="",C470&lt;&gt;"Kapak"),0,IF(COUNTIFS($F$8:F470,F470,$C$8:C470,"Kapak")=1,1,0))</f>
        <v/>
      </c>
    </row>
    <row r="471">
      <c r="S471" s="52">
        <f>IF(OR(A471="",F471="",C471&lt;&gt;"Mekân"),0,IF(COUNTIFS($F$8:F471,F471,$C$8:C471,"Mekân")=1,1,0))</f>
        <v/>
      </c>
      <c r="T471" s="52">
        <f>IF(OR(A471="",F471="",C471&lt;&gt;"Kapak"),0,IF(COUNTIFS($F$8:F471,F471,$C$8:C471,"Kapak")=1,1,0))</f>
        <v/>
      </c>
    </row>
    <row r="472">
      <c r="S472" s="52">
        <f>IF(OR(A472="",F472="",C472&lt;&gt;"Mekân"),0,IF(COUNTIFS($F$8:F472,F472,$C$8:C472,"Mekân")=1,1,0))</f>
        <v/>
      </c>
      <c r="T472" s="52">
        <f>IF(OR(A472="",F472="",C472&lt;&gt;"Kapak"),0,IF(COUNTIFS($F$8:F472,F472,$C$8:C472,"Kapak")=1,1,0))</f>
        <v/>
      </c>
    </row>
    <row r="473">
      <c r="S473" s="52">
        <f>IF(OR(A473="",F473="",C473&lt;&gt;"Mekân"),0,IF(COUNTIFS($F$8:F473,F473,$C$8:C473,"Mekân")=1,1,0))</f>
        <v/>
      </c>
      <c r="T473" s="52">
        <f>IF(OR(A473="",F473="",C473&lt;&gt;"Kapak"),0,IF(COUNTIFS($F$8:F473,F473,$C$8:C473,"Kapak")=1,1,0))</f>
        <v/>
      </c>
    </row>
    <row r="474">
      <c r="S474" s="52">
        <f>IF(OR(A474="",F474="",C474&lt;&gt;"Mekân"),0,IF(COUNTIFS($F$8:F474,F474,$C$8:C474,"Mekân")=1,1,0))</f>
        <v/>
      </c>
      <c r="T474" s="52">
        <f>IF(OR(A474="",F474="",C474&lt;&gt;"Kapak"),0,IF(COUNTIFS($F$8:F474,F474,$C$8:C474,"Kapak")=1,1,0))</f>
        <v/>
      </c>
    </row>
    <row r="475">
      <c r="S475" s="52">
        <f>IF(OR(A475="",F475="",C475&lt;&gt;"Mekân"),0,IF(COUNTIFS($F$8:F475,F475,$C$8:C475,"Mekân")=1,1,0))</f>
        <v/>
      </c>
      <c r="T475" s="52">
        <f>IF(OR(A475="",F475="",C475&lt;&gt;"Kapak"),0,IF(COUNTIFS($F$8:F475,F475,$C$8:C475,"Kapak")=1,1,0))</f>
        <v/>
      </c>
    </row>
    <row r="476">
      <c r="S476" s="52">
        <f>IF(OR(A476="",F476="",C476&lt;&gt;"Mekân"),0,IF(COUNTIFS($F$8:F476,F476,$C$8:C476,"Mekân")=1,1,0))</f>
        <v/>
      </c>
      <c r="T476" s="52">
        <f>IF(OR(A476="",F476="",C476&lt;&gt;"Kapak"),0,IF(COUNTIFS($F$8:F476,F476,$C$8:C476,"Kapak")=1,1,0))</f>
        <v/>
      </c>
    </row>
    <row r="477">
      <c r="S477" s="52">
        <f>IF(OR(A477="",F477="",C477&lt;&gt;"Mekân"),0,IF(COUNTIFS($F$8:F477,F477,$C$8:C477,"Mekân")=1,1,0))</f>
        <v/>
      </c>
      <c r="T477" s="52">
        <f>IF(OR(A477="",F477="",C477&lt;&gt;"Kapak"),0,IF(COUNTIFS($F$8:F477,F477,$C$8:C477,"Kapak")=1,1,0))</f>
        <v/>
      </c>
    </row>
    <row r="478">
      <c r="S478" s="52">
        <f>IF(OR(A478="",F478="",C478&lt;&gt;"Mekân"),0,IF(COUNTIFS($F$8:F478,F478,$C$8:C478,"Mekân")=1,1,0))</f>
        <v/>
      </c>
      <c r="T478" s="52">
        <f>IF(OR(A478="",F478="",C478&lt;&gt;"Kapak"),0,IF(COUNTIFS($F$8:F478,F478,$C$8:C478,"Kapak")=1,1,0))</f>
        <v/>
      </c>
    </row>
    <row r="479">
      <c r="S479" s="52">
        <f>IF(OR(A479="",F479="",C479&lt;&gt;"Mekân"),0,IF(COUNTIFS($F$8:F479,F479,$C$8:C479,"Mekân")=1,1,0))</f>
        <v/>
      </c>
      <c r="T479" s="52">
        <f>IF(OR(A479="",F479="",C479&lt;&gt;"Kapak"),0,IF(COUNTIFS($F$8:F479,F479,$C$8:C479,"Kapak")=1,1,0))</f>
        <v/>
      </c>
    </row>
    <row r="480">
      <c r="S480" s="52">
        <f>IF(OR(A480="",F480="",C480&lt;&gt;"Mekân"),0,IF(COUNTIFS($F$8:F480,F480,$C$8:C480,"Mekân")=1,1,0))</f>
        <v/>
      </c>
      <c r="T480" s="52">
        <f>IF(OR(A480="",F480="",C480&lt;&gt;"Kapak"),0,IF(COUNTIFS($F$8:F480,F480,$C$8:C480,"Kapak")=1,1,0))</f>
        <v/>
      </c>
    </row>
    <row r="481">
      <c r="S481" s="52">
        <f>IF(OR(A481="",F481="",C481&lt;&gt;"Mekân"),0,IF(COUNTIFS($F$8:F481,F481,$C$8:C481,"Mekân")=1,1,0))</f>
        <v/>
      </c>
      <c r="T481" s="52">
        <f>IF(OR(A481="",F481="",C481&lt;&gt;"Kapak"),0,IF(COUNTIFS($F$8:F481,F481,$C$8:C481,"Kapak")=1,1,0))</f>
        <v/>
      </c>
    </row>
    <row r="482">
      <c r="S482" s="52">
        <f>IF(OR(A482="",F482="",C482&lt;&gt;"Mekân"),0,IF(COUNTIFS($F$8:F482,F482,$C$8:C482,"Mekân")=1,1,0))</f>
        <v/>
      </c>
      <c r="T482" s="52">
        <f>IF(OR(A482="",F482="",C482&lt;&gt;"Kapak"),0,IF(COUNTIFS($F$8:F482,F482,$C$8:C482,"Kapak")=1,1,0))</f>
        <v/>
      </c>
    </row>
    <row r="483">
      <c r="S483" s="52">
        <f>IF(OR(A483="",F483="",C483&lt;&gt;"Mekân"),0,IF(COUNTIFS($F$8:F483,F483,$C$8:C483,"Mekân")=1,1,0))</f>
        <v/>
      </c>
      <c r="T483" s="52">
        <f>IF(OR(A483="",F483="",C483&lt;&gt;"Kapak"),0,IF(COUNTIFS($F$8:F483,F483,$C$8:C483,"Kapak")=1,1,0))</f>
        <v/>
      </c>
    </row>
    <row r="484">
      <c r="S484" s="52">
        <f>IF(OR(A484="",F484="",C484&lt;&gt;"Mekân"),0,IF(COUNTIFS($F$8:F484,F484,$C$8:C484,"Mekân")=1,1,0))</f>
        <v/>
      </c>
      <c r="T484" s="52">
        <f>IF(OR(A484="",F484="",C484&lt;&gt;"Kapak"),0,IF(COUNTIFS($F$8:F484,F484,$C$8:C484,"Kapak")=1,1,0))</f>
        <v/>
      </c>
    </row>
    <row r="485">
      <c r="S485" s="52">
        <f>IF(OR(A485="",F485="",C485&lt;&gt;"Mekân"),0,IF(COUNTIFS($F$8:F485,F485,$C$8:C485,"Mekân")=1,1,0))</f>
        <v/>
      </c>
      <c r="T485" s="52">
        <f>IF(OR(A485="",F485="",C485&lt;&gt;"Kapak"),0,IF(COUNTIFS($F$8:F485,F485,$C$8:C485,"Kapak")=1,1,0))</f>
        <v/>
      </c>
    </row>
    <row r="486">
      <c r="S486" s="52">
        <f>IF(OR(A486="",F486="",C486&lt;&gt;"Mekân"),0,IF(COUNTIFS($F$8:F486,F486,$C$8:C486,"Mekân")=1,1,0))</f>
        <v/>
      </c>
      <c r="T486" s="52">
        <f>IF(OR(A486="",F486="",C486&lt;&gt;"Kapak"),0,IF(COUNTIFS($F$8:F486,F486,$C$8:C486,"Kapak")=1,1,0))</f>
        <v/>
      </c>
    </row>
    <row r="487">
      <c r="S487" s="52">
        <f>IF(OR(A487="",F487="",C487&lt;&gt;"Mekân"),0,IF(COUNTIFS($F$8:F487,F487,$C$8:C487,"Mekân")=1,1,0))</f>
        <v/>
      </c>
      <c r="T487" s="52">
        <f>IF(OR(A487="",F487="",C487&lt;&gt;"Kapak"),0,IF(COUNTIFS($F$8:F487,F487,$C$8:C487,"Kapak")=1,1,0))</f>
        <v/>
      </c>
    </row>
    <row r="488">
      <c r="S488" s="52">
        <f>IF(OR(A488="",F488="",C488&lt;&gt;"Mekân"),0,IF(COUNTIFS($F$8:F488,F488,$C$8:C488,"Mekân")=1,1,0))</f>
        <v/>
      </c>
      <c r="T488" s="52">
        <f>IF(OR(A488="",F488="",C488&lt;&gt;"Kapak"),0,IF(COUNTIFS($F$8:F488,F488,$C$8:C488,"Kapak")=1,1,0))</f>
        <v/>
      </c>
    </row>
    <row r="489">
      <c r="S489" s="52">
        <f>IF(OR(A489="",F489="",C489&lt;&gt;"Mekân"),0,IF(COUNTIFS($F$8:F489,F489,$C$8:C489,"Mekân")=1,1,0))</f>
        <v/>
      </c>
      <c r="T489" s="52">
        <f>IF(OR(A489="",F489="",C489&lt;&gt;"Kapak"),0,IF(COUNTIFS($F$8:F489,F489,$C$8:C489,"Kapak")=1,1,0))</f>
        <v/>
      </c>
    </row>
    <row r="490">
      <c r="S490" s="52">
        <f>IF(OR(A490="",F490="",C490&lt;&gt;"Mekân"),0,IF(COUNTIFS($F$8:F490,F490,$C$8:C490,"Mekân")=1,1,0))</f>
        <v/>
      </c>
      <c r="T490" s="52">
        <f>IF(OR(A490="",F490="",C490&lt;&gt;"Kapak"),0,IF(COUNTIFS($F$8:F490,F490,$C$8:C490,"Kapak")=1,1,0))</f>
        <v/>
      </c>
    </row>
    <row r="491">
      <c r="S491" s="52">
        <f>IF(OR(A491="",F491="",C491&lt;&gt;"Mekân"),0,IF(COUNTIFS($F$8:F491,F491,$C$8:C491,"Mekân")=1,1,0))</f>
        <v/>
      </c>
      <c r="T491" s="52">
        <f>IF(OR(A491="",F491="",C491&lt;&gt;"Kapak"),0,IF(COUNTIFS($F$8:F491,F491,$C$8:C491,"Kapak")=1,1,0))</f>
        <v/>
      </c>
    </row>
    <row r="492">
      <c r="S492" s="52">
        <f>IF(OR(A492="",F492="",C492&lt;&gt;"Mekân"),0,IF(COUNTIFS($F$8:F492,F492,$C$8:C492,"Mekân")=1,1,0))</f>
        <v/>
      </c>
      <c r="T492" s="52">
        <f>IF(OR(A492="",F492="",C492&lt;&gt;"Kapak"),0,IF(COUNTIFS($F$8:F492,F492,$C$8:C492,"Kapak")=1,1,0))</f>
        <v/>
      </c>
    </row>
    <row r="493">
      <c r="S493" s="52">
        <f>IF(OR(A493="",F493="",C493&lt;&gt;"Mekân"),0,IF(COUNTIFS($F$8:F493,F493,$C$8:C493,"Mekân")=1,1,0))</f>
        <v/>
      </c>
      <c r="T493" s="52">
        <f>IF(OR(A493="",F493="",C493&lt;&gt;"Kapak"),0,IF(COUNTIFS($F$8:F493,F493,$C$8:C493,"Kapak")=1,1,0))</f>
        <v/>
      </c>
    </row>
    <row r="494">
      <c r="S494" s="52">
        <f>IF(OR(A494="",F494="",C494&lt;&gt;"Mekân"),0,IF(COUNTIFS($F$8:F494,F494,$C$8:C494,"Mekân")=1,1,0))</f>
        <v/>
      </c>
      <c r="T494" s="52">
        <f>IF(OR(A494="",F494="",C494&lt;&gt;"Kapak"),0,IF(COUNTIFS($F$8:F494,F494,$C$8:C494,"Kapak")=1,1,0))</f>
        <v/>
      </c>
    </row>
    <row r="495">
      <c r="S495" s="52">
        <f>IF(OR(A495="",F495="",C495&lt;&gt;"Mekân"),0,IF(COUNTIFS($F$8:F495,F495,$C$8:C495,"Mekân")=1,1,0))</f>
        <v/>
      </c>
      <c r="T495" s="52">
        <f>IF(OR(A495="",F495="",C495&lt;&gt;"Kapak"),0,IF(COUNTIFS($F$8:F495,F495,$C$8:C495,"Kapak")=1,1,0))</f>
        <v/>
      </c>
    </row>
    <row r="496">
      <c r="S496" s="52">
        <f>IF(OR(A496="",F496="",C496&lt;&gt;"Mekân"),0,IF(COUNTIFS($F$8:F496,F496,$C$8:C496,"Mekân")=1,1,0))</f>
        <v/>
      </c>
      <c r="T496" s="52">
        <f>IF(OR(A496="",F496="",C496&lt;&gt;"Kapak"),0,IF(COUNTIFS($F$8:F496,F496,$C$8:C496,"Kapak")=1,1,0))</f>
        <v/>
      </c>
    </row>
    <row r="497">
      <c r="S497" s="52">
        <f>IF(OR(A497="",F497="",C497&lt;&gt;"Mekân"),0,IF(COUNTIFS($F$8:F497,F497,$C$8:C497,"Mekân")=1,1,0))</f>
        <v/>
      </c>
      <c r="T497" s="52">
        <f>IF(OR(A497="",F497="",C497&lt;&gt;"Kapak"),0,IF(COUNTIFS($F$8:F497,F497,$C$8:C497,"Kapak")=1,1,0))</f>
        <v/>
      </c>
    </row>
    <row r="498">
      <c r="S498" s="52">
        <f>IF(OR(A498="",F498="",C498&lt;&gt;"Mekân"),0,IF(COUNTIFS($F$8:F498,F498,$C$8:C498,"Mekân")=1,1,0))</f>
        <v/>
      </c>
      <c r="T498" s="52">
        <f>IF(OR(A498="",F498="",C498&lt;&gt;"Kapak"),0,IF(COUNTIFS($F$8:F498,F498,$C$8:C498,"Kapak")=1,1,0))</f>
        <v/>
      </c>
    </row>
    <row r="499">
      <c r="S499" s="52">
        <f>IF(OR(A499="",F499="",C499&lt;&gt;"Mekân"),0,IF(COUNTIFS($F$8:F499,F499,$C$8:C499,"Mekân")=1,1,0))</f>
        <v/>
      </c>
      <c r="T499" s="52">
        <f>IF(OR(A499="",F499="",C499&lt;&gt;"Kapak"),0,IF(COUNTIFS($F$8:F499,F499,$C$8:C499,"Kapak")=1,1,0))</f>
        <v/>
      </c>
    </row>
    <row r="500">
      <c r="S500" s="52">
        <f>IF(OR(A500="",F500="",C500&lt;&gt;"Mekân"),0,IF(COUNTIFS($F$8:F500,F500,$C$8:C500,"Mekân")=1,1,0))</f>
        <v/>
      </c>
      <c r="T500" s="52">
        <f>IF(OR(A500="",F500="",C500&lt;&gt;"Kapak"),0,IF(COUNTIFS($F$8:F500,F500,$C$8:C500,"Kapak")=1,1,0))</f>
        <v/>
      </c>
    </row>
    <row r="501">
      <c r="S501" s="52">
        <f>IF(OR(A501="",F501="",C501&lt;&gt;"Mekân"),0,IF(COUNTIFS($F$8:F501,F501,$C$8:C501,"Mekân")=1,1,0))</f>
        <v/>
      </c>
      <c r="T501" s="52">
        <f>IF(OR(A501="",F501="",C501&lt;&gt;"Kapak"),0,IF(COUNTIFS($F$8:F501,F501,$C$8:C501,"Kapak")=1,1,0))</f>
        <v/>
      </c>
    </row>
    <row r="502">
      <c r="S502" s="52">
        <f>IF(OR(A502="",F502="",C502&lt;&gt;"Mekân"),0,IF(COUNTIFS($F$8:F502,F502,$C$8:C502,"Mekân")=1,1,0))</f>
        <v/>
      </c>
      <c r="T502" s="52">
        <f>IF(OR(A502="",F502="",C502&lt;&gt;"Kapak"),0,IF(COUNTIFS($F$8:F502,F502,$C$8:C502,"Kapak")=1,1,0))</f>
        <v/>
      </c>
    </row>
    <row r="503">
      <c r="S503" s="52">
        <f>IF(OR(A503="",F503="",C503&lt;&gt;"Mekân"),0,IF(COUNTIFS($F$8:F503,F503,$C$8:C503,"Mekân")=1,1,0))</f>
        <v/>
      </c>
      <c r="T503" s="52">
        <f>IF(OR(A503="",F503="",C503&lt;&gt;"Kapak"),0,IF(COUNTIFS($F$8:F503,F503,$C$8:C503,"Kapak")=1,1,0))</f>
        <v/>
      </c>
    </row>
    <row r="504">
      <c r="S504" s="52">
        <f>IF(OR(A504="",F504="",C504&lt;&gt;"Mekân"),0,IF(COUNTIFS($F$8:F504,F504,$C$8:C504,"Mekân")=1,1,0))</f>
        <v/>
      </c>
      <c r="T504" s="52">
        <f>IF(OR(A504="",F504="",C504&lt;&gt;"Kapak"),0,IF(COUNTIFS($F$8:F504,F504,$C$8:C504,"Kapak")=1,1,0))</f>
        <v/>
      </c>
    </row>
    <row r="505">
      <c r="S505" s="52">
        <f>IF(OR(A505="",F505="",C505&lt;&gt;"Mekân"),0,IF(COUNTIFS($F$8:F505,F505,$C$8:C505,"Mekân")=1,1,0))</f>
        <v/>
      </c>
      <c r="T505" s="52">
        <f>IF(OR(A505="",F505="",C505&lt;&gt;"Kapak"),0,IF(COUNTIFS($F$8:F505,F505,$C$8:C505,"Kapak")=1,1,0))</f>
        <v/>
      </c>
    </row>
    <row r="506">
      <c r="S506" s="52">
        <f>IF(OR(A506="",F506="",C506&lt;&gt;"Mekân"),0,IF(COUNTIFS($F$8:F506,F506,$C$8:C506,"Mekân")=1,1,0))</f>
        <v/>
      </c>
      <c r="T506" s="52">
        <f>IF(OR(A506="",F506="",C506&lt;&gt;"Kapak"),0,IF(COUNTIFS($F$8:F506,F506,$C$8:C506,"Kapak")=1,1,0))</f>
        <v/>
      </c>
    </row>
    <row r="507">
      <c r="S507" s="52">
        <f>IF(OR(A507="",F507="",C507&lt;&gt;"Mekân"),0,IF(COUNTIFS($F$8:F507,F507,$C$8:C507,"Mekân")=1,1,0))</f>
        <v/>
      </c>
      <c r="T507" s="52">
        <f>IF(OR(A507="",F507="",C507&lt;&gt;"Kapak"),0,IF(COUNTIFS($F$8:F507,F507,$C$8:C507,"Kapak")=1,1,0))</f>
        <v/>
      </c>
    </row>
    <row r="508">
      <c r="S508" s="52">
        <f>IF(OR(A508="",F508="",C508&lt;&gt;"Mekân"),0,IF(COUNTIFS($F$8:F508,F508,$C$8:C508,"Mekân")=1,1,0))</f>
        <v/>
      </c>
      <c r="T508" s="52">
        <f>IF(OR(A508="",F508="",C508&lt;&gt;"Kapak"),0,IF(COUNTIFS($F$8:F508,F508,$C$8:C508,"Kapak")=1,1,0))</f>
        <v/>
      </c>
    </row>
    <row r="509">
      <c r="S509" s="52">
        <f>IF(OR(A509="",F509="",C509&lt;&gt;"Mekân"),0,IF(COUNTIFS($F$8:F509,F509,$C$8:C509,"Mekân")=1,1,0))</f>
        <v/>
      </c>
      <c r="T509" s="52">
        <f>IF(OR(A509="",F509="",C509&lt;&gt;"Kapak"),0,IF(COUNTIFS($F$8:F509,F509,$C$8:C509,"Kapak")=1,1,0))</f>
        <v/>
      </c>
    </row>
    <row r="510">
      <c r="S510" s="52">
        <f>IF(OR(A510="",F510="",C510&lt;&gt;"Mekân"),0,IF(COUNTIFS($F$8:F510,F510,$C$8:C510,"Mekân")=1,1,0))</f>
        <v/>
      </c>
      <c r="T510" s="52">
        <f>IF(OR(A510="",F510="",C510&lt;&gt;"Kapak"),0,IF(COUNTIFS($F$8:F510,F510,$C$8:C510,"Kapak")=1,1,0))</f>
        <v/>
      </c>
    </row>
    <row r="511">
      <c r="S511" s="52">
        <f>IF(OR(A511="",F511="",C511&lt;&gt;"Mekân"),0,IF(COUNTIFS($F$8:F511,F511,$C$8:C511,"Mekân")=1,1,0))</f>
        <v/>
      </c>
      <c r="T511" s="52">
        <f>IF(OR(A511="",F511="",C511&lt;&gt;"Kapak"),0,IF(COUNTIFS($F$8:F511,F511,$C$8:C511,"Kapak")=1,1,0))</f>
        <v/>
      </c>
    </row>
    <row r="512">
      <c r="S512" s="52">
        <f>IF(OR(A512="",F512="",C512&lt;&gt;"Mekân"),0,IF(COUNTIFS($F$8:F512,F512,$C$8:C512,"Mekân")=1,1,0))</f>
        <v/>
      </c>
      <c r="T512" s="52">
        <f>IF(OR(A512="",F512="",C512&lt;&gt;"Kapak"),0,IF(COUNTIFS($F$8:F512,F512,$C$8:C512,"Kapak")=1,1,0))</f>
        <v/>
      </c>
    </row>
    <row r="513">
      <c r="S513" s="52">
        <f>IF(OR(A513="",F513="",C513&lt;&gt;"Mekân"),0,IF(COUNTIFS($F$8:F513,F513,$C$8:C513,"Mekân")=1,1,0))</f>
        <v/>
      </c>
      <c r="T513" s="52">
        <f>IF(OR(A513="",F513="",C513&lt;&gt;"Kapak"),0,IF(COUNTIFS($F$8:F513,F513,$C$8:C513,"Kapak")=1,1,0))</f>
        <v/>
      </c>
    </row>
    <row r="514">
      <c r="S514" s="52">
        <f>IF(OR(A514="",F514="",C514&lt;&gt;"Mekân"),0,IF(COUNTIFS($F$8:F514,F514,$C$8:C514,"Mekân")=1,1,0))</f>
        <v/>
      </c>
      <c r="T514" s="52">
        <f>IF(OR(A514="",F514="",C514&lt;&gt;"Kapak"),0,IF(COUNTIFS($F$8:F514,F514,$C$8:C514,"Kapak")=1,1,0))</f>
        <v/>
      </c>
    </row>
    <row r="515">
      <c r="S515" s="52">
        <f>IF(OR(A515="",F515="",C515&lt;&gt;"Mekân"),0,IF(COUNTIFS($F$8:F515,F515,$C$8:C515,"Mekân")=1,1,0))</f>
        <v/>
      </c>
      <c r="T515" s="52">
        <f>IF(OR(A515="",F515="",C515&lt;&gt;"Kapak"),0,IF(COUNTIFS($F$8:F515,F515,$C$8:C515,"Kapak")=1,1,0))</f>
        <v/>
      </c>
    </row>
    <row r="516">
      <c r="S516" s="52">
        <f>IF(OR(A516="",F516="",C516&lt;&gt;"Mekân"),0,IF(COUNTIFS($F$8:F516,F516,$C$8:C516,"Mekân")=1,1,0))</f>
        <v/>
      </c>
      <c r="T516" s="52">
        <f>IF(OR(A516="",F516="",C516&lt;&gt;"Kapak"),0,IF(COUNTIFS($F$8:F516,F516,$C$8:C516,"Kapak")=1,1,0))</f>
        <v/>
      </c>
    </row>
    <row r="517">
      <c r="S517" s="52">
        <f>IF(OR(A517="",F517="",C517&lt;&gt;"Mekân"),0,IF(COUNTIFS($F$8:F517,F517,$C$8:C517,"Mekân")=1,1,0))</f>
        <v/>
      </c>
      <c r="T517" s="52">
        <f>IF(OR(A517="",F517="",C517&lt;&gt;"Kapak"),0,IF(COUNTIFS($F$8:F517,F517,$C$8:C517,"Kapak")=1,1,0))</f>
        <v/>
      </c>
    </row>
    <row r="518">
      <c r="S518" s="52">
        <f>IF(OR(A518="",F518="",C518&lt;&gt;"Mekân"),0,IF(COUNTIFS($F$8:F518,F518,$C$8:C518,"Mekân")=1,1,0))</f>
        <v/>
      </c>
      <c r="T518" s="52">
        <f>IF(OR(A518="",F518="",C518&lt;&gt;"Kapak"),0,IF(COUNTIFS($F$8:F518,F518,$C$8:C518,"Kapak")=1,1,0))</f>
        <v/>
      </c>
    </row>
    <row r="519">
      <c r="S519" s="52">
        <f>IF(OR(A519="",F519="",C519&lt;&gt;"Mekân"),0,IF(COUNTIFS($F$8:F519,F519,$C$8:C519,"Mekân")=1,1,0))</f>
        <v/>
      </c>
      <c r="T519" s="52">
        <f>IF(OR(A519="",F519="",C519&lt;&gt;"Kapak"),0,IF(COUNTIFS($F$8:F519,F519,$C$8:C519,"Kapak")=1,1,0))</f>
        <v/>
      </c>
    </row>
    <row r="520">
      <c r="S520" s="52">
        <f>IF(OR(A520="",F520="",C520&lt;&gt;"Mekân"),0,IF(COUNTIFS($F$8:F520,F520,$C$8:C520,"Mekân")=1,1,0))</f>
        <v/>
      </c>
      <c r="T520" s="52">
        <f>IF(OR(A520="",F520="",C520&lt;&gt;"Kapak"),0,IF(COUNTIFS($F$8:F520,F520,$C$8:C520,"Kapak")=1,1,0))</f>
        <v/>
      </c>
    </row>
    <row r="521">
      <c r="S521" s="52">
        <f>IF(OR(A521="",F521="",C521&lt;&gt;"Mekân"),0,IF(COUNTIFS($F$8:F521,F521,$C$8:C521,"Mekân")=1,1,0))</f>
        <v/>
      </c>
      <c r="T521" s="52">
        <f>IF(OR(A521="",F521="",C521&lt;&gt;"Kapak"),0,IF(COUNTIFS($F$8:F521,F521,$C$8:C521,"Kapak")=1,1,0))</f>
        <v/>
      </c>
    </row>
    <row r="522">
      <c r="S522" s="52">
        <f>IF(OR(A522="",F522="",C522&lt;&gt;"Mekân"),0,IF(COUNTIFS($F$8:F522,F522,$C$8:C522,"Mekân")=1,1,0))</f>
        <v/>
      </c>
      <c r="T522" s="52">
        <f>IF(OR(A522="",F522="",C522&lt;&gt;"Kapak"),0,IF(COUNTIFS($F$8:F522,F522,$C$8:C522,"Kapak")=1,1,0))</f>
        <v/>
      </c>
    </row>
    <row r="523">
      <c r="S523" s="52">
        <f>IF(OR(A523="",F523="",C523&lt;&gt;"Mekân"),0,IF(COUNTIFS($F$8:F523,F523,$C$8:C523,"Mekân")=1,1,0))</f>
        <v/>
      </c>
      <c r="T523" s="52">
        <f>IF(OR(A523="",F523="",C523&lt;&gt;"Kapak"),0,IF(COUNTIFS($F$8:F523,F523,$C$8:C523,"Kapak")=1,1,0))</f>
        <v/>
      </c>
    </row>
    <row r="524">
      <c r="S524" s="52">
        <f>IF(OR(A524="",F524="",C524&lt;&gt;"Mekân"),0,IF(COUNTIFS($F$8:F524,F524,$C$8:C524,"Mekân")=1,1,0))</f>
        <v/>
      </c>
      <c r="T524" s="52">
        <f>IF(OR(A524="",F524="",C524&lt;&gt;"Kapak"),0,IF(COUNTIFS($F$8:F524,F524,$C$8:C524,"Kapak")=1,1,0))</f>
        <v/>
      </c>
    </row>
    <row r="525">
      <c r="S525" s="52">
        <f>IF(OR(A525="",F525="",C525&lt;&gt;"Mekân"),0,IF(COUNTIFS($F$8:F525,F525,$C$8:C525,"Mekân")=1,1,0))</f>
        <v/>
      </c>
      <c r="T525" s="52">
        <f>IF(OR(A525="",F525="",C525&lt;&gt;"Kapak"),0,IF(COUNTIFS($F$8:F525,F525,$C$8:C525,"Kapak")=1,1,0))</f>
        <v/>
      </c>
    </row>
    <row r="526">
      <c r="S526" s="52">
        <f>IF(OR(A526="",F526="",C526&lt;&gt;"Mekân"),0,IF(COUNTIFS($F$8:F526,F526,$C$8:C526,"Mekân")=1,1,0))</f>
        <v/>
      </c>
      <c r="T526" s="52">
        <f>IF(OR(A526="",F526="",C526&lt;&gt;"Kapak"),0,IF(COUNTIFS($F$8:F526,F526,$C$8:C526,"Kapak")=1,1,0))</f>
        <v/>
      </c>
    </row>
    <row r="527">
      <c r="S527" s="52">
        <f>IF(OR(A527="",F527="",C527&lt;&gt;"Mekân"),0,IF(COUNTIFS($F$8:F527,F527,$C$8:C527,"Mekân")=1,1,0))</f>
        <v/>
      </c>
      <c r="T527" s="52">
        <f>IF(OR(A527="",F527="",C527&lt;&gt;"Kapak"),0,IF(COUNTIFS($F$8:F527,F527,$C$8:C527,"Kapak")=1,1,0))</f>
        <v/>
      </c>
    </row>
    <row r="528">
      <c r="S528" s="52">
        <f>IF(OR(A528="",F528="",C528&lt;&gt;"Mekân"),0,IF(COUNTIFS($F$8:F528,F528,$C$8:C528,"Mekân")=1,1,0))</f>
        <v/>
      </c>
      <c r="T528" s="52">
        <f>IF(OR(A528="",F528="",C528&lt;&gt;"Kapak"),0,IF(COUNTIFS($F$8:F528,F528,$C$8:C528,"Kapak")=1,1,0))</f>
        <v/>
      </c>
    </row>
    <row r="529">
      <c r="S529" s="52">
        <f>IF(OR(A529="",F529="",C529&lt;&gt;"Mekân"),0,IF(COUNTIFS($F$8:F529,F529,$C$8:C529,"Mekân")=1,1,0))</f>
        <v/>
      </c>
      <c r="T529" s="52">
        <f>IF(OR(A529="",F529="",C529&lt;&gt;"Kapak"),0,IF(COUNTIFS($F$8:F529,F529,$C$8:C529,"Kapak")=1,1,0))</f>
        <v/>
      </c>
    </row>
    <row r="530">
      <c r="S530" s="52">
        <f>IF(OR(A530="",F530="",C530&lt;&gt;"Mekân"),0,IF(COUNTIFS($F$8:F530,F530,$C$8:C530,"Mekân")=1,1,0))</f>
        <v/>
      </c>
      <c r="T530" s="52">
        <f>IF(OR(A530="",F530="",C530&lt;&gt;"Kapak"),0,IF(COUNTIFS($F$8:F530,F530,$C$8:C530,"Kapak")=1,1,0))</f>
        <v/>
      </c>
    </row>
    <row r="531">
      <c r="S531" s="52">
        <f>IF(OR(A531="",F531="",C531&lt;&gt;"Mekân"),0,IF(COUNTIFS($F$8:F531,F531,$C$8:C531,"Mekân")=1,1,0))</f>
        <v/>
      </c>
      <c r="T531" s="52">
        <f>IF(OR(A531="",F531="",C531&lt;&gt;"Kapak"),0,IF(COUNTIFS($F$8:F531,F531,$C$8:C531,"Kapak")=1,1,0))</f>
        <v/>
      </c>
    </row>
    <row r="532">
      <c r="S532" s="52">
        <f>IF(OR(A532="",F532="",C532&lt;&gt;"Mekân"),0,IF(COUNTIFS($F$8:F532,F532,$C$8:C532,"Mekân")=1,1,0))</f>
        <v/>
      </c>
      <c r="T532" s="52">
        <f>IF(OR(A532="",F532="",C532&lt;&gt;"Kapak"),0,IF(COUNTIFS($F$8:F532,F532,$C$8:C532,"Kapak")=1,1,0))</f>
        <v/>
      </c>
    </row>
    <row r="533">
      <c r="S533" s="52">
        <f>IF(OR(A533="",F533="",C533&lt;&gt;"Mekân"),0,IF(COUNTIFS($F$8:F533,F533,$C$8:C533,"Mekân")=1,1,0))</f>
        <v/>
      </c>
      <c r="T533" s="52">
        <f>IF(OR(A533="",F533="",C533&lt;&gt;"Kapak"),0,IF(COUNTIFS($F$8:F533,F533,$C$8:C533,"Kapak")=1,1,0))</f>
        <v/>
      </c>
    </row>
    <row r="534">
      <c r="S534" s="52">
        <f>IF(OR(A534="",F534="",C534&lt;&gt;"Mekân"),0,IF(COUNTIFS($F$8:F534,F534,$C$8:C534,"Mekân")=1,1,0))</f>
        <v/>
      </c>
      <c r="T534" s="52">
        <f>IF(OR(A534="",F534="",C534&lt;&gt;"Kapak"),0,IF(COUNTIFS($F$8:F534,F534,$C$8:C534,"Kapak")=1,1,0))</f>
        <v/>
      </c>
    </row>
    <row r="535">
      <c r="S535" s="52">
        <f>IF(OR(A535="",F535="",C535&lt;&gt;"Mekân"),0,IF(COUNTIFS($F$8:F535,F535,$C$8:C535,"Mekân")=1,1,0))</f>
        <v/>
      </c>
      <c r="T535" s="52">
        <f>IF(OR(A535="",F535="",C535&lt;&gt;"Kapak"),0,IF(COUNTIFS($F$8:F535,F535,$C$8:C535,"Kapak")=1,1,0))</f>
        <v/>
      </c>
    </row>
    <row r="536">
      <c r="S536" s="52">
        <f>IF(OR(A536="",F536="",C536&lt;&gt;"Mekân"),0,IF(COUNTIFS($F$8:F536,F536,$C$8:C536,"Mekân")=1,1,0))</f>
        <v/>
      </c>
      <c r="T536" s="52">
        <f>IF(OR(A536="",F536="",C536&lt;&gt;"Kapak"),0,IF(COUNTIFS($F$8:F536,F536,$C$8:C536,"Kapak")=1,1,0))</f>
        <v/>
      </c>
    </row>
    <row r="537">
      <c r="S537" s="52">
        <f>IF(OR(A537="",F537="",C537&lt;&gt;"Mekân"),0,IF(COUNTIFS($F$8:F537,F537,$C$8:C537,"Mekân")=1,1,0))</f>
        <v/>
      </c>
      <c r="T537" s="52">
        <f>IF(OR(A537="",F537="",C537&lt;&gt;"Kapak"),0,IF(COUNTIFS($F$8:F537,F537,$C$8:C537,"Kapak")=1,1,0))</f>
        <v/>
      </c>
    </row>
    <row r="538">
      <c r="S538" s="52">
        <f>IF(OR(A538="",F538="",C538&lt;&gt;"Mekân"),0,IF(COUNTIFS($F$8:F538,F538,$C$8:C538,"Mekân")=1,1,0))</f>
        <v/>
      </c>
      <c r="T538" s="52">
        <f>IF(OR(A538="",F538="",C538&lt;&gt;"Kapak"),0,IF(COUNTIFS($F$8:F538,F538,$C$8:C538,"Kapak")=1,1,0))</f>
        <v/>
      </c>
    </row>
    <row r="539">
      <c r="S539" s="52">
        <f>IF(OR(A539="",F539="",C539&lt;&gt;"Mekân"),0,IF(COUNTIFS($F$8:F539,F539,$C$8:C539,"Mekân")=1,1,0))</f>
        <v/>
      </c>
      <c r="T539" s="52">
        <f>IF(OR(A539="",F539="",C539&lt;&gt;"Kapak"),0,IF(COUNTIFS($F$8:F539,F539,$C$8:C539,"Kapak")=1,1,0))</f>
        <v/>
      </c>
    </row>
    <row r="540">
      <c r="S540" s="52">
        <f>IF(OR(A540="",F540="",C540&lt;&gt;"Mekân"),0,IF(COUNTIFS($F$8:F540,F540,$C$8:C540,"Mekân")=1,1,0))</f>
        <v/>
      </c>
      <c r="T540" s="52">
        <f>IF(OR(A540="",F540="",C540&lt;&gt;"Kapak"),0,IF(COUNTIFS($F$8:F540,F540,$C$8:C540,"Kapak")=1,1,0))</f>
        <v/>
      </c>
    </row>
    <row r="541">
      <c r="S541" s="52">
        <f>IF(OR(A541="",F541="",C541&lt;&gt;"Mekân"),0,IF(COUNTIFS($F$8:F541,F541,$C$8:C541,"Mekân")=1,1,0))</f>
        <v/>
      </c>
      <c r="T541" s="52">
        <f>IF(OR(A541="",F541="",C541&lt;&gt;"Kapak"),0,IF(COUNTIFS($F$8:F541,F541,$C$8:C541,"Kapak")=1,1,0))</f>
        <v/>
      </c>
    </row>
    <row r="542">
      <c r="S542" s="52">
        <f>IF(OR(A542="",F542="",C542&lt;&gt;"Mekân"),0,IF(COUNTIFS($F$8:F542,F542,$C$8:C542,"Mekân")=1,1,0))</f>
        <v/>
      </c>
      <c r="T542" s="52">
        <f>IF(OR(A542="",F542="",C542&lt;&gt;"Kapak"),0,IF(COUNTIFS($F$8:F542,F542,$C$8:C542,"Kapak")=1,1,0))</f>
        <v/>
      </c>
    </row>
    <row r="543">
      <c r="S543" s="52">
        <f>IF(OR(A543="",F543="",C543&lt;&gt;"Mekân"),0,IF(COUNTIFS($F$8:F543,F543,$C$8:C543,"Mekân")=1,1,0))</f>
        <v/>
      </c>
      <c r="T543" s="52">
        <f>IF(OR(A543="",F543="",C543&lt;&gt;"Kapak"),0,IF(COUNTIFS($F$8:F543,F543,$C$8:C543,"Kapak")=1,1,0))</f>
        <v/>
      </c>
    </row>
    <row r="544">
      <c r="S544" s="52">
        <f>IF(OR(A544="",F544="",C544&lt;&gt;"Mekân"),0,IF(COUNTIFS($F$8:F544,F544,$C$8:C544,"Mekân")=1,1,0))</f>
        <v/>
      </c>
      <c r="T544" s="52">
        <f>IF(OR(A544="",F544="",C544&lt;&gt;"Kapak"),0,IF(COUNTIFS($F$8:F544,F544,$C$8:C544,"Kapak")=1,1,0))</f>
        <v/>
      </c>
    </row>
    <row r="545">
      <c r="S545" s="52">
        <f>IF(OR(A545="",F545="",C545&lt;&gt;"Mekân"),0,IF(COUNTIFS($F$8:F545,F545,$C$8:C545,"Mekân")=1,1,0))</f>
        <v/>
      </c>
      <c r="T545" s="52">
        <f>IF(OR(A545="",F545="",C545&lt;&gt;"Kapak"),0,IF(COUNTIFS($F$8:F545,F545,$C$8:C545,"Kapak")=1,1,0))</f>
        <v/>
      </c>
    </row>
    <row r="546">
      <c r="S546" s="52">
        <f>IF(OR(A546="",F546="",C546&lt;&gt;"Mekân"),0,IF(COUNTIFS($F$8:F546,F546,$C$8:C546,"Mekân")=1,1,0))</f>
        <v/>
      </c>
      <c r="T546" s="52">
        <f>IF(OR(A546="",F546="",C546&lt;&gt;"Kapak"),0,IF(COUNTIFS($F$8:F546,F546,$C$8:C546,"Kapak")=1,1,0))</f>
        <v/>
      </c>
    </row>
    <row r="547">
      <c r="S547" s="52">
        <f>IF(OR(A547="",F547="",C547&lt;&gt;"Mekân"),0,IF(COUNTIFS($F$8:F547,F547,$C$8:C547,"Mekân")=1,1,0))</f>
        <v/>
      </c>
      <c r="T547" s="52">
        <f>IF(OR(A547="",F547="",C547&lt;&gt;"Kapak"),0,IF(COUNTIFS($F$8:F547,F547,$C$8:C547,"Kapak")=1,1,0))</f>
        <v/>
      </c>
    </row>
    <row r="548">
      <c r="S548" s="52">
        <f>IF(OR(A548="",F548="",C548&lt;&gt;"Mekân"),0,IF(COUNTIFS($F$8:F548,F548,$C$8:C548,"Mekân")=1,1,0))</f>
        <v/>
      </c>
      <c r="T548" s="52">
        <f>IF(OR(A548="",F548="",C548&lt;&gt;"Kapak"),0,IF(COUNTIFS($F$8:F548,F548,$C$8:C548,"Kapak")=1,1,0))</f>
        <v/>
      </c>
    </row>
    <row r="549">
      <c r="S549" s="52">
        <f>IF(OR(A549="",F549="",C549&lt;&gt;"Mekân"),0,IF(COUNTIFS($F$8:F549,F549,$C$8:C549,"Mekân")=1,1,0))</f>
        <v/>
      </c>
      <c r="T549" s="52">
        <f>IF(OR(A549="",F549="",C549&lt;&gt;"Kapak"),0,IF(COUNTIFS($F$8:F549,F549,$C$8:C549,"Kapak")=1,1,0))</f>
        <v/>
      </c>
    </row>
    <row r="550">
      <c r="S550" s="52">
        <f>IF(OR(A550="",F550="",C550&lt;&gt;"Mekân"),0,IF(COUNTIFS($F$8:F550,F550,$C$8:C550,"Mekân")=1,1,0))</f>
        <v/>
      </c>
      <c r="T550" s="52">
        <f>IF(OR(A550="",F550="",C550&lt;&gt;"Kapak"),0,IF(COUNTIFS($F$8:F550,F550,$C$8:C550,"Kapak")=1,1,0))</f>
        <v/>
      </c>
    </row>
    <row r="551">
      <c r="S551" s="52">
        <f>IF(OR(A551="",F551="",C551&lt;&gt;"Mekân"),0,IF(COUNTIFS($F$8:F551,F551,$C$8:C551,"Mekân")=1,1,0))</f>
        <v/>
      </c>
      <c r="T551" s="52">
        <f>IF(OR(A551="",F551="",C551&lt;&gt;"Kapak"),0,IF(COUNTIFS($F$8:F551,F551,$C$8:C551,"Kapak")=1,1,0))</f>
        <v/>
      </c>
    </row>
    <row r="552">
      <c r="S552" s="52">
        <f>IF(OR(A552="",F552="",C552&lt;&gt;"Mekân"),0,IF(COUNTIFS($F$8:F552,F552,$C$8:C552,"Mekân")=1,1,0))</f>
        <v/>
      </c>
      <c r="T552" s="52">
        <f>IF(OR(A552="",F552="",C552&lt;&gt;"Kapak"),0,IF(COUNTIFS($F$8:F552,F552,$C$8:C552,"Kapak")=1,1,0))</f>
        <v/>
      </c>
    </row>
    <row r="553">
      <c r="S553" s="52">
        <f>IF(OR(A553="",F553="",C553&lt;&gt;"Mekân"),0,IF(COUNTIFS($F$8:F553,F553,$C$8:C553,"Mekân")=1,1,0))</f>
        <v/>
      </c>
      <c r="T553" s="52">
        <f>IF(OR(A553="",F553="",C553&lt;&gt;"Kapak"),0,IF(COUNTIFS($F$8:F553,F553,$C$8:C553,"Kapak")=1,1,0))</f>
        <v/>
      </c>
    </row>
    <row r="554">
      <c r="S554" s="52">
        <f>IF(OR(A554="",F554="",C554&lt;&gt;"Mekân"),0,IF(COUNTIFS($F$8:F554,F554,$C$8:C554,"Mekân")=1,1,0))</f>
        <v/>
      </c>
      <c r="T554" s="52">
        <f>IF(OR(A554="",F554="",C554&lt;&gt;"Kapak"),0,IF(COUNTIFS($F$8:F554,F554,$C$8:C554,"Kapak")=1,1,0))</f>
        <v/>
      </c>
    </row>
    <row r="555">
      <c r="S555" s="52">
        <f>IF(OR(A555="",F555="",C555&lt;&gt;"Mekân"),0,IF(COUNTIFS($F$8:F555,F555,$C$8:C555,"Mekân")=1,1,0))</f>
        <v/>
      </c>
      <c r="T555" s="52">
        <f>IF(OR(A555="",F555="",C555&lt;&gt;"Kapak"),0,IF(COUNTIFS($F$8:F555,F555,$C$8:C555,"Kapak")=1,1,0))</f>
        <v/>
      </c>
    </row>
    <row r="556">
      <c r="S556" s="52">
        <f>IF(OR(A556="",F556="",C556&lt;&gt;"Mekân"),0,IF(COUNTIFS($F$8:F556,F556,$C$8:C556,"Mekân")=1,1,0))</f>
        <v/>
      </c>
      <c r="T556" s="52">
        <f>IF(OR(A556="",F556="",C556&lt;&gt;"Kapak"),0,IF(COUNTIFS($F$8:F556,F556,$C$8:C556,"Kapak")=1,1,0))</f>
        <v/>
      </c>
    </row>
    <row r="557">
      <c r="S557" s="52">
        <f>IF(OR(A557="",F557="",C557&lt;&gt;"Mekân"),0,IF(COUNTIFS($F$8:F557,F557,$C$8:C557,"Mekân")=1,1,0))</f>
        <v/>
      </c>
      <c r="T557" s="52">
        <f>IF(OR(A557="",F557="",C557&lt;&gt;"Kapak"),0,IF(COUNTIFS($F$8:F557,F557,$C$8:C557,"Kapak")=1,1,0))</f>
        <v/>
      </c>
    </row>
    <row r="558">
      <c r="S558" s="52">
        <f>IF(OR(A558="",F558="",C558&lt;&gt;"Mekân"),0,IF(COUNTIFS($F$8:F558,F558,$C$8:C558,"Mekân")=1,1,0))</f>
        <v/>
      </c>
      <c r="T558" s="52">
        <f>IF(OR(A558="",F558="",C558&lt;&gt;"Kapak"),0,IF(COUNTIFS($F$8:F558,F558,$C$8:C558,"Kapak")=1,1,0))</f>
        <v/>
      </c>
    </row>
    <row r="559">
      <c r="S559" s="52">
        <f>IF(OR(A559="",F559="",C559&lt;&gt;"Mekân"),0,IF(COUNTIFS($F$8:F559,F559,$C$8:C559,"Mekân")=1,1,0))</f>
        <v/>
      </c>
      <c r="T559" s="52">
        <f>IF(OR(A559="",F559="",C559&lt;&gt;"Kapak"),0,IF(COUNTIFS($F$8:F559,F559,$C$8:C559,"Kapak")=1,1,0))</f>
        <v/>
      </c>
    </row>
    <row r="560">
      <c r="S560" s="52">
        <f>IF(OR(A560="",F560="",C560&lt;&gt;"Mekân"),0,IF(COUNTIFS($F$8:F560,F560,$C$8:C560,"Mekân")=1,1,0))</f>
        <v/>
      </c>
      <c r="T560" s="52">
        <f>IF(OR(A560="",F560="",C560&lt;&gt;"Kapak"),0,IF(COUNTIFS($F$8:F560,F560,$C$8:C560,"Kapak")=1,1,0))</f>
        <v/>
      </c>
    </row>
    <row r="561">
      <c r="S561" s="52">
        <f>IF(OR(A561="",F561="",C561&lt;&gt;"Mekân"),0,IF(COUNTIFS($F$8:F561,F561,$C$8:C561,"Mekân")=1,1,0))</f>
        <v/>
      </c>
      <c r="T561" s="52">
        <f>IF(OR(A561="",F561="",C561&lt;&gt;"Kapak"),0,IF(COUNTIFS($F$8:F561,F561,$C$8:C561,"Kapak")=1,1,0))</f>
        <v/>
      </c>
    </row>
    <row r="562">
      <c r="S562" s="52">
        <f>IF(OR(A562="",F562="",C562&lt;&gt;"Mekân"),0,IF(COUNTIFS($F$8:F562,F562,$C$8:C562,"Mekân")=1,1,0))</f>
        <v/>
      </c>
      <c r="T562" s="52">
        <f>IF(OR(A562="",F562="",C562&lt;&gt;"Kapak"),0,IF(COUNTIFS($F$8:F562,F562,$C$8:C562,"Kapak")=1,1,0))</f>
        <v/>
      </c>
    </row>
    <row r="563">
      <c r="S563" s="52">
        <f>IF(OR(A563="",F563="",C563&lt;&gt;"Mekân"),0,IF(COUNTIFS($F$8:F563,F563,$C$8:C563,"Mekân")=1,1,0))</f>
        <v/>
      </c>
      <c r="T563" s="52">
        <f>IF(OR(A563="",F563="",C563&lt;&gt;"Kapak"),0,IF(COUNTIFS($F$8:F563,F563,$C$8:C563,"Kapak")=1,1,0))</f>
        <v/>
      </c>
    </row>
    <row r="564">
      <c r="S564" s="52">
        <f>IF(OR(A564="",F564="",C564&lt;&gt;"Mekân"),0,IF(COUNTIFS($F$8:F564,F564,$C$8:C564,"Mekân")=1,1,0))</f>
        <v/>
      </c>
      <c r="T564" s="52">
        <f>IF(OR(A564="",F564="",C564&lt;&gt;"Kapak"),0,IF(COUNTIFS($F$8:F564,F564,$C$8:C564,"Kapak")=1,1,0))</f>
        <v/>
      </c>
    </row>
    <row r="565">
      <c r="S565" s="52">
        <f>IF(OR(A565="",F565="",C565&lt;&gt;"Mekân"),0,IF(COUNTIFS($F$8:F565,F565,$C$8:C565,"Mekân")=1,1,0))</f>
        <v/>
      </c>
      <c r="T565" s="52">
        <f>IF(OR(A565="",F565="",C565&lt;&gt;"Kapak"),0,IF(COUNTIFS($F$8:F565,F565,$C$8:C565,"Kapak")=1,1,0))</f>
        <v/>
      </c>
    </row>
    <row r="566">
      <c r="S566" s="52">
        <f>IF(OR(A566="",F566="",C566&lt;&gt;"Mekân"),0,IF(COUNTIFS($F$8:F566,F566,$C$8:C566,"Mekân")=1,1,0))</f>
        <v/>
      </c>
      <c r="T566" s="52">
        <f>IF(OR(A566="",F566="",C566&lt;&gt;"Kapak"),0,IF(COUNTIFS($F$8:F566,F566,$C$8:C566,"Kapak")=1,1,0))</f>
        <v/>
      </c>
    </row>
    <row r="567">
      <c r="S567" s="52">
        <f>IF(OR(A567="",F567="",C567&lt;&gt;"Mekân"),0,IF(COUNTIFS($F$8:F567,F567,$C$8:C567,"Mekân")=1,1,0))</f>
        <v/>
      </c>
      <c r="T567" s="52">
        <f>IF(OR(A567="",F567="",C567&lt;&gt;"Kapak"),0,IF(COUNTIFS($F$8:F567,F567,$C$8:C567,"Kapak")=1,1,0))</f>
        <v/>
      </c>
    </row>
    <row r="568">
      <c r="S568" s="52">
        <f>IF(OR(A568="",F568="",C568&lt;&gt;"Mekân"),0,IF(COUNTIFS($F$8:F568,F568,$C$8:C568,"Mekân")=1,1,0))</f>
        <v/>
      </c>
      <c r="T568" s="52">
        <f>IF(OR(A568="",F568="",C568&lt;&gt;"Kapak"),0,IF(COUNTIFS($F$8:F568,F568,$C$8:C568,"Kapak")=1,1,0))</f>
        <v/>
      </c>
    </row>
    <row r="569">
      <c r="S569" s="52">
        <f>IF(OR(A569="",F569="",C569&lt;&gt;"Mekân"),0,IF(COUNTIFS($F$8:F569,F569,$C$8:C569,"Mekân")=1,1,0))</f>
        <v/>
      </c>
      <c r="T569" s="52">
        <f>IF(OR(A569="",F569="",C569&lt;&gt;"Kapak"),0,IF(COUNTIFS($F$8:F569,F569,$C$8:C569,"Kapak")=1,1,0))</f>
        <v/>
      </c>
    </row>
    <row r="570">
      <c r="S570" s="52">
        <f>IF(OR(A570="",F570="",C570&lt;&gt;"Mekân"),0,IF(COUNTIFS($F$8:F570,F570,$C$8:C570,"Mekân")=1,1,0))</f>
        <v/>
      </c>
      <c r="T570" s="52">
        <f>IF(OR(A570="",F570="",C570&lt;&gt;"Kapak"),0,IF(COUNTIFS($F$8:F570,F570,$C$8:C570,"Kapak")=1,1,0))</f>
        <v/>
      </c>
    </row>
    <row r="571">
      <c r="S571" s="52">
        <f>IF(OR(A571="",F571="",C571&lt;&gt;"Mekân"),0,IF(COUNTIFS($F$8:F571,F571,$C$8:C571,"Mekân")=1,1,0))</f>
        <v/>
      </c>
      <c r="T571" s="52">
        <f>IF(OR(A571="",F571="",C571&lt;&gt;"Kapak"),0,IF(COUNTIFS($F$8:F571,F571,$C$8:C571,"Kapak")=1,1,0))</f>
        <v/>
      </c>
    </row>
    <row r="572">
      <c r="S572" s="52">
        <f>IF(OR(A572="",F572="",C572&lt;&gt;"Mekân"),0,IF(COUNTIFS($F$8:F572,F572,$C$8:C572,"Mekân")=1,1,0))</f>
        <v/>
      </c>
      <c r="T572" s="52">
        <f>IF(OR(A572="",F572="",C572&lt;&gt;"Kapak"),0,IF(COUNTIFS($F$8:F572,F572,$C$8:C572,"Kapak")=1,1,0))</f>
        <v/>
      </c>
    </row>
    <row r="573">
      <c r="S573" s="52">
        <f>IF(OR(A573="",F573="",C573&lt;&gt;"Mekân"),0,IF(COUNTIFS($F$8:F573,F573,$C$8:C573,"Mekân")=1,1,0))</f>
        <v/>
      </c>
      <c r="T573" s="52">
        <f>IF(OR(A573="",F573="",C573&lt;&gt;"Kapak"),0,IF(COUNTIFS($F$8:F573,F573,$C$8:C573,"Kapak")=1,1,0))</f>
        <v/>
      </c>
    </row>
    <row r="574">
      <c r="S574" s="52">
        <f>IF(OR(A574="",F574="",C574&lt;&gt;"Mekân"),0,IF(COUNTIFS($F$8:F574,F574,$C$8:C574,"Mekân")=1,1,0))</f>
        <v/>
      </c>
      <c r="T574" s="52">
        <f>IF(OR(A574="",F574="",C574&lt;&gt;"Kapak"),0,IF(COUNTIFS($F$8:F574,F574,$C$8:C574,"Kapak")=1,1,0))</f>
        <v/>
      </c>
    </row>
    <row r="575">
      <c r="S575" s="52">
        <f>IF(OR(A575="",F575="",C575&lt;&gt;"Mekân"),0,IF(COUNTIFS($F$8:F575,F575,$C$8:C575,"Mekân")=1,1,0))</f>
        <v/>
      </c>
      <c r="T575" s="52">
        <f>IF(OR(A575="",F575="",C575&lt;&gt;"Kapak"),0,IF(COUNTIFS($F$8:F575,F575,$C$8:C575,"Kapak")=1,1,0))</f>
        <v/>
      </c>
    </row>
    <row r="576">
      <c r="S576" s="52">
        <f>IF(OR(A576="",F576="",C576&lt;&gt;"Mekân"),0,IF(COUNTIFS($F$8:F576,F576,$C$8:C576,"Mekân")=1,1,0))</f>
        <v/>
      </c>
      <c r="T576" s="52">
        <f>IF(OR(A576="",F576="",C576&lt;&gt;"Kapak"),0,IF(COUNTIFS($F$8:F576,F576,$C$8:C576,"Kapak")=1,1,0))</f>
        <v/>
      </c>
    </row>
    <row r="577">
      <c r="S577" s="52">
        <f>IF(OR(A577="",F577="",C577&lt;&gt;"Mekân"),0,IF(COUNTIFS($F$8:F577,F577,$C$8:C577,"Mekân")=1,1,0))</f>
        <v/>
      </c>
      <c r="T577" s="52">
        <f>IF(OR(A577="",F577="",C577&lt;&gt;"Kapak"),0,IF(COUNTIFS($F$8:F577,F577,$C$8:C577,"Kapak")=1,1,0))</f>
        <v/>
      </c>
    </row>
    <row r="578">
      <c r="S578" s="52">
        <f>IF(OR(A578="",F578="",C578&lt;&gt;"Mekân"),0,IF(COUNTIFS($F$8:F578,F578,$C$8:C578,"Mekân")=1,1,0))</f>
        <v/>
      </c>
      <c r="T578" s="52">
        <f>IF(OR(A578="",F578="",C578&lt;&gt;"Kapak"),0,IF(COUNTIFS($F$8:F578,F578,$C$8:C578,"Kapak")=1,1,0))</f>
        <v/>
      </c>
    </row>
    <row r="579">
      <c r="S579" s="52">
        <f>IF(OR(A579="",F579="",C579&lt;&gt;"Mekân"),0,IF(COUNTIFS($F$8:F579,F579,$C$8:C579,"Mekân")=1,1,0))</f>
        <v/>
      </c>
      <c r="T579" s="52">
        <f>IF(OR(A579="",F579="",C579&lt;&gt;"Kapak"),0,IF(COUNTIFS($F$8:F579,F579,$C$8:C579,"Kapak")=1,1,0))</f>
        <v/>
      </c>
    </row>
    <row r="580">
      <c r="S580" s="52">
        <f>IF(OR(A580="",F580="",C580&lt;&gt;"Mekân"),0,IF(COUNTIFS($F$8:F580,F580,$C$8:C580,"Mekân")=1,1,0))</f>
        <v/>
      </c>
      <c r="T580" s="52">
        <f>IF(OR(A580="",F580="",C580&lt;&gt;"Kapak"),0,IF(COUNTIFS($F$8:F580,F580,$C$8:C580,"Kapak")=1,1,0))</f>
        <v/>
      </c>
    </row>
    <row r="581">
      <c r="S581" s="52">
        <f>IF(OR(A581="",F581="",C581&lt;&gt;"Mekân"),0,IF(COUNTIFS($F$8:F581,F581,$C$8:C581,"Mekân")=1,1,0))</f>
        <v/>
      </c>
      <c r="T581" s="52">
        <f>IF(OR(A581="",F581="",C581&lt;&gt;"Kapak"),0,IF(COUNTIFS($F$8:F581,F581,$C$8:C581,"Kapak")=1,1,0))</f>
        <v/>
      </c>
    </row>
    <row r="582">
      <c r="S582" s="52">
        <f>IF(OR(A582="",F582="",C582&lt;&gt;"Mekân"),0,IF(COUNTIFS($F$8:F582,F582,$C$8:C582,"Mekân")=1,1,0))</f>
        <v/>
      </c>
      <c r="T582" s="52">
        <f>IF(OR(A582="",F582="",C582&lt;&gt;"Kapak"),0,IF(COUNTIFS($F$8:F582,F582,$C$8:C582,"Kapak")=1,1,0))</f>
        <v/>
      </c>
    </row>
    <row r="583">
      <c r="S583" s="52">
        <f>IF(OR(A583="",F583="",C583&lt;&gt;"Mekân"),0,IF(COUNTIFS($F$8:F583,F583,$C$8:C583,"Mekân")=1,1,0))</f>
        <v/>
      </c>
      <c r="T583" s="52">
        <f>IF(OR(A583="",F583="",C583&lt;&gt;"Kapak"),0,IF(COUNTIFS($F$8:F583,F583,$C$8:C583,"Kapak")=1,1,0))</f>
        <v/>
      </c>
    </row>
    <row r="584">
      <c r="S584" s="52">
        <f>IF(OR(A584="",F584="",C584&lt;&gt;"Mekân"),0,IF(COUNTIFS($F$8:F584,F584,$C$8:C584,"Mekân")=1,1,0))</f>
        <v/>
      </c>
      <c r="T584" s="52">
        <f>IF(OR(A584="",F584="",C584&lt;&gt;"Kapak"),0,IF(COUNTIFS($F$8:F584,F584,$C$8:C584,"Kapak")=1,1,0))</f>
        <v/>
      </c>
    </row>
    <row r="585">
      <c r="S585" s="52">
        <f>IF(OR(A585="",F585="",C585&lt;&gt;"Mekân"),0,IF(COUNTIFS($F$8:F585,F585,$C$8:C585,"Mekân")=1,1,0))</f>
        <v/>
      </c>
      <c r="T585" s="52">
        <f>IF(OR(A585="",F585="",C585&lt;&gt;"Kapak"),0,IF(COUNTIFS($F$8:F585,F585,$C$8:C585,"Kapak")=1,1,0))</f>
        <v/>
      </c>
    </row>
    <row r="586">
      <c r="S586" s="52">
        <f>IF(OR(A586="",F586="",C586&lt;&gt;"Mekân"),0,IF(COUNTIFS($F$8:F586,F586,$C$8:C586,"Mekân")=1,1,0))</f>
        <v/>
      </c>
      <c r="T586" s="52">
        <f>IF(OR(A586="",F586="",C586&lt;&gt;"Kapak"),0,IF(COUNTIFS($F$8:F586,F586,$C$8:C586,"Kapak")=1,1,0))</f>
        <v/>
      </c>
    </row>
    <row r="587">
      <c r="S587" s="52">
        <f>IF(OR(A587="",F587="",C587&lt;&gt;"Mekân"),0,IF(COUNTIFS($F$8:F587,F587,$C$8:C587,"Mekân")=1,1,0))</f>
        <v/>
      </c>
      <c r="T587" s="52">
        <f>IF(OR(A587="",F587="",C587&lt;&gt;"Kapak"),0,IF(COUNTIFS($F$8:F587,F587,$C$8:C587,"Kapak")=1,1,0))</f>
        <v/>
      </c>
    </row>
    <row r="588">
      <c r="S588" s="52">
        <f>IF(OR(A588="",F588="",C588&lt;&gt;"Mekân"),0,IF(COUNTIFS($F$8:F588,F588,$C$8:C588,"Mekân")=1,1,0))</f>
        <v/>
      </c>
      <c r="T588" s="52">
        <f>IF(OR(A588="",F588="",C588&lt;&gt;"Kapak"),0,IF(COUNTIFS($F$8:F588,F588,$C$8:C588,"Kapak")=1,1,0))</f>
        <v/>
      </c>
    </row>
    <row r="589">
      <c r="S589" s="52">
        <f>IF(OR(A589="",F589="",C589&lt;&gt;"Mekân"),0,IF(COUNTIFS($F$8:F589,F589,$C$8:C589,"Mekân")=1,1,0))</f>
        <v/>
      </c>
      <c r="T589" s="52">
        <f>IF(OR(A589="",F589="",C589&lt;&gt;"Kapak"),0,IF(COUNTIFS($F$8:F589,F589,$C$8:C589,"Kapak")=1,1,0))</f>
        <v/>
      </c>
    </row>
    <row r="590">
      <c r="S590" s="52">
        <f>IF(OR(A590="",F590="",C590&lt;&gt;"Mekân"),0,IF(COUNTIFS($F$8:F590,F590,$C$8:C590,"Mekân")=1,1,0))</f>
        <v/>
      </c>
      <c r="T590" s="52">
        <f>IF(OR(A590="",F590="",C590&lt;&gt;"Kapak"),0,IF(COUNTIFS($F$8:F590,F590,$C$8:C590,"Kapak")=1,1,0))</f>
        <v/>
      </c>
    </row>
    <row r="591">
      <c r="S591" s="52">
        <f>IF(OR(A591="",F591="",C591&lt;&gt;"Mekân"),0,IF(COUNTIFS($F$8:F591,F591,$C$8:C591,"Mekân")=1,1,0))</f>
        <v/>
      </c>
      <c r="T591" s="52">
        <f>IF(OR(A591="",F591="",C591&lt;&gt;"Kapak"),0,IF(COUNTIFS($F$8:F591,F591,$C$8:C591,"Kapak")=1,1,0))</f>
        <v/>
      </c>
    </row>
    <row r="592">
      <c r="S592" s="52">
        <f>IF(OR(A592="",F592="",C592&lt;&gt;"Mekân"),0,IF(COUNTIFS($F$8:F592,F592,$C$8:C592,"Mekân")=1,1,0))</f>
        <v/>
      </c>
      <c r="T592" s="52">
        <f>IF(OR(A592="",F592="",C592&lt;&gt;"Kapak"),0,IF(COUNTIFS($F$8:F592,F592,$C$8:C592,"Kapak")=1,1,0))</f>
        <v/>
      </c>
    </row>
    <row r="593">
      <c r="S593" s="52">
        <f>IF(OR(A593="",F593="",C593&lt;&gt;"Mekân"),0,IF(COUNTIFS($F$8:F593,F593,$C$8:C593,"Mekân")=1,1,0))</f>
        <v/>
      </c>
      <c r="T593" s="52">
        <f>IF(OR(A593="",F593="",C593&lt;&gt;"Kapak"),0,IF(COUNTIFS($F$8:F593,F593,$C$8:C593,"Kapak")=1,1,0))</f>
        <v/>
      </c>
    </row>
    <row r="594">
      <c r="S594" s="52">
        <f>IF(OR(A594="",F594="",C594&lt;&gt;"Mekân"),0,IF(COUNTIFS($F$8:F594,F594,$C$8:C594,"Mekân")=1,1,0))</f>
        <v/>
      </c>
      <c r="T594" s="52">
        <f>IF(OR(A594="",F594="",C594&lt;&gt;"Kapak"),0,IF(COUNTIFS($F$8:F594,F594,$C$8:C594,"Kapak")=1,1,0))</f>
        <v/>
      </c>
    </row>
    <row r="595">
      <c r="S595" s="52">
        <f>IF(OR(A595="",F595="",C595&lt;&gt;"Mekân"),0,IF(COUNTIFS($F$8:F595,F595,$C$8:C595,"Mekân")=1,1,0))</f>
        <v/>
      </c>
      <c r="T595" s="52">
        <f>IF(OR(A595="",F595="",C595&lt;&gt;"Kapak"),0,IF(COUNTIFS($F$8:F595,F595,$C$8:C595,"Kapak")=1,1,0))</f>
        <v/>
      </c>
    </row>
    <row r="596">
      <c r="S596" s="52">
        <f>IF(OR(A596="",F596="",C596&lt;&gt;"Mekân"),0,IF(COUNTIFS($F$8:F596,F596,$C$8:C596,"Mekân")=1,1,0))</f>
        <v/>
      </c>
      <c r="T596" s="52">
        <f>IF(OR(A596="",F596="",C596&lt;&gt;"Kapak"),0,IF(COUNTIFS($F$8:F596,F596,$C$8:C596,"Kapak")=1,1,0))</f>
        <v/>
      </c>
    </row>
    <row r="597">
      <c r="S597" s="52">
        <f>IF(OR(A597="",F597="",C597&lt;&gt;"Mekân"),0,IF(COUNTIFS($F$8:F597,F597,$C$8:C597,"Mekân")=1,1,0))</f>
        <v/>
      </c>
      <c r="T597" s="52">
        <f>IF(OR(A597="",F597="",C597&lt;&gt;"Kapak"),0,IF(COUNTIFS($F$8:F597,F597,$C$8:C597,"Kapak")=1,1,0))</f>
        <v/>
      </c>
    </row>
    <row r="598">
      <c r="S598" s="52">
        <f>IF(OR(A598="",F598="",C598&lt;&gt;"Mekân"),0,IF(COUNTIFS($F$8:F598,F598,$C$8:C598,"Mekân")=1,1,0))</f>
        <v/>
      </c>
      <c r="T598" s="52">
        <f>IF(OR(A598="",F598="",C598&lt;&gt;"Kapak"),0,IF(COUNTIFS($F$8:F598,F598,$C$8:C598,"Kapak")=1,1,0))</f>
        <v/>
      </c>
    </row>
    <row r="599">
      <c r="S599" s="52">
        <f>IF(OR(A599="",F599="",C599&lt;&gt;"Mekân"),0,IF(COUNTIFS($F$8:F599,F599,$C$8:C599,"Mekân")=1,1,0))</f>
        <v/>
      </c>
      <c r="T599" s="52">
        <f>IF(OR(A599="",F599="",C599&lt;&gt;"Kapak"),0,IF(COUNTIFS($F$8:F599,F599,$C$8:C599,"Kapak")=1,1,0))</f>
        <v/>
      </c>
    </row>
    <row r="600">
      <c r="S600" s="52">
        <f>IF(OR(A600="",F600="",C600&lt;&gt;"Mekân"),0,IF(COUNTIFS($F$8:F600,F600,$C$8:C600,"Mekân")=1,1,0))</f>
        <v/>
      </c>
      <c r="T600" s="52">
        <f>IF(OR(A600="",F600="",C600&lt;&gt;"Kapak"),0,IF(COUNTIFS($F$8:F600,F600,$C$8:C600,"Kapak")=1,1,0))</f>
        <v/>
      </c>
    </row>
    <row r="601">
      <c r="S601" s="52">
        <f>IF(OR(A601="",F601="",C601&lt;&gt;"Mekân"),0,IF(COUNTIFS($F$8:F601,F601,$C$8:C601,"Mekân")=1,1,0))</f>
        <v/>
      </c>
      <c r="T601" s="52">
        <f>IF(OR(A601="",F601="",C601&lt;&gt;"Kapak"),0,IF(COUNTIFS($F$8:F601,F601,$C$8:C601,"Kapak")=1,1,0))</f>
        <v/>
      </c>
    </row>
    <row r="602">
      <c r="S602" s="52">
        <f>IF(OR(A602="",F602="",C602&lt;&gt;"Mekân"),0,IF(COUNTIFS($F$8:F602,F602,$C$8:C602,"Mekân")=1,1,0))</f>
        <v/>
      </c>
      <c r="T602" s="52">
        <f>IF(OR(A602="",F602="",C602&lt;&gt;"Kapak"),0,IF(COUNTIFS($F$8:F602,F602,$C$8:C602,"Kapak")=1,1,0))</f>
        <v/>
      </c>
    </row>
    <row r="603">
      <c r="S603" s="52">
        <f>IF(OR(A603="",F603="",C603&lt;&gt;"Mekân"),0,IF(COUNTIFS($F$8:F603,F603,$C$8:C603,"Mekân")=1,1,0))</f>
        <v/>
      </c>
      <c r="T603" s="52">
        <f>IF(OR(A603="",F603="",C603&lt;&gt;"Kapak"),0,IF(COUNTIFS($F$8:F603,F603,$C$8:C603,"Kapak")=1,1,0))</f>
        <v/>
      </c>
    </row>
    <row r="604">
      <c r="S604" s="52">
        <f>IF(OR(A604="",F604="",C604&lt;&gt;"Mekân"),0,IF(COUNTIFS($F$8:F604,F604,$C$8:C604,"Mekân")=1,1,0))</f>
        <v/>
      </c>
      <c r="T604" s="52">
        <f>IF(OR(A604="",F604="",C604&lt;&gt;"Kapak"),0,IF(COUNTIFS($F$8:F604,F604,$C$8:C604,"Kapak")=1,1,0))</f>
        <v/>
      </c>
    </row>
    <row r="605">
      <c r="S605" s="52">
        <f>IF(OR(A605="",F605="",C605&lt;&gt;"Mekân"),0,IF(COUNTIFS($F$8:F605,F605,$C$8:C605,"Mekân")=1,1,0))</f>
        <v/>
      </c>
      <c r="T605" s="52">
        <f>IF(OR(A605="",F605="",C605&lt;&gt;"Kapak"),0,IF(COUNTIFS($F$8:F605,F605,$C$8:C605,"Kapak")=1,1,0))</f>
        <v/>
      </c>
    </row>
    <row r="606">
      <c r="S606" s="52">
        <f>IF(OR(A606="",F606="",C606&lt;&gt;"Mekân"),0,IF(COUNTIFS($F$8:F606,F606,$C$8:C606,"Mekân")=1,1,0))</f>
        <v/>
      </c>
      <c r="T606" s="52">
        <f>IF(OR(A606="",F606="",C606&lt;&gt;"Kapak"),0,IF(COUNTIFS($F$8:F606,F606,$C$8:C606,"Kapak")=1,1,0))</f>
        <v/>
      </c>
    </row>
    <row r="607">
      <c r="S607" s="52">
        <f>IF(OR(A607="",F607="",C607&lt;&gt;"Mekân"),0,IF(COUNTIFS($F$8:F607,F607,$C$8:C607,"Mekân")=1,1,0))</f>
        <v/>
      </c>
      <c r="T607" s="52">
        <f>IF(OR(A607="",F607="",C607&lt;&gt;"Kapak"),0,IF(COUNTIFS($F$8:F607,F607,$C$8:C607,"Kapak")=1,1,0))</f>
        <v/>
      </c>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E8:E357">
    <cfRule type="expression" priority="4" dxfId="1">
      <formula>AND($A8&lt;&gt;"",ISBLANK(E8))</formula>
    </cfRule>
  </conditionalFormatting>
  <conditionalFormatting sqref="F8:F357">
    <cfRule type="expression" priority="5" dxfId="1">
      <formula>AND($A8&lt;&gt;"",ISBLANK(F8))</formula>
    </cfRule>
  </conditionalFormatting>
  <conditionalFormatting sqref="G8:G357">
    <cfRule type="expression" priority="6" dxfId="1">
      <formula>AND($A8&lt;&gt;"",ISBLANK(G8))</formula>
    </cfRule>
  </conditionalFormatting>
  <conditionalFormatting sqref="H8:H357">
    <cfRule type="expression" priority="7" dxfId="1">
      <formula>AND($A8&lt;&gt;"",ISBLANK(H8))</formula>
    </cfRule>
  </conditionalFormatting>
  <conditionalFormatting sqref="I8:I357">
    <cfRule type="expression" priority="8" dxfId="1">
      <formula>AND($A8&lt;&gt;"",ISBLANK(I8))</formula>
    </cfRule>
  </conditionalFormatting>
  <conditionalFormatting sqref="J8:J357">
    <cfRule type="expression" priority="9" dxfId="1">
      <formula>AND($A8&lt;&gt;"",ISBLANK(J8))</formula>
    </cfRule>
  </conditionalFormatting>
  <conditionalFormatting sqref="K8:K357">
    <cfRule type="expression" priority="10" dxfId="1">
      <formula>AND($A8&lt;&gt;"",ISBLANK(K8))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O8:O357">
    <cfRule type="expression" priority="13" dxfId="1">
      <formula>AND($A8&lt;&gt;"",ISBLANK(O8))</formula>
    </cfRule>
  </conditionalFormatting>
  <conditionalFormatting sqref="P8:P357">
    <cfRule type="expression" priority="14" dxfId="1">
      <formula>AND($A8&lt;&gt;"",ISBLANK(P8))</formula>
    </cfRule>
  </conditionalFormatting>
  <conditionalFormatting sqref="Q8:Q357">
    <cfRule type="expression" priority="15" dxfId="1">
      <formula>AND($A8&lt;&gt;"",ISBLANK(Q8))</formula>
    </cfRule>
  </conditionalFormatting>
  <conditionalFormatting sqref="R8:R357">
    <cfRule type="expression" priority="16" dxfId="1">
      <formula>AND($A8&lt;&gt;"",ISBLANK(R8))</formula>
    </cfRule>
  </conditionalFormatting>
  <dataValidations count="3">
    <dataValidation sqref="C8:C357" showDropDown="0" showInputMessage="0" showErrorMessage="0" allowBlank="0" type="list">
      <formula1>"Mekân,Kapak"</formula1>
    </dataValidation>
    <dataValidation sqref="P8:P357" showDropDown="0" showInputMessage="0" showErrorMessage="0" allowBlank="0" type="list">
      <formula1>"Evet,Hayır"</formula1>
    </dataValidation>
    <dataValidation sqref="R8:R35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W35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48" customWidth="1" min="4" max="4"/>
    <col width="28" customWidth="1" min="5" max="5"/>
    <col width="28" customWidth="1" min="6" max="6"/>
    <col width="28" customWidth="1" min="7" max="7"/>
    <col width="48" customWidth="1" min="8" max="8"/>
    <col width="58" customWidth="1" min="9" max="9"/>
    <col width="28" customWidth="1" min="10" max="10"/>
    <col width="28" customWidth="1" min="11" max="11"/>
    <col width="20" customWidth="1" min="12" max="12"/>
    <col width="28" customWidth="1" min="13" max="13"/>
    <col width="28" customWidth="1" min="14" max="14"/>
    <col width="28" customWidth="1" min="15" max="15"/>
    <col width="58" customWidth="1" min="16" max="16"/>
    <col width="28" customWidth="1" min="17" max="17"/>
    <col width="58" customWidth="1" min="18" max="18"/>
    <col width="28" customWidth="1" min="19" max="19"/>
    <col width="28" customWidth="1" min="20" max="20"/>
    <col width="28" customWidth="1" min="21" max="21"/>
    <col width="28" customWidth="1" min="22" max="22"/>
    <col width="4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Fotoğraf kaynak ve hak kanıtı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 · tarih</t>
        </is>
      </c>
      <c r="M5" s="22" t="inlineStr">
        <is>
          <t>Zorunlu</t>
        </is>
      </c>
      <c r="N5" s="22" t="inlineStr">
        <is>
          <t>Zorunlu</t>
        </is>
      </c>
      <c r="O5" s="22" t="inlineStr">
        <is>
          <t>İsteğe bağlı</t>
        </is>
      </c>
      <c r="P5" s="22" t="inlineStr">
        <is>
          <t>İsteğe bağlı</t>
        </is>
      </c>
      <c r="Q5" s="22" t="inlineStr">
        <is>
          <t>Zorunlu</t>
        </is>
      </c>
      <c r="R5" s="22" t="inlineStr">
        <is>
          <t>İsteğe bağlı</t>
        </is>
      </c>
      <c r="S5" s="22" t="inlineStr">
        <is>
          <t>İsteğe bağlı</t>
        </is>
      </c>
      <c r="T5" s="22" t="inlineStr">
        <is>
          <t>İsteğe bağlı</t>
        </is>
      </c>
      <c r="U5" s="22" t="inlineStr">
        <is>
          <t>İsteğe bağlı</t>
        </is>
      </c>
      <c r="V5" s="22" t="inlineStr">
        <is>
          <t>İsteğe bağlı</t>
        </is>
      </c>
      <c r="W5" s="22" t="inlineStr">
        <is>
          <t>İsteğe bağlı · JSON</t>
        </is>
      </c>
    </row>
    <row r="6" ht="44" customHeight="1">
      <c r="A6" s="25" t="inlineStr">
        <is>
          <t>Kanıt kimliği</t>
        </is>
      </c>
      <c r="B6" s="25" t="inlineStr">
        <is>
          <t>Şehir kimliği</t>
        </is>
      </c>
      <c r="C6" s="25" t="inlineStr">
        <is>
          <t>Fotoğraf kimliği</t>
        </is>
      </c>
      <c r="D6" s="25" t="inlineStr">
        <is>
          <t>Kaynak sayfası</t>
        </is>
      </c>
      <c r="E6" s="25" t="inlineStr">
        <is>
          <t>Kaynak görsel başlığı</t>
        </is>
      </c>
      <c r="F6" s="25" t="inlineStr">
        <is>
          <t>Kaynak fotoğrafçısı</t>
        </is>
      </c>
      <c r="G6" s="25" t="inlineStr">
        <is>
          <t>Kaynak lisansı</t>
        </is>
      </c>
      <c r="H6" s="25" t="inlineStr">
        <is>
          <t>Kaynak lisans bağlantısı</t>
        </is>
      </c>
      <c r="I6" s="25" t="inlineStr">
        <is>
          <t>Kullanım koşulları</t>
        </is>
      </c>
      <c r="J6" s="25" t="inlineStr">
        <is>
          <t>Gerekli atıf metni</t>
        </is>
      </c>
      <c r="K6" s="25" t="inlineStr">
        <is>
          <t>Kısıt / üçüncü kişi hakkı</t>
        </is>
      </c>
      <c r="L6" s="25" t="inlineStr">
        <is>
          <t>Kanıt kontrol tarihi</t>
        </is>
      </c>
      <c r="M6" s="25" t="inlineStr">
        <is>
          <t>Kaynak bilgisi incelemesi</t>
        </is>
      </c>
      <c r="N6" s="25" t="inlineStr">
        <is>
          <t>Kare / mekân incelemesi</t>
        </is>
      </c>
      <c r="O6" s="25" t="inlineStr">
        <is>
          <t>İncelenen görsel dosyası</t>
        </is>
      </c>
      <c r="P6" s="25" t="inlineStr">
        <is>
          <t>Mekân eşleşmesi ve kare notu</t>
        </is>
      </c>
      <c r="Q6" s="25" t="inlineStr">
        <is>
          <t>Üçüncü kişi hak incelemesi</t>
        </is>
      </c>
      <c r="R6" s="25" t="inlineStr">
        <is>
          <t>Hak değerlendirmesi gerekçesi</t>
        </is>
      </c>
      <c r="S6" s="25" t="inlineStr">
        <is>
          <t>Kaynak sayfası kanıt dosyası</t>
        </is>
      </c>
      <c r="T6" s="25" t="inlineStr">
        <is>
          <t>Kaynak kanıt SHA-256</t>
        </is>
      </c>
      <c r="U6" s="25" t="inlineStr">
        <is>
          <t>Lisans kanıt dosyası</t>
        </is>
      </c>
      <c r="V6" s="25" t="inlineStr">
        <is>
          <t>Lisans kanıt SHA-256</t>
        </is>
      </c>
      <c r="W6" s="25" t="inlineStr">
        <is>
          <t>Tam özgün kanıt yapısı (JSON)</t>
        </is>
      </c>
    </row>
    <row r="7" ht="32" customHeight="1">
      <c r="A7" s="28" t="inlineStr">
        <is>
          <t>evidence_id</t>
        </is>
      </c>
      <c r="B7" s="28" t="inlineStr">
        <is>
          <t>city_id</t>
        </is>
      </c>
      <c r="C7" s="28" t="inlineStr">
        <is>
          <t>photo_id</t>
        </is>
      </c>
      <c r="D7" s="28" t="inlineStr">
        <is>
          <t>source_url</t>
        </is>
      </c>
      <c r="E7" s="28" t="inlineStr">
        <is>
          <t>source_title</t>
        </is>
      </c>
      <c r="F7" s="28" t="inlineStr">
        <is>
          <t>author</t>
        </is>
      </c>
      <c r="G7" s="28" t="inlineStr">
        <is>
          <t>license</t>
        </is>
      </c>
      <c r="H7" s="28" t="inlineStr">
        <is>
          <t>license_url</t>
        </is>
      </c>
      <c r="I7" s="28" t="inlineStr">
        <is>
          <t>usage_terms</t>
        </is>
      </c>
      <c r="J7" s="28" t="inlineStr">
        <is>
          <t>attribution</t>
        </is>
      </c>
      <c r="K7" s="28" t="inlineStr">
        <is>
          <t>restrictions</t>
        </is>
      </c>
      <c r="L7" s="28" t="inlineStr">
        <is>
          <t>checked_on</t>
        </is>
      </c>
      <c r="M7" s="28" t="inlineStr">
        <is>
          <t>metadata_review_status</t>
        </is>
      </c>
      <c r="N7" s="28" t="inlineStr">
        <is>
          <t>pixel_review_status</t>
        </is>
      </c>
      <c r="O7" s="28" t="inlineStr">
        <is>
          <t>pixel_review_file</t>
        </is>
      </c>
      <c r="P7" s="28" t="inlineStr">
        <is>
          <t>pixel_review_note</t>
        </is>
      </c>
      <c r="Q7" s="28" t="inlineStr">
        <is>
          <t>rights_status</t>
        </is>
      </c>
      <c r="R7" s="28" t="inlineStr">
        <is>
          <t>rights_basis</t>
        </is>
      </c>
      <c r="S7" s="28" t="inlineStr">
        <is>
          <t>source_snapshot_file</t>
        </is>
      </c>
      <c r="T7" s="28" t="inlineStr">
        <is>
          <t>source_snapshot_sha256</t>
        </is>
      </c>
      <c r="U7" s="28" t="inlineStr">
        <is>
          <t>license_snapshot_file</t>
        </is>
      </c>
      <c r="V7" s="28" t="inlineStr">
        <is>
          <t>license_snapshot_sha256</t>
        </is>
      </c>
      <c r="W7" s="28" t="inlineStr">
        <is>
          <t>source_evidence_json</t>
        </is>
      </c>
    </row>
    <row r="8" ht="54" customHeight="1">
      <c r="A8" s="29" t="n"/>
      <c r="B8" s="29" t="n"/>
      <c r="C8" s="29" t="n"/>
      <c r="D8" s="29" t="n"/>
      <c r="E8" s="29" t="n"/>
      <c r="F8" s="29" t="n"/>
      <c r="G8" s="29" t="n"/>
      <c r="H8" s="29" t="n"/>
      <c r="I8" s="29" t="n"/>
      <c r="J8" s="29" t="n"/>
      <c r="K8" s="29" t="n"/>
      <c r="L8" s="49" t="n"/>
      <c r="M8" s="29" t="n"/>
      <c r="N8" s="29" t="n"/>
      <c r="O8" s="29" t="n"/>
      <c r="P8" s="29" t="n"/>
      <c r="Q8" s="29" t="n"/>
      <c r="R8" s="29" t="n"/>
      <c r="S8" s="29" t="n"/>
      <c r="T8" s="29" t="n"/>
      <c r="U8" s="29" t="n"/>
      <c r="V8" s="29" t="n"/>
      <c r="W8" s="29" t="n"/>
    </row>
    <row r="9" ht="54" customHeight="1">
      <c r="A9" s="29" t="n"/>
      <c r="B9" s="29" t="n"/>
      <c r="C9" s="29" t="n"/>
      <c r="D9" s="29" t="n"/>
      <c r="E9" s="29" t="n"/>
      <c r="F9" s="29" t="n"/>
      <c r="G9" s="29" t="n"/>
      <c r="H9" s="29" t="n"/>
      <c r="I9" s="29" t="n"/>
      <c r="J9" s="29" t="n"/>
      <c r="K9" s="29" t="n"/>
      <c r="L9" s="49" t="n"/>
      <c r="M9" s="29" t="n"/>
      <c r="N9" s="29" t="n"/>
      <c r="O9" s="29" t="n"/>
      <c r="P9" s="29" t="n"/>
      <c r="Q9" s="29" t="n"/>
      <c r="R9" s="29" t="n"/>
      <c r="S9" s="29" t="n"/>
      <c r="T9" s="29" t="n"/>
      <c r="U9" s="29" t="n"/>
      <c r="V9" s="29" t="n"/>
      <c r="W9" s="29" t="n"/>
    </row>
    <row r="10" ht="54" customHeight="1">
      <c r="A10" s="29" t="n"/>
      <c r="B10" s="29" t="n"/>
      <c r="C10" s="29" t="n"/>
      <c r="D10" s="29" t="n"/>
      <c r="E10" s="29" t="n"/>
      <c r="F10" s="29" t="n"/>
      <c r="G10" s="29" t="n"/>
      <c r="H10" s="29" t="n"/>
      <c r="I10" s="29" t="n"/>
      <c r="J10" s="29" t="n"/>
      <c r="K10" s="29" t="n"/>
      <c r="L10" s="49" t="n"/>
      <c r="M10" s="29" t="n"/>
      <c r="N10" s="29" t="n"/>
      <c r="O10" s="29" t="n"/>
      <c r="P10" s="29" t="n"/>
      <c r="Q10" s="29" t="n"/>
      <c r="R10" s="29" t="n"/>
      <c r="S10" s="29" t="n"/>
      <c r="T10" s="29" t="n"/>
      <c r="U10" s="29" t="n"/>
      <c r="V10" s="29" t="n"/>
      <c r="W10" s="29" t="n"/>
    </row>
    <row r="11" ht="54" customHeight="1">
      <c r="A11" s="29" t="n"/>
      <c r="B11" s="29" t="n"/>
      <c r="C11" s="29" t="n"/>
      <c r="D11" s="29" t="n"/>
      <c r="E11" s="29" t="n"/>
      <c r="F11" s="29" t="n"/>
      <c r="G11" s="29" t="n"/>
      <c r="H11" s="29" t="n"/>
      <c r="I11" s="29" t="n"/>
      <c r="J11" s="29" t="n"/>
      <c r="K11" s="29" t="n"/>
      <c r="L11" s="49" t="n"/>
      <c r="M11" s="29" t="n"/>
      <c r="N11" s="29" t="n"/>
      <c r="O11" s="29" t="n"/>
      <c r="P11" s="29" t="n"/>
      <c r="Q11" s="29" t="n"/>
      <c r="R11" s="29" t="n"/>
      <c r="S11" s="29" t="n"/>
      <c r="T11" s="29" t="n"/>
      <c r="U11" s="29" t="n"/>
      <c r="V11" s="29" t="n"/>
      <c r="W11" s="29" t="n"/>
    </row>
    <row r="12" ht="54" customHeight="1">
      <c r="A12" s="29" t="n"/>
      <c r="B12" s="29" t="n"/>
      <c r="C12" s="29" t="n"/>
      <c r="D12" s="29" t="n"/>
      <c r="E12" s="29" t="n"/>
      <c r="F12" s="29" t="n"/>
      <c r="G12" s="29" t="n"/>
      <c r="H12" s="29" t="n"/>
      <c r="I12" s="29" t="n"/>
      <c r="J12" s="29" t="n"/>
      <c r="K12" s="29" t="n"/>
      <c r="L12" s="49" t="n"/>
      <c r="M12" s="29" t="n"/>
      <c r="N12" s="29" t="n"/>
      <c r="O12" s="29" t="n"/>
      <c r="P12" s="29" t="n"/>
      <c r="Q12" s="29" t="n"/>
      <c r="R12" s="29" t="n"/>
      <c r="S12" s="29" t="n"/>
      <c r="T12" s="29" t="n"/>
      <c r="U12" s="29" t="n"/>
      <c r="V12" s="29" t="n"/>
      <c r="W12" s="29" t="n"/>
    </row>
    <row r="13" ht="54" customHeight="1">
      <c r="A13" s="29" t="n"/>
      <c r="B13" s="29" t="n"/>
      <c r="C13" s="29" t="n"/>
      <c r="D13" s="29" t="n"/>
      <c r="E13" s="29" t="n"/>
      <c r="F13" s="29" t="n"/>
      <c r="G13" s="29" t="n"/>
      <c r="H13" s="29" t="n"/>
      <c r="I13" s="29" t="n"/>
      <c r="J13" s="29" t="n"/>
      <c r="K13" s="29" t="n"/>
      <c r="L13" s="49" t="n"/>
      <c r="M13" s="29" t="n"/>
      <c r="N13" s="29" t="n"/>
      <c r="O13" s="29" t="n"/>
      <c r="P13" s="29" t="n"/>
      <c r="Q13" s="29" t="n"/>
      <c r="R13" s="29" t="n"/>
      <c r="S13" s="29" t="n"/>
      <c r="T13" s="29" t="n"/>
      <c r="U13" s="29" t="n"/>
      <c r="V13" s="29" t="n"/>
      <c r="W13" s="29" t="n"/>
    </row>
    <row r="14" ht="54" customHeight="1">
      <c r="A14" s="29" t="n"/>
      <c r="B14" s="29" t="n"/>
      <c r="C14" s="29" t="n"/>
      <c r="D14" s="29" t="n"/>
      <c r="E14" s="29" t="n"/>
      <c r="F14" s="29" t="n"/>
      <c r="G14" s="29" t="n"/>
      <c r="H14" s="29" t="n"/>
      <c r="I14" s="29" t="n"/>
      <c r="J14" s="29" t="n"/>
      <c r="K14" s="29" t="n"/>
      <c r="L14" s="49" t="n"/>
      <c r="M14" s="29" t="n"/>
      <c r="N14" s="29" t="n"/>
      <c r="O14" s="29" t="n"/>
      <c r="P14" s="29" t="n"/>
      <c r="Q14" s="29" t="n"/>
      <c r="R14" s="29" t="n"/>
      <c r="S14" s="29" t="n"/>
      <c r="T14" s="29" t="n"/>
      <c r="U14" s="29" t="n"/>
      <c r="V14" s="29" t="n"/>
      <c r="W14" s="29" t="n"/>
    </row>
    <row r="15" ht="54" customHeight="1">
      <c r="A15" s="29" t="n"/>
      <c r="B15" s="29" t="n"/>
      <c r="C15" s="29" t="n"/>
      <c r="D15" s="29" t="n"/>
      <c r="E15" s="29" t="n"/>
      <c r="F15" s="29" t="n"/>
      <c r="G15" s="29" t="n"/>
      <c r="H15" s="29" t="n"/>
      <c r="I15" s="29" t="n"/>
      <c r="J15" s="29" t="n"/>
      <c r="K15" s="29" t="n"/>
      <c r="L15" s="49" t="n"/>
      <c r="M15" s="29" t="n"/>
      <c r="N15" s="29" t="n"/>
      <c r="O15" s="29" t="n"/>
      <c r="P15" s="29" t="n"/>
      <c r="Q15" s="29" t="n"/>
      <c r="R15" s="29" t="n"/>
      <c r="S15" s="29" t="n"/>
      <c r="T15" s="29" t="n"/>
      <c r="U15" s="29" t="n"/>
      <c r="V15" s="29" t="n"/>
      <c r="W15" s="29" t="n"/>
    </row>
    <row r="16" ht="54" customHeight="1">
      <c r="A16" s="29" t="n"/>
      <c r="B16" s="29" t="n"/>
      <c r="C16" s="29" t="n"/>
      <c r="D16" s="29" t="n"/>
      <c r="E16" s="29" t="n"/>
      <c r="F16" s="29" t="n"/>
      <c r="G16" s="29" t="n"/>
      <c r="H16" s="29" t="n"/>
      <c r="I16" s="29" t="n"/>
      <c r="J16" s="29" t="n"/>
      <c r="K16" s="29" t="n"/>
      <c r="L16" s="49" t="n"/>
      <c r="M16" s="29" t="n"/>
      <c r="N16" s="29" t="n"/>
      <c r="O16" s="29" t="n"/>
      <c r="P16" s="29" t="n"/>
      <c r="Q16" s="29" t="n"/>
      <c r="R16" s="29" t="n"/>
      <c r="S16" s="29" t="n"/>
      <c r="T16" s="29" t="n"/>
      <c r="U16" s="29" t="n"/>
      <c r="V16" s="29" t="n"/>
      <c r="W16" s="29" t="n"/>
    </row>
    <row r="17" ht="54" customHeight="1">
      <c r="A17" s="29" t="n"/>
      <c r="B17" s="29" t="n"/>
      <c r="C17" s="29" t="n"/>
      <c r="D17" s="29" t="n"/>
      <c r="E17" s="29" t="n"/>
      <c r="F17" s="29" t="n"/>
      <c r="G17" s="29" t="n"/>
      <c r="H17" s="29" t="n"/>
      <c r="I17" s="29" t="n"/>
      <c r="J17" s="29" t="n"/>
      <c r="K17" s="29" t="n"/>
      <c r="L17" s="49" t="n"/>
      <c r="M17" s="29" t="n"/>
      <c r="N17" s="29" t="n"/>
      <c r="O17" s="29" t="n"/>
      <c r="P17" s="29" t="n"/>
      <c r="Q17" s="29" t="n"/>
      <c r="R17" s="29" t="n"/>
      <c r="S17" s="29" t="n"/>
      <c r="T17" s="29" t="n"/>
      <c r="U17" s="29" t="n"/>
      <c r="V17" s="29" t="n"/>
      <c r="W17" s="29" t="n"/>
    </row>
    <row r="18" ht="54" customHeight="1">
      <c r="A18" s="29" t="n"/>
      <c r="B18" s="29" t="n"/>
      <c r="C18" s="29" t="n"/>
      <c r="D18" s="29" t="n"/>
      <c r="E18" s="29" t="n"/>
      <c r="F18" s="29" t="n"/>
      <c r="G18" s="29" t="n"/>
      <c r="H18" s="29" t="n"/>
      <c r="I18" s="29" t="n"/>
      <c r="J18" s="29" t="n"/>
      <c r="K18" s="29" t="n"/>
      <c r="L18" s="49" t="n"/>
      <c r="M18" s="29" t="n"/>
      <c r="N18" s="29" t="n"/>
      <c r="O18" s="29" t="n"/>
      <c r="P18" s="29" t="n"/>
      <c r="Q18" s="29" t="n"/>
      <c r="R18" s="29" t="n"/>
      <c r="S18" s="29" t="n"/>
      <c r="T18" s="29" t="n"/>
      <c r="U18" s="29" t="n"/>
      <c r="V18" s="29" t="n"/>
      <c r="W18" s="29" t="n"/>
    </row>
    <row r="19" ht="54" customHeight="1">
      <c r="A19" s="29" t="n"/>
      <c r="B19" s="29" t="n"/>
      <c r="C19" s="29" t="n"/>
      <c r="D19" s="29" t="n"/>
      <c r="E19" s="29" t="n"/>
      <c r="F19" s="29" t="n"/>
      <c r="G19" s="29" t="n"/>
      <c r="H19" s="29" t="n"/>
      <c r="I19" s="29" t="n"/>
      <c r="J19" s="29" t="n"/>
      <c r="K19" s="29" t="n"/>
      <c r="L19" s="49" t="n"/>
      <c r="M19" s="29" t="n"/>
      <c r="N19" s="29" t="n"/>
      <c r="O19" s="29" t="n"/>
      <c r="P19" s="29" t="n"/>
      <c r="Q19" s="29" t="n"/>
      <c r="R19" s="29" t="n"/>
      <c r="S19" s="29" t="n"/>
      <c r="T19" s="29" t="n"/>
      <c r="U19" s="29" t="n"/>
      <c r="V19" s="29" t="n"/>
      <c r="W19" s="29" t="n"/>
    </row>
    <row r="20" ht="54" customHeight="1">
      <c r="A20" s="29" t="n"/>
      <c r="B20" s="29" t="n"/>
      <c r="C20" s="29" t="n"/>
      <c r="D20" s="29" t="n"/>
      <c r="E20" s="29" t="n"/>
      <c r="F20" s="29" t="n"/>
      <c r="G20" s="29" t="n"/>
      <c r="H20" s="29" t="n"/>
      <c r="I20" s="29" t="n"/>
      <c r="J20" s="29" t="n"/>
      <c r="K20" s="29" t="n"/>
      <c r="L20" s="49" t="n"/>
      <c r="M20" s="29" t="n"/>
      <c r="N20" s="29" t="n"/>
      <c r="O20" s="29" t="n"/>
      <c r="P20" s="29" t="n"/>
      <c r="Q20" s="29" t="n"/>
      <c r="R20" s="29" t="n"/>
      <c r="S20" s="29" t="n"/>
      <c r="T20" s="29" t="n"/>
      <c r="U20" s="29" t="n"/>
      <c r="V20" s="29" t="n"/>
      <c r="W20" s="29" t="n"/>
    </row>
    <row r="21" ht="54" customHeight="1">
      <c r="A21" s="29" t="n"/>
      <c r="B21" s="29" t="n"/>
      <c r="C21" s="29" t="n"/>
      <c r="D21" s="29" t="n"/>
      <c r="E21" s="29" t="n"/>
      <c r="F21" s="29" t="n"/>
      <c r="G21" s="29" t="n"/>
      <c r="H21" s="29" t="n"/>
      <c r="I21" s="29" t="n"/>
      <c r="J21" s="29" t="n"/>
      <c r="K21" s="29" t="n"/>
      <c r="L21" s="49" t="n"/>
      <c r="M21" s="29" t="n"/>
      <c r="N21" s="29" t="n"/>
      <c r="O21" s="29" t="n"/>
      <c r="P21" s="29" t="n"/>
      <c r="Q21" s="29" t="n"/>
      <c r="R21" s="29" t="n"/>
      <c r="S21" s="29" t="n"/>
      <c r="T21" s="29" t="n"/>
      <c r="U21" s="29" t="n"/>
      <c r="V21" s="29" t="n"/>
      <c r="W21" s="29" t="n"/>
    </row>
    <row r="22" ht="54" customHeight="1">
      <c r="A22" s="29" t="n"/>
      <c r="B22" s="29" t="n"/>
      <c r="C22" s="29" t="n"/>
      <c r="D22" s="29" t="n"/>
      <c r="E22" s="29" t="n"/>
      <c r="F22" s="29" t="n"/>
      <c r="G22" s="29" t="n"/>
      <c r="H22" s="29" t="n"/>
      <c r="I22" s="29" t="n"/>
      <c r="J22" s="29" t="n"/>
      <c r="K22" s="29" t="n"/>
      <c r="L22" s="49" t="n"/>
      <c r="M22" s="29" t="n"/>
      <c r="N22" s="29" t="n"/>
      <c r="O22" s="29" t="n"/>
      <c r="P22" s="29" t="n"/>
      <c r="Q22" s="29" t="n"/>
      <c r="R22" s="29" t="n"/>
      <c r="S22" s="29" t="n"/>
      <c r="T22" s="29" t="n"/>
      <c r="U22" s="29" t="n"/>
      <c r="V22" s="29" t="n"/>
      <c r="W22" s="29" t="n"/>
    </row>
    <row r="23" ht="54" customHeight="1">
      <c r="A23" s="29" t="n"/>
      <c r="B23" s="29" t="n"/>
      <c r="C23" s="29" t="n"/>
      <c r="D23" s="29" t="n"/>
      <c r="E23" s="29" t="n"/>
      <c r="F23" s="29" t="n"/>
      <c r="G23" s="29" t="n"/>
      <c r="H23" s="29" t="n"/>
      <c r="I23" s="29" t="n"/>
      <c r="J23" s="29" t="n"/>
      <c r="K23" s="29" t="n"/>
      <c r="L23" s="49" t="n"/>
      <c r="M23" s="29" t="n"/>
      <c r="N23" s="29" t="n"/>
      <c r="O23" s="29" t="n"/>
      <c r="P23" s="29" t="n"/>
      <c r="Q23" s="29" t="n"/>
      <c r="R23" s="29" t="n"/>
      <c r="S23" s="29" t="n"/>
      <c r="T23" s="29" t="n"/>
      <c r="U23" s="29" t="n"/>
      <c r="V23" s="29" t="n"/>
      <c r="W23" s="29" t="n"/>
    </row>
    <row r="24" ht="54" customHeight="1">
      <c r="A24" s="29" t="n"/>
      <c r="B24" s="29" t="n"/>
      <c r="C24" s="29" t="n"/>
      <c r="D24" s="29" t="n"/>
      <c r="E24" s="29" t="n"/>
      <c r="F24" s="29" t="n"/>
      <c r="G24" s="29" t="n"/>
      <c r="H24" s="29" t="n"/>
      <c r="I24" s="29" t="n"/>
      <c r="J24" s="29" t="n"/>
      <c r="K24" s="29" t="n"/>
      <c r="L24" s="49" t="n"/>
      <c r="M24" s="29" t="n"/>
      <c r="N24" s="29" t="n"/>
      <c r="O24" s="29" t="n"/>
      <c r="P24" s="29" t="n"/>
      <c r="Q24" s="29" t="n"/>
      <c r="R24" s="29" t="n"/>
      <c r="S24" s="29" t="n"/>
      <c r="T24" s="29" t="n"/>
      <c r="U24" s="29" t="n"/>
      <c r="V24" s="29" t="n"/>
      <c r="W24" s="29" t="n"/>
    </row>
    <row r="25" ht="54" customHeight="1">
      <c r="A25" s="29" t="n"/>
      <c r="B25" s="29" t="n"/>
      <c r="C25" s="29" t="n"/>
      <c r="D25" s="29" t="n"/>
      <c r="E25" s="29" t="n"/>
      <c r="F25" s="29" t="n"/>
      <c r="G25" s="29" t="n"/>
      <c r="H25" s="29" t="n"/>
      <c r="I25" s="29" t="n"/>
      <c r="J25" s="29" t="n"/>
      <c r="K25" s="29" t="n"/>
      <c r="L25" s="49" t="n"/>
      <c r="M25" s="29" t="n"/>
      <c r="N25" s="29" t="n"/>
      <c r="O25" s="29" t="n"/>
      <c r="P25" s="29" t="n"/>
      <c r="Q25" s="29" t="n"/>
      <c r="R25" s="29" t="n"/>
      <c r="S25" s="29" t="n"/>
      <c r="T25" s="29" t="n"/>
      <c r="U25" s="29" t="n"/>
      <c r="V25" s="29" t="n"/>
      <c r="W25" s="29" t="n"/>
    </row>
    <row r="26" ht="54" customHeight="1">
      <c r="A26" s="29" t="n"/>
      <c r="B26" s="29" t="n"/>
      <c r="C26" s="29" t="n"/>
      <c r="D26" s="29" t="n"/>
      <c r="E26" s="29" t="n"/>
      <c r="F26" s="29" t="n"/>
      <c r="G26" s="29" t="n"/>
      <c r="H26" s="29" t="n"/>
      <c r="I26" s="29" t="n"/>
      <c r="J26" s="29" t="n"/>
      <c r="K26" s="29" t="n"/>
      <c r="L26" s="49" t="n"/>
      <c r="M26" s="29" t="n"/>
      <c r="N26" s="29" t="n"/>
      <c r="O26" s="29" t="n"/>
      <c r="P26" s="29" t="n"/>
      <c r="Q26" s="29" t="n"/>
      <c r="R26" s="29" t="n"/>
      <c r="S26" s="29" t="n"/>
      <c r="T26" s="29" t="n"/>
      <c r="U26" s="29" t="n"/>
      <c r="V26" s="29" t="n"/>
      <c r="W26" s="29" t="n"/>
    </row>
    <row r="27" ht="54" customHeight="1">
      <c r="A27" s="29" t="n"/>
      <c r="B27" s="29" t="n"/>
      <c r="C27" s="29" t="n"/>
      <c r="D27" s="29" t="n"/>
      <c r="E27" s="29" t="n"/>
      <c r="F27" s="29" t="n"/>
      <c r="G27" s="29" t="n"/>
      <c r="H27" s="29" t="n"/>
      <c r="I27" s="29" t="n"/>
      <c r="J27" s="29" t="n"/>
      <c r="K27" s="29" t="n"/>
      <c r="L27" s="49" t="n"/>
      <c r="M27" s="29" t="n"/>
      <c r="N27" s="29" t="n"/>
      <c r="O27" s="29" t="n"/>
      <c r="P27" s="29" t="n"/>
      <c r="Q27" s="29" t="n"/>
      <c r="R27" s="29" t="n"/>
      <c r="S27" s="29" t="n"/>
      <c r="T27" s="29" t="n"/>
      <c r="U27" s="29" t="n"/>
      <c r="V27" s="29" t="n"/>
      <c r="W27" s="29" t="n"/>
    </row>
    <row r="28" ht="54" customHeight="1">
      <c r="A28" s="29" t="n"/>
      <c r="B28" s="29" t="n"/>
      <c r="C28" s="29" t="n"/>
      <c r="D28" s="29" t="n"/>
      <c r="E28" s="29" t="n"/>
      <c r="F28" s="29" t="n"/>
      <c r="G28" s="29" t="n"/>
      <c r="H28" s="29" t="n"/>
      <c r="I28" s="29" t="n"/>
      <c r="J28" s="29" t="n"/>
      <c r="K28" s="29" t="n"/>
      <c r="L28" s="49" t="n"/>
      <c r="M28" s="29" t="n"/>
      <c r="N28" s="29" t="n"/>
      <c r="O28" s="29" t="n"/>
      <c r="P28" s="29" t="n"/>
      <c r="Q28" s="29" t="n"/>
      <c r="R28" s="29" t="n"/>
      <c r="S28" s="29" t="n"/>
      <c r="T28" s="29" t="n"/>
      <c r="U28" s="29" t="n"/>
      <c r="V28" s="29" t="n"/>
      <c r="W28" s="29" t="n"/>
    </row>
    <row r="29" ht="54" customHeight="1">
      <c r="A29" s="29" t="n"/>
      <c r="B29" s="29" t="n"/>
      <c r="C29" s="29" t="n"/>
      <c r="D29" s="29" t="n"/>
      <c r="E29" s="29" t="n"/>
      <c r="F29" s="29" t="n"/>
      <c r="G29" s="29" t="n"/>
      <c r="H29" s="29" t="n"/>
      <c r="I29" s="29" t="n"/>
      <c r="J29" s="29" t="n"/>
      <c r="K29" s="29" t="n"/>
      <c r="L29" s="49" t="n"/>
      <c r="M29" s="29" t="n"/>
      <c r="N29" s="29" t="n"/>
      <c r="O29" s="29" t="n"/>
      <c r="P29" s="29" t="n"/>
      <c r="Q29" s="29" t="n"/>
      <c r="R29" s="29" t="n"/>
      <c r="S29" s="29" t="n"/>
      <c r="T29" s="29" t="n"/>
      <c r="U29" s="29" t="n"/>
      <c r="V29" s="29" t="n"/>
      <c r="W29" s="29" t="n"/>
    </row>
    <row r="30" ht="54" customHeight="1">
      <c r="A30" s="29" t="n"/>
      <c r="B30" s="29" t="n"/>
      <c r="C30" s="29" t="n"/>
      <c r="D30" s="29" t="n"/>
      <c r="E30" s="29" t="n"/>
      <c r="F30" s="29" t="n"/>
      <c r="G30" s="29" t="n"/>
      <c r="H30" s="29" t="n"/>
      <c r="I30" s="29" t="n"/>
      <c r="J30" s="29" t="n"/>
      <c r="K30" s="29" t="n"/>
      <c r="L30" s="49" t="n"/>
      <c r="M30" s="29" t="n"/>
      <c r="N30" s="29" t="n"/>
      <c r="O30" s="29" t="n"/>
      <c r="P30" s="29" t="n"/>
      <c r="Q30" s="29" t="n"/>
      <c r="R30" s="29" t="n"/>
      <c r="S30" s="29" t="n"/>
      <c r="T30" s="29" t="n"/>
      <c r="U30" s="29" t="n"/>
      <c r="V30" s="29" t="n"/>
      <c r="W30" s="29" t="n"/>
    </row>
    <row r="31" ht="54" customHeight="1">
      <c r="A31" s="29" t="n"/>
      <c r="B31" s="29" t="n"/>
      <c r="C31" s="29" t="n"/>
      <c r="D31" s="29" t="n"/>
      <c r="E31" s="29" t="n"/>
      <c r="F31" s="29" t="n"/>
      <c r="G31" s="29" t="n"/>
      <c r="H31" s="29" t="n"/>
      <c r="I31" s="29" t="n"/>
      <c r="J31" s="29" t="n"/>
      <c r="K31" s="29" t="n"/>
      <c r="L31" s="49" t="n"/>
      <c r="M31" s="29" t="n"/>
      <c r="N31" s="29" t="n"/>
      <c r="O31" s="29" t="n"/>
      <c r="P31" s="29" t="n"/>
      <c r="Q31" s="29" t="n"/>
      <c r="R31" s="29" t="n"/>
      <c r="S31" s="29" t="n"/>
      <c r="T31" s="29" t="n"/>
      <c r="U31" s="29" t="n"/>
      <c r="V31" s="29" t="n"/>
      <c r="W31" s="29" t="n"/>
    </row>
    <row r="32" ht="54" customHeight="1">
      <c r="A32" s="29" t="n"/>
      <c r="B32" s="29" t="n"/>
      <c r="C32" s="29" t="n"/>
      <c r="D32" s="29" t="n"/>
      <c r="E32" s="29" t="n"/>
      <c r="F32" s="29" t="n"/>
      <c r="G32" s="29" t="n"/>
      <c r="H32" s="29" t="n"/>
      <c r="I32" s="29" t="n"/>
      <c r="J32" s="29" t="n"/>
      <c r="K32" s="29" t="n"/>
      <c r="L32" s="49" t="n"/>
      <c r="M32" s="29" t="n"/>
      <c r="N32" s="29" t="n"/>
      <c r="O32" s="29" t="n"/>
      <c r="P32" s="29" t="n"/>
      <c r="Q32" s="29" t="n"/>
      <c r="R32" s="29" t="n"/>
      <c r="S32" s="29" t="n"/>
      <c r="T32" s="29" t="n"/>
      <c r="U32" s="29" t="n"/>
      <c r="V32" s="29" t="n"/>
      <c r="W32" s="29" t="n"/>
    </row>
    <row r="33" ht="54" customHeight="1">
      <c r="A33" s="29" t="n"/>
      <c r="B33" s="29" t="n"/>
      <c r="C33" s="29" t="n"/>
      <c r="D33" s="29" t="n"/>
      <c r="E33" s="29" t="n"/>
      <c r="F33" s="29" t="n"/>
      <c r="G33" s="29" t="n"/>
      <c r="H33" s="29" t="n"/>
      <c r="I33" s="29" t="n"/>
      <c r="J33" s="29" t="n"/>
      <c r="K33" s="29" t="n"/>
      <c r="L33" s="49" t="n"/>
      <c r="M33" s="29" t="n"/>
      <c r="N33" s="29" t="n"/>
      <c r="O33" s="29" t="n"/>
      <c r="P33" s="29" t="n"/>
      <c r="Q33" s="29" t="n"/>
      <c r="R33" s="29" t="n"/>
      <c r="S33" s="29" t="n"/>
      <c r="T33" s="29" t="n"/>
      <c r="U33" s="29" t="n"/>
      <c r="V33" s="29" t="n"/>
      <c r="W33" s="29" t="n"/>
    </row>
    <row r="34" ht="54" customHeight="1">
      <c r="A34" s="29" t="n"/>
      <c r="B34" s="29" t="n"/>
      <c r="C34" s="29" t="n"/>
      <c r="D34" s="29" t="n"/>
      <c r="E34" s="29" t="n"/>
      <c r="F34" s="29" t="n"/>
      <c r="G34" s="29" t="n"/>
      <c r="H34" s="29" t="n"/>
      <c r="I34" s="29" t="n"/>
      <c r="J34" s="29" t="n"/>
      <c r="K34" s="29" t="n"/>
      <c r="L34" s="49" t="n"/>
      <c r="M34" s="29" t="n"/>
      <c r="N34" s="29" t="n"/>
      <c r="O34" s="29" t="n"/>
      <c r="P34" s="29" t="n"/>
      <c r="Q34" s="29" t="n"/>
      <c r="R34" s="29" t="n"/>
      <c r="S34" s="29" t="n"/>
      <c r="T34" s="29" t="n"/>
      <c r="U34" s="29" t="n"/>
      <c r="V34" s="29" t="n"/>
      <c r="W34" s="29" t="n"/>
    </row>
    <row r="35" ht="54" customHeight="1">
      <c r="A35" s="29" t="n"/>
      <c r="B35" s="29" t="n"/>
      <c r="C35" s="29" t="n"/>
      <c r="D35" s="29" t="n"/>
      <c r="E35" s="29" t="n"/>
      <c r="F35" s="29" t="n"/>
      <c r="G35" s="29" t="n"/>
      <c r="H35" s="29" t="n"/>
      <c r="I35" s="29" t="n"/>
      <c r="J35" s="29" t="n"/>
      <c r="K35" s="29" t="n"/>
      <c r="L35" s="49" t="n"/>
      <c r="M35" s="29" t="n"/>
      <c r="N35" s="29" t="n"/>
      <c r="O35" s="29" t="n"/>
      <c r="P35" s="29" t="n"/>
      <c r="Q35" s="29" t="n"/>
      <c r="R35" s="29" t="n"/>
      <c r="S35" s="29" t="n"/>
      <c r="T35" s="29" t="n"/>
      <c r="U35" s="29" t="n"/>
      <c r="V35" s="29" t="n"/>
      <c r="W35" s="29" t="n"/>
    </row>
    <row r="36" ht="54" customHeight="1">
      <c r="A36" s="29" t="n"/>
      <c r="B36" s="29" t="n"/>
      <c r="C36" s="29" t="n"/>
      <c r="D36" s="29" t="n"/>
      <c r="E36" s="29" t="n"/>
      <c r="F36" s="29" t="n"/>
      <c r="G36" s="29" t="n"/>
      <c r="H36" s="29" t="n"/>
      <c r="I36" s="29" t="n"/>
      <c r="J36" s="29" t="n"/>
      <c r="K36" s="29" t="n"/>
      <c r="L36" s="49" t="n"/>
      <c r="M36" s="29" t="n"/>
      <c r="N36" s="29" t="n"/>
      <c r="O36" s="29" t="n"/>
      <c r="P36" s="29" t="n"/>
      <c r="Q36" s="29" t="n"/>
      <c r="R36" s="29" t="n"/>
      <c r="S36" s="29" t="n"/>
      <c r="T36" s="29" t="n"/>
      <c r="U36" s="29" t="n"/>
      <c r="V36" s="29" t="n"/>
      <c r="W36" s="29" t="n"/>
    </row>
    <row r="37" ht="54" customHeight="1">
      <c r="A37" s="29" t="n"/>
      <c r="B37" s="29" t="n"/>
      <c r="C37" s="29" t="n"/>
      <c r="D37" s="29" t="n"/>
      <c r="E37" s="29" t="n"/>
      <c r="F37" s="29" t="n"/>
      <c r="G37" s="29" t="n"/>
      <c r="H37" s="29" t="n"/>
      <c r="I37" s="29" t="n"/>
      <c r="J37" s="29" t="n"/>
      <c r="K37" s="29" t="n"/>
      <c r="L37" s="49" t="n"/>
      <c r="M37" s="29" t="n"/>
      <c r="N37" s="29" t="n"/>
      <c r="O37" s="29" t="n"/>
      <c r="P37" s="29" t="n"/>
      <c r="Q37" s="29" t="n"/>
      <c r="R37" s="29" t="n"/>
      <c r="S37" s="29" t="n"/>
      <c r="T37" s="29" t="n"/>
      <c r="U37" s="29" t="n"/>
      <c r="V37" s="29" t="n"/>
      <c r="W37" s="29" t="n"/>
    </row>
    <row r="38" ht="54" customHeight="1">
      <c r="A38" s="29" t="n"/>
      <c r="B38" s="29" t="n"/>
      <c r="C38" s="29" t="n"/>
      <c r="D38" s="29" t="n"/>
      <c r="E38" s="29" t="n"/>
      <c r="F38" s="29" t="n"/>
      <c r="G38" s="29" t="n"/>
      <c r="H38" s="29" t="n"/>
      <c r="I38" s="29" t="n"/>
      <c r="J38" s="29" t="n"/>
      <c r="K38" s="29" t="n"/>
      <c r="L38" s="49" t="n"/>
      <c r="M38" s="29" t="n"/>
      <c r="N38" s="29" t="n"/>
      <c r="O38" s="29" t="n"/>
      <c r="P38" s="29" t="n"/>
      <c r="Q38" s="29" t="n"/>
      <c r="R38" s="29" t="n"/>
      <c r="S38" s="29" t="n"/>
      <c r="T38" s="29" t="n"/>
      <c r="U38" s="29" t="n"/>
      <c r="V38" s="29" t="n"/>
      <c r="W38" s="29" t="n"/>
    </row>
    <row r="39" ht="54" customHeight="1">
      <c r="A39" s="29" t="n"/>
      <c r="B39" s="29" t="n"/>
      <c r="C39" s="29" t="n"/>
      <c r="D39" s="29" t="n"/>
      <c r="E39" s="29" t="n"/>
      <c r="F39" s="29" t="n"/>
      <c r="G39" s="29" t="n"/>
      <c r="H39" s="29" t="n"/>
      <c r="I39" s="29" t="n"/>
      <c r="J39" s="29" t="n"/>
      <c r="K39" s="29" t="n"/>
      <c r="L39" s="49" t="n"/>
      <c r="M39" s="29" t="n"/>
      <c r="N39" s="29" t="n"/>
      <c r="O39" s="29" t="n"/>
      <c r="P39" s="29" t="n"/>
      <c r="Q39" s="29" t="n"/>
      <c r="R39" s="29" t="n"/>
      <c r="S39" s="29" t="n"/>
      <c r="T39" s="29" t="n"/>
      <c r="U39" s="29" t="n"/>
      <c r="V39" s="29" t="n"/>
      <c r="W39" s="29" t="n"/>
    </row>
    <row r="40" ht="54" customHeight="1">
      <c r="A40" s="29" t="n"/>
      <c r="B40" s="29" t="n"/>
      <c r="C40" s="29" t="n"/>
      <c r="D40" s="29" t="n"/>
      <c r="E40" s="29" t="n"/>
      <c r="F40" s="29" t="n"/>
      <c r="G40" s="29" t="n"/>
      <c r="H40" s="29" t="n"/>
      <c r="I40" s="29" t="n"/>
      <c r="J40" s="29" t="n"/>
      <c r="K40" s="29" t="n"/>
      <c r="L40" s="49" t="n"/>
      <c r="M40" s="29" t="n"/>
      <c r="N40" s="29" t="n"/>
      <c r="O40" s="29" t="n"/>
      <c r="P40" s="29" t="n"/>
      <c r="Q40" s="29" t="n"/>
      <c r="R40" s="29" t="n"/>
      <c r="S40" s="29" t="n"/>
      <c r="T40" s="29" t="n"/>
      <c r="U40" s="29" t="n"/>
      <c r="V40" s="29" t="n"/>
      <c r="W40" s="29" t="n"/>
    </row>
    <row r="41" ht="54" customHeight="1">
      <c r="A41" s="29" t="n"/>
      <c r="B41" s="29" t="n"/>
      <c r="C41" s="29" t="n"/>
      <c r="D41" s="29" t="n"/>
      <c r="E41" s="29" t="n"/>
      <c r="F41" s="29" t="n"/>
      <c r="G41" s="29" t="n"/>
      <c r="H41" s="29" t="n"/>
      <c r="I41" s="29" t="n"/>
      <c r="J41" s="29" t="n"/>
      <c r="K41" s="29" t="n"/>
      <c r="L41" s="49" t="n"/>
      <c r="M41" s="29" t="n"/>
      <c r="N41" s="29" t="n"/>
      <c r="O41" s="29" t="n"/>
      <c r="P41" s="29" t="n"/>
      <c r="Q41" s="29" t="n"/>
      <c r="R41" s="29" t="n"/>
      <c r="S41" s="29" t="n"/>
      <c r="T41" s="29" t="n"/>
      <c r="U41" s="29" t="n"/>
      <c r="V41" s="29" t="n"/>
      <c r="W41" s="29" t="n"/>
    </row>
    <row r="42" ht="54" customHeight="1">
      <c r="A42" s="29" t="n"/>
      <c r="B42" s="29" t="n"/>
      <c r="C42" s="29" t="n"/>
      <c r="D42" s="29" t="n"/>
      <c r="E42" s="29" t="n"/>
      <c r="F42" s="29" t="n"/>
      <c r="G42" s="29" t="n"/>
      <c r="H42" s="29" t="n"/>
      <c r="I42" s="29" t="n"/>
      <c r="J42" s="29" t="n"/>
      <c r="K42" s="29" t="n"/>
      <c r="L42" s="49" t="n"/>
      <c r="M42" s="29" t="n"/>
      <c r="N42" s="29" t="n"/>
      <c r="O42" s="29" t="n"/>
      <c r="P42" s="29" t="n"/>
      <c r="Q42" s="29" t="n"/>
      <c r="R42" s="29" t="n"/>
      <c r="S42" s="29" t="n"/>
      <c r="T42" s="29" t="n"/>
      <c r="U42" s="29" t="n"/>
      <c r="V42" s="29" t="n"/>
      <c r="W42" s="29" t="n"/>
    </row>
    <row r="43" ht="54" customHeight="1">
      <c r="A43" s="29" t="n"/>
      <c r="B43" s="29" t="n"/>
      <c r="C43" s="29" t="n"/>
      <c r="D43" s="29" t="n"/>
      <c r="E43" s="29" t="n"/>
      <c r="F43" s="29" t="n"/>
      <c r="G43" s="29" t="n"/>
      <c r="H43" s="29" t="n"/>
      <c r="I43" s="29" t="n"/>
      <c r="J43" s="29" t="n"/>
      <c r="K43" s="29" t="n"/>
      <c r="L43" s="49" t="n"/>
      <c r="M43" s="29" t="n"/>
      <c r="N43" s="29" t="n"/>
      <c r="O43" s="29" t="n"/>
      <c r="P43" s="29" t="n"/>
      <c r="Q43" s="29" t="n"/>
      <c r="R43" s="29" t="n"/>
      <c r="S43" s="29" t="n"/>
      <c r="T43" s="29" t="n"/>
      <c r="U43" s="29" t="n"/>
      <c r="V43" s="29" t="n"/>
      <c r="W43" s="29" t="n"/>
    </row>
    <row r="44" ht="54" customHeight="1">
      <c r="A44" s="29" t="n"/>
      <c r="B44" s="29" t="n"/>
      <c r="C44" s="29" t="n"/>
      <c r="D44" s="29" t="n"/>
      <c r="E44" s="29" t="n"/>
      <c r="F44" s="29" t="n"/>
      <c r="G44" s="29" t="n"/>
      <c r="H44" s="29" t="n"/>
      <c r="I44" s="29" t="n"/>
      <c r="J44" s="29" t="n"/>
      <c r="K44" s="29" t="n"/>
      <c r="L44" s="49" t="n"/>
      <c r="M44" s="29" t="n"/>
      <c r="N44" s="29" t="n"/>
      <c r="O44" s="29" t="n"/>
      <c r="P44" s="29" t="n"/>
      <c r="Q44" s="29" t="n"/>
      <c r="R44" s="29" t="n"/>
      <c r="S44" s="29" t="n"/>
      <c r="T44" s="29" t="n"/>
      <c r="U44" s="29" t="n"/>
      <c r="V44" s="29" t="n"/>
      <c r="W44" s="29" t="n"/>
    </row>
    <row r="45" ht="54" customHeight="1">
      <c r="A45" s="29" t="n"/>
      <c r="B45" s="29" t="n"/>
      <c r="C45" s="29" t="n"/>
      <c r="D45" s="29" t="n"/>
      <c r="E45" s="29" t="n"/>
      <c r="F45" s="29" t="n"/>
      <c r="G45" s="29" t="n"/>
      <c r="H45" s="29" t="n"/>
      <c r="I45" s="29" t="n"/>
      <c r="J45" s="29" t="n"/>
      <c r="K45" s="29" t="n"/>
      <c r="L45" s="49" t="n"/>
      <c r="M45" s="29" t="n"/>
      <c r="N45" s="29" t="n"/>
      <c r="O45" s="29" t="n"/>
      <c r="P45" s="29" t="n"/>
      <c r="Q45" s="29" t="n"/>
      <c r="R45" s="29" t="n"/>
      <c r="S45" s="29" t="n"/>
      <c r="T45" s="29" t="n"/>
      <c r="U45" s="29" t="n"/>
      <c r="V45" s="29" t="n"/>
      <c r="W45" s="29" t="n"/>
    </row>
    <row r="46" ht="54" customHeight="1">
      <c r="A46" s="29" t="n"/>
      <c r="B46" s="29" t="n"/>
      <c r="C46" s="29" t="n"/>
      <c r="D46" s="29" t="n"/>
      <c r="E46" s="29" t="n"/>
      <c r="F46" s="29" t="n"/>
      <c r="G46" s="29" t="n"/>
      <c r="H46" s="29" t="n"/>
      <c r="I46" s="29" t="n"/>
      <c r="J46" s="29" t="n"/>
      <c r="K46" s="29" t="n"/>
      <c r="L46" s="49" t="n"/>
      <c r="M46" s="29" t="n"/>
      <c r="N46" s="29" t="n"/>
      <c r="O46" s="29" t="n"/>
      <c r="P46" s="29" t="n"/>
      <c r="Q46" s="29" t="n"/>
      <c r="R46" s="29" t="n"/>
      <c r="S46" s="29" t="n"/>
      <c r="T46" s="29" t="n"/>
      <c r="U46" s="29" t="n"/>
      <c r="V46" s="29" t="n"/>
      <c r="W46" s="29" t="n"/>
    </row>
    <row r="47" ht="54" customHeight="1">
      <c r="A47" s="29" t="n"/>
      <c r="B47" s="29" t="n"/>
      <c r="C47" s="29" t="n"/>
      <c r="D47" s="29" t="n"/>
      <c r="E47" s="29" t="n"/>
      <c r="F47" s="29" t="n"/>
      <c r="G47" s="29" t="n"/>
      <c r="H47" s="29" t="n"/>
      <c r="I47" s="29" t="n"/>
      <c r="J47" s="29" t="n"/>
      <c r="K47" s="29" t="n"/>
      <c r="L47" s="49" t="n"/>
      <c r="M47" s="29" t="n"/>
      <c r="N47" s="29" t="n"/>
      <c r="O47" s="29" t="n"/>
      <c r="P47" s="29" t="n"/>
      <c r="Q47" s="29" t="n"/>
      <c r="R47" s="29" t="n"/>
      <c r="S47" s="29" t="n"/>
      <c r="T47" s="29" t="n"/>
      <c r="U47" s="29" t="n"/>
      <c r="V47" s="29" t="n"/>
      <c r="W47" s="29" t="n"/>
    </row>
    <row r="48" ht="54" customHeight="1">
      <c r="A48" s="29" t="n"/>
      <c r="B48" s="29" t="n"/>
      <c r="C48" s="29" t="n"/>
      <c r="D48" s="29" t="n"/>
      <c r="E48" s="29" t="n"/>
      <c r="F48" s="29" t="n"/>
      <c r="G48" s="29" t="n"/>
      <c r="H48" s="29" t="n"/>
      <c r="I48" s="29" t="n"/>
      <c r="J48" s="29" t="n"/>
      <c r="K48" s="29" t="n"/>
      <c r="L48" s="49" t="n"/>
      <c r="M48" s="29" t="n"/>
      <c r="N48" s="29" t="n"/>
      <c r="O48" s="29" t="n"/>
      <c r="P48" s="29" t="n"/>
      <c r="Q48" s="29" t="n"/>
      <c r="R48" s="29" t="n"/>
      <c r="S48" s="29" t="n"/>
      <c r="T48" s="29" t="n"/>
      <c r="U48" s="29" t="n"/>
      <c r="V48" s="29" t="n"/>
      <c r="W48" s="29" t="n"/>
    </row>
    <row r="49" ht="54" customHeight="1">
      <c r="A49" s="29" t="n"/>
      <c r="B49" s="29" t="n"/>
      <c r="C49" s="29" t="n"/>
      <c r="D49" s="29" t="n"/>
      <c r="E49" s="29" t="n"/>
      <c r="F49" s="29" t="n"/>
      <c r="G49" s="29" t="n"/>
      <c r="H49" s="29" t="n"/>
      <c r="I49" s="29" t="n"/>
      <c r="J49" s="29" t="n"/>
      <c r="K49" s="29" t="n"/>
      <c r="L49" s="49" t="n"/>
      <c r="M49" s="29" t="n"/>
      <c r="N49" s="29" t="n"/>
      <c r="O49" s="29" t="n"/>
      <c r="P49" s="29" t="n"/>
      <c r="Q49" s="29" t="n"/>
      <c r="R49" s="29" t="n"/>
      <c r="S49" s="29" t="n"/>
      <c r="T49" s="29" t="n"/>
      <c r="U49" s="29" t="n"/>
      <c r="V49" s="29" t="n"/>
      <c r="W49" s="29" t="n"/>
    </row>
    <row r="50" ht="54" customHeight="1">
      <c r="A50" s="29" t="n"/>
      <c r="B50" s="29" t="n"/>
      <c r="C50" s="29" t="n"/>
      <c r="D50" s="29" t="n"/>
      <c r="E50" s="29" t="n"/>
      <c r="F50" s="29" t="n"/>
      <c r="G50" s="29" t="n"/>
      <c r="H50" s="29" t="n"/>
      <c r="I50" s="29" t="n"/>
      <c r="J50" s="29" t="n"/>
      <c r="K50" s="29" t="n"/>
      <c r="L50" s="49" t="n"/>
      <c r="M50" s="29" t="n"/>
      <c r="N50" s="29" t="n"/>
      <c r="O50" s="29" t="n"/>
      <c r="P50" s="29" t="n"/>
      <c r="Q50" s="29" t="n"/>
      <c r="R50" s="29" t="n"/>
      <c r="S50" s="29" t="n"/>
      <c r="T50" s="29" t="n"/>
      <c r="U50" s="29" t="n"/>
      <c r="V50" s="29" t="n"/>
      <c r="W50" s="29" t="n"/>
    </row>
    <row r="51" ht="54" customHeight="1">
      <c r="A51" s="29" t="n"/>
      <c r="B51" s="29" t="n"/>
      <c r="C51" s="29" t="n"/>
      <c r="D51" s="29" t="n"/>
      <c r="E51" s="29" t="n"/>
      <c r="F51" s="29" t="n"/>
      <c r="G51" s="29" t="n"/>
      <c r="H51" s="29" t="n"/>
      <c r="I51" s="29" t="n"/>
      <c r="J51" s="29" t="n"/>
      <c r="K51" s="29" t="n"/>
      <c r="L51" s="49" t="n"/>
      <c r="M51" s="29" t="n"/>
      <c r="N51" s="29" t="n"/>
      <c r="O51" s="29" t="n"/>
      <c r="P51" s="29" t="n"/>
      <c r="Q51" s="29" t="n"/>
      <c r="R51" s="29" t="n"/>
      <c r="S51" s="29" t="n"/>
      <c r="T51" s="29" t="n"/>
      <c r="U51" s="29" t="n"/>
      <c r="V51" s="29" t="n"/>
      <c r="W51" s="29" t="n"/>
    </row>
    <row r="52" ht="54" customHeight="1">
      <c r="A52" s="29" t="n"/>
      <c r="B52" s="29" t="n"/>
      <c r="C52" s="29" t="n"/>
      <c r="D52" s="29" t="n"/>
      <c r="E52" s="29" t="n"/>
      <c r="F52" s="29" t="n"/>
      <c r="G52" s="29" t="n"/>
      <c r="H52" s="29" t="n"/>
      <c r="I52" s="29" t="n"/>
      <c r="J52" s="29" t="n"/>
      <c r="K52" s="29" t="n"/>
      <c r="L52" s="49" t="n"/>
      <c r="M52" s="29" t="n"/>
      <c r="N52" s="29" t="n"/>
      <c r="O52" s="29" t="n"/>
      <c r="P52" s="29" t="n"/>
      <c r="Q52" s="29" t="n"/>
      <c r="R52" s="29" t="n"/>
      <c r="S52" s="29" t="n"/>
      <c r="T52" s="29" t="n"/>
      <c r="U52" s="29" t="n"/>
      <c r="V52" s="29" t="n"/>
      <c r="W52" s="29" t="n"/>
    </row>
    <row r="53" ht="54" customHeight="1">
      <c r="A53" s="29" t="n"/>
      <c r="B53" s="29" t="n"/>
      <c r="C53" s="29" t="n"/>
      <c r="D53" s="29" t="n"/>
      <c r="E53" s="29" t="n"/>
      <c r="F53" s="29" t="n"/>
      <c r="G53" s="29" t="n"/>
      <c r="H53" s="29" t="n"/>
      <c r="I53" s="29" t="n"/>
      <c r="J53" s="29" t="n"/>
      <c r="K53" s="29" t="n"/>
      <c r="L53" s="49" t="n"/>
      <c r="M53" s="29" t="n"/>
      <c r="N53" s="29" t="n"/>
      <c r="O53" s="29" t="n"/>
      <c r="P53" s="29" t="n"/>
      <c r="Q53" s="29" t="n"/>
      <c r="R53" s="29" t="n"/>
      <c r="S53" s="29" t="n"/>
      <c r="T53" s="29" t="n"/>
      <c r="U53" s="29" t="n"/>
      <c r="V53" s="29" t="n"/>
      <c r="W53" s="29" t="n"/>
    </row>
    <row r="54" ht="54" customHeight="1">
      <c r="A54" s="29" t="n"/>
      <c r="B54" s="29" t="n"/>
      <c r="C54" s="29" t="n"/>
      <c r="D54" s="29" t="n"/>
      <c r="E54" s="29" t="n"/>
      <c r="F54" s="29" t="n"/>
      <c r="G54" s="29" t="n"/>
      <c r="H54" s="29" t="n"/>
      <c r="I54" s="29" t="n"/>
      <c r="J54" s="29" t="n"/>
      <c r="K54" s="29" t="n"/>
      <c r="L54" s="49" t="n"/>
      <c r="M54" s="29" t="n"/>
      <c r="N54" s="29" t="n"/>
      <c r="O54" s="29" t="n"/>
      <c r="P54" s="29" t="n"/>
      <c r="Q54" s="29" t="n"/>
      <c r="R54" s="29" t="n"/>
      <c r="S54" s="29" t="n"/>
      <c r="T54" s="29" t="n"/>
      <c r="U54" s="29" t="n"/>
      <c r="V54" s="29" t="n"/>
      <c r="W54" s="29" t="n"/>
    </row>
    <row r="55" ht="54" customHeight="1">
      <c r="A55" s="29" t="n"/>
      <c r="B55" s="29" t="n"/>
      <c r="C55" s="29" t="n"/>
      <c r="D55" s="29" t="n"/>
      <c r="E55" s="29" t="n"/>
      <c r="F55" s="29" t="n"/>
      <c r="G55" s="29" t="n"/>
      <c r="H55" s="29" t="n"/>
      <c r="I55" s="29" t="n"/>
      <c r="J55" s="29" t="n"/>
      <c r="K55" s="29" t="n"/>
      <c r="L55" s="49" t="n"/>
      <c r="M55" s="29" t="n"/>
      <c r="N55" s="29" t="n"/>
      <c r="O55" s="29" t="n"/>
      <c r="P55" s="29" t="n"/>
      <c r="Q55" s="29" t="n"/>
      <c r="R55" s="29" t="n"/>
      <c r="S55" s="29" t="n"/>
      <c r="T55" s="29" t="n"/>
      <c r="U55" s="29" t="n"/>
      <c r="V55" s="29" t="n"/>
      <c r="W55" s="29" t="n"/>
    </row>
    <row r="56" ht="54" customHeight="1">
      <c r="A56" s="29" t="n"/>
      <c r="B56" s="29" t="n"/>
      <c r="C56" s="29" t="n"/>
      <c r="D56" s="29" t="n"/>
      <c r="E56" s="29" t="n"/>
      <c r="F56" s="29" t="n"/>
      <c r="G56" s="29" t="n"/>
      <c r="H56" s="29" t="n"/>
      <c r="I56" s="29" t="n"/>
      <c r="J56" s="29" t="n"/>
      <c r="K56" s="29" t="n"/>
      <c r="L56" s="49" t="n"/>
      <c r="M56" s="29" t="n"/>
      <c r="N56" s="29" t="n"/>
      <c r="O56" s="29" t="n"/>
      <c r="P56" s="29" t="n"/>
      <c r="Q56" s="29" t="n"/>
      <c r="R56" s="29" t="n"/>
      <c r="S56" s="29" t="n"/>
      <c r="T56" s="29" t="n"/>
      <c r="U56" s="29" t="n"/>
      <c r="V56" s="29" t="n"/>
      <c r="W56" s="29" t="n"/>
    </row>
    <row r="57" ht="54" customHeight="1">
      <c r="A57" s="29" t="n"/>
      <c r="B57" s="29" t="n"/>
      <c r="C57" s="29" t="n"/>
      <c r="D57" s="29" t="n"/>
      <c r="E57" s="29" t="n"/>
      <c r="F57" s="29" t="n"/>
      <c r="G57" s="29" t="n"/>
      <c r="H57" s="29" t="n"/>
      <c r="I57" s="29" t="n"/>
      <c r="J57" s="29" t="n"/>
      <c r="K57" s="29" t="n"/>
      <c r="L57" s="49" t="n"/>
      <c r="M57" s="29" t="n"/>
      <c r="N57" s="29" t="n"/>
      <c r="O57" s="29" t="n"/>
      <c r="P57" s="29" t="n"/>
      <c r="Q57" s="29" t="n"/>
      <c r="R57" s="29" t="n"/>
      <c r="S57" s="29" t="n"/>
      <c r="T57" s="29" t="n"/>
      <c r="U57" s="29" t="n"/>
      <c r="V57" s="29" t="n"/>
      <c r="W57" s="29" t="n"/>
    </row>
    <row r="58" ht="54" customHeight="1">
      <c r="A58" s="29" t="n"/>
      <c r="B58" s="29" t="n"/>
      <c r="C58" s="29" t="n"/>
      <c r="D58" s="29" t="n"/>
      <c r="E58" s="29" t="n"/>
      <c r="F58" s="29" t="n"/>
      <c r="G58" s="29" t="n"/>
      <c r="H58" s="29" t="n"/>
      <c r="I58" s="29" t="n"/>
      <c r="J58" s="29" t="n"/>
      <c r="K58" s="29" t="n"/>
      <c r="L58" s="49" t="n"/>
      <c r="M58" s="29" t="n"/>
      <c r="N58" s="29" t="n"/>
      <c r="O58" s="29" t="n"/>
      <c r="P58" s="29" t="n"/>
      <c r="Q58" s="29" t="n"/>
      <c r="R58" s="29" t="n"/>
      <c r="S58" s="29" t="n"/>
      <c r="T58" s="29" t="n"/>
      <c r="U58" s="29" t="n"/>
      <c r="V58" s="29" t="n"/>
      <c r="W58" s="29" t="n"/>
    </row>
    <row r="59" ht="54" customHeight="1">
      <c r="A59" s="29" t="n"/>
      <c r="B59" s="29" t="n"/>
      <c r="C59" s="29" t="n"/>
      <c r="D59" s="29" t="n"/>
      <c r="E59" s="29" t="n"/>
      <c r="F59" s="29" t="n"/>
      <c r="G59" s="29" t="n"/>
      <c r="H59" s="29" t="n"/>
      <c r="I59" s="29" t="n"/>
      <c r="J59" s="29" t="n"/>
      <c r="K59" s="29" t="n"/>
      <c r="L59" s="49" t="n"/>
      <c r="M59" s="29" t="n"/>
      <c r="N59" s="29" t="n"/>
      <c r="O59" s="29" t="n"/>
      <c r="P59" s="29" t="n"/>
      <c r="Q59" s="29" t="n"/>
      <c r="R59" s="29" t="n"/>
      <c r="S59" s="29" t="n"/>
      <c r="T59" s="29" t="n"/>
      <c r="U59" s="29" t="n"/>
      <c r="V59" s="29" t="n"/>
      <c r="W59" s="29" t="n"/>
    </row>
    <row r="60" ht="54" customHeight="1">
      <c r="A60" s="29" t="n"/>
      <c r="B60" s="29" t="n"/>
      <c r="C60" s="29" t="n"/>
      <c r="D60" s="29" t="n"/>
      <c r="E60" s="29" t="n"/>
      <c r="F60" s="29" t="n"/>
      <c r="G60" s="29" t="n"/>
      <c r="H60" s="29" t="n"/>
      <c r="I60" s="29" t="n"/>
      <c r="J60" s="29" t="n"/>
      <c r="K60" s="29" t="n"/>
      <c r="L60" s="49" t="n"/>
      <c r="M60" s="29" t="n"/>
      <c r="N60" s="29" t="n"/>
      <c r="O60" s="29" t="n"/>
      <c r="P60" s="29" t="n"/>
      <c r="Q60" s="29" t="n"/>
      <c r="R60" s="29" t="n"/>
      <c r="S60" s="29" t="n"/>
      <c r="T60" s="29" t="n"/>
      <c r="U60" s="29" t="n"/>
      <c r="V60" s="29" t="n"/>
      <c r="W60" s="29" t="n"/>
    </row>
    <row r="61" ht="54" customHeight="1">
      <c r="A61" s="29" t="n"/>
      <c r="B61" s="29" t="n"/>
      <c r="C61" s="29" t="n"/>
      <c r="D61" s="29" t="n"/>
      <c r="E61" s="29" t="n"/>
      <c r="F61" s="29" t="n"/>
      <c r="G61" s="29" t="n"/>
      <c r="H61" s="29" t="n"/>
      <c r="I61" s="29" t="n"/>
      <c r="J61" s="29" t="n"/>
      <c r="K61" s="29" t="n"/>
      <c r="L61" s="49" t="n"/>
      <c r="M61" s="29" t="n"/>
      <c r="N61" s="29" t="n"/>
      <c r="O61" s="29" t="n"/>
      <c r="P61" s="29" t="n"/>
      <c r="Q61" s="29" t="n"/>
      <c r="R61" s="29" t="n"/>
      <c r="S61" s="29" t="n"/>
      <c r="T61" s="29" t="n"/>
      <c r="U61" s="29" t="n"/>
      <c r="V61" s="29" t="n"/>
      <c r="W61" s="29" t="n"/>
    </row>
    <row r="62" ht="54" customHeight="1">
      <c r="A62" s="29" t="n"/>
      <c r="B62" s="29" t="n"/>
      <c r="C62" s="29" t="n"/>
      <c r="D62" s="29" t="n"/>
      <c r="E62" s="29" t="n"/>
      <c r="F62" s="29" t="n"/>
      <c r="G62" s="29" t="n"/>
      <c r="H62" s="29" t="n"/>
      <c r="I62" s="29" t="n"/>
      <c r="J62" s="29" t="n"/>
      <c r="K62" s="29" t="n"/>
      <c r="L62" s="49" t="n"/>
      <c r="M62" s="29" t="n"/>
      <c r="N62" s="29" t="n"/>
      <c r="O62" s="29" t="n"/>
      <c r="P62" s="29" t="n"/>
      <c r="Q62" s="29" t="n"/>
      <c r="R62" s="29" t="n"/>
      <c r="S62" s="29" t="n"/>
      <c r="T62" s="29" t="n"/>
      <c r="U62" s="29" t="n"/>
      <c r="V62" s="29" t="n"/>
      <c r="W62" s="29" t="n"/>
    </row>
    <row r="63" ht="54" customHeight="1">
      <c r="A63" s="29" t="n"/>
      <c r="B63" s="29" t="n"/>
      <c r="C63" s="29" t="n"/>
      <c r="D63" s="29" t="n"/>
      <c r="E63" s="29" t="n"/>
      <c r="F63" s="29" t="n"/>
      <c r="G63" s="29" t="n"/>
      <c r="H63" s="29" t="n"/>
      <c r="I63" s="29" t="n"/>
      <c r="J63" s="29" t="n"/>
      <c r="K63" s="29" t="n"/>
      <c r="L63" s="49" t="n"/>
      <c r="M63" s="29" t="n"/>
      <c r="N63" s="29" t="n"/>
      <c r="O63" s="29" t="n"/>
      <c r="P63" s="29" t="n"/>
      <c r="Q63" s="29" t="n"/>
      <c r="R63" s="29" t="n"/>
      <c r="S63" s="29" t="n"/>
      <c r="T63" s="29" t="n"/>
      <c r="U63" s="29" t="n"/>
      <c r="V63" s="29" t="n"/>
      <c r="W63" s="29" t="n"/>
    </row>
    <row r="64" ht="54" customHeight="1">
      <c r="A64" s="29" t="n"/>
      <c r="B64" s="29" t="n"/>
      <c r="C64" s="29" t="n"/>
      <c r="D64" s="29" t="n"/>
      <c r="E64" s="29" t="n"/>
      <c r="F64" s="29" t="n"/>
      <c r="G64" s="29" t="n"/>
      <c r="H64" s="29" t="n"/>
      <c r="I64" s="29" t="n"/>
      <c r="J64" s="29" t="n"/>
      <c r="K64" s="29" t="n"/>
      <c r="L64" s="49" t="n"/>
      <c r="M64" s="29" t="n"/>
      <c r="N64" s="29" t="n"/>
      <c r="O64" s="29" t="n"/>
      <c r="P64" s="29" t="n"/>
      <c r="Q64" s="29" t="n"/>
      <c r="R64" s="29" t="n"/>
      <c r="S64" s="29" t="n"/>
      <c r="T64" s="29" t="n"/>
      <c r="U64" s="29" t="n"/>
      <c r="V64" s="29" t="n"/>
      <c r="W64" s="29" t="n"/>
    </row>
    <row r="65" ht="54" customHeight="1">
      <c r="A65" s="29" t="n"/>
      <c r="B65" s="29" t="n"/>
      <c r="C65" s="29" t="n"/>
      <c r="D65" s="29" t="n"/>
      <c r="E65" s="29" t="n"/>
      <c r="F65" s="29" t="n"/>
      <c r="G65" s="29" t="n"/>
      <c r="H65" s="29" t="n"/>
      <c r="I65" s="29" t="n"/>
      <c r="J65" s="29" t="n"/>
      <c r="K65" s="29" t="n"/>
      <c r="L65" s="49" t="n"/>
      <c r="M65" s="29" t="n"/>
      <c r="N65" s="29" t="n"/>
      <c r="O65" s="29" t="n"/>
      <c r="P65" s="29" t="n"/>
      <c r="Q65" s="29" t="n"/>
      <c r="R65" s="29" t="n"/>
      <c r="S65" s="29" t="n"/>
      <c r="T65" s="29" t="n"/>
      <c r="U65" s="29" t="n"/>
      <c r="V65" s="29" t="n"/>
      <c r="W65" s="29" t="n"/>
    </row>
    <row r="66" ht="54" customHeight="1">
      <c r="A66" s="29" t="n"/>
      <c r="B66" s="29" t="n"/>
      <c r="C66" s="29" t="n"/>
      <c r="D66" s="29" t="n"/>
      <c r="E66" s="29" t="n"/>
      <c r="F66" s="29" t="n"/>
      <c r="G66" s="29" t="n"/>
      <c r="H66" s="29" t="n"/>
      <c r="I66" s="29" t="n"/>
      <c r="J66" s="29" t="n"/>
      <c r="K66" s="29" t="n"/>
      <c r="L66" s="49" t="n"/>
      <c r="M66" s="29" t="n"/>
      <c r="N66" s="29" t="n"/>
      <c r="O66" s="29" t="n"/>
      <c r="P66" s="29" t="n"/>
      <c r="Q66" s="29" t="n"/>
      <c r="R66" s="29" t="n"/>
      <c r="S66" s="29" t="n"/>
      <c r="T66" s="29" t="n"/>
      <c r="U66" s="29" t="n"/>
      <c r="V66" s="29" t="n"/>
      <c r="W66" s="29" t="n"/>
    </row>
    <row r="67" ht="54" customHeight="1">
      <c r="A67" s="29" t="n"/>
      <c r="B67" s="29" t="n"/>
      <c r="C67" s="29" t="n"/>
      <c r="D67" s="29" t="n"/>
      <c r="E67" s="29" t="n"/>
      <c r="F67" s="29" t="n"/>
      <c r="G67" s="29" t="n"/>
      <c r="H67" s="29" t="n"/>
      <c r="I67" s="29" t="n"/>
      <c r="J67" s="29" t="n"/>
      <c r="K67" s="29" t="n"/>
      <c r="L67" s="49" t="n"/>
      <c r="M67" s="29" t="n"/>
      <c r="N67" s="29" t="n"/>
      <c r="O67" s="29" t="n"/>
      <c r="P67" s="29" t="n"/>
      <c r="Q67" s="29" t="n"/>
      <c r="R67" s="29" t="n"/>
      <c r="S67" s="29" t="n"/>
      <c r="T67" s="29" t="n"/>
      <c r="U67" s="29" t="n"/>
      <c r="V67" s="29" t="n"/>
      <c r="W67" s="29" t="n"/>
    </row>
    <row r="68" ht="54" customHeight="1">
      <c r="A68" s="29" t="n"/>
      <c r="B68" s="29" t="n"/>
      <c r="C68" s="29" t="n"/>
      <c r="D68" s="29" t="n"/>
      <c r="E68" s="29" t="n"/>
      <c r="F68" s="29" t="n"/>
      <c r="G68" s="29" t="n"/>
      <c r="H68" s="29" t="n"/>
      <c r="I68" s="29" t="n"/>
      <c r="J68" s="29" t="n"/>
      <c r="K68" s="29" t="n"/>
      <c r="L68" s="49" t="n"/>
      <c r="M68" s="29" t="n"/>
      <c r="N68" s="29" t="n"/>
      <c r="O68" s="29" t="n"/>
      <c r="P68" s="29" t="n"/>
      <c r="Q68" s="29" t="n"/>
      <c r="R68" s="29" t="n"/>
      <c r="S68" s="29" t="n"/>
      <c r="T68" s="29" t="n"/>
      <c r="U68" s="29" t="n"/>
      <c r="V68" s="29" t="n"/>
      <c r="W68" s="29" t="n"/>
    </row>
    <row r="69" ht="54" customHeight="1">
      <c r="A69" s="29" t="n"/>
      <c r="B69" s="29" t="n"/>
      <c r="C69" s="29" t="n"/>
      <c r="D69" s="29" t="n"/>
      <c r="E69" s="29" t="n"/>
      <c r="F69" s="29" t="n"/>
      <c r="G69" s="29" t="n"/>
      <c r="H69" s="29" t="n"/>
      <c r="I69" s="29" t="n"/>
      <c r="J69" s="29" t="n"/>
      <c r="K69" s="29" t="n"/>
      <c r="L69" s="49" t="n"/>
      <c r="M69" s="29" t="n"/>
      <c r="N69" s="29" t="n"/>
      <c r="O69" s="29" t="n"/>
      <c r="P69" s="29" t="n"/>
      <c r="Q69" s="29" t="n"/>
      <c r="R69" s="29" t="n"/>
      <c r="S69" s="29" t="n"/>
      <c r="T69" s="29" t="n"/>
      <c r="U69" s="29" t="n"/>
      <c r="V69" s="29" t="n"/>
      <c r="W69" s="29" t="n"/>
    </row>
    <row r="70" ht="54" customHeight="1">
      <c r="A70" s="29" t="n"/>
      <c r="B70" s="29" t="n"/>
      <c r="C70" s="29" t="n"/>
      <c r="D70" s="29" t="n"/>
      <c r="E70" s="29" t="n"/>
      <c r="F70" s="29" t="n"/>
      <c r="G70" s="29" t="n"/>
      <c r="H70" s="29" t="n"/>
      <c r="I70" s="29" t="n"/>
      <c r="J70" s="29" t="n"/>
      <c r="K70" s="29" t="n"/>
      <c r="L70" s="49" t="n"/>
      <c r="M70" s="29" t="n"/>
      <c r="N70" s="29" t="n"/>
      <c r="O70" s="29" t="n"/>
      <c r="P70" s="29" t="n"/>
      <c r="Q70" s="29" t="n"/>
      <c r="R70" s="29" t="n"/>
      <c r="S70" s="29" t="n"/>
      <c r="T70" s="29" t="n"/>
      <c r="U70" s="29" t="n"/>
      <c r="V70" s="29" t="n"/>
      <c r="W70" s="29" t="n"/>
    </row>
    <row r="71" ht="54" customHeight="1">
      <c r="A71" s="29" t="n"/>
      <c r="B71" s="29" t="n"/>
      <c r="C71" s="29" t="n"/>
      <c r="D71" s="29" t="n"/>
      <c r="E71" s="29" t="n"/>
      <c r="F71" s="29" t="n"/>
      <c r="G71" s="29" t="n"/>
      <c r="H71" s="29" t="n"/>
      <c r="I71" s="29" t="n"/>
      <c r="J71" s="29" t="n"/>
      <c r="K71" s="29" t="n"/>
      <c r="L71" s="49" t="n"/>
      <c r="M71" s="29" t="n"/>
      <c r="N71" s="29" t="n"/>
      <c r="O71" s="29" t="n"/>
      <c r="P71" s="29" t="n"/>
      <c r="Q71" s="29" t="n"/>
      <c r="R71" s="29" t="n"/>
      <c r="S71" s="29" t="n"/>
      <c r="T71" s="29" t="n"/>
      <c r="U71" s="29" t="n"/>
      <c r="V71" s="29" t="n"/>
      <c r="W71" s="29" t="n"/>
    </row>
    <row r="72" ht="54" customHeight="1">
      <c r="A72" s="29" t="n"/>
      <c r="B72" s="29" t="n"/>
      <c r="C72" s="29" t="n"/>
      <c r="D72" s="29" t="n"/>
      <c r="E72" s="29" t="n"/>
      <c r="F72" s="29" t="n"/>
      <c r="G72" s="29" t="n"/>
      <c r="H72" s="29" t="n"/>
      <c r="I72" s="29" t="n"/>
      <c r="J72" s="29" t="n"/>
      <c r="K72" s="29" t="n"/>
      <c r="L72" s="49" t="n"/>
      <c r="M72" s="29" t="n"/>
      <c r="N72" s="29" t="n"/>
      <c r="O72" s="29" t="n"/>
      <c r="P72" s="29" t="n"/>
      <c r="Q72" s="29" t="n"/>
      <c r="R72" s="29" t="n"/>
      <c r="S72" s="29" t="n"/>
      <c r="T72" s="29" t="n"/>
      <c r="U72" s="29" t="n"/>
      <c r="V72" s="29" t="n"/>
      <c r="W72" s="29" t="n"/>
    </row>
    <row r="73" ht="54" customHeight="1">
      <c r="A73" s="29" t="n"/>
      <c r="B73" s="29" t="n"/>
      <c r="C73" s="29" t="n"/>
      <c r="D73" s="29" t="n"/>
      <c r="E73" s="29" t="n"/>
      <c r="F73" s="29" t="n"/>
      <c r="G73" s="29" t="n"/>
      <c r="H73" s="29" t="n"/>
      <c r="I73" s="29" t="n"/>
      <c r="J73" s="29" t="n"/>
      <c r="K73" s="29" t="n"/>
      <c r="L73" s="49" t="n"/>
      <c r="M73" s="29" t="n"/>
      <c r="N73" s="29" t="n"/>
      <c r="O73" s="29" t="n"/>
      <c r="P73" s="29" t="n"/>
      <c r="Q73" s="29" t="n"/>
      <c r="R73" s="29" t="n"/>
      <c r="S73" s="29" t="n"/>
      <c r="T73" s="29" t="n"/>
      <c r="U73" s="29" t="n"/>
      <c r="V73" s="29" t="n"/>
      <c r="W73" s="29" t="n"/>
    </row>
    <row r="74" ht="54" customHeight="1">
      <c r="A74" s="29" t="n"/>
      <c r="B74" s="29" t="n"/>
      <c r="C74" s="29" t="n"/>
      <c r="D74" s="29" t="n"/>
      <c r="E74" s="29" t="n"/>
      <c r="F74" s="29" t="n"/>
      <c r="G74" s="29" t="n"/>
      <c r="H74" s="29" t="n"/>
      <c r="I74" s="29" t="n"/>
      <c r="J74" s="29" t="n"/>
      <c r="K74" s="29" t="n"/>
      <c r="L74" s="49" t="n"/>
      <c r="M74" s="29" t="n"/>
      <c r="N74" s="29" t="n"/>
      <c r="O74" s="29" t="n"/>
      <c r="P74" s="29" t="n"/>
      <c r="Q74" s="29" t="n"/>
      <c r="R74" s="29" t="n"/>
      <c r="S74" s="29" t="n"/>
      <c r="T74" s="29" t="n"/>
      <c r="U74" s="29" t="n"/>
      <c r="V74" s="29" t="n"/>
      <c r="W74" s="29" t="n"/>
    </row>
    <row r="75" ht="54" customHeight="1">
      <c r="A75" s="29" t="n"/>
      <c r="B75" s="29" t="n"/>
      <c r="C75" s="29" t="n"/>
      <c r="D75" s="29" t="n"/>
      <c r="E75" s="29" t="n"/>
      <c r="F75" s="29" t="n"/>
      <c r="G75" s="29" t="n"/>
      <c r="H75" s="29" t="n"/>
      <c r="I75" s="29" t="n"/>
      <c r="J75" s="29" t="n"/>
      <c r="K75" s="29" t="n"/>
      <c r="L75" s="49" t="n"/>
      <c r="M75" s="29" t="n"/>
      <c r="N75" s="29" t="n"/>
      <c r="O75" s="29" t="n"/>
      <c r="P75" s="29" t="n"/>
      <c r="Q75" s="29" t="n"/>
      <c r="R75" s="29" t="n"/>
      <c r="S75" s="29" t="n"/>
      <c r="T75" s="29" t="n"/>
      <c r="U75" s="29" t="n"/>
      <c r="V75" s="29" t="n"/>
      <c r="W75" s="29" t="n"/>
    </row>
    <row r="76" ht="54" customHeight="1">
      <c r="A76" s="29" t="n"/>
      <c r="B76" s="29" t="n"/>
      <c r="C76" s="29" t="n"/>
      <c r="D76" s="29" t="n"/>
      <c r="E76" s="29" t="n"/>
      <c r="F76" s="29" t="n"/>
      <c r="G76" s="29" t="n"/>
      <c r="H76" s="29" t="n"/>
      <c r="I76" s="29" t="n"/>
      <c r="J76" s="29" t="n"/>
      <c r="K76" s="29" t="n"/>
      <c r="L76" s="49" t="n"/>
      <c r="M76" s="29" t="n"/>
      <c r="N76" s="29" t="n"/>
      <c r="O76" s="29" t="n"/>
      <c r="P76" s="29" t="n"/>
      <c r="Q76" s="29" t="n"/>
      <c r="R76" s="29" t="n"/>
      <c r="S76" s="29" t="n"/>
      <c r="T76" s="29" t="n"/>
      <c r="U76" s="29" t="n"/>
      <c r="V76" s="29" t="n"/>
      <c r="W76" s="29" t="n"/>
    </row>
    <row r="77" ht="54" customHeight="1">
      <c r="A77" s="29" t="n"/>
      <c r="B77" s="29" t="n"/>
      <c r="C77" s="29" t="n"/>
      <c r="D77" s="29" t="n"/>
      <c r="E77" s="29" t="n"/>
      <c r="F77" s="29" t="n"/>
      <c r="G77" s="29" t="n"/>
      <c r="H77" s="29" t="n"/>
      <c r="I77" s="29" t="n"/>
      <c r="J77" s="29" t="n"/>
      <c r="K77" s="29" t="n"/>
      <c r="L77" s="49" t="n"/>
      <c r="M77" s="29" t="n"/>
      <c r="N77" s="29" t="n"/>
      <c r="O77" s="29" t="n"/>
      <c r="P77" s="29" t="n"/>
      <c r="Q77" s="29" t="n"/>
      <c r="R77" s="29" t="n"/>
      <c r="S77" s="29" t="n"/>
      <c r="T77" s="29" t="n"/>
      <c r="U77" s="29" t="n"/>
      <c r="V77" s="29" t="n"/>
      <c r="W77" s="29" t="n"/>
    </row>
    <row r="78" ht="54" customHeight="1">
      <c r="A78" s="29" t="n"/>
      <c r="B78" s="29" t="n"/>
      <c r="C78" s="29" t="n"/>
      <c r="D78" s="29" t="n"/>
      <c r="E78" s="29" t="n"/>
      <c r="F78" s="29" t="n"/>
      <c r="G78" s="29" t="n"/>
      <c r="H78" s="29" t="n"/>
      <c r="I78" s="29" t="n"/>
      <c r="J78" s="29" t="n"/>
      <c r="K78" s="29" t="n"/>
      <c r="L78" s="49" t="n"/>
      <c r="M78" s="29" t="n"/>
      <c r="N78" s="29" t="n"/>
      <c r="O78" s="29" t="n"/>
      <c r="P78" s="29" t="n"/>
      <c r="Q78" s="29" t="n"/>
      <c r="R78" s="29" t="n"/>
      <c r="S78" s="29" t="n"/>
      <c r="T78" s="29" t="n"/>
      <c r="U78" s="29" t="n"/>
      <c r="V78" s="29" t="n"/>
      <c r="W78" s="29" t="n"/>
    </row>
    <row r="79" ht="54" customHeight="1">
      <c r="A79" s="29" t="n"/>
      <c r="B79" s="29" t="n"/>
      <c r="C79" s="29" t="n"/>
      <c r="D79" s="29" t="n"/>
      <c r="E79" s="29" t="n"/>
      <c r="F79" s="29" t="n"/>
      <c r="G79" s="29" t="n"/>
      <c r="H79" s="29" t="n"/>
      <c r="I79" s="29" t="n"/>
      <c r="J79" s="29" t="n"/>
      <c r="K79" s="29" t="n"/>
      <c r="L79" s="49" t="n"/>
      <c r="M79" s="29" t="n"/>
      <c r="N79" s="29" t="n"/>
      <c r="O79" s="29" t="n"/>
      <c r="P79" s="29" t="n"/>
      <c r="Q79" s="29" t="n"/>
      <c r="R79" s="29" t="n"/>
      <c r="S79" s="29" t="n"/>
      <c r="T79" s="29" t="n"/>
      <c r="U79" s="29" t="n"/>
      <c r="V79" s="29" t="n"/>
      <c r="W79" s="29" t="n"/>
    </row>
    <row r="80" ht="54" customHeight="1">
      <c r="A80" s="29" t="n"/>
      <c r="B80" s="29" t="n"/>
      <c r="C80" s="29" t="n"/>
      <c r="D80" s="29" t="n"/>
      <c r="E80" s="29" t="n"/>
      <c r="F80" s="29" t="n"/>
      <c r="G80" s="29" t="n"/>
      <c r="H80" s="29" t="n"/>
      <c r="I80" s="29" t="n"/>
      <c r="J80" s="29" t="n"/>
      <c r="K80" s="29" t="n"/>
      <c r="L80" s="49" t="n"/>
      <c r="M80" s="29" t="n"/>
      <c r="N80" s="29" t="n"/>
      <c r="O80" s="29" t="n"/>
      <c r="P80" s="29" t="n"/>
      <c r="Q80" s="29" t="n"/>
      <c r="R80" s="29" t="n"/>
      <c r="S80" s="29" t="n"/>
      <c r="T80" s="29" t="n"/>
      <c r="U80" s="29" t="n"/>
      <c r="V80" s="29" t="n"/>
      <c r="W80" s="29" t="n"/>
    </row>
    <row r="81" ht="54" customHeight="1">
      <c r="A81" s="29" t="n"/>
      <c r="B81" s="29" t="n"/>
      <c r="C81" s="29" t="n"/>
      <c r="D81" s="29" t="n"/>
      <c r="E81" s="29" t="n"/>
      <c r="F81" s="29" t="n"/>
      <c r="G81" s="29" t="n"/>
      <c r="H81" s="29" t="n"/>
      <c r="I81" s="29" t="n"/>
      <c r="J81" s="29" t="n"/>
      <c r="K81" s="29" t="n"/>
      <c r="L81" s="49" t="n"/>
      <c r="M81" s="29" t="n"/>
      <c r="N81" s="29" t="n"/>
      <c r="O81" s="29" t="n"/>
      <c r="P81" s="29" t="n"/>
      <c r="Q81" s="29" t="n"/>
      <c r="R81" s="29" t="n"/>
      <c r="S81" s="29" t="n"/>
      <c r="T81" s="29" t="n"/>
      <c r="U81" s="29" t="n"/>
      <c r="V81" s="29" t="n"/>
      <c r="W81" s="29" t="n"/>
    </row>
    <row r="82" ht="54" customHeight="1">
      <c r="A82" s="29" t="n"/>
      <c r="B82" s="29" t="n"/>
      <c r="C82" s="29" t="n"/>
      <c r="D82" s="29" t="n"/>
      <c r="E82" s="29" t="n"/>
      <c r="F82" s="29" t="n"/>
      <c r="G82" s="29" t="n"/>
      <c r="H82" s="29" t="n"/>
      <c r="I82" s="29" t="n"/>
      <c r="J82" s="29" t="n"/>
      <c r="K82" s="29" t="n"/>
      <c r="L82" s="49" t="n"/>
      <c r="M82" s="29" t="n"/>
      <c r="N82" s="29" t="n"/>
      <c r="O82" s="29" t="n"/>
      <c r="P82" s="29" t="n"/>
      <c r="Q82" s="29" t="n"/>
      <c r="R82" s="29" t="n"/>
      <c r="S82" s="29" t="n"/>
      <c r="T82" s="29" t="n"/>
      <c r="U82" s="29" t="n"/>
      <c r="V82" s="29" t="n"/>
      <c r="W82" s="29" t="n"/>
    </row>
    <row r="83" ht="54" customHeight="1">
      <c r="A83" s="29" t="n"/>
      <c r="B83" s="29" t="n"/>
      <c r="C83" s="29" t="n"/>
      <c r="D83" s="29" t="n"/>
      <c r="E83" s="29" t="n"/>
      <c r="F83" s="29" t="n"/>
      <c r="G83" s="29" t="n"/>
      <c r="H83" s="29" t="n"/>
      <c r="I83" s="29" t="n"/>
      <c r="J83" s="29" t="n"/>
      <c r="K83" s="29" t="n"/>
      <c r="L83" s="49" t="n"/>
      <c r="M83" s="29" t="n"/>
      <c r="N83" s="29" t="n"/>
      <c r="O83" s="29" t="n"/>
      <c r="P83" s="29" t="n"/>
      <c r="Q83" s="29" t="n"/>
      <c r="R83" s="29" t="n"/>
      <c r="S83" s="29" t="n"/>
      <c r="T83" s="29" t="n"/>
      <c r="U83" s="29" t="n"/>
      <c r="V83" s="29" t="n"/>
      <c r="W83" s="29" t="n"/>
    </row>
    <row r="84" ht="54" customHeight="1">
      <c r="A84" s="29" t="n"/>
      <c r="B84" s="29" t="n"/>
      <c r="C84" s="29" t="n"/>
      <c r="D84" s="29" t="n"/>
      <c r="E84" s="29" t="n"/>
      <c r="F84" s="29" t="n"/>
      <c r="G84" s="29" t="n"/>
      <c r="H84" s="29" t="n"/>
      <c r="I84" s="29" t="n"/>
      <c r="J84" s="29" t="n"/>
      <c r="K84" s="29" t="n"/>
      <c r="L84" s="49" t="n"/>
      <c r="M84" s="29" t="n"/>
      <c r="N84" s="29" t="n"/>
      <c r="O84" s="29" t="n"/>
      <c r="P84" s="29" t="n"/>
      <c r="Q84" s="29" t="n"/>
      <c r="R84" s="29" t="n"/>
      <c r="S84" s="29" t="n"/>
      <c r="T84" s="29" t="n"/>
      <c r="U84" s="29" t="n"/>
      <c r="V84" s="29" t="n"/>
      <c r="W84" s="29" t="n"/>
    </row>
    <row r="85" ht="54" customHeight="1">
      <c r="A85" s="29" t="n"/>
      <c r="B85" s="29" t="n"/>
      <c r="C85" s="29" t="n"/>
      <c r="D85" s="29" t="n"/>
      <c r="E85" s="29" t="n"/>
      <c r="F85" s="29" t="n"/>
      <c r="G85" s="29" t="n"/>
      <c r="H85" s="29" t="n"/>
      <c r="I85" s="29" t="n"/>
      <c r="J85" s="29" t="n"/>
      <c r="K85" s="29" t="n"/>
      <c r="L85" s="49" t="n"/>
      <c r="M85" s="29" t="n"/>
      <c r="N85" s="29" t="n"/>
      <c r="O85" s="29" t="n"/>
      <c r="P85" s="29" t="n"/>
      <c r="Q85" s="29" t="n"/>
      <c r="R85" s="29" t="n"/>
      <c r="S85" s="29" t="n"/>
      <c r="T85" s="29" t="n"/>
      <c r="U85" s="29" t="n"/>
      <c r="V85" s="29" t="n"/>
      <c r="W85" s="29" t="n"/>
    </row>
    <row r="86" ht="54" customHeight="1">
      <c r="A86" s="29" t="n"/>
      <c r="B86" s="29" t="n"/>
      <c r="C86" s="29" t="n"/>
      <c r="D86" s="29" t="n"/>
      <c r="E86" s="29" t="n"/>
      <c r="F86" s="29" t="n"/>
      <c r="G86" s="29" t="n"/>
      <c r="H86" s="29" t="n"/>
      <c r="I86" s="29" t="n"/>
      <c r="J86" s="29" t="n"/>
      <c r="K86" s="29" t="n"/>
      <c r="L86" s="49" t="n"/>
      <c r="M86" s="29" t="n"/>
      <c r="N86" s="29" t="n"/>
      <c r="O86" s="29" t="n"/>
      <c r="P86" s="29" t="n"/>
      <c r="Q86" s="29" t="n"/>
      <c r="R86" s="29" t="n"/>
      <c r="S86" s="29" t="n"/>
      <c r="T86" s="29" t="n"/>
      <c r="U86" s="29" t="n"/>
      <c r="V86" s="29" t="n"/>
      <c r="W86" s="29" t="n"/>
    </row>
    <row r="87" ht="54" customHeight="1">
      <c r="A87" s="29" t="n"/>
      <c r="B87" s="29" t="n"/>
      <c r="C87" s="29" t="n"/>
      <c r="D87" s="29" t="n"/>
      <c r="E87" s="29" t="n"/>
      <c r="F87" s="29" t="n"/>
      <c r="G87" s="29" t="n"/>
      <c r="H87" s="29" t="n"/>
      <c r="I87" s="29" t="n"/>
      <c r="J87" s="29" t="n"/>
      <c r="K87" s="29" t="n"/>
      <c r="L87" s="49" t="n"/>
      <c r="M87" s="29" t="n"/>
      <c r="N87" s="29" t="n"/>
      <c r="O87" s="29" t="n"/>
      <c r="P87" s="29" t="n"/>
      <c r="Q87" s="29" t="n"/>
      <c r="R87" s="29" t="n"/>
      <c r="S87" s="29" t="n"/>
      <c r="T87" s="29" t="n"/>
      <c r="U87" s="29" t="n"/>
      <c r="V87" s="29" t="n"/>
      <c r="W87" s="29" t="n"/>
    </row>
    <row r="88" ht="54" customHeight="1">
      <c r="A88" s="29" t="n"/>
      <c r="B88" s="29" t="n"/>
      <c r="C88" s="29" t="n"/>
      <c r="D88" s="29" t="n"/>
      <c r="E88" s="29" t="n"/>
      <c r="F88" s="29" t="n"/>
      <c r="G88" s="29" t="n"/>
      <c r="H88" s="29" t="n"/>
      <c r="I88" s="29" t="n"/>
      <c r="J88" s="29" t="n"/>
      <c r="K88" s="29" t="n"/>
      <c r="L88" s="49" t="n"/>
      <c r="M88" s="29" t="n"/>
      <c r="N88" s="29" t="n"/>
      <c r="O88" s="29" t="n"/>
      <c r="P88" s="29" t="n"/>
      <c r="Q88" s="29" t="n"/>
      <c r="R88" s="29" t="n"/>
      <c r="S88" s="29" t="n"/>
      <c r="T88" s="29" t="n"/>
      <c r="U88" s="29" t="n"/>
      <c r="V88" s="29" t="n"/>
      <c r="W88" s="29" t="n"/>
    </row>
    <row r="89" ht="54" customHeight="1">
      <c r="A89" s="29" t="n"/>
      <c r="B89" s="29" t="n"/>
      <c r="C89" s="29" t="n"/>
      <c r="D89" s="29" t="n"/>
      <c r="E89" s="29" t="n"/>
      <c r="F89" s="29" t="n"/>
      <c r="G89" s="29" t="n"/>
      <c r="H89" s="29" t="n"/>
      <c r="I89" s="29" t="n"/>
      <c r="J89" s="29" t="n"/>
      <c r="K89" s="29" t="n"/>
      <c r="L89" s="49" t="n"/>
      <c r="M89" s="29" t="n"/>
      <c r="N89" s="29" t="n"/>
      <c r="O89" s="29" t="n"/>
      <c r="P89" s="29" t="n"/>
      <c r="Q89" s="29" t="n"/>
      <c r="R89" s="29" t="n"/>
      <c r="S89" s="29" t="n"/>
      <c r="T89" s="29" t="n"/>
      <c r="U89" s="29" t="n"/>
      <c r="V89" s="29" t="n"/>
      <c r="W89" s="29" t="n"/>
    </row>
    <row r="90" ht="54" customHeight="1">
      <c r="A90" s="29" t="n"/>
      <c r="B90" s="29" t="n"/>
      <c r="C90" s="29" t="n"/>
      <c r="D90" s="29" t="n"/>
      <c r="E90" s="29" t="n"/>
      <c r="F90" s="29" t="n"/>
      <c r="G90" s="29" t="n"/>
      <c r="H90" s="29" t="n"/>
      <c r="I90" s="29" t="n"/>
      <c r="J90" s="29" t="n"/>
      <c r="K90" s="29" t="n"/>
      <c r="L90" s="49" t="n"/>
      <c r="M90" s="29" t="n"/>
      <c r="N90" s="29" t="n"/>
      <c r="O90" s="29" t="n"/>
      <c r="P90" s="29" t="n"/>
      <c r="Q90" s="29" t="n"/>
      <c r="R90" s="29" t="n"/>
      <c r="S90" s="29" t="n"/>
      <c r="T90" s="29" t="n"/>
      <c r="U90" s="29" t="n"/>
      <c r="V90" s="29" t="n"/>
      <c r="W90" s="29" t="n"/>
    </row>
    <row r="91" ht="54" customHeight="1">
      <c r="A91" s="29" t="n"/>
      <c r="B91" s="29" t="n"/>
      <c r="C91" s="29" t="n"/>
      <c r="D91" s="29" t="n"/>
      <c r="E91" s="29" t="n"/>
      <c r="F91" s="29" t="n"/>
      <c r="G91" s="29" t="n"/>
      <c r="H91" s="29" t="n"/>
      <c r="I91" s="29" t="n"/>
      <c r="J91" s="29" t="n"/>
      <c r="K91" s="29" t="n"/>
      <c r="L91" s="49" t="n"/>
      <c r="M91" s="29" t="n"/>
      <c r="N91" s="29" t="n"/>
      <c r="O91" s="29" t="n"/>
      <c r="P91" s="29" t="n"/>
      <c r="Q91" s="29" t="n"/>
      <c r="R91" s="29" t="n"/>
      <c r="S91" s="29" t="n"/>
      <c r="T91" s="29" t="n"/>
      <c r="U91" s="29" t="n"/>
      <c r="V91" s="29" t="n"/>
      <c r="W91" s="29" t="n"/>
    </row>
    <row r="92" ht="54" customHeight="1">
      <c r="A92" s="29" t="n"/>
      <c r="B92" s="29" t="n"/>
      <c r="C92" s="29" t="n"/>
      <c r="D92" s="29" t="n"/>
      <c r="E92" s="29" t="n"/>
      <c r="F92" s="29" t="n"/>
      <c r="G92" s="29" t="n"/>
      <c r="H92" s="29" t="n"/>
      <c r="I92" s="29" t="n"/>
      <c r="J92" s="29" t="n"/>
      <c r="K92" s="29" t="n"/>
      <c r="L92" s="49" t="n"/>
      <c r="M92" s="29" t="n"/>
      <c r="N92" s="29" t="n"/>
      <c r="O92" s="29" t="n"/>
      <c r="P92" s="29" t="n"/>
      <c r="Q92" s="29" t="n"/>
      <c r="R92" s="29" t="n"/>
      <c r="S92" s="29" t="n"/>
      <c r="T92" s="29" t="n"/>
      <c r="U92" s="29" t="n"/>
      <c r="V92" s="29" t="n"/>
      <c r="W92" s="29" t="n"/>
    </row>
    <row r="93" ht="54" customHeight="1">
      <c r="A93" s="29" t="n"/>
      <c r="B93" s="29" t="n"/>
      <c r="C93" s="29" t="n"/>
      <c r="D93" s="29" t="n"/>
      <c r="E93" s="29" t="n"/>
      <c r="F93" s="29" t="n"/>
      <c r="G93" s="29" t="n"/>
      <c r="H93" s="29" t="n"/>
      <c r="I93" s="29" t="n"/>
      <c r="J93" s="29" t="n"/>
      <c r="K93" s="29" t="n"/>
      <c r="L93" s="49" t="n"/>
      <c r="M93" s="29" t="n"/>
      <c r="N93" s="29" t="n"/>
      <c r="O93" s="29" t="n"/>
      <c r="P93" s="29" t="n"/>
      <c r="Q93" s="29" t="n"/>
      <c r="R93" s="29" t="n"/>
      <c r="S93" s="29" t="n"/>
      <c r="T93" s="29" t="n"/>
      <c r="U93" s="29" t="n"/>
      <c r="V93" s="29" t="n"/>
      <c r="W93" s="29" t="n"/>
    </row>
    <row r="94" ht="54" customHeight="1">
      <c r="A94" s="29" t="n"/>
      <c r="B94" s="29" t="n"/>
      <c r="C94" s="29" t="n"/>
      <c r="D94" s="29" t="n"/>
      <c r="E94" s="29" t="n"/>
      <c r="F94" s="29" t="n"/>
      <c r="G94" s="29" t="n"/>
      <c r="H94" s="29" t="n"/>
      <c r="I94" s="29" t="n"/>
      <c r="J94" s="29" t="n"/>
      <c r="K94" s="29" t="n"/>
      <c r="L94" s="49" t="n"/>
      <c r="M94" s="29" t="n"/>
      <c r="N94" s="29" t="n"/>
      <c r="O94" s="29" t="n"/>
      <c r="P94" s="29" t="n"/>
      <c r="Q94" s="29" t="n"/>
      <c r="R94" s="29" t="n"/>
      <c r="S94" s="29" t="n"/>
      <c r="T94" s="29" t="n"/>
      <c r="U94" s="29" t="n"/>
      <c r="V94" s="29" t="n"/>
      <c r="W94" s="29" t="n"/>
    </row>
    <row r="95" ht="54" customHeight="1">
      <c r="A95" s="29" t="n"/>
      <c r="B95" s="29" t="n"/>
      <c r="C95" s="29" t="n"/>
      <c r="D95" s="29" t="n"/>
      <c r="E95" s="29" t="n"/>
      <c r="F95" s="29" t="n"/>
      <c r="G95" s="29" t="n"/>
      <c r="H95" s="29" t="n"/>
      <c r="I95" s="29" t="n"/>
      <c r="J95" s="29" t="n"/>
      <c r="K95" s="29" t="n"/>
      <c r="L95" s="49" t="n"/>
      <c r="M95" s="29" t="n"/>
      <c r="N95" s="29" t="n"/>
      <c r="O95" s="29" t="n"/>
      <c r="P95" s="29" t="n"/>
      <c r="Q95" s="29" t="n"/>
      <c r="R95" s="29" t="n"/>
      <c r="S95" s="29" t="n"/>
      <c r="T95" s="29" t="n"/>
      <c r="U95" s="29" t="n"/>
      <c r="V95" s="29" t="n"/>
      <c r="W95" s="29" t="n"/>
    </row>
    <row r="96" ht="54" customHeight="1">
      <c r="A96" s="29" t="n"/>
      <c r="B96" s="29" t="n"/>
      <c r="C96" s="29" t="n"/>
      <c r="D96" s="29" t="n"/>
      <c r="E96" s="29" t="n"/>
      <c r="F96" s="29" t="n"/>
      <c r="G96" s="29" t="n"/>
      <c r="H96" s="29" t="n"/>
      <c r="I96" s="29" t="n"/>
      <c r="J96" s="29" t="n"/>
      <c r="K96" s="29" t="n"/>
      <c r="L96" s="49" t="n"/>
      <c r="M96" s="29" t="n"/>
      <c r="N96" s="29" t="n"/>
      <c r="O96" s="29" t="n"/>
      <c r="P96" s="29" t="n"/>
      <c r="Q96" s="29" t="n"/>
      <c r="R96" s="29" t="n"/>
      <c r="S96" s="29" t="n"/>
      <c r="T96" s="29" t="n"/>
      <c r="U96" s="29" t="n"/>
      <c r="V96" s="29" t="n"/>
      <c r="W96" s="29" t="n"/>
    </row>
    <row r="97" ht="54" customHeight="1">
      <c r="A97" s="29" t="n"/>
      <c r="B97" s="29" t="n"/>
      <c r="C97" s="29" t="n"/>
      <c r="D97" s="29" t="n"/>
      <c r="E97" s="29" t="n"/>
      <c r="F97" s="29" t="n"/>
      <c r="G97" s="29" t="n"/>
      <c r="H97" s="29" t="n"/>
      <c r="I97" s="29" t="n"/>
      <c r="J97" s="29" t="n"/>
      <c r="K97" s="29" t="n"/>
      <c r="L97" s="49" t="n"/>
      <c r="M97" s="29" t="n"/>
      <c r="N97" s="29" t="n"/>
      <c r="O97" s="29" t="n"/>
      <c r="P97" s="29" t="n"/>
      <c r="Q97" s="29" t="n"/>
      <c r="R97" s="29" t="n"/>
      <c r="S97" s="29" t="n"/>
      <c r="T97" s="29" t="n"/>
      <c r="U97" s="29" t="n"/>
      <c r="V97" s="29" t="n"/>
      <c r="W97" s="29" t="n"/>
    </row>
    <row r="98" ht="54" customHeight="1">
      <c r="A98" s="29" t="n"/>
      <c r="B98" s="29" t="n"/>
      <c r="C98" s="29" t="n"/>
      <c r="D98" s="29" t="n"/>
      <c r="E98" s="29" t="n"/>
      <c r="F98" s="29" t="n"/>
      <c r="G98" s="29" t="n"/>
      <c r="H98" s="29" t="n"/>
      <c r="I98" s="29" t="n"/>
      <c r="J98" s="29" t="n"/>
      <c r="K98" s="29" t="n"/>
      <c r="L98" s="49" t="n"/>
      <c r="M98" s="29" t="n"/>
      <c r="N98" s="29" t="n"/>
      <c r="O98" s="29" t="n"/>
      <c r="P98" s="29" t="n"/>
      <c r="Q98" s="29" t="n"/>
      <c r="R98" s="29" t="n"/>
      <c r="S98" s="29" t="n"/>
      <c r="T98" s="29" t="n"/>
      <c r="U98" s="29" t="n"/>
      <c r="V98" s="29" t="n"/>
      <c r="W98" s="29" t="n"/>
    </row>
    <row r="99" ht="54" customHeight="1">
      <c r="A99" s="29" t="n"/>
      <c r="B99" s="29" t="n"/>
      <c r="C99" s="29" t="n"/>
      <c r="D99" s="29" t="n"/>
      <c r="E99" s="29" t="n"/>
      <c r="F99" s="29" t="n"/>
      <c r="G99" s="29" t="n"/>
      <c r="H99" s="29" t="n"/>
      <c r="I99" s="29" t="n"/>
      <c r="J99" s="29" t="n"/>
      <c r="K99" s="29" t="n"/>
      <c r="L99" s="49" t="n"/>
      <c r="M99" s="29" t="n"/>
      <c r="N99" s="29" t="n"/>
      <c r="O99" s="29" t="n"/>
      <c r="P99" s="29" t="n"/>
      <c r="Q99" s="29" t="n"/>
      <c r="R99" s="29" t="n"/>
      <c r="S99" s="29" t="n"/>
      <c r="T99" s="29" t="n"/>
      <c r="U99" s="29" t="n"/>
      <c r="V99" s="29" t="n"/>
      <c r="W99" s="29" t="n"/>
    </row>
    <row r="100" ht="54" customHeight="1">
      <c r="A100" s="29" t="n"/>
      <c r="B100" s="29" t="n"/>
      <c r="C100" s="29" t="n"/>
      <c r="D100" s="29" t="n"/>
      <c r="E100" s="29" t="n"/>
      <c r="F100" s="29" t="n"/>
      <c r="G100" s="29" t="n"/>
      <c r="H100" s="29" t="n"/>
      <c r="I100" s="29" t="n"/>
      <c r="J100" s="29" t="n"/>
      <c r="K100" s="29" t="n"/>
      <c r="L100" s="49" t="n"/>
      <c r="M100" s="29" t="n"/>
      <c r="N100" s="29" t="n"/>
      <c r="O100" s="29" t="n"/>
      <c r="P100" s="29" t="n"/>
      <c r="Q100" s="29" t="n"/>
      <c r="R100" s="29" t="n"/>
      <c r="S100" s="29" t="n"/>
      <c r="T100" s="29" t="n"/>
      <c r="U100" s="29" t="n"/>
      <c r="V100" s="29" t="n"/>
      <c r="W100" s="29" t="n"/>
    </row>
    <row r="101" ht="54" customHeight="1">
      <c r="A101" s="29" t="n"/>
      <c r="B101" s="29" t="n"/>
      <c r="C101" s="29" t="n"/>
      <c r="D101" s="29" t="n"/>
      <c r="E101" s="29" t="n"/>
      <c r="F101" s="29" t="n"/>
      <c r="G101" s="29" t="n"/>
      <c r="H101" s="29" t="n"/>
      <c r="I101" s="29" t="n"/>
      <c r="J101" s="29" t="n"/>
      <c r="K101" s="29" t="n"/>
      <c r="L101" s="49" t="n"/>
      <c r="M101" s="29" t="n"/>
      <c r="N101" s="29" t="n"/>
      <c r="O101" s="29" t="n"/>
      <c r="P101" s="29" t="n"/>
      <c r="Q101" s="29" t="n"/>
      <c r="R101" s="29" t="n"/>
      <c r="S101" s="29" t="n"/>
      <c r="T101" s="29" t="n"/>
      <c r="U101" s="29" t="n"/>
      <c r="V101" s="29" t="n"/>
      <c r="W101" s="29" t="n"/>
    </row>
    <row r="102" ht="54" customHeight="1">
      <c r="A102" s="29" t="n"/>
      <c r="B102" s="29" t="n"/>
      <c r="C102" s="29" t="n"/>
      <c r="D102" s="29" t="n"/>
      <c r="E102" s="29" t="n"/>
      <c r="F102" s="29" t="n"/>
      <c r="G102" s="29" t="n"/>
      <c r="H102" s="29" t="n"/>
      <c r="I102" s="29" t="n"/>
      <c r="J102" s="29" t="n"/>
      <c r="K102" s="29" t="n"/>
      <c r="L102" s="49" t="n"/>
      <c r="M102" s="29" t="n"/>
      <c r="N102" s="29" t="n"/>
      <c r="O102" s="29" t="n"/>
      <c r="P102" s="29" t="n"/>
      <c r="Q102" s="29" t="n"/>
      <c r="R102" s="29" t="n"/>
      <c r="S102" s="29" t="n"/>
      <c r="T102" s="29" t="n"/>
      <c r="U102" s="29" t="n"/>
      <c r="V102" s="29" t="n"/>
      <c r="W102" s="29" t="n"/>
    </row>
    <row r="103" ht="54" customHeight="1">
      <c r="A103" s="29" t="n"/>
      <c r="B103" s="29" t="n"/>
      <c r="C103" s="29" t="n"/>
      <c r="D103" s="29" t="n"/>
      <c r="E103" s="29" t="n"/>
      <c r="F103" s="29" t="n"/>
      <c r="G103" s="29" t="n"/>
      <c r="H103" s="29" t="n"/>
      <c r="I103" s="29" t="n"/>
      <c r="J103" s="29" t="n"/>
      <c r="K103" s="29" t="n"/>
      <c r="L103" s="49" t="n"/>
      <c r="M103" s="29" t="n"/>
      <c r="N103" s="29" t="n"/>
      <c r="O103" s="29" t="n"/>
      <c r="P103" s="29" t="n"/>
      <c r="Q103" s="29" t="n"/>
      <c r="R103" s="29" t="n"/>
      <c r="S103" s="29" t="n"/>
      <c r="T103" s="29" t="n"/>
      <c r="U103" s="29" t="n"/>
      <c r="V103" s="29" t="n"/>
      <c r="W103" s="29" t="n"/>
    </row>
    <row r="104" ht="54" customHeight="1">
      <c r="A104" s="29" t="n"/>
      <c r="B104" s="29" t="n"/>
      <c r="C104" s="29" t="n"/>
      <c r="D104" s="29" t="n"/>
      <c r="E104" s="29" t="n"/>
      <c r="F104" s="29" t="n"/>
      <c r="G104" s="29" t="n"/>
      <c r="H104" s="29" t="n"/>
      <c r="I104" s="29" t="n"/>
      <c r="J104" s="29" t="n"/>
      <c r="K104" s="29" t="n"/>
      <c r="L104" s="49" t="n"/>
      <c r="M104" s="29" t="n"/>
      <c r="N104" s="29" t="n"/>
      <c r="O104" s="29" t="n"/>
      <c r="P104" s="29" t="n"/>
      <c r="Q104" s="29" t="n"/>
      <c r="R104" s="29" t="n"/>
      <c r="S104" s="29" t="n"/>
      <c r="T104" s="29" t="n"/>
      <c r="U104" s="29" t="n"/>
      <c r="V104" s="29" t="n"/>
      <c r="W104" s="29" t="n"/>
    </row>
    <row r="105" ht="54" customHeight="1">
      <c r="A105" s="29" t="n"/>
      <c r="B105" s="29" t="n"/>
      <c r="C105" s="29" t="n"/>
      <c r="D105" s="29" t="n"/>
      <c r="E105" s="29" t="n"/>
      <c r="F105" s="29" t="n"/>
      <c r="G105" s="29" t="n"/>
      <c r="H105" s="29" t="n"/>
      <c r="I105" s="29" t="n"/>
      <c r="J105" s="29" t="n"/>
      <c r="K105" s="29" t="n"/>
      <c r="L105" s="49" t="n"/>
      <c r="M105" s="29" t="n"/>
      <c r="N105" s="29" t="n"/>
      <c r="O105" s="29" t="n"/>
      <c r="P105" s="29" t="n"/>
      <c r="Q105" s="29" t="n"/>
      <c r="R105" s="29" t="n"/>
      <c r="S105" s="29" t="n"/>
      <c r="T105" s="29" t="n"/>
      <c r="U105" s="29" t="n"/>
      <c r="V105" s="29" t="n"/>
      <c r="W105" s="29" t="n"/>
    </row>
    <row r="106" ht="54" customHeight="1">
      <c r="A106" s="29" t="n"/>
      <c r="B106" s="29" t="n"/>
      <c r="C106" s="29" t="n"/>
      <c r="D106" s="29" t="n"/>
      <c r="E106" s="29" t="n"/>
      <c r="F106" s="29" t="n"/>
      <c r="G106" s="29" t="n"/>
      <c r="H106" s="29" t="n"/>
      <c r="I106" s="29" t="n"/>
      <c r="J106" s="29" t="n"/>
      <c r="K106" s="29" t="n"/>
      <c r="L106" s="49" t="n"/>
      <c r="M106" s="29" t="n"/>
      <c r="N106" s="29" t="n"/>
      <c r="O106" s="29" t="n"/>
      <c r="P106" s="29" t="n"/>
      <c r="Q106" s="29" t="n"/>
      <c r="R106" s="29" t="n"/>
      <c r="S106" s="29" t="n"/>
      <c r="T106" s="29" t="n"/>
      <c r="U106" s="29" t="n"/>
      <c r="V106" s="29" t="n"/>
      <c r="W106" s="29" t="n"/>
    </row>
    <row r="107" ht="54" customHeight="1">
      <c r="A107" s="29" t="n"/>
      <c r="B107" s="29" t="n"/>
      <c r="C107" s="29" t="n"/>
      <c r="D107" s="29" t="n"/>
      <c r="E107" s="29" t="n"/>
      <c r="F107" s="29" t="n"/>
      <c r="G107" s="29" t="n"/>
      <c r="H107" s="29" t="n"/>
      <c r="I107" s="29" t="n"/>
      <c r="J107" s="29" t="n"/>
      <c r="K107" s="29" t="n"/>
      <c r="L107" s="49" t="n"/>
      <c r="M107" s="29" t="n"/>
      <c r="N107" s="29" t="n"/>
      <c r="O107" s="29" t="n"/>
      <c r="P107" s="29" t="n"/>
      <c r="Q107" s="29" t="n"/>
      <c r="R107" s="29" t="n"/>
      <c r="S107" s="29" t="n"/>
      <c r="T107" s="29" t="n"/>
      <c r="U107" s="29" t="n"/>
      <c r="V107" s="29" t="n"/>
      <c r="W107" s="29" t="n"/>
    </row>
    <row r="108" ht="54" customHeight="1">
      <c r="A108" s="29" t="n"/>
      <c r="B108" s="29" t="n"/>
      <c r="C108" s="29" t="n"/>
      <c r="D108" s="29" t="n"/>
      <c r="E108" s="29" t="n"/>
      <c r="F108" s="29" t="n"/>
      <c r="G108" s="29" t="n"/>
      <c r="H108" s="29" t="n"/>
      <c r="I108" s="29" t="n"/>
      <c r="J108" s="29" t="n"/>
      <c r="K108" s="29" t="n"/>
      <c r="L108" s="49" t="n"/>
      <c r="M108" s="29" t="n"/>
      <c r="N108" s="29" t="n"/>
      <c r="O108" s="29" t="n"/>
      <c r="P108" s="29" t="n"/>
      <c r="Q108" s="29" t="n"/>
      <c r="R108" s="29" t="n"/>
      <c r="S108" s="29" t="n"/>
      <c r="T108" s="29" t="n"/>
      <c r="U108" s="29" t="n"/>
      <c r="V108" s="29" t="n"/>
      <c r="W108" s="29" t="n"/>
    </row>
    <row r="109" ht="54" customHeight="1">
      <c r="A109" s="29" t="n"/>
      <c r="B109" s="29" t="n"/>
      <c r="C109" s="29" t="n"/>
      <c r="D109" s="29" t="n"/>
      <c r="E109" s="29" t="n"/>
      <c r="F109" s="29" t="n"/>
      <c r="G109" s="29" t="n"/>
      <c r="H109" s="29" t="n"/>
      <c r="I109" s="29" t="n"/>
      <c r="J109" s="29" t="n"/>
      <c r="K109" s="29" t="n"/>
      <c r="L109" s="49" t="n"/>
      <c r="M109" s="29" t="n"/>
      <c r="N109" s="29" t="n"/>
      <c r="O109" s="29" t="n"/>
      <c r="P109" s="29" t="n"/>
      <c r="Q109" s="29" t="n"/>
      <c r="R109" s="29" t="n"/>
      <c r="S109" s="29" t="n"/>
      <c r="T109" s="29" t="n"/>
      <c r="U109" s="29" t="n"/>
      <c r="V109" s="29" t="n"/>
      <c r="W109" s="29" t="n"/>
    </row>
    <row r="110" ht="54" customHeight="1">
      <c r="A110" s="29" t="n"/>
      <c r="B110" s="29" t="n"/>
      <c r="C110" s="29" t="n"/>
      <c r="D110" s="29" t="n"/>
      <c r="E110" s="29" t="n"/>
      <c r="F110" s="29" t="n"/>
      <c r="G110" s="29" t="n"/>
      <c r="H110" s="29" t="n"/>
      <c r="I110" s="29" t="n"/>
      <c r="J110" s="29" t="n"/>
      <c r="K110" s="29" t="n"/>
      <c r="L110" s="49" t="n"/>
      <c r="M110" s="29" t="n"/>
      <c r="N110" s="29" t="n"/>
      <c r="O110" s="29" t="n"/>
      <c r="P110" s="29" t="n"/>
      <c r="Q110" s="29" t="n"/>
      <c r="R110" s="29" t="n"/>
      <c r="S110" s="29" t="n"/>
      <c r="T110" s="29" t="n"/>
      <c r="U110" s="29" t="n"/>
      <c r="V110" s="29" t="n"/>
      <c r="W110" s="29" t="n"/>
    </row>
    <row r="111" ht="54" customHeight="1">
      <c r="A111" s="29" t="n"/>
      <c r="B111" s="29" t="n"/>
      <c r="C111" s="29" t="n"/>
      <c r="D111" s="29" t="n"/>
      <c r="E111" s="29" t="n"/>
      <c r="F111" s="29" t="n"/>
      <c r="G111" s="29" t="n"/>
      <c r="H111" s="29" t="n"/>
      <c r="I111" s="29" t="n"/>
      <c r="J111" s="29" t="n"/>
      <c r="K111" s="29" t="n"/>
      <c r="L111" s="49" t="n"/>
      <c r="M111" s="29" t="n"/>
      <c r="N111" s="29" t="n"/>
      <c r="O111" s="29" t="n"/>
      <c r="P111" s="29" t="n"/>
      <c r="Q111" s="29" t="n"/>
      <c r="R111" s="29" t="n"/>
      <c r="S111" s="29" t="n"/>
      <c r="T111" s="29" t="n"/>
      <c r="U111" s="29" t="n"/>
      <c r="V111" s="29" t="n"/>
      <c r="W111" s="29" t="n"/>
    </row>
    <row r="112" ht="54" customHeight="1">
      <c r="A112" s="29" t="n"/>
      <c r="B112" s="29" t="n"/>
      <c r="C112" s="29" t="n"/>
      <c r="D112" s="29" t="n"/>
      <c r="E112" s="29" t="n"/>
      <c r="F112" s="29" t="n"/>
      <c r="G112" s="29" t="n"/>
      <c r="H112" s="29" t="n"/>
      <c r="I112" s="29" t="n"/>
      <c r="J112" s="29" t="n"/>
      <c r="K112" s="29" t="n"/>
      <c r="L112" s="49" t="n"/>
      <c r="M112" s="29" t="n"/>
      <c r="N112" s="29" t="n"/>
      <c r="O112" s="29" t="n"/>
      <c r="P112" s="29" t="n"/>
      <c r="Q112" s="29" t="n"/>
      <c r="R112" s="29" t="n"/>
      <c r="S112" s="29" t="n"/>
      <c r="T112" s="29" t="n"/>
      <c r="U112" s="29" t="n"/>
      <c r="V112" s="29" t="n"/>
      <c r="W112" s="29" t="n"/>
    </row>
    <row r="113" ht="54" customHeight="1">
      <c r="A113" s="29" t="n"/>
      <c r="B113" s="29" t="n"/>
      <c r="C113" s="29" t="n"/>
      <c r="D113" s="29" t="n"/>
      <c r="E113" s="29" t="n"/>
      <c r="F113" s="29" t="n"/>
      <c r="G113" s="29" t="n"/>
      <c r="H113" s="29" t="n"/>
      <c r="I113" s="29" t="n"/>
      <c r="J113" s="29" t="n"/>
      <c r="K113" s="29" t="n"/>
      <c r="L113" s="49" t="n"/>
      <c r="M113" s="29" t="n"/>
      <c r="N113" s="29" t="n"/>
      <c r="O113" s="29" t="n"/>
      <c r="P113" s="29" t="n"/>
      <c r="Q113" s="29" t="n"/>
      <c r="R113" s="29" t="n"/>
      <c r="S113" s="29" t="n"/>
      <c r="T113" s="29" t="n"/>
      <c r="U113" s="29" t="n"/>
      <c r="V113" s="29" t="n"/>
      <c r="W113" s="29" t="n"/>
    </row>
    <row r="114" ht="54" customHeight="1">
      <c r="A114" s="29" t="n"/>
      <c r="B114" s="29" t="n"/>
      <c r="C114" s="29" t="n"/>
      <c r="D114" s="29" t="n"/>
      <c r="E114" s="29" t="n"/>
      <c r="F114" s="29" t="n"/>
      <c r="G114" s="29" t="n"/>
      <c r="H114" s="29" t="n"/>
      <c r="I114" s="29" t="n"/>
      <c r="J114" s="29" t="n"/>
      <c r="K114" s="29" t="n"/>
      <c r="L114" s="49" t="n"/>
      <c r="M114" s="29" t="n"/>
      <c r="N114" s="29" t="n"/>
      <c r="O114" s="29" t="n"/>
      <c r="P114" s="29" t="n"/>
      <c r="Q114" s="29" t="n"/>
      <c r="R114" s="29" t="n"/>
      <c r="S114" s="29" t="n"/>
      <c r="T114" s="29" t="n"/>
      <c r="U114" s="29" t="n"/>
      <c r="V114" s="29" t="n"/>
      <c r="W114" s="29" t="n"/>
    </row>
    <row r="115" ht="54" customHeight="1">
      <c r="A115" s="29" t="n"/>
      <c r="B115" s="29" t="n"/>
      <c r="C115" s="29" t="n"/>
      <c r="D115" s="29" t="n"/>
      <c r="E115" s="29" t="n"/>
      <c r="F115" s="29" t="n"/>
      <c r="G115" s="29" t="n"/>
      <c r="H115" s="29" t="n"/>
      <c r="I115" s="29" t="n"/>
      <c r="J115" s="29" t="n"/>
      <c r="K115" s="29" t="n"/>
      <c r="L115" s="49" t="n"/>
      <c r="M115" s="29" t="n"/>
      <c r="N115" s="29" t="n"/>
      <c r="O115" s="29" t="n"/>
      <c r="P115" s="29" t="n"/>
      <c r="Q115" s="29" t="n"/>
      <c r="R115" s="29" t="n"/>
      <c r="S115" s="29" t="n"/>
      <c r="T115" s="29" t="n"/>
      <c r="U115" s="29" t="n"/>
      <c r="V115" s="29" t="n"/>
      <c r="W115" s="29" t="n"/>
    </row>
    <row r="116" ht="54" customHeight="1">
      <c r="A116" s="29" t="n"/>
      <c r="B116" s="29" t="n"/>
      <c r="C116" s="29" t="n"/>
      <c r="D116" s="29" t="n"/>
      <c r="E116" s="29" t="n"/>
      <c r="F116" s="29" t="n"/>
      <c r="G116" s="29" t="n"/>
      <c r="H116" s="29" t="n"/>
      <c r="I116" s="29" t="n"/>
      <c r="J116" s="29" t="n"/>
      <c r="K116" s="29" t="n"/>
      <c r="L116" s="49" t="n"/>
      <c r="M116" s="29" t="n"/>
      <c r="N116" s="29" t="n"/>
      <c r="O116" s="29" t="n"/>
      <c r="P116" s="29" t="n"/>
      <c r="Q116" s="29" t="n"/>
      <c r="R116" s="29" t="n"/>
      <c r="S116" s="29" t="n"/>
      <c r="T116" s="29" t="n"/>
      <c r="U116" s="29" t="n"/>
      <c r="V116" s="29" t="n"/>
      <c r="W116" s="29" t="n"/>
    </row>
    <row r="117" ht="54" customHeight="1">
      <c r="A117" s="29" t="n"/>
      <c r="B117" s="29" t="n"/>
      <c r="C117" s="29" t="n"/>
      <c r="D117" s="29" t="n"/>
      <c r="E117" s="29" t="n"/>
      <c r="F117" s="29" t="n"/>
      <c r="G117" s="29" t="n"/>
      <c r="H117" s="29" t="n"/>
      <c r="I117" s="29" t="n"/>
      <c r="J117" s="29" t="n"/>
      <c r="K117" s="29" t="n"/>
      <c r="L117" s="49" t="n"/>
      <c r="M117" s="29" t="n"/>
      <c r="N117" s="29" t="n"/>
      <c r="O117" s="29" t="n"/>
      <c r="P117" s="29" t="n"/>
      <c r="Q117" s="29" t="n"/>
      <c r="R117" s="29" t="n"/>
      <c r="S117" s="29" t="n"/>
      <c r="T117" s="29" t="n"/>
      <c r="U117" s="29" t="n"/>
      <c r="V117" s="29" t="n"/>
      <c r="W117" s="29" t="n"/>
    </row>
    <row r="118" ht="54" customHeight="1">
      <c r="A118" s="29" t="n"/>
      <c r="B118" s="29" t="n"/>
      <c r="C118" s="29" t="n"/>
      <c r="D118" s="29" t="n"/>
      <c r="E118" s="29" t="n"/>
      <c r="F118" s="29" t="n"/>
      <c r="G118" s="29" t="n"/>
      <c r="H118" s="29" t="n"/>
      <c r="I118" s="29" t="n"/>
      <c r="J118" s="29" t="n"/>
      <c r="K118" s="29" t="n"/>
      <c r="L118" s="49" t="n"/>
      <c r="M118" s="29" t="n"/>
      <c r="N118" s="29" t="n"/>
      <c r="O118" s="29" t="n"/>
      <c r="P118" s="29" t="n"/>
      <c r="Q118" s="29" t="n"/>
      <c r="R118" s="29" t="n"/>
      <c r="S118" s="29" t="n"/>
      <c r="T118" s="29" t="n"/>
      <c r="U118" s="29" t="n"/>
      <c r="V118" s="29" t="n"/>
      <c r="W118" s="29" t="n"/>
    </row>
    <row r="119" ht="54" customHeight="1">
      <c r="A119" s="29" t="n"/>
      <c r="B119" s="29" t="n"/>
      <c r="C119" s="29" t="n"/>
      <c r="D119" s="29" t="n"/>
      <c r="E119" s="29" t="n"/>
      <c r="F119" s="29" t="n"/>
      <c r="G119" s="29" t="n"/>
      <c r="H119" s="29" t="n"/>
      <c r="I119" s="29" t="n"/>
      <c r="J119" s="29" t="n"/>
      <c r="K119" s="29" t="n"/>
      <c r="L119" s="49" t="n"/>
      <c r="M119" s="29" t="n"/>
      <c r="N119" s="29" t="n"/>
      <c r="O119" s="29" t="n"/>
      <c r="P119" s="29" t="n"/>
      <c r="Q119" s="29" t="n"/>
      <c r="R119" s="29" t="n"/>
      <c r="S119" s="29" t="n"/>
      <c r="T119" s="29" t="n"/>
      <c r="U119" s="29" t="n"/>
      <c r="V119" s="29" t="n"/>
      <c r="W119" s="29" t="n"/>
    </row>
    <row r="120" ht="54" customHeight="1">
      <c r="A120" s="29" t="n"/>
      <c r="B120" s="29" t="n"/>
      <c r="C120" s="29" t="n"/>
      <c r="D120" s="29" t="n"/>
      <c r="E120" s="29" t="n"/>
      <c r="F120" s="29" t="n"/>
      <c r="G120" s="29" t="n"/>
      <c r="H120" s="29" t="n"/>
      <c r="I120" s="29" t="n"/>
      <c r="J120" s="29" t="n"/>
      <c r="K120" s="29" t="n"/>
      <c r="L120" s="49" t="n"/>
      <c r="M120" s="29" t="n"/>
      <c r="N120" s="29" t="n"/>
      <c r="O120" s="29" t="n"/>
      <c r="P120" s="29" t="n"/>
      <c r="Q120" s="29" t="n"/>
      <c r="R120" s="29" t="n"/>
      <c r="S120" s="29" t="n"/>
      <c r="T120" s="29" t="n"/>
      <c r="U120" s="29" t="n"/>
      <c r="V120" s="29" t="n"/>
      <c r="W120" s="29" t="n"/>
    </row>
    <row r="121" ht="54" customHeight="1">
      <c r="A121" s="29" t="n"/>
      <c r="B121" s="29" t="n"/>
      <c r="C121" s="29" t="n"/>
      <c r="D121" s="29" t="n"/>
      <c r="E121" s="29" t="n"/>
      <c r="F121" s="29" t="n"/>
      <c r="G121" s="29" t="n"/>
      <c r="H121" s="29" t="n"/>
      <c r="I121" s="29" t="n"/>
      <c r="J121" s="29" t="n"/>
      <c r="K121" s="29" t="n"/>
      <c r="L121" s="49" t="n"/>
      <c r="M121" s="29" t="n"/>
      <c r="N121" s="29" t="n"/>
      <c r="O121" s="29" t="n"/>
      <c r="P121" s="29" t="n"/>
      <c r="Q121" s="29" t="n"/>
      <c r="R121" s="29" t="n"/>
      <c r="S121" s="29" t="n"/>
      <c r="T121" s="29" t="n"/>
      <c r="U121" s="29" t="n"/>
      <c r="V121" s="29" t="n"/>
      <c r="W121" s="29" t="n"/>
    </row>
    <row r="122" ht="54" customHeight="1">
      <c r="A122" s="29" t="n"/>
      <c r="B122" s="29" t="n"/>
      <c r="C122" s="29" t="n"/>
      <c r="D122" s="29" t="n"/>
      <c r="E122" s="29" t="n"/>
      <c r="F122" s="29" t="n"/>
      <c r="G122" s="29" t="n"/>
      <c r="H122" s="29" t="n"/>
      <c r="I122" s="29" t="n"/>
      <c r="J122" s="29" t="n"/>
      <c r="K122" s="29" t="n"/>
      <c r="L122" s="49" t="n"/>
      <c r="M122" s="29" t="n"/>
      <c r="N122" s="29" t="n"/>
      <c r="O122" s="29" t="n"/>
      <c r="P122" s="29" t="n"/>
      <c r="Q122" s="29" t="n"/>
      <c r="R122" s="29" t="n"/>
      <c r="S122" s="29" t="n"/>
      <c r="T122" s="29" t="n"/>
      <c r="U122" s="29" t="n"/>
      <c r="V122" s="29" t="n"/>
      <c r="W122" s="29" t="n"/>
    </row>
    <row r="123" ht="54" customHeight="1">
      <c r="A123" s="29" t="n"/>
      <c r="B123" s="29" t="n"/>
      <c r="C123" s="29" t="n"/>
      <c r="D123" s="29" t="n"/>
      <c r="E123" s="29" t="n"/>
      <c r="F123" s="29" t="n"/>
      <c r="G123" s="29" t="n"/>
      <c r="H123" s="29" t="n"/>
      <c r="I123" s="29" t="n"/>
      <c r="J123" s="29" t="n"/>
      <c r="K123" s="29" t="n"/>
      <c r="L123" s="49" t="n"/>
      <c r="M123" s="29" t="n"/>
      <c r="N123" s="29" t="n"/>
      <c r="O123" s="29" t="n"/>
      <c r="P123" s="29" t="n"/>
      <c r="Q123" s="29" t="n"/>
      <c r="R123" s="29" t="n"/>
      <c r="S123" s="29" t="n"/>
      <c r="T123" s="29" t="n"/>
      <c r="U123" s="29" t="n"/>
      <c r="V123" s="29" t="n"/>
      <c r="W123" s="29" t="n"/>
    </row>
    <row r="124" ht="54" customHeight="1">
      <c r="A124" s="29" t="n"/>
      <c r="B124" s="29" t="n"/>
      <c r="C124" s="29" t="n"/>
      <c r="D124" s="29" t="n"/>
      <c r="E124" s="29" t="n"/>
      <c r="F124" s="29" t="n"/>
      <c r="G124" s="29" t="n"/>
      <c r="H124" s="29" t="n"/>
      <c r="I124" s="29" t="n"/>
      <c r="J124" s="29" t="n"/>
      <c r="K124" s="29" t="n"/>
      <c r="L124" s="49" t="n"/>
      <c r="M124" s="29" t="n"/>
      <c r="N124" s="29" t="n"/>
      <c r="O124" s="29" t="n"/>
      <c r="P124" s="29" t="n"/>
      <c r="Q124" s="29" t="n"/>
      <c r="R124" s="29" t="n"/>
      <c r="S124" s="29" t="n"/>
      <c r="T124" s="29" t="n"/>
      <c r="U124" s="29" t="n"/>
      <c r="V124" s="29" t="n"/>
      <c r="W124" s="29" t="n"/>
    </row>
    <row r="125" ht="54" customHeight="1">
      <c r="A125" s="29" t="n"/>
      <c r="B125" s="29" t="n"/>
      <c r="C125" s="29" t="n"/>
      <c r="D125" s="29" t="n"/>
      <c r="E125" s="29" t="n"/>
      <c r="F125" s="29" t="n"/>
      <c r="G125" s="29" t="n"/>
      <c r="H125" s="29" t="n"/>
      <c r="I125" s="29" t="n"/>
      <c r="J125" s="29" t="n"/>
      <c r="K125" s="29" t="n"/>
      <c r="L125" s="49" t="n"/>
      <c r="M125" s="29" t="n"/>
      <c r="N125" s="29" t="n"/>
      <c r="O125" s="29" t="n"/>
      <c r="P125" s="29" t="n"/>
      <c r="Q125" s="29" t="n"/>
      <c r="R125" s="29" t="n"/>
      <c r="S125" s="29" t="n"/>
      <c r="T125" s="29" t="n"/>
      <c r="U125" s="29" t="n"/>
      <c r="V125" s="29" t="n"/>
      <c r="W125" s="29" t="n"/>
    </row>
    <row r="126" ht="54" customHeight="1">
      <c r="A126" s="29" t="n"/>
      <c r="B126" s="29" t="n"/>
      <c r="C126" s="29" t="n"/>
      <c r="D126" s="29" t="n"/>
      <c r="E126" s="29" t="n"/>
      <c r="F126" s="29" t="n"/>
      <c r="G126" s="29" t="n"/>
      <c r="H126" s="29" t="n"/>
      <c r="I126" s="29" t="n"/>
      <c r="J126" s="29" t="n"/>
      <c r="K126" s="29" t="n"/>
      <c r="L126" s="49" t="n"/>
      <c r="M126" s="29" t="n"/>
      <c r="N126" s="29" t="n"/>
      <c r="O126" s="29" t="n"/>
      <c r="P126" s="29" t="n"/>
      <c r="Q126" s="29" t="n"/>
      <c r="R126" s="29" t="n"/>
      <c r="S126" s="29" t="n"/>
      <c r="T126" s="29" t="n"/>
      <c r="U126" s="29" t="n"/>
      <c r="V126" s="29" t="n"/>
      <c r="W126" s="29" t="n"/>
    </row>
    <row r="127" ht="54" customHeight="1">
      <c r="A127" s="29" t="n"/>
      <c r="B127" s="29" t="n"/>
      <c r="C127" s="29" t="n"/>
      <c r="D127" s="29" t="n"/>
      <c r="E127" s="29" t="n"/>
      <c r="F127" s="29" t="n"/>
      <c r="G127" s="29" t="n"/>
      <c r="H127" s="29" t="n"/>
      <c r="I127" s="29" t="n"/>
      <c r="J127" s="29" t="n"/>
      <c r="K127" s="29" t="n"/>
      <c r="L127" s="49" t="n"/>
      <c r="M127" s="29" t="n"/>
      <c r="N127" s="29" t="n"/>
      <c r="O127" s="29" t="n"/>
      <c r="P127" s="29" t="n"/>
      <c r="Q127" s="29" t="n"/>
      <c r="R127" s="29" t="n"/>
      <c r="S127" s="29" t="n"/>
      <c r="T127" s="29" t="n"/>
      <c r="U127" s="29" t="n"/>
      <c r="V127" s="29" t="n"/>
      <c r="W127" s="29" t="n"/>
    </row>
    <row r="128" ht="54" customHeight="1">
      <c r="A128" s="29" t="n"/>
      <c r="B128" s="29" t="n"/>
      <c r="C128" s="29" t="n"/>
      <c r="D128" s="29" t="n"/>
      <c r="E128" s="29" t="n"/>
      <c r="F128" s="29" t="n"/>
      <c r="G128" s="29" t="n"/>
      <c r="H128" s="29" t="n"/>
      <c r="I128" s="29" t="n"/>
      <c r="J128" s="29" t="n"/>
      <c r="K128" s="29" t="n"/>
      <c r="L128" s="49" t="n"/>
      <c r="M128" s="29" t="n"/>
      <c r="N128" s="29" t="n"/>
      <c r="O128" s="29" t="n"/>
      <c r="P128" s="29" t="n"/>
      <c r="Q128" s="29" t="n"/>
      <c r="R128" s="29" t="n"/>
      <c r="S128" s="29" t="n"/>
      <c r="T128" s="29" t="n"/>
      <c r="U128" s="29" t="n"/>
      <c r="V128" s="29" t="n"/>
      <c r="W128" s="29" t="n"/>
    </row>
    <row r="129" ht="54" customHeight="1">
      <c r="A129" s="29" t="n"/>
      <c r="B129" s="29" t="n"/>
      <c r="C129" s="29" t="n"/>
      <c r="D129" s="29" t="n"/>
      <c r="E129" s="29" t="n"/>
      <c r="F129" s="29" t="n"/>
      <c r="G129" s="29" t="n"/>
      <c r="H129" s="29" t="n"/>
      <c r="I129" s="29" t="n"/>
      <c r="J129" s="29" t="n"/>
      <c r="K129" s="29" t="n"/>
      <c r="L129" s="49" t="n"/>
      <c r="M129" s="29" t="n"/>
      <c r="N129" s="29" t="n"/>
      <c r="O129" s="29" t="n"/>
      <c r="P129" s="29" t="n"/>
      <c r="Q129" s="29" t="n"/>
      <c r="R129" s="29" t="n"/>
      <c r="S129" s="29" t="n"/>
      <c r="T129" s="29" t="n"/>
      <c r="U129" s="29" t="n"/>
      <c r="V129" s="29" t="n"/>
      <c r="W129" s="29" t="n"/>
    </row>
    <row r="130" ht="54" customHeight="1">
      <c r="A130" s="29" t="n"/>
      <c r="B130" s="29" t="n"/>
      <c r="C130" s="29" t="n"/>
      <c r="D130" s="29" t="n"/>
      <c r="E130" s="29" t="n"/>
      <c r="F130" s="29" t="n"/>
      <c r="G130" s="29" t="n"/>
      <c r="H130" s="29" t="n"/>
      <c r="I130" s="29" t="n"/>
      <c r="J130" s="29" t="n"/>
      <c r="K130" s="29" t="n"/>
      <c r="L130" s="49" t="n"/>
      <c r="M130" s="29" t="n"/>
      <c r="N130" s="29" t="n"/>
      <c r="O130" s="29" t="n"/>
      <c r="P130" s="29" t="n"/>
      <c r="Q130" s="29" t="n"/>
      <c r="R130" s="29" t="n"/>
      <c r="S130" s="29" t="n"/>
      <c r="T130" s="29" t="n"/>
      <c r="U130" s="29" t="n"/>
      <c r="V130" s="29" t="n"/>
      <c r="W130" s="29" t="n"/>
    </row>
    <row r="131" ht="54" customHeight="1">
      <c r="A131" s="29" t="n"/>
      <c r="B131" s="29" t="n"/>
      <c r="C131" s="29" t="n"/>
      <c r="D131" s="29" t="n"/>
      <c r="E131" s="29" t="n"/>
      <c r="F131" s="29" t="n"/>
      <c r="G131" s="29" t="n"/>
      <c r="H131" s="29" t="n"/>
      <c r="I131" s="29" t="n"/>
      <c r="J131" s="29" t="n"/>
      <c r="K131" s="29" t="n"/>
      <c r="L131" s="49" t="n"/>
      <c r="M131" s="29" t="n"/>
      <c r="N131" s="29" t="n"/>
      <c r="O131" s="29" t="n"/>
      <c r="P131" s="29" t="n"/>
      <c r="Q131" s="29" t="n"/>
      <c r="R131" s="29" t="n"/>
      <c r="S131" s="29" t="n"/>
      <c r="T131" s="29" t="n"/>
      <c r="U131" s="29" t="n"/>
      <c r="V131" s="29" t="n"/>
      <c r="W131" s="29" t="n"/>
    </row>
    <row r="132" ht="54" customHeight="1">
      <c r="A132" s="29" t="n"/>
      <c r="B132" s="29" t="n"/>
      <c r="C132" s="29" t="n"/>
      <c r="D132" s="29" t="n"/>
      <c r="E132" s="29" t="n"/>
      <c r="F132" s="29" t="n"/>
      <c r="G132" s="29" t="n"/>
      <c r="H132" s="29" t="n"/>
      <c r="I132" s="29" t="n"/>
      <c r="J132" s="29" t="n"/>
      <c r="K132" s="29" t="n"/>
      <c r="L132" s="49" t="n"/>
      <c r="M132" s="29" t="n"/>
      <c r="N132" s="29" t="n"/>
      <c r="O132" s="29" t="n"/>
      <c r="P132" s="29" t="n"/>
      <c r="Q132" s="29" t="n"/>
      <c r="R132" s="29" t="n"/>
      <c r="S132" s="29" t="n"/>
      <c r="T132" s="29" t="n"/>
      <c r="U132" s="29" t="n"/>
      <c r="V132" s="29" t="n"/>
      <c r="W132" s="29" t="n"/>
    </row>
    <row r="133" ht="54" customHeight="1">
      <c r="A133" s="29" t="n"/>
      <c r="B133" s="29" t="n"/>
      <c r="C133" s="29" t="n"/>
      <c r="D133" s="29" t="n"/>
      <c r="E133" s="29" t="n"/>
      <c r="F133" s="29" t="n"/>
      <c r="G133" s="29" t="n"/>
      <c r="H133" s="29" t="n"/>
      <c r="I133" s="29" t="n"/>
      <c r="J133" s="29" t="n"/>
      <c r="K133" s="29" t="n"/>
      <c r="L133" s="49" t="n"/>
      <c r="M133" s="29" t="n"/>
      <c r="N133" s="29" t="n"/>
      <c r="O133" s="29" t="n"/>
      <c r="P133" s="29" t="n"/>
      <c r="Q133" s="29" t="n"/>
      <c r="R133" s="29" t="n"/>
      <c r="S133" s="29" t="n"/>
      <c r="T133" s="29" t="n"/>
      <c r="U133" s="29" t="n"/>
      <c r="V133" s="29" t="n"/>
      <c r="W133" s="29" t="n"/>
    </row>
    <row r="134" ht="54" customHeight="1">
      <c r="A134" s="29" t="n"/>
      <c r="B134" s="29" t="n"/>
      <c r="C134" s="29" t="n"/>
      <c r="D134" s="29" t="n"/>
      <c r="E134" s="29" t="n"/>
      <c r="F134" s="29" t="n"/>
      <c r="G134" s="29" t="n"/>
      <c r="H134" s="29" t="n"/>
      <c r="I134" s="29" t="n"/>
      <c r="J134" s="29" t="n"/>
      <c r="K134" s="29" t="n"/>
      <c r="L134" s="49" t="n"/>
      <c r="M134" s="29" t="n"/>
      <c r="N134" s="29" t="n"/>
      <c r="O134" s="29" t="n"/>
      <c r="P134" s="29" t="n"/>
      <c r="Q134" s="29" t="n"/>
      <c r="R134" s="29" t="n"/>
      <c r="S134" s="29" t="n"/>
      <c r="T134" s="29" t="n"/>
      <c r="U134" s="29" t="n"/>
      <c r="V134" s="29" t="n"/>
      <c r="W134" s="29" t="n"/>
    </row>
    <row r="135" ht="54" customHeight="1">
      <c r="A135" s="29" t="n"/>
      <c r="B135" s="29" t="n"/>
      <c r="C135" s="29" t="n"/>
      <c r="D135" s="29" t="n"/>
      <c r="E135" s="29" t="n"/>
      <c r="F135" s="29" t="n"/>
      <c r="G135" s="29" t="n"/>
      <c r="H135" s="29" t="n"/>
      <c r="I135" s="29" t="n"/>
      <c r="J135" s="29" t="n"/>
      <c r="K135" s="29" t="n"/>
      <c r="L135" s="49" t="n"/>
      <c r="M135" s="29" t="n"/>
      <c r="N135" s="29" t="n"/>
      <c r="O135" s="29" t="n"/>
      <c r="P135" s="29" t="n"/>
      <c r="Q135" s="29" t="n"/>
      <c r="R135" s="29" t="n"/>
      <c r="S135" s="29" t="n"/>
      <c r="T135" s="29" t="n"/>
      <c r="U135" s="29" t="n"/>
      <c r="V135" s="29" t="n"/>
      <c r="W135" s="29" t="n"/>
    </row>
    <row r="136" ht="54" customHeight="1">
      <c r="A136" s="29" t="n"/>
      <c r="B136" s="29" t="n"/>
      <c r="C136" s="29" t="n"/>
      <c r="D136" s="29" t="n"/>
      <c r="E136" s="29" t="n"/>
      <c r="F136" s="29" t="n"/>
      <c r="G136" s="29" t="n"/>
      <c r="H136" s="29" t="n"/>
      <c r="I136" s="29" t="n"/>
      <c r="J136" s="29" t="n"/>
      <c r="K136" s="29" t="n"/>
      <c r="L136" s="49" t="n"/>
      <c r="M136" s="29" t="n"/>
      <c r="N136" s="29" t="n"/>
      <c r="O136" s="29" t="n"/>
      <c r="P136" s="29" t="n"/>
      <c r="Q136" s="29" t="n"/>
      <c r="R136" s="29" t="n"/>
      <c r="S136" s="29" t="n"/>
      <c r="T136" s="29" t="n"/>
      <c r="U136" s="29" t="n"/>
      <c r="V136" s="29" t="n"/>
      <c r="W136" s="29" t="n"/>
    </row>
    <row r="137" ht="54" customHeight="1">
      <c r="A137" s="29" t="n"/>
      <c r="B137" s="29" t="n"/>
      <c r="C137" s="29" t="n"/>
      <c r="D137" s="29" t="n"/>
      <c r="E137" s="29" t="n"/>
      <c r="F137" s="29" t="n"/>
      <c r="G137" s="29" t="n"/>
      <c r="H137" s="29" t="n"/>
      <c r="I137" s="29" t="n"/>
      <c r="J137" s="29" t="n"/>
      <c r="K137" s="29" t="n"/>
      <c r="L137" s="49" t="n"/>
      <c r="M137" s="29" t="n"/>
      <c r="N137" s="29" t="n"/>
      <c r="O137" s="29" t="n"/>
      <c r="P137" s="29" t="n"/>
      <c r="Q137" s="29" t="n"/>
      <c r="R137" s="29" t="n"/>
      <c r="S137" s="29" t="n"/>
      <c r="T137" s="29" t="n"/>
      <c r="U137" s="29" t="n"/>
      <c r="V137" s="29" t="n"/>
      <c r="W137" s="29" t="n"/>
    </row>
    <row r="138" ht="54" customHeight="1">
      <c r="A138" s="29" t="n"/>
      <c r="B138" s="29" t="n"/>
      <c r="C138" s="29" t="n"/>
      <c r="D138" s="29" t="n"/>
      <c r="E138" s="29" t="n"/>
      <c r="F138" s="29" t="n"/>
      <c r="G138" s="29" t="n"/>
      <c r="H138" s="29" t="n"/>
      <c r="I138" s="29" t="n"/>
      <c r="J138" s="29" t="n"/>
      <c r="K138" s="29" t="n"/>
      <c r="L138" s="49" t="n"/>
      <c r="M138" s="29" t="n"/>
      <c r="N138" s="29" t="n"/>
      <c r="O138" s="29" t="n"/>
      <c r="P138" s="29" t="n"/>
      <c r="Q138" s="29" t="n"/>
      <c r="R138" s="29" t="n"/>
      <c r="S138" s="29" t="n"/>
      <c r="T138" s="29" t="n"/>
      <c r="U138" s="29" t="n"/>
      <c r="V138" s="29" t="n"/>
      <c r="W138" s="29" t="n"/>
    </row>
    <row r="139" ht="54" customHeight="1">
      <c r="A139" s="29" t="n"/>
      <c r="B139" s="29" t="n"/>
      <c r="C139" s="29" t="n"/>
      <c r="D139" s="29" t="n"/>
      <c r="E139" s="29" t="n"/>
      <c r="F139" s="29" t="n"/>
      <c r="G139" s="29" t="n"/>
      <c r="H139" s="29" t="n"/>
      <c r="I139" s="29" t="n"/>
      <c r="J139" s="29" t="n"/>
      <c r="K139" s="29" t="n"/>
      <c r="L139" s="49" t="n"/>
      <c r="M139" s="29" t="n"/>
      <c r="N139" s="29" t="n"/>
      <c r="O139" s="29" t="n"/>
      <c r="P139" s="29" t="n"/>
      <c r="Q139" s="29" t="n"/>
      <c r="R139" s="29" t="n"/>
      <c r="S139" s="29" t="n"/>
      <c r="T139" s="29" t="n"/>
      <c r="U139" s="29" t="n"/>
      <c r="V139" s="29" t="n"/>
      <c r="W139" s="29" t="n"/>
    </row>
    <row r="140" ht="54" customHeight="1">
      <c r="A140" s="29" t="n"/>
      <c r="B140" s="29" t="n"/>
      <c r="C140" s="29" t="n"/>
      <c r="D140" s="29" t="n"/>
      <c r="E140" s="29" t="n"/>
      <c r="F140" s="29" t="n"/>
      <c r="G140" s="29" t="n"/>
      <c r="H140" s="29" t="n"/>
      <c r="I140" s="29" t="n"/>
      <c r="J140" s="29" t="n"/>
      <c r="K140" s="29" t="n"/>
      <c r="L140" s="49" t="n"/>
      <c r="M140" s="29" t="n"/>
      <c r="N140" s="29" t="n"/>
      <c r="O140" s="29" t="n"/>
      <c r="P140" s="29" t="n"/>
      <c r="Q140" s="29" t="n"/>
      <c r="R140" s="29" t="n"/>
      <c r="S140" s="29" t="n"/>
      <c r="T140" s="29" t="n"/>
      <c r="U140" s="29" t="n"/>
      <c r="V140" s="29" t="n"/>
      <c r="W140" s="29" t="n"/>
    </row>
    <row r="141" ht="54" customHeight="1">
      <c r="A141" s="29" t="n"/>
      <c r="B141" s="29" t="n"/>
      <c r="C141" s="29" t="n"/>
      <c r="D141" s="29" t="n"/>
      <c r="E141" s="29" t="n"/>
      <c r="F141" s="29" t="n"/>
      <c r="G141" s="29" t="n"/>
      <c r="H141" s="29" t="n"/>
      <c r="I141" s="29" t="n"/>
      <c r="J141" s="29" t="n"/>
      <c r="K141" s="29" t="n"/>
      <c r="L141" s="49" t="n"/>
      <c r="M141" s="29" t="n"/>
      <c r="N141" s="29" t="n"/>
      <c r="O141" s="29" t="n"/>
      <c r="P141" s="29" t="n"/>
      <c r="Q141" s="29" t="n"/>
      <c r="R141" s="29" t="n"/>
      <c r="S141" s="29" t="n"/>
      <c r="T141" s="29" t="n"/>
      <c r="U141" s="29" t="n"/>
      <c r="V141" s="29" t="n"/>
      <c r="W141" s="29" t="n"/>
    </row>
    <row r="142" ht="54" customHeight="1">
      <c r="A142" s="29" t="n"/>
      <c r="B142" s="29" t="n"/>
      <c r="C142" s="29" t="n"/>
      <c r="D142" s="29" t="n"/>
      <c r="E142" s="29" t="n"/>
      <c r="F142" s="29" t="n"/>
      <c r="G142" s="29" t="n"/>
      <c r="H142" s="29" t="n"/>
      <c r="I142" s="29" t="n"/>
      <c r="J142" s="29" t="n"/>
      <c r="K142" s="29" t="n"/>
      <c r="L142" s="49" t="n"/>
      <c r="M142" s="29" t="n"/>
      <c r="N142" s="29" t="n"/>
      <c r="O142" s="29" t="n"/>
      <c r="P142" s="29" t="n"/>
      <c r="Q142" s="29" t="n"/>
      <c r="R142" s="29" t="n"/>
      <c r="S142" s="29" t="n"/>
      <c r="T142" s="29" t="n"/>
      <c r="U142" s="29" t="n"/>
      <c r="V142" s="29" t="n"/>
      <c r="W142" s="29" t="n"/>
    </row>
    <row r="143" ht="54" customHeight="1">
      <c r="A143" s="29" t="n"/>
      <c r="B143" s="29" t="n"/>
      <c r="C143" s="29" t="n"/>
      <c r="D143" s="29" t="n"/>
      <c r="E143" s="29" t="n"/>
      <c r="F143" s="29" t="n"/>
      <c r="G143" s="29" t="n"/>
      <c r="H143" s="29" t="n"/>
      <c r="I143" s="29" t="n"/>
      <c r="J143" s="29" t="n"/>
      <c r="K143" s="29" t="n"/>
      <c r="L143" s="49" t="n"/>
      <c r="M143" s="29" t="n"/>
      <c r="N143" s="29" t="n"/>
      <c r="O143" s="29" t="n"/>
      <c r="P143" s="29" t="n"/>
      <c r="Q143" s="29" t="n"/>
      <c r="R143" s="29" t="n"/>
      <c r="S143" s="29" t="n"/>
      <c r="T143" s="29" t="n"/>
      <c r="U143" s="29" t="n"/>
      <c r="V143" s="29" t="n"/>
      <c r="W143" s="29" t="n"/>
    </row>
    <row r="144" ht="54" customHeight="1">
      <c r="A144" s="29" t="n"/>
      <c r="B144" s="29" t="n"/>
      <c r="C144" s="29" t="n"/>
      <c r="D144" s="29" t="n"/>
      <c r="E144" s="29" t="n"/>
      <c r="F144" s="29" t="n"/>
      <c r="G144" s="29" t="n"/>
      <c r="H144" s="29" t="n"/>
      <c r="I144" s="29" t="n"/>
      <c r="J144" s="29" t="n"/>
      <c r="K144" s="29" t="n"/>
      <c r="L144" s="49" t="n"/>
      <c r="M144" s="29" t="n"/>
      <c r="N144" s="29" t="n"/>
      <c r="O144" s="29" t="n"/>
      <c r="P144" s="29" t="n"/>
      <c r="Q144" s="29" t="n"/>
      <c r="R144" s="29" t="n"/>
      <c r="S144" s="29" t="n"/>
      <c r="T144" s="29" t="n"/>
      <c r="U144" s="29" t="n"/>
      <c r="V144" s="29" t="n"/>
      <c r="W144" s="29" t="n"/>
    </row>
    <row r="145" ht="54" customHeight="1">
      <c r="A145" s="29" t="n"/>
      <c r="B145" s="29" t="n"/>
      <c r="C145" s="29" t="n"/>
      <c r="D145" s="29" t="n"/>
      <c r="E145" s="29" t="n"/>
      <c r="F145" s="29" t="n"/>
      <c r="G145" s="29" t="n"/>
      <c r="H145" s="29" t="n"/>
      <c r="I145" s="29" t="n"/>
      <c r="J145" s="29" t="n"/>
      <c r="K145" s="29" t="n"/>
      <c r="L145" s="49" t="n"/>
      <c r="M145" s="29" t="n"/>
      <c r="N145" s="29" t="n"/>
      <c r="O145" s="29" t="n"/>
      <c r="P145" s="29" t="n"/>
      <c r="Q145" s="29" t="n"/>
      <c r="R145" s="29" t="n"/>
      <c r="S145" s="29" t="n"/>
      <c r="T145" s="29" t="n"/>
      <c r="U145" s="29" t="n"/>
      <c r="V145" s="29" t="n"/>
      <c r="W145" s="29" t="n"/>
    </row>
    <row r="146" ht="54" customHeight="1">
      <c r="A146" s="29" t="n"/>
      <c r="B146" s="29" t="n"/>
      <c r="C146" s="29" t="n"/>
      <c r="D146" s="29" t="n"/>
      <c r="E146" s="29" t="n"/>
      <c r="F146" s="29" t="n"/>
      <c r="G146" s="29" t="n"/>
      <c r="H146" s="29" t="n"/>
      <c r="I146" s="29" t="n"/>
      <c r="J146" s="29" t="n"/>
      <c r="K146" s="29" t="n"/>
      <c r="L146" s="49" t="n"/>
      <c r="M146" s="29" t="n"/>
      <c r="N146" s="29" t="n"/>
      <c r="O146" s="29" t="n"/>
      <c r="P146" s="29" t="n"/>
      <c r="Q146" s="29" t="n"/>
      <c r="R146" s="29" t="n"/>
      <c r="S146" s="29" t="n"/>
      <c r="T146" s="29" t="n"/>
      <c r="U146" s="29" t="n"/>
      <c r="V146" s="29" t="n"/>
      <c r="W146" s="29" t="n"/>
    </row>
    <row r="147" ht="54" customHeight="1">
      <c r="A147" s="29" t="n"/>
      <c r="B147" s="29" t="n"/>
      <c r="C147" s="29" t="n"/>
      <c r="D147" s="29" t="n"/>
      <c r="E147" s="29" t="n"/>
      <c r="F147" s="29" t="n"/>
      <c r="G147" s="29" t="n"/>
      <c r="H147" s="29" t="n"/>
      <c r="I147" s="29" t="n"/>
      <c r="J147" s="29" t="n"/>
      <c r="K147" s="29" t="n"/>
      <c r="L147" s="49" t="n"/>
      <c r="M147" s="29" t="n"/>
      <c r="N147" s="29" t="n"/>
      <c r="O147" s="29" t="n"/>
      <c r="P147" s="29" t="n"/>
      <c r="Q147" s="29" t="n"/>
      <c r="R147" s="29" t="n"/>
      <c r="S147" s="29" t="n"/>
      <c r="T147" s="29" t="n"/>
      <c r="U147" s="29" t="n"/>
      <c r="V147" s="29" t="n"/>
      <c r="W147" s="29" t="n"/>
    </row>
    <row r="148" ht="54" customHeight="1">
      <c r="A148" s="29" t="n"/>
      <c r="B148" s="29" t="n"/>
      <c r="C148" s="29" t="n"/>
      <c r="D148" s="29" t="n"/>
      <c r="E148" s="29" t="n"/>
      <c r="F148" s="29" t="n"/>
      <c r="G148" s="29" t="n"/>
      <c r="H148" s="29" t="n"/>
      <c r="I148" s="29" t="n"/>
      <c r="J148" s="29" t="n"/>
      <c r="K148" s="29" t="n"/>
      <c r="L148" s="49" t="n"/>
      <c r="M148" s="29" t="n"/>
      <c r="N148" s="29" t="n"/>
      <c r="O148" s="29" t="n"/>
      <c r="P148" s="29" t="n"/>
      <c r="Q148" s="29" t="n"/>
      <c r="R148" s="29" t="n"/>
      <c r="S148" s="29" t="n"/>
      <c r="T148" s="29" t="n"/>
      <c r="U148" s="29" t="n"/>
      <c r="V148" s="29" t="n"/>
      <c r="W148" s="29" t="n"/>
    </row>
    <row r="149" ht="54" customHeight="1">
      <c r="A149" s="29" t="n"/>
      <c r="B149" s="29" t="n"/>
      <c r="C149" s="29" t="n"/>
      <c r="D149" s="29" t="n"/>
      <c r="E149" s="29" t="n"/>
      <c r="F149" s="29" t="n"/>
      <c r="G149" s="29" t="n"/>
      <c r="H149" s="29" t="n"/>
      <c r="I149" s="29" t="n"/>
      <c r="J149" s="29" t="n"/>
      <c r="K149" s="29" t="n"/>
      <c r="L149" s="49" t="n"/>
      <c r="M149" s="29" t="n"/>
      <c r="N149" s="29" t="n"/>
      <c r="O149" s="29" t="n"/>
      <c r="P149" s="29" t="n"/>
      <c r="Q149" s="29" t="n"/>
      <c r="R149" s="29" t="n"/>
      <c r="S149" s="29" t="n"/>
      <c r="T149" s="29" t="n"/>
      <c r="U149" s="29" t="n"/>
      <c r="V149" s="29" t="n"/>
      <c r="W149" s="29" t="n"/>
    </row>
    <row r="150" ht="54" customHeight="1">
      <c r="A150" s="29" t="n"/>
      <c r="B150" s="29" t="n"/>
      <c r="C150" s="29" t="n"/>
      <c r="D150" s="29" t="n"/>
      <c r="E150" s="29" t="n"/>
      <c r="F150" s="29" t="n"/>
      <c r="G150" s="29" t="n"/>
      <c r="H150" s="29" t="n"/>
      <c r="I150" s="29" t="n"/>
      <c r="J150" s="29" t="n"/>
      <c r="K150" s="29" t="n"/>
      <c r="L150" s="49" t="n"/>
      <c r="M150" s="29" t="n"/>
      <c r="N150" s="29" t="n"/>
      <c r="O150" s="29" t="n"/>
      <c r="P150" s="29" t="n"/>
      <c r="Q150" s="29" t="n"/>
      <c r="R150" s="29" t="n"/>
      <c r="S150" s="29" t="n"/>
      <c r="T150" s="29" t="n"/>
      <c r="U150" s="29" t="n"/>
      <c r="V150" s="29" t="n"/>
      <c r="W150" s="29" t="n"/>
    </row>
    <row r="151" ht="54" customHeight="1">
      <c r="A151" s="29" t="n"/>
      <c r="B151" s="29" t="n"/>
      <c r="C151" s="29" t="n"/>
      <c r="D151" s="29" t="n"/>
      <c r="E151" s="29" t="n"/>
      <c r="F151" s="29" t="n"/>
      <c r="G151" s="29" t="n"/>
      <c r="H151" s="29" t="n"/>
      <c r="I151" s="29" t="n"/>
      <c r="J151" s="29" t="n"/>
      <c r="K151" s="29" t="n"/>
      <c r="L151" s="49" t="n"/>
      <c r="M151" s="29" t="n"/>
      <c r="N151" s="29" t="n"/>
      <c r="O151" s="29" t="n"/>
      <c r="P151" s="29" t="n"/>
      <c r="Q151" s="29" t="n"/>
      <c r="R151" s="29" t="n"/>
      <c r="S151" s="29" t="n"/>
      <c r="T151" s="29" t="n"/>
      <c r="U151" s="29" t="n"/>
      <c r="V151" s="29" t="n"/>
      <c r="W151" s="29" t="n"/>
    </row>
    <row r="152" ht="54" customHeight="1">
      <c r="A152" s="29" t="n"/>
      <c r="B152" s="29" t="n"/>
      <c r="C152" s="29" t="n"/>
      <c r="D152" s="29" t="n"/>
      <c r="E152" s="29" t="n"/>
      <c r="F152" s="29" t="n"/>
      <c r="G152" s="29" t="n"/>
      <c r="H152" s="29" t="n"/>
      <c r="I152" s="29" t="n"/>
      <c r="J152" s="29" t="n"/>
      <c r="K152" s="29" t="n"/>
      <c r="L152" s="49" t="n"/>
      <c r="M152" s="29" t="n"/>
      <c r="N152" s="29" t="n"/>
      <c r="O152" s="29" t="n"/>
      <c r="P152" s="29" t="n"/>
      <c r="Q152" s="29" t="n"/>
      <c r="R152" s="29" t="n"/>
      <c r="S152" s="29" t="n"/>
      <c r="T152" s="29" t="n"/>
      <c r="U152" s="29" t="n"/>
      <c r="V152" s="29" t="n"/>
      <c r="W152" s="29" t="n"/>
    </row>
    <row r="153" ht="54" customHeight="1">
      <c r="A153" s="29" t="n"/>
      <c r="B153" s="29" t="n"/>
      <c r="C153" s="29" t="n"/>
      <c r="D153" s="29" t="n"/>
      <c r="E153" s="29" t="n"/>
      <c r="F153" s="29" t="n"/>
      <c r="G153" s="29" t="n"/>
      <c r="H153" s="29" t="n"/>
      <c r="I153" s="29" t="n"/>
      <c r="J153" s="29" t="n"/>
      <c r="K153" s="29" t="n"/>
      <c r="L153" s="49" t="n"/>
      <c r="M153" s="29" t="n"/>
      <c r="N153" s="29" t="n"/>
      <c r="O153" s="29" t="n"/>
      <c r="P153" s="29" t="n"/>
      <c r="Q153" s="29" t="n"/>
      <c r="R153" s="29" t="n"/>
      <c r="S153" s="29" t="n"/>
      <c r="T153" s="29" t="n"/>
      <c r="U153" s="29" t="n"/>
      <c r="V153" s="29" t="n"/>
      <c r="W153" s="29" t="n"/>
    </row>
    <row r="154" ht="54" customHeight="1">
      <c r="A154" s="29" t="n"/>
      <c r="B154" s="29" t="n"/>
      <c r="C154" s="29" t="n"/>
      <c r="D154" s="29" t="n"/>
      <c r="E154" s="29" t="n"/>
      <c r="F154" s="29" t="n"/>
      <c r="G154" s="29" t="n"/>
      <c r="H154" s="29" t="n"/>
      <c r="I154" s="29" t="n"/>
      <c r="J154" s="29" t="n"/>
      <c r="K154" s="29" t="n"/>
      <c r="L154" s="49" t="n"/>
      <c r="M154" s="29" t="n"/>
      <c r="N154" s="29" t="n"/>
      <c r="O154" s="29" t="n"/>
      <c r="P154" s="29" t="n"/>
      <c r="Q154" s="29" t="n"/>
      <c r="R154" s="29" t="n"/>
      <c r="S154" s="29" t="n"/>
      <c r="T154" s="29" t="n"/>
      <c r="U154" s="29" t="n"/>
      <c r="V154" s="29" t="n"/>
      <c r="W154" s="29" t="n"/>
    </row>
    <row r="155" ht="54" customHeight="1">
      <c r="A155" s="29" t="n"/>
      <c r="B155" s="29" t="n"/>
      <c r="C155" s="29" t="n"/>
      <c r="D155" s="29" t="n"/>
      <c r="E155" s="29" t="n"/>
      <c r="F155" s="29" t="n"/>
      <c r="G155" s="29" t="n"/>
      <c r="H155" s="29" t="n"/>
      <c r="I155" s="29" t="n"/>
      <c r="J155" s="29" t="n"/>
      <c r="K155" s="29" t="n"/>
      <c r="L155" s="49" t="n"/>
      <c r="M155" s="29" t="n"/>
      <c r="N155" s="29" t="n"/>
      <c r="O155" s="29" t="n"/>
      <c r="P155" s="29" t="n"/>
      <c r="Q155" s="29" t="n"/>
      <c r="R155" s="29" t="n"/>
      <c r="S155" s="29" t="n"/>
      <c r="T155" s="29" t="n"/>
      <c r="U155" s="29" t="n"/>
      <c r="V155" s="29" t="n"/>
      <c r="W155" s="29" t="n"/>
    </row>
    <row r="156" ht="54" customHeight="1">
      <c r="A156" s="29" t="n"/>
      <c r="B156" s="29" t="n"/>
      <c r="C156" s="29" t="n"/>
      <c r="D156" s="29" t="n"/>
      <c r="E156" s="29" t="n"/>
      <c r="F156" s="29" t="n"/>
      <c r="G156" s="29" t="n"/>
      <c r="H156" s="29" t="n"/>
      <c r="I156" s="29" t="n"/>
      <c r="J156" s="29" t="n"/>
      <c r="K156" s="29" t="n"/>
      <c r="L156" s="49" t="n"/>
      <c r="M156" s="29" t="n"/>
      <c r="N156" s="29" t="n"/>
      <c r="O156" s="29" t="n"/>
      <c r="P156" s="29" t="n"/>
      <c r="Q156" s="29" t="n"/>
      <c r="R156" s="29" t="n"/>
      <c r="S156" s="29" t="n"/>
      <c r="T156" s="29" t="n"/>
      <c r="U156" s="29" t="n"/>
      <c r="V156" s="29" t="n"/>
      <c r="W156" s="29" t="n"/>
    </row>
    <row r="157" ht="54" customHeight="1">
      <c r="A157" s="29" t="n"/>
      <c r="B157" s="29" t="n"/>
      <c r="C157" s="29" t="n"/>
      <c r="D157" s="29" t="n"/>
      <c r="E157" s="29" t="n"/>
      <c r="F157" s="29" t="n"/>
      <c r="G157" s="29" t="n"/>
      <c r="H157" s="29" t="n"/>
      <c r="I157" s="29" t="n"/>
      <c r="J157" s="29" t="n"/>
      <c r="K157" s="29" t="n"/>
      <c r="L157" s="49" t="n"/>
      <c r="M157" s="29" t="n"/>
      <c r="N157" s="29" t="n"/>
      <c r="O157" s="29" t="n"/>
      <c r="P157" s="29" t="n"/>
      <c r="Q157" s="29" t="n"/>
      <c r="R157" s="29" t="n"/>
      <c r="S157" s="29" t="n"/>
      <c r="T157" s="29" t="n"/>
      <c r="U157" s="29" t="n"/>
      <c r="V157" s="29" t="n"/>
      <c r="W157" s="29" t="n"/>
    </row>
    <row r="158" ht="54" customHeight="1">
      <c r="A158" s="29" t="n"/>
      <c r="B158" s="29" t="n"/>
      <c r="C158" s="29" t="n"/>
      <c r="D158" s="29" t="n"/>
      <c r="E158" s="29" t="n"/>
      <c r="F158" s="29" t="n"/>
      <c r="G158" s="29" t="n"/>
      <c r="H158" s="29" t="n"/>
      <c r="I158" s="29" t="n"/>
      <c r="J158" s="29" t="n"/>
      <c r="K158" s="29" t="n"/>
      <c r="L158" s="49" t="n"/>
      <c r="M158" s="29" t="n"/>
      <c r="N158" s="29" t="n"/>
      <c r="O158" s="29" t="n"/>
      <c r="P158" s="29" t="n"/>
      <c r="Q158" s="29" t="n"/>
      <c r="R158" s="29" t="n"/>
      <c r="S158" s="29" t="n"/>
      <c r="T158" s="29" t="n"/>
      <c r="U158" s="29" t="n"/>
      <c r="V158" s="29" t="n"/>
      <c r="W158" s="29" t="n"/>
    </row>
    <row r="159" ht="54" customHeight="1">
      <c r="A159" s="29" t="n"/>
      <c r="B159" s="29" t="n"/>
      <c r="C159" s="29" t="n"/>
      <c r="D159" s="29" t="n"/>
      <c r="E159" s="29" t="n"/>
      <c r="F159" s="29" t="n"/>
      <c r="G159" s="29" t="n"/>
      <c r="H159" s="29" t="n"/>
      <c r="I159" s="29" t="n"/>
      <c r="J159" s="29" t="n"/>
      <c r="K159" s="29" t="n"/>
      <c r="L159" s="49" t="n"/>
      <c r="M159" s="29" t="n"/>
      <c r="N159" s="29" t="n"/>
      <c r="O159" s="29" t="n"/>
      <c r="P159" s="29" t="n"/>
      <c r="Q159" s="29" t="n"/>
      <c r="R159" s="29" t="n"/>
      <c r="S159" s="29" t="n"/>
      <c r="T159" s="29" t="n"/>
      <c r="U159" s="29" t="n"/>
      <c r="V159" s="29" t="n"/>
      <c r="W159" s="29" t="n"/>
    </row>
    <row r="160" ht="54" customHeight="1">
      <c r="A160" s="29" t="n"/>
      <c r="B160" s="29" t="n"/>
      <c r="C160" s="29" t="n"/>
      <c r="D160" s="29" t="n"/>
      <c r="E160" s="29" t="n"/>
      <c r="F160" s="29" t="n"/>
      <c r="G160" s="29" t="n"/>
      <c r="H160" s="29" t="n"/>
      <c r="I160" s="29" t="n"/>
      <c r="J160" s="29" t="n"/>
      <c r="K160" s="29" t="n"/>
      <c r="L160" s="49" t="n"/>
      <c r="M160" s="29" t="n"/>
      <c r="N160" s="29" t="n"/>
      <c r="O160" s="29" t="n"/>
      <c r="P160" s="29" t="n"/>
      <c r="Q160" s="29" t="n"/>
      <c r="R160" s="29" t="n"/>
      <c r="S160" s="29" t="n"/>
      <c r="T160" s="29" t="n"/>
      <c r="U160" s="29" t="n"/>
      <c r="V160" s="29" t="n"/>
      <c r="W160" s="29" t="n"/>
    </row>
    <row r="161" ht="54" customHeight="1">
      <c r="A161" s="29" t="n"/>
      <c r="B161" s="29" t="n"/>
      <c r="C161" s="29" t="n"/>
      <c r="D161" s="29" t="n"/>
      <c r="E161" s="29" t="n"/>
      <c r="F161" s="29" t="n"/>
      <c r="G161" s="29" t="n"/>
      <c r="H161" s="29" t="n"/>
      <c r="I161" s="29" t="n"/>
      <c r="J161" s="29" t="n"/>
      <c r="K161" s="29" t="n"/>
      <c r="L161" s="49" t="n"/>
      <c r="M161" s="29" t="n"/>
      <c r="N161" s="29" t="n"/>
      <c r="O161" s="29" t="n"/>
      <c r="P161" s="29" t="n"/>
      <c r="Q161" s="29" t="n"/>
      <c r="R161" s="29" t="n"/>
      <c r="S161" s="29" t="n"/>
      <c r="T161" s="29" t="n"/>
      <c r="U161" s="29" t="n"/>
      <c r="V161" s="29" t="n"/>
      <c r="W161" s="29" t="n"/>
    </row>
    <row r="162" ht="54" customHeight="1">
      <c r="A162" s="29" t="n"/>
      <c r="B162" s="29" t="n"/>
      <c r="C162" s="29" t="n"/>
      <c r="D162" s="29" t="n"/>
      <c r="E162" s="29" t="n"/>
      <c r="F162" s="29" t="n"/>
      <c r="G162" s="29" t="n"/>
      <c r="H162" s="29" t="n"/>
      <c r="I162" s="29" t="n"/>
      <c r="J162" s="29" t="n"/>
      <c r="K162" s="29" t="n"/>
      <c r="L162" s="49" t="n"/>
      <c r="M162" s="29" t="n"/>
      <c r="N162" s="29" t="n"/>
      <c r="O162" s="29" t="n"/>
      <c r="P162" s="29" t="n"/>
      <c r="Q162" s="29" t="n"/>
      <c r="R162" s="29" t="n"/>
      <c r="S162" s="29" t="n"/>
      <c r="T162" s="29" t="n"/>
      <c r="U162" s="29" t="n"/>
      <c r="V162" s="29" t="n"/>
      <c r="W162" s="29" t="n"/>
    </row>
    <row r="163" ht="54" customHeight="1">
      <c r="A163" s="29" t="n"/>
      <c r="B163" s="29" t="n"/>
      <c r="C163" s="29" t="n"/>
      <c r="D163" s="29" t="n"/>
      <c r="E163" s="29" t="n"/>
      <c r="F163" s="29" t="n"/>
      <c r="G163" s="29" t="n"/>
      <c r="H163" s="29" t="n"/>
      <c r="I163" s="29" t="n"/>
      <c r="J163" s="29" t="n"/>
      <c r="K163" s="29" t="n"/>
      <c r="L163" s="49" t="n"/>
      <c r="M163" s="29" t="n"/>
      <c r="N163" s="29" t="n"/>
      <c r="O163" s="29" t="n"/>
      <c r="P163" s="29" t="n"/>
      <c r="Q163" s="29" t="n"/>
      <c r="R163" s="29" t="n"/>
      <c r="S163" s="29" t="n"/>
      <c r="T163" s="29" t="n"/>
      <c r="U163" s="29" t="n"/>
      <c r="V163" s="29" t="n"/>
      <c r="W163" s="29" t="n"/>
    </row>
    <row r="164" ht="54" customHeight="1">
      <c r="A164" s="29" t="n"/>
      <c r="B164" s="29" t="n"/>
      <c r="C164" s="29" t="n"/>
      <c r="D164" s="29" t="n"/>
      <c r="E164" s="29" t="n"/>
      <c r="F164" s="29" t="n"/>
      <c r="G164" s="29" t="n"/>
      <c r="H164" s="29" t="n"/>
      <c r="I164" s="29" t="n"/>
      <c r="J164" s="29" t="n"/>
      <c r="K164" s="29" t="n"/>
      <c r="L164" s="49" t="n"/>
      <c r="M164" s="29" t="n"/>
      <c r="N164" s="29" t="n"/>
      <c r="O164" s="29" t="n"/>
      <c r="P164" s="29" t="n"/>
      <c r="Q164" s="29" t="n"/>
      <c r="R164" s="29" t="n"/>
      <c r="S164" s="29" t="n"/>
      <c r="T164" s="29" t="n"/>
      <c r="U164" s="29" t="n"/>
      <c r="V164" s="29" t="n"/>
      <c r="W164" s="29" t="n"/>
    </row>
    <row r="165" ht="54" customHeight="1">
      <c r="A165" s="29" t="n"/>
      <c r="B165" s="29" t="n"/>
      <c r="C165" s="29" t="n"/>
      <c r="D165" s="29" t="n"/>
      <c r="E165" s="29" t="n"/>
      <c r="F165" s="29" t="n"/>
      <c r="G165" s="29" t="n"/>
      <c r="H165" s="29" t="n"/>
      <c r="I165" s="29" t="n"/>
      <c r="J165" s="29" t="n"/>
      <c r="K165" s="29" t="n"/>
      <c r="L165" s="49" t="n"/>
      <c r="M165" s="29" t="n"/>
      <c r="N165" s="29" t="n"/>
      <c r="O165" s="29" t="n"/>
      <c r="P165" s="29" t="n"/>
      <c r="Q165" s="29" t="n"/>
      <c r="R165" s="29" t="n"/>
      <c r="S165" s="29" t="n"/>
      <c r="T165" s="29" t="n"/>
      <c r="U165" s="29" t="n"/>
      <c r="V165" s="29" t="n"/>
      <c r="W165" s="29" t="n"/>
    </row>
    <row r="166" ht="54" customHeight="1">
      <c r="A166" s="29" t="n"/>
      <c r="B166" s="29" t="n"/>
      <c r="C166" s="29" t="n"/>
      <c r="D166" s="29" t="n"/>
      <c r="E166" s="29" t="n"/>
      <c r="F166" s="29" t="n"/>
      <c r="G166" s="29" t="n"/>
      <c r="H166" s="29" t="n"/>
      <c r="I166" s="29" t="n"/>
      <c r="J166" s="29" t="n"/>
      <c r="K166" s="29" t="n"/>
      <c r="L166" s="49" t="n"/>
      <c r="M166" s="29" t="n"/>
      <c r="N166" s="29" t="n"/>
      <c r="O166" s="29" t="n"/>
      <c r="P166" s="29" t="n"/>
      <c r="Q166" s="29" t="n"/>
      <c r="R166" s="29" t="n"/>
      <c r="S166" s="29" t="n"/>
      <c r="T166" s="29" t="n"/>
      <c r="U166" s="29" t="n"/>
      <c r="V166" s="29" t="n"/>
      <c r="W166" s="29" t="n"/>
    </row>
    <row r="167" ht="54" customHeight="1">
      <c r="A167" s="29" t="n"/>
      <c r="B167" s="29" t="n"/>
      <c r="C167" s="29" t="n"/>
      <c r="D167" s="29" t="n"/>
      <c r="E167" s="29" t="n"/>
      <c r="F167" s="29" t="n"/>
      <c r="G167" s="29" t="n"/>
      <c r="H167" s="29" t="n"/>
      <c r="I167" s="29" t="n"/>
      <c r="J167" s="29" t="n"/>
      <c r="K167" s="29" t="n"/>
      <c r="L167" s="49" t="n"/>
      <c r="M167" s="29" t="n"/>
      <c r="N167" s="29" t="n"/>
      <c r="O167" s="29" t="n"/>
      <c r="P167" s="29" t="n"/>
      <c r="Q167" s="29" t="n"/>
      <c r="R167" s="29" t="n"/>
      <c r="S167" s="29" t="n"/>
      <c r="T167" s="29" t="n"/>
      <c r="U167" s="29" t="n"/>
      <c r="V167" s="29" t="n"/>
      <c r="W167" s="29" t="n"/>
    </row>
    <row r="168" ht="54" customHeight="1">
      <c r="A168" s="29" t="n"/>
      <c r="B168" s="29" t="n"/>
      <c r="C168" s="29" t="n"/>
      <c r="D168" s="29" t="n"/>
      <c r="E168" s="29" t="n"/>
      <c r="F168" s="29" t="n"/>
      <c r="G168" s="29" t="n"/>
      <c r="H168" s="29" t="n"/>
      <c r="I168" s="29" t="n"/>
      <c r="J168" s="29" t="n"/>
      <c r="K168" s="29" t="n"/>
      <c r="L168" s="49" t="n"/>
      <c r="M168" s="29" t="n"/>
      <c r="N168" s="29" t="n"/>
      <c r="O168" s="29" t="n"/>
      <c r="P168" s="29" t="n"/>
      <c r="Q168" s="29" t="n"/>
      <c r="R168" s="29" t="n"/>
      <c r="S168" s="29" t="n"/>
      <c r="T168" s="29" t="n"/>
      <c r="U168" s="29" t="n"/>
      <c r="V168" s="29" t="n"/>
      <c r="W168" s="29" t="n"/>
    </row>
    <row r="169" ht="54" customHeight="1">
      <c r="A169" s="29" t="n"/>
      <c r="B169" s="29" t="n"/>
      <c r="C169" s="29" t="n"/>
      <c r="D169" s="29" t="n"/>
      <c r="E169" s="29" t="n"/>
      <c r="F169" s="29" t="n"/>
      <c r="G169" s="29" t="n"/>
      <c r="H169" s="29" t="n"/>
      <c r="I169" s="29" t="n"/>
      <c r="J169" s="29" t="n"/>
      <c r="K169" s="29" t="n"/>
      <c r="L169" s="49" t="n"/>
      <c r="M169" s="29" t="n"/>
      <c r="N169" s="29" t="n"/>
      <c r="O169" s="29" t="n"/>
      <c r="P169" s="29" t="n"/>
      <c r="Q169" s="29" t="n"/>
      <c r="R169" s="29" t="n"/>
      <c r="S169" s="29" t="n"/>
      <c r="T169" s="29" t="n"/>
      <c r="U169" s="29" t="n"/>
      <c r="V169" s="29" t="n"/>
      <c r="W169" s="29" t="n"/>
    </row>
    <row r="170" ht="54" customHeight="1">
      <c r="A170" s="29" t="n"/>
      <c r="B170" s="29" t="n"/>
      <c r="C170" s="29" t="n"/>
      <c r="D170" s="29" t="n"/>
      <c r="E170" s="29" t="n"/>
      <c r="F170" s="29" t="n"/>
      <c r="G170" s="29" t="n"/>
      <c r="H170" s="29" t="n"/>
      <c r="I170" s="29" t="n"/>
      <c r="J170" s="29" t="n"/>
      <c r="K170" s="29" t="n"/>
      <c r="L170" s="49" t="n"/>
      <c r="M170" s="29" t="n"/>
      <c r="N170" s="29" t="n"/>
      <c r="O170" s="29" t="n"/>
      <c r="P170" s="29" t="n"/>
      <c r="Q170" s="29" t="n"/>
      <c r="R170" s="29" t="n"/>
      <c r="S170" s="29" t="n"/>
      <c r="T170" s="29" t="n"/>
      <c r="U170" s="29" t="n"/>
      <c r="V170" s="29" t="n"/>
      <c r="W170" s="29" t="n"/>
    </row>
    <row r="171" ht="54" customHeight="1">
      <c r="A171" s="29" t="n"/>
      <c r="B171" s="29" t="n"/>
      <c r="C171" s="29" t="n"/>
      <c r="D171" s="29" t="n"/>
      <c r="E171" s="29" t="n"/>
      <c r="F171" s="29" t="n"/>
      <c r="G171" s="29" t="n"/>
      <c r="H171" s="29" t="n"/>
      <c r="I171" s="29" t="n"/>
      <c r="J171" s="29" t="n"/>
      <c r="K171" s="29" t="n"/>
      <c r="L171" s="49" t="n"/>
      <c r="M171" s="29" t="n"/>
      <c r="N171" s="29" t="n"/>
      <c r="O171" s="29" t="n"/>
      <c r="P171" s="29" t="n"/>
      <c r="Q171" s="29" t="n"/>
      <c r="R171" s="29" t="n"/>
      <c r="S171" s="29" t="n"/>
      <c r="T171" s="29" t="n"/>
      <c r="U171" s="29" t="n"/>
      <c r="V171" s="29" t="n"/>
      <c r="W171" s="29" t="n"/>
    </row>
    <row r="172" ht="54" customHeight="1">
      <c r="A172" s="29" t="n"/>
      <c r="B172" s="29" t="n"/>
      <c r="C172" s="29" t="n"/>
      <c r="D172" s="29" t="n"/>
      <c r="E172" s="29" t="n"/>
      <c r="F172" s="29" t="n"/>
      <c r="G172" s="29" t="n"/>
      <c r="H172" s="29" t="n"/>
      <c r="I172" s="29" t="n"/>
      <c r="J172" s="29" t="n"/>
      <c r="K172" s="29" t="n"/>
      <c r="L172" s="49" t="n"/>
      <c r="M172" s="29" t="n"/>
      <c r="N172" s="29" t="n"/>
      <c r="O172" s="29" t="n"/>
      <c r="P172" s="29" t="n"/>
      <c r="Q172" s="29" t="n"/>
      <c r="R172" s="29" t="n"/>
      <c r="S172" s="29" t="n"/>
      <c r="T172" s="29" t="n"/>
      <c r="U172" s="29" t="n"/>
      <c r="V172" s="29" t="n"/>
      <c r="W172" s="29" t="n"/>
    </row>
    <row r="173" ht="54" customHeight="1">
      <c r="A173" s="29" t="n"/>
      <c r="B173" s="29" t="n"/>
      <c r="C173" s="29" t="n"/>
      <c r="D173" s="29" t="n"/>
      <c r="E173" s="29" t="n"/>
      <c r="F173" s="29" t="n"/>
      <c r="G173" s="29" t="n"/>
      <c r="H173" s="29" t="n"/>
      <c r="I173" s="29" t="n"/>
      <c r="J173" s="29" t="n"/>
      <c r="K173" s="29" t="n"/>
      <c r="L173" s="49" t="n"/>
      <c r="M173" s="29" t="n"/>
      <c r="N173" s="29" t="n"/>
      <c r="O173" s="29" t="n"/>
      <c r="P173" s="29" t="n"/>
      <c r="Q173" s="29" t="n"/>
      <c r="R173" s="29" t="n"/>
      <c r="S173" s="29" t="n"/>
      <c r="T173" s="29" t="n"/>
      <c r="U173" s="29" t="n"/>
      <c r="V173" s="29" t="n"/>
      <c r="W173" s="29" t="n"/>
    </row>
    <row r="174" ht="54" customHeight="1">
      <c r="A174" s="29" t="n"/>
      <c r="B174" s="29" t="n"/>
      <c r="C174" s="29" t="n"/>
      <c r="D174" s="29" t="n"/>
      <c r="E174" s="29" t="n"/>
      <c r="F174" s="29" t="n"/>
      <c r="G174" s="29" t="n"/>
      <c r="H174" s="29" t="n"/>
      <c r="I174" s="29" t="n"/>
      <c r="J174" s="29" t="n"/>
      <c r="K174" s="29" t="n"/>
      <c r="L174" s="49" t="n"/>
      <c r="M174" s="29" t="n"/>
      <c r="N174" s="29" t="n"/>
      <c r="O174" s="29" t="n"/>
      <c r="P174" s="29" t="n"/>
      <c r="Q174" s="29" t="n"/>
      <c r="R174" s="29" t="n"/>
      <c r="S174" s="29" t="n"/>
      <c r="T174" s="29" t="n"/>
      <c r="U174" s="29" t="n"/>
      <c r="V174" s="29" t="n"/>
      <c r="W174" s="29" t="n"/>
    </row>
    <row r="175" ht="54" customHeight="1">
      <c r="A175" s="29" t="n"/>
      <c r="B175" s="29" t="n"/>
      <c r="C175" s="29" t="n"/>
      <c r="D175" s="29" t="n"/>
      <c r="E175" s="29" t="n"/>
      <c r="F175" s="29" t="n"/>
      <c r="G175" s="29" t="n"/>
      <c r="H175" s="29" t="n"/>
      <c r="I175" s="29" t="n"/>
      <c r="J175" s="29" t="n"/>
      <c r="K175" s="29" t="n"/>
      <c r="L175" s="49" t="n"/>
      <c r="M175" s="29" t="n"/>
      <c r="N175" s="29" t="n"/>
      <c r="O175" s="29" t="n"/>
      <c r="P175" s="29" t="n"/>
      <c r="Q175" s="29" t="n"/>
      <c r="R175" s="29" t="n"/>
      <c r="S175" s="29" t="n"/>
      <c r="T175" s="29" t="n"/>
      <c r="U175" s="29" t="n"/>
      <c r="V175" s="29" t="n"/>
      <c r="W175" s="29" t="n"/>
    </row>
    <row r="176" ht="54" customHeight="1">
      <c r="A176" s="29" t="n"/>
      <c r="B176" s="29" t="n"/>
      <c r="C176" s="29" t="n"/>
      <c r="D176" s="29" t="n"/>
      <c r="E176" s="29" t="n"/>
      <c r="F176" s="29" t="n"/>
      <c r="G176" s="29" t="n"/>
      <c r="H176" s="29" t="n"/>
      <c r="I176" s="29" t="n"/>
      <c r="J176" s="29" t="n"/>
      <c r="K176" s="29" t="n"/>
      <c r="L176" s="49" t="n"/>
      <c r="M176" s="29" t="n"/>
      <c r="N176" s="29" t="n"/>
      <c r="O176" s="29" t="n"/>
      <c r="P176" s="29" t="n"/>
      <c r="Q176" s="29" t="n"/>
      <c r="R176" s="29" t="n"/>
      <c r="S176" s="29" t="n"/>
      <c r="T176" s="29" t="n"/>
      <c r="U176" s="29" t="n"/>
      <c r="V176" s="29" t="n"/>
      <c r="W176" s="29" t="n"/>
    </row>
    <row r="177" ht="54" customHeight="1">
      <c r="A177" s="29" t="n"/>
      <c r="B177" s="29" t="n"/>
      <c r="C177" s="29" t="n"/>
      <c r="D177" s="29" t="n"/>
      <c r="E177" s="29" t="n"/>
      <c r="F177" s="29" t="n"/>
      <c r="G177" s="29" t="n"/>
      <c r="H177" s="29" t="n"/>
      <c r="I177" s="29" t="n"/>
      <c r="J177" s="29" t="n"/>
      <c r="K177" s="29" t="n"/>
      <c r="L177" s="49" t="n"/>
      <c r="M177" s="29" t="n"/>
      <c r="N177" s="29" t="n"/>
      <c r="O177" s="29" t="n"/>
      <c r="P177" s="29" t="n"/>
      <c r="Q177" s="29" t="n"/>
      <c r="R177" s="29" t="n"/>
      <c r="S177" s="29" t="n"/>
      <c r="T177" s="29" t="n"/>
      <c r="U177" s="29" t="n"/>
      <c r="V177" s="29" t="n"/>
      <c r="W177" s="29" t="n"/>
    </row>
    <row r="178" ht="54" customHeight="1">
      <c r="A178" s="29" t="n"/>
      <c r="B178" s="29" t="n"/>
      <c r="C178" s="29" t="n"/>
      <c r="D178" s="29" t="n"/>
      <c r="E178" s="29" t="n"/>
      <c r="F178" s="29" t="n"/>
      <c r="G178" s="29" t="n"/>
      <c r="H178" s="29" t="n"/>
      <c r="I178" s="29" t="n"/>
      <c r="J178" s="29" t="n"/>
      <c r="K178" s="29" t="n"/>
      <c r="L178" s="49" t="n"/>
      <c r="M178" s="29" t="n"/>
      <c r="N178" s="29" t="n"/>
      <c r="O178" s="29" t="n"/>
      <c r="P178" s="29" t="n"/>
      <c r="Q178" s="29" t="n"/>
      <c r="R178" s="29" t="n"/>
      <c r="S178" s="29" t="n"/>
      <c r="T178" s="29" t="n"/>
      <c r="U178" s="29" t="n"/>
      <c r="V178" s="29" t="n"/>
      <c r="W178" s="29" t="n"/>
    </row>
    <row r="179" ht="54" customHeight="1">
      <c r="A179" s="29" t="n"/>
      <c r="B179" s="29" t="n"/>
      <c r="C179" s="29" t="n"/>
      <c r="D179" s="29" t="n"/>
      <c r="E179" s="29" t="n"/>
      <c r="F179" s="29" t="n"/>
      <c r="G179" s="29" t="n"/>
      <c r="H179" s="29" t="n"/>
      <c r="I179" s="29" t="n"/>
      <c r="J179" s="29" t="n"/>
      <c r="K179" s="29" t="n"/>
      <c r="L179" s="49" t="n"/>
      <c r="M179" s="29" t="n"/>
      <c r="N179" s="29" t="n"/>
      <c r="O179" s="29" t="n"/>
      <c r="P179" s="29" t="n"/>
      <c r="Q179" s="29" t="n"/>
      <c r="R179" s="29" t="n"/>
      <c r="S179" s="29" t="n"/>
      <c r="T179" s="29" t="n"/>
      <c r="U179" s="29" t="n"/>
      <c r="V179" s="29" t="n"/>
      <c r="W179" s="29" t="n"/>
    </row>
    <row r="180" ht="54" customHeight="1">
      <c r="A180" s="29" t="n"/>
      <c r="B180" s="29" t="n"/>
      <c r="C180" s="29" t="n"/>
      <c r="D180" s="29" t="n"/>
      <c r="E180" s="29" t="n"/>
      <c r="F180" s="29" t="n"/>
      <c r="G180" s="29" t="n"/>
      <c r="H180" s="29" t="n"/>
      <c r="I180" s="29" t="n"/>
      <c r="J180" s="29" t="n"/>
      <c r="K180" s="29" t="n"/>
      <c r="L180" s="49" t="n"/>
      <c r="M180" s="29" t="n"/>
      <c r="N180" s="29" t="n"/>
      <c r="O180" s="29" t="n"/>
      <c r="P180" s="29" t="n"/>
      <c r="Q180" s="29" t="n"/>
      <c r="R180" s="29" t="n"/>
      <c r="S180" s="29" t="n"/>
      <c r="T180" s="29" t="n"/>
      <c r="U180" s="29" t="n"/>
      <c r="V180" s="29" t="n"/>
      <c r="W180" s="29" t="n"/>
    </row>
    <row r="181" ht="54" customHeight="1">
      <c r="A181" s="29" t="n"/>
      <c r="B181" s="29" t="n"/>
      <c r="C181" s="29" t="n"/>
      <c r="D181" s="29" t="n"/>
      <c r="E181" s="29" t="n"/>
      <c r="F181" s="29" t="n"/>
      <c r="G181" s="29" t="n"/>
      <c r="H181" s="29" t="n"/>
      <c r="I181" s="29" t="n"/>
      <c r="J181" s="29" t="n"/>
      <c r="K181" s="29" t="n"/>
      <c r="L181" s="49" t="n"/>
      <c r="M181" s="29" t="n"/>
      <c r="N181" s="29" t="n"/>
      <c r="O181" s="29" t="n"/>
      <c r="P181" s="29" t="n"/>
      <c r="Q181" s="29" t="n"/>
      <c r="R181" s="29" t="n"/>
      <c r="S181" s="29" t="n"/>
      <c r="T181" s="29" t="n"/>
      <c r="U181" s="29" t="n"/>
      <c r="V181" s="29" t="n"/>
      <c r="W181" s="29" t="n"/>
    </row>
    <row r="182" ht="54" customHeight="1">
      <c r="A182" s="29" t="n"/>
      <c r="B182" s="29" t="n"/>
      <c r="C182" s="29" t="n"/>
      <c r="D182" s="29" t="n"/>
      <c r="E182" s="29" t="n"/>
      <c r="F182" s="29" t="n"/>
      <c r="G182" s="29" t="n"/>
      <c r="H182" s="29" t="n"/>
      <c r="I182" s="29" t="n"/>
      <c r="J182" s="29" t="n"/>
      <c r="K182" s="29" t="n"/>
      <c r="L182" s="49" t="n"/>
      <c r="M182" s="29" t="n"/>
      <c r="N182" s="29" t="n"/>
      <c r="O182" s="29" t="n"/>
      <c r="P182" s="29" t="n"/>
      <c r="Q182" s="29" t="n"/>
      <c r="R182" s="29" t="n"/>
      <c r="S182" s="29" t="n"/>
      <c r="T182" s="29" t="n"/>
      <c r="U182" s="29" t="n"/>
      <c r="V182" s="29" t="n"/>
      <c r="W182" s="29" t="n"/>
    </row>
    <row r="183" ht="54" customHeight="1">
      <c r="A183" s="29" t="n"/>
      <c r="B183" s="29" t="n"/>
      <c r="C183" s="29" t="n"/>
      <c r="D183" s="29" t="n"/>
      <c r="E183" s="29" t="n"/>
      <c r="F183" s="29" t="n"/>
      <c r="G183" s="29" t="n"/>
      <c r="H183" s="29" t="n"/>
      <c r="I183" s="29" t="n"/>
      <c r="J183" s="29" t="n"/>
      <c r="K183" s="29" t="n"/>
      <c r="L183" s="49" t="n"/>
      <c r="M183" s="29" t="n"/>
      <c r="N183" s="29" t="n"/>
      <c r="O183" s="29" t="n"/>
      <c r="P183" s="29" t="n"/>
      <c r="Q183" s="29" t="n"/>
      <c r="R183" s="29" t="n"/>
      <c r="S183" s="29" t="n"/>
      <c r="T183" s="29" t="n"/>
      <c r="U183" s="29" t="n"/>
      <c r="V183" s="29" t="n"/>
      <c r="W183" s="29" t="n"/>
    </row>
    <row r="184" ht="54" customHeight="1">
      <c r="A184" s="29" t="n"/>
      <c r="B184" s="29" t="n"/>
      <c r="C184" s="29" t="n"/>
      <c r="D184" s="29" t="n"/>
      <c r="E184" s="29" t="n"/>
      <c r="F184" s="29" t="n"/>
      <c r="G184" s="29" t="n"/>
      <c r="H184" s="29" t="n"/>
      <c r="I184" s="29" t="n"/>
      <c r="J184" s="29" t="n"/>
      <c r="K184" s="29" t="n"/>
      <c r="L184" s="49" t="n"/>
      <c r="M184" s="29" t="n"/>
      <c r="N184" s="29" t="n"/>
      <c r="O184" s="29" t="n"/>
      <c r="P184" s="29" t="n"/>
      <c r="Q184" s="29" t="n"/>
      <c r="R184" s="29" t="n"/>
      <c r="S184" s="29" t="n"/>
      <c r="T184" s="29" t="n"/>
      <c r="U184" s="29" t="n"/>
      <c r="V184" s="29" t="n"/>
      <c r="W184" s="29" t="n"/>
    </row>
    <row r="185" ht="54" customHeight="1">
      <c r="A185" s="29" t="n"/>
      <c r="B185" s="29" t="n"/>
      <c r="C185" s="29" t="n"/>
      <c r="D185" s="29" t="n"/>
      <c r="E185" s="29" t="n"/>
      <c r="F185" s="29" t="n"/>
      <c r="G185" s="29" t="n"/>
      <c r="H185" s="29" t="n"/>
      <c r="I185" s="29" t="n"/>
      <c r="J185" s="29" t="n"/>
      <c r="K185" s="29" t="n"/>
      <c r="L185" s="49" t="n"/>
      <c r="M185" s="29" t="n"/>
      <c r="N185" s="29" t="n"/>
      <c r="O185" s="29" t="n"/>
      <c r="P185" s="29" t="n"/>
      <c r="Q185" s="29" t="n"/>
      <c r="R185" s="29" t="n"/>
      <c r="S185" s="29" t="n"/>
      <c r="T185" s="29" t="n"/>
      <c r="U185" s="29" t="n"/>
      <c r="V185" s="29" t="n"/>
      <c r="W185" s="29" t="n"/>
    </row>
    <row r="186" ht="54" customHeight="1">
      <c r="A186" s="29" t="n"/>
      <c r="B186" s="29" t="n"/>
      <c r="C186" s="29" t="n"/>
      <c r="D186" s="29" t="n"/>
      <c r="E186" s="29" t="n"/>
      <c r="F186" s="29" t="n"/>
      <c r="G186" s="29" t="n"/>
      <c r="H186" s="29" t="n"/>
      <c r="I186" s="29" t="n"/>
      <c r="J186" s="29" t="n"/>
      <c r="K186" s="29" t="n"/>
      <c r="L186" s="49" t="n"/>
      <c r="M186" s="29" t="n"/>
      <c r="N186" s="29" t="n"/>
      <c r="O186" s="29" t="n"/>
      <c r="P186" s="29" t="n"/>
      <c r="Q186" s="29" t="n"/>
      <c r="R186" s="29" t="n"/>
      <c r="S186" s="29" t="n"/>
      <c r="T186" s="29" t="n"/>
      <c r="U186" s="29" t="n"/>
      <c r="V186" s="29" t="n"/>
      <c r="W186" s="29" t="n"/>
    </row>
    <row r="187" ht="54" customHeight="1">
      <c r="A187" s="29" t="n"/>
      <c r="B187" s="29" t="n"/>
      <c r="C187" s="29" t="n"/>
      <c r="D187" s="29" t="n"/>
      <c r="E187" s="29" t="n"/>
      <c r="F187" s="29" t="n"/>
      <c r="G187" s="29" t="n"/>
      <c r="H187" s="29" t="n"/>
      <c r="I187" s="29" t="n"/>
      <c r="J187" s="29" t="n"/>
      <c r="K187" s="29" t="n"/>
      <c r="L187" s="49" t="n"/>
      <c r="M187" s="29" t="n"/>
      <c r="N187" s="29" t="n"/>
      <c r="O187" s="29" t="n"/>
      <c r="P187" s="29" t="n"/>
      <c r="Q187" s="29" t="n"/>
      <c r="R187" s="29" t="n"/>
      <c r="S187" s="29" t="n"/>
      <c r="T187" s="29" t="n"/>
      <c r="U187" s="29" t="n"/>
      <c r="V187" s="29" t="n"/>
      <c r="W187" s="29" t="n"/>
    </row>
    <row r="188" ht="54" customHeight="1">
      <c r="A188" s="29" t="n"/>
      <c r="B188" s="29" t="n"/>
      <c r="C188" s="29" t="n"/>
      <c r="D188" s="29" t="n"/>
      <c r="E188" s="29" t="n"/>
      <c r="F188" s="29" t="n"/>
      <c r="G188" s="29" t="n"/>
      <c r="H188" s="29" t="n"/>
      <c r="I188" s="29" t="n"/>
      <c r="J188" s="29" t="n"/>
      <c r="K188" s="29" t="n"/>
      <c r="L188" s="49" t="n"/>
      <c r="M188" s="29" t="n"/>
      <c r="N188" s="29" t="n"/>
      <c r="O188" s="29" t="n"/>
      <c r="P188" s="29" t="n"/>
      <c r="Q188" s="29" t="n"/>
      <c r="R188" s="29" t="n"/>
      <c r="S188" s="29" t="n"/>
      <c r="T188" s="29" t="n"/>
      <c r="U188" s="29" t="n"/>
      <c r="V188" s="29" t="n"/>
      <c r="W188" s="29" t="n"/>
    </row>
    <row r="189" ht="54" customHeight="1">
      <c r="A189" s="29" t="n"/>
      <c r="B189" s="29" t="n"/>
      <c r="C189" s="29" t="n"/>
      <c r="D189" s="29" t="n"/>
      <c r="E189" s="29" t="n"/>
      <c r="F189" s="29" t="n"/>
      <c r="G189" s="29" t="n"/>
      <c r="H189" s="29" t="n"/>
      <c r="I189" s="29" t="n"/>
      <c r="J189" s="29" t="n"/>
      <c r="K189" s="29" t="n"/>
      <c r="L189" s="49" t="n"/>
      <c r="M189" s="29" t="n"/>
      <c r="N189" s="29" t="n"/>
      <c r="O189" s="29" t="n"/>
      <c r="P189" s="29" t="n"/>
      <c r="Q189" s="29" t="n"/>
      <c r="R189" s="29" t="n"/>
      <c r="S189" s="29" t="n"/>
      <c r="T189" s="29" t="n"/>
      <c r="U189" s="29" t="n"/>
      <c r="V189" s="29" t="n"/>
      <c r="W189" s="29" t="n"/>
    </row>
    <row r="190" ht="54" customHeight="1">
      <c r="A190" s="29" t="n"/>
      <c r="B190" s="29" t="n"/>
      <c r="C190" s="29" t="n"/>
      <c r="D190" s="29" t="n"/>
      <c r="E190" s="29" t="n"/>
      <c r="F190" s="29" t="n"/>
      <c r="G190" s="29" t="n"/>
      <c r="H190" s="29" t="n"/>
      <c r="I190" s="29" t="n"/>
      <c r="J190" s="29" t="n"/>
      <c r="K190" s="29" t="n"/>
      <c r="L190" s="49" t="n"/>
      <c r="M190" s="29" t="n"/>
      <c r="N190" s="29" t="n"/>
      <c r="O190" s="29" t="n"/>
      <c r="P190" s="29" t="n"/>
      <c r="Q190" s="29" t="n"/>
      <c r="R190" s="29" t="n"/>
      <c r="S190" s="29" t="n"/>
      <c r="T190" s="29" t="n"/>
      <c r="U190" s="29" t="n"/>
      <c r="V190" s="29" t="n"/>
      <c r="W190" s="29" t="n"/>
    </row>
    <row r="191" ht="54" customHeight="1">
      <c r="A191" s="29" t="n"/>
      <c r="B191" s="29" t="n"/>
      <c r="C191" s="29" t="n"/>
      <c r="D191" s="29" t="n"/>
      <c r="E191" s="29" t="n"/>
      <c r="F191" s="29" t="n"/>
      <c r="G191" s="29" t="n"/>
      <c r="H191" s="29" t="n"/>
      <c r="I191" s="29" t="n"/>
      <c r="J191" s="29" t="n"/>
      <c r="K191" s="29" t="n"/>
      <c r="L191" s="49" t="n"/>
      <c r="M191" s="29" t="n"/>
      <c r="N191" s="29" t="n"/>
      <c r="O191" s="29" t="n"/>
      <c r="P191" s="29" t="n"/>
      <c r="Q191" s="29" t="n"/>
      <c r="R191" s="29" t="n"/>
      <c r="S191" s="29" t="n"/>
      <c r="T191" s="29" t="n"/>
      <c r="U191" s="29" t="n"/>
      <c r="V191" s="29" t="n"/>
      <c r="W191" s="29" t="n"/>
    </row>
    <row r="192" ht="54" customHeight="1">
      <c r="A192" s="29" t="n"/>
      <c r="B192" s="29" t="n"/>
      <c r="C192" s="29" t="n"/>
      <c r="D192" s="29" t="n"/>
      <c r="E192" s="29" t="n"/>
      <c r="F192" s="29" t="n"/>
      <c r="G192" s="29" t="n"/>
      <c r="H192" s="29" t="n"/>
      <c r="I192" s="29" t="n"/>
      <c r="J192" s="29" t="n"/>
      <c r="K192" s="29" t="n"/>
      <c r="L192" s="49" t="n"/>
      <c r="M192" s="29" t="n"/>
      <c r="N192" s="29" t="n"/>
      <c r="O192" s="29" t="n"/>
      <c r="P192" s="29" t="n"/>
      <c r="Q192" s="29" t="n"/>
      <c r="R192" s="29" t="n"/>
      <c r="S192" s="29" t="n"/>
      <c r="T192" s="29" t="n"/>
      <c r="U192" s="29" t="n"/>
      <c r="V192" s="29" t="n"/>
      <c r="W192" s="29" t="n"/>
    </row>
    <row r="193" ht="54" customHeight="1">
      <c r="A193" s="29" t="n"/>
      <c r="B193" s="29" t="n"/>
      <c r="C193" s="29" t="n"/>
      <c r="D193" s="29" t="n"/>
      <c r="E193" s="29" t="n"/>
      <c r="F193" s="29" t="n"/>
      <c r="G193" s="29" t="n"/>
      <c r="H193" s="29" t="n"/>
      <c r="I193" s="29" t="n"/>
      <c r="J193" s="29" t="n"/>
      <c r="K193" s="29" t="n"/>
      <c r="L193" s="49" t="n"/>
      <c r="M193" s="29" t="n"/>
      <c r="N193" s="29" t="n"/>
      <c r="O193" s="29" t="n"/>
      <c r="P193" s="29" t="n"/>
      <c r="Q193" s="29" t="n"/>
      <c r="R193" s="29" t="n"/>
      <c r="S193" s="29" t="n"/>
      <c r="T193" s="29" t="n"/>
      <c r="U193" s="29" t="n"/>
      <c r="V193" s="29" t="n"/>
      <c r="W193" s="29" t="n"/>
    </row>
    <row r="194" ht="54" customHeight="1">
      <c r="A194" s="29" t="n"/>
      <c r="B194" s="29" t="n"/>
      <c r="C194" s="29" t="n"/>
      <c r="D194" s="29" t="n"/>
      <c r="E194" s="29" t="n"/>
      <c r="F194" s="29" t="n"/>
      <c r="G194" s="29" t="n"/>
      <c r="H194" s="29" t="n"/>
      <c r="I194" s="29" t="n"/>
      <c r="J194" s="29" t="n"/>
      <c r="K194" s="29" t="n"/>
      <c r="L194" s="49" t="n"/>
      <c r="M194" s="29" t="n"/>
      <c r="N194" s="29" t="n"/>
      <c r="O194" s="29" t="n"/>
      <c r="P194" s="29" t="n"/>
      <c r="Q194" s="29" t="n"/>
      <c r="R194" s="29" t="n"/>
      <c r="S194" s="29" t="n"/>
      <c r="T194" s="29" t="n"/>
      <c r="U194" s="29" t="n"/>
      <c r="V194" s="29" t="n"/>
      <c r="W194" s="29" t="n"/>
    </row>
    <row r="195" ht="54" customHeight="1">
      <c r="A195" s="29" t="n"/>
      <c r="B195" s="29" t="n"/>
      <c r="C195" s="29" t="n"/>
      <c r="D195" s="29" t="n"/>
      <c r="E195" s="29" t="n"/>
      <c r="F195" s="29" t="n"/>
      <c r="G195" s="29" t="n"/>
      <c r="H195" s="29" t="n"/>
      <c r="I195" s="29" t="n"/>
      <c r="J195" s="29" t="n"/>
      <c r="K195" s="29" t="n"/>
      <c r="L195" s="49" t="n"/>
      <c r="M195" s="29" t="n"/>
      <c r="N195" s="29" t="n"/>
      <c r="O195" s="29" t="n"/>
      <c r="P195" s="29" t="n"/>
      <c r="Q195" s="29" t="n"/>
      <c r="R195" s="29" t="n"/>
      <c r="S195" s="29" t="n"/>
      <c r="T195" s="29" t="n"/>
      <c r="U195" s="29" t="n"/>
      <c r="V195" s="29" t="n"/>
      <c r="W195" s="29" t="n"/>
    </row>
    <row r="196" ht="54" customHeight="1">
      <c r="A196" s="29" t="n"/>
      <c r="B196" s="29" t="n"/>
      <c r="C196" s="29" t="n"/>
      <c r="D196" s="29" t="n"/>
      <c r="E196" s="29" t="n"/>
      <c r="F196" s="29" t="n"/>
      <c r="G196" s="29" t="n"/>
      <c r="H196" s="29" t="n"/>
      <c r="I196" s="29" t="n"/>
      <c r="J196" s="29" t="n"/>
      <c r="K196" s="29" t="n"/>
      <c r="L196" s="49" t="n"/>
      <c r="M196" s="29" t="n"/>
      <c r="N196" s="29" t="n"/>
      <c r="O196" s="29" t="n"/>
      <c r="P196" s="29" t="n"/>
      <c r="Q196" s="29" t="n"/>
      <c r="R196" s="29" t="n"/>
      <c r="S196" s="29" t="n"/>
      <c r="T196" s="29" t="n"/>
      <c r="U196" s="29" t="n"/>
      <c r="V196" s="29" t="n"/>
      <c r="W196" s="29" t="n"/>
    </row>
    <row r="197" ht="54" customHeight="1">
      <c r="A197" s="29" t="n"/>
      <c r="B197" s="29" t="n"/>
      <c r="C197" s="29" t="n"/>
      <c r="D197" s="29" t="n"/>
      <c r="E197" s="29" t="n"/>
      <c r="F197" s="29" t="n"/>
      <c r="G197" s="29" t="n"/>
      <c r="H197" s="29" t="n"/>
      <c r="I197" s="29" t="n"/>
      <c r="J197" s="29" t="n"/>
      <c r="K197" s="29" t="n"/>
      <c r="L197" s="49" t="n"/>
      <c r="M197" s="29" t="n"/>
      <c r="N197" s="29" t="n"/>
      <c r="O197" s="29" t="n"/>
      <c r="P197" s="29" t="n"/>
      <c r="Q197" s="29" t="n"/>
      <c r="R197" s="29" t="n"/>
      <c r="S197" s="29" t="n"/>
      <c r="T197" s="29" t="n"/>
      <c r="U197" s="29" t="n"/>
      <c r="V197" s="29" t="n"/>
      <c r="W197" s="29" t="n"/>
    </row>
    <row r="198" ht="54" customHeight="1">
      <c r="A198" s="29" t="n"/>
      <c r="B198" s="29" t="n"/>
      <c r="C198" s="29" t="n"/>
      <c r="D198" s="29" t="n"/>
      <c r="E198" s="29" t="n"/>
      <c r="F198" s="29" t="n"/>
      <c r="G198" s="29" t="n"/>
      <c r="H198" s="29" t="n"/>
      <c r="I198" s="29" t="n"/>
      <c r="J198" s="29" t="n"/>
      <c r="K198" s="29" t="n"/>
      <c r="L198" s="49" t="n"/>
      <c r="M198" s="29" t="n"/>
      <c r="N198" s="29" t="n"/>
      <c r="O198" s="29" t="n"/>
      <c r="P198" s="29" t="n"/>
      <c r="Q198" s="29" t="n"/>
      <c r="R198" s="29" t="n"/>
      <c r="S198" s="29" t="n"/>
      <c r="T198" s="29" t="n"/>
      <c r="U198" s="29" t="n"/>
      <c r="V198" s="29" t="n"/>
      <c r="W198" s="29" t="n"/>
    </row>
    <row r="199" ht="54" customHeight="1">
      <c r="A199" s="29" t="n"/>
      <c r="B199" s="29" t="n"/>
      <c r="C199" s="29" t="n"/>
      <c r="D199" s="29" t="n"/>
      <c r="E199" s="29" t="n"/>
      <c r="F199" s="29" t="n"/>
      <c r="G199" s="29" t="n"/>
      <c r="H199" s="29" t="n"/>
      <c r="I199" s="29" t="n"/>
      <c r="J199" s="29" t="n"/>
      <c r="K199" s="29" t="n"/>
      <c r="L199" s="49" t="n"/>
      <c r="M199" s="29" t="n"/>
      <c r="N199" s="29" t="n"/>
      <c r="O199" s="29" t="n"/>
      <c r="P199" s="29" t="n"/>
      <c r="Q199" s="29" t="n"/>
      <c r="R199" s="29" t="n"/>
      <c r="S199" s="29" t="n"/>
      <c r="T199" s="29" t="n"/>
      <c r="U199" s="29" t="n"/>
      <c r="V199" s="29" t="n"/>
      <c r="W199" s="29" t="n"/>
    </row>
    <row r="200" ht="54" customHeight="1">
      <c r="A200" s="29" t="n"/>
      <c r="B200" s="29" t="n"/>
      <c r="C200" s="29" t="n"/>
      <c r="D200" s="29" t="n"/>
      <c r="E200" s="29" t="n"/>
      <c r="F200" s="29" t="n"/>
      <c r="G200" s="29" t="n"/>
      <c r="H200" s="29" t="n"/>
      <c r="I200" s="29" t="n"/>
      <c r="J200" s="29" t="n"/>
      <c r="K200" s="29" t="n"/>
      <c r="L200" s="49" t="n"/>
      <c r="M200" s="29" t="n"/>
      <c r="N200" s="29" t="n"/>
      <c r="O200" s="29" t="n"/>
      <c r="P200" s="29" t="n"/>
      <c r="Q200" s="29" t="n"/>
      <c r="R200" s="29" t="n"/>
      <c r="S200" s="29" t="n"/>
      <c r="T200" s="29" t="n"/>
      <c r="U200" s="29" t="n"/>
      <c r="V200" s="29" t="n"/>
      <c r="W200" s="29" t="n"/>
    </row>
    <row r="201" ht="54" customHeight="1">
      <c r="A201" s="29" t="n"/>
      <c r="B201" s="29" t="n"/>
      <c r="C201" s="29" t="n"/>
      <c r="D201" s="29" t="n"/>
      <c r="E201" s="29" t="n"/>
      <c r="F201" s="29" t="n"/>
      <c r="G201" s="29" t="n"/>
      <c r="H201" s="29" t="n"/>
      <c r="I201" s="29" t="n"/>
      <c r="J201" s="29" t="n"/>
      <c r="K201" s="29" t="n"/>
      <c r="L201" s="49" t="n"/>
      <c r="M201" s="29" t="n"/>
      <c r="N201" s="29" t="n"/>
      <c r="O201" s="29" t="n"/>
      <c r="P201" s="29" t="n"/>
      <c r="Q201" s="29" t="n"/>
      <c r="R201" s="29" t="n"/>
      <c r="S201" s="29" t="n"/>
      <c r="T201" s="29" t="n"/>
      <c r="U201" s="29" t="n"/>
      <c r="V201" s="29" t="n"/>
      <c r="W201" s="29" t="n"/>
    </row>
    <row r="202" ht="54" customHeight="1">
      <c r="A202" s="29" t="n"/>
      <c r="B202" s="29" t="n"/>
      <c r="C202" s="29" t="n"/>
      <c r="D202" s="29" t="n"/>
      <c r="E202" s="29" t="n"/>
      <c r="F202" s="29" t="n"/>
      <c r="G202" s="29" t="n"/>
      <c r="H202" s="29" t="n"/>
      <c r="I202" s="29" t="n"/>
      <c r="J202" s="29" t="n"/>
      <c r="K202" s="29" t="n"/>
      <c r="L202" s="49" t="n"/>
      <c r="M202" s="29" t="n"/>
      <c r="N202" s="29" t="n"/>
      <c r="O202" s="29" t="n"/>
      <c r="P202" s="29" t="n"/>
      <c r="Q202" s="29" t="n"/>
      <c r="R202" s="29" t="n"/>
      <c r="S202" s="29" t="n"/>
      <c r="T202" s="29" t="n"/>
      <c r="U202" s="29" t="n"/>
      <c r="V202" s="29" t="n"/>
      <c r="W202" s="29" t="n"/>
    </row>
    <row r="203" ht="54" customHeight="1">
      <c r="A203" s="29" t="n"/>
      <c r="B203" s="29" t="n"/>
      <c r="C203" s="29" t="n"/>
      <c r="D203" s="29" t="n"/>
      <c r="E203" s="29" t="n"/>
      <c r="F203" s="29" t="n"/>
      <c r="G203" s="29" t="n"/>
      <c r="H203" s="29" t="n"/>
      <c r="I203" s="29" t="n"/>
      <c r="J203" s="29" t="n"/>
      <c r="K203" s="29" t="n"/>
      <c r="L203" s="49" t="n"/>
      <c r="M203" s="29" t="n"/>
      <c r="N203" s="29" t="n"/>
      <c r="O203" s="29" t="n"/>
      <c r="P203" s="29" t="n"/>
      <c r="Q203" s="29" t="n"/>
      <c r="R203" s="29" t="n"/>
      <c r="S203" s="29" t="n"/>
      <c r="T203" s="29" t="n"/>
      <c r="U203" s="29" t="n"/>
      <c r="V203" s="29" t="n"/>
      <c r="W203" s="29" t="n"/>
    </row>
    <row r="204" ht="54" customHeight="1">
      <c r="A204" s="29" t="n"/>
      <c r="B204" s="29" t="n"/>
      <c r="C204" s="29" t="n"/>
      <c r="D204" s="29" t="n"/>
      <c r="E204" s="29" t="n"/>
      <c r="F204" s="29" t="n"/>
      <c r="G204" s="29" t="n"/>
      <c r="H204" s="29" t="n"/>
      <c r="I204" s="29" t="n"/>
      <c r="J204" s="29" t="n"/>
      <c r="K204" s="29" t="n"/>
      <c r="L204" s="49" t="n"/>
      <c r="M204" s="29" t="n"/>
      <c r="N204" s="29" t="n"/>
      <c r="O204" s="29" t="n"/>
      <c r="P204" s="29" t="n"/>
      <c r="Q204" s="29" t="n"/>
      <c r="R204" s="29" t="n"/>
      <c r="S204" s="29" t="n"/>
      <c r="T204" s="29" t="n"/>
      <c r="U204" s="29" t="n"/>
      <c r="V204" s="29" t="n"/>
      <c r="W204" s="29" t="n"/>
    </row>
    <row r="205" ht="54" customHeight="1">
      <c r="A205" s="29" t="n"/>
      <c r="B205" s="29" t="n"/>
      <c r="C205" s="29" t="n"/>
      <c r="D205" s="29" t="n"/>
      <c r="E205" s="29" t="n"/>
      <c r="F205" s="29" t="n"/>
      <c r="G205" s="29" t="n"/>
      <c r="H205" s="29" t="n"/>
      <c r="I205" s="29" t="n"/>
      <c r="J205" s="29" t="n"/>
      <c r="K205" s="29" t="n"/>
      <c r="L205" s="49" t="n"/>
      <c r="M205" s="29" t="n"/>
      <c r="N205" s="29" t="n"/>
      <c r="O205" s="29" t="n"/>
      <c r="P205" s="29" t="n"/>
      <c r="Q205" s="29" t="n"/>
      <c r="R205" s="29" t="n"/>
      <c r="S205" s="29" t="n"/>
      <c r="T205" s="29" t="n"/>
      <c r="U205" s="29" t="n"/>
      <c r="V205" s="29" t="n"/>
      <c r="W205" s="29" t="n"/>
    </row>
    <row r="206" ht="54" customHeight="1">
      <c r="A206" s="29" t="n"/>
      <c r="B206" s="29" t="n"/>
      <c r="C206" s="29" t="n"/>
      <c r="D206" s="29" t="n"/>
      <c r="E206" s="29" t="n"/>
      <c r="F206" s="29" t="n"/>
      <c r="G206" s="29" t="n"/>
      <c r="H206" s="29" t="n"/>
      <c r="I206" s="29" t="n"/>
      <c r="J206" s="29" t="n"/>
      <c r="K206" s="29" t="n"/>
      <c r="L206" s="49" t="n"/>
      <c r="M206" s="29" t="n"/>
      <c r="N206" s="29" t="n"/>
      <c r="O206" s="29" t="n"/>
      <c r="P206" s="29" t="n"/>
      <c r="Q206" s="29" t="n"/>
      <c r="R206" s="29" t="n"/>
      <c r="S206" s="29" t="n"/>
      <c r="T206" s="29" t="n"/>
      <c r="U206" s="29" t="n"/>
      <c r="V206" s="29" t="n"/>
      <c r="W206" s="29" t="n"/>
    </row>
    <row r="207" ht="54" customHeight="1">
      <c r="A207" s="29" t="n"/>
      <c r="B207" s="29" t="n"/>
      <c r="C207" s="29" t="n"/>
      <c r="D207" s="29" t="n"/>
      <c r="E207" s="29" t="n"/>
      <c r="F207" s="29" t="n"/>
      <c r="G207" s="29" t="n"/>
      <c r="H207" s="29" t="n"/>
      <c r="I207" s="29" t="n"/>
      <c r="J207" s="29" t="n"/>
      <c r="K207" s="29" t="n"/>
      <c r="L207" s="49" t="n"/>
      <c r="M207" s="29" t="n"/>
      <c r="N207" s="29" t="n"/>
      <c r="O207" s="29" t="n"/>
      <c r="P207" s="29" t="n"/>
      <c r="Q207" s="29" t="n"/>
      <c r="R207" s="29" t="n"/>
      <c r="S207" s="29" t="n"/>
      <c r="T207" s="29" t="n"/>
      <c r="U207" s="29" t="n"/>
      <c r="V207" s="29" t="n"/>
      <c r="W207" s="29" t="n"/>
    </row>
    <row r="208" ht="54" customHeight="1">
      <c r="A208" s="29" t="n"/>
      <c r="B208" s="29" t="n"/>
      <c r="C208" s="29" t="n"/>
      <c r="D208" s="29" t="n"/>
      <c r="E208" s="29" t="n"/>
      <c r="F208" s="29" t="n"/>
      <c r="G208" s="29" t="n"/>
      <c r="H208" s="29" t="n"/>
      <c r="I208" s="29" t="n"/>
      <c r="J208" s="29" t="n"/>
      <c r="K208" s="29" t="n"/>
      <c r="L208" s="49" t="n"/>
      <c r="M208" s="29" t="n"/>
      <c r="N208" s="29" t="n"/>
      <c r="O208" s="29" t="n"/>
      <c r="P208" s="29" t="n"/>
      <c r="Q208" s="29" t="n"/>
      <c r="R208" s="29" t="n"/>
      <c r="S208" s="29" t="n"/>
      <c r="T208" s="29" t="n"/>
      <c r="U208" s="29" t="n"/>
      <c r="V208" s="29" t="n"/>
      <c r="W208" s="29" t="n"/>
    </row>
    <row r="209" ht="54" customHeight="1">
      <c r="A209" s="29" t="n"/>
      <c r="B209" s="29" t="n"/>
      <c r="C209" s="29" t="n"/>
      <c r="D209" s="29" t="n"/>
      <c r="E209" s="29" t="n"/>
      <c r="F209" s="29" t="n"/>
      <c r="G209" s="29" t="n"/>
      <c r="H209" s="29" t="n"/>
      <c r="I209" s="29" t="n"/>
      <c r="J209" s="29" t="n"/>
      <c r="K209" s="29" t="n"/>
      <c r="L209" s="49" t="n"/>
      <c r="M209" s="29" t="n"/>
      <c r="N209" s="29" t="n"/>
      <c r="O209" s="29" t="n"/>
      <c r="P209" s="29" t="n"/>
      <c r="Q209" s="29" t="n"/>
      <c r="R209" s="29" t="n"/>
      <c r="S209" s="29" t="n"/>
      <c r="T209" s="29" t="n"/>
      <c r="U209" s="29" t="n"/>
      <c r="V209" s="29" t="n"/>
      <c r="W209" s="29" t="n"/>
    </row>
    <row r="210" ht="54" customHeight="1">
      <c r="A210" s="29" t="n"/>
      <c r="B210" s="29" t="n"/>
      <c r="C210" s="29" t="n"/>
      <c r="D210" s="29" t="n"/>
      <c r="E210" s="29" t="n"/>
      <c r="F210" s="29" t="n"/>
      <c r="G210" s="29" t="n"/>
      <c r="H210" s="29" t="n"/>
      <c r="I210" s="29" t="n"/>
      <c r="J210" s="29" t="n"/>
      <c r="K210" s="29" t="n"/>
      <c r="L210" s="49" t="n"/>
      <c r="M210" s="29" t="n"/>
      <c r="N210" s="29" t="n"/>
      <c r="O210" s="29" t="n"/>
      <c r="P210" s="29" t="n"/>
      <c r="Q210" s="29" t="n"/>
      <c r="R210" s="29" t="n"/>
      <c r="S210" s="29" t="n"/>
      <c r="T210" s="29" t="n"/>
      <c r="U210" s="29" t="n"/>
      <c r="V210" s="29" t="n"/>
      <c r="W210" s="29" t="n"/>
    </row>
    <row r="211" ht="54" customHeight="1">
      <c r="A211" s="29" t="n"/>
      <c r="B211" s="29" t="n"/>
      <c r="C211" s="29" t="n"/>
      <c r="D211" s="29" t="n"/>
      <c r="E211" s="29" t="n"/>
      <c r="F211" s="29" t="n"/>
      <c r="G211" s="29" t="n"/>
      <c r="H211" s="29" t="n"/>
      <c r="I211" s="29" t="n"/>
      <c r="J211" s="29" t="n"/>
      <c r="K211" s="29" t="n"/>
      <c r="L211" s="49" t="n"/>
      <c r="M211" s="29" t="n"/>
      <c r="N211" s="29" t="n"/>
      <c r="O211" s="29" t="n"/>
      <c r="P211" s="29" t="n"/>
      <c r="Q211" s="29" t="n"/>
      <c r="R211" s="29" t="n"/>
      <c r="S211" s="29" t="n"/>
      <c r="T211" s="29" t="n"/>
      <c r="U211" s="29" t="n"/>
      <c r="V211" s="29" t="n"/>
      <c r="W211" s="29" t="n"/>
    </row>
    <row r="212" ht="54" customHeight="1">
      <c r="A212" s="29" t="n"/>
      <c r="B212" s="29" t="n"/>
      <c r="C212" s="29" t="n"/>
      <c r="D212" s="29" t="n"/>
      <c r="E212" s="29" t="n"/>
      <c r="F212" s="29" t="n"/>
      <c r="G212" s="29" t="n"/>
      <c r="H212" s="29" t="n"/>
      <c r="I212" s="29" t="n"/>
      <c r="J212" s="29" t="n"/>
      <c r="K212" s="29" t="n"/>
      <c r="L212" s="49" t="n"/>
      <c r="M212" s="29" t="n"/>
      <c r="N212" s="29" t="n"/>
      <c r="O212" s="29" t="n"/>
      <c r="P212" s="29" t="n"/>
      <c r="Q212" s="29" t="n"/>
      <c r="R212" s="29" t="n"/>
      <c r="S212" s="29" t="n"/>
      <c r="T212" s="29" t="n"/>
      <c r="U212" s="29" t="n"/>
      <c r="V212" s="29" t="n"/>
      <c r="W212" s="29" t="n"/>
    </row>
    <row r="213" ht="54" customHeight="1">
      <c r="A213" s="29" t="n"/>
      <c r="B213" s="29" t="n"/>
      <c r="C213" s="29" t="n"/>
      <c r="D213" s="29" t="n"/>
      <c r="E213" s="29" t="n"/>
      <c r="F213" s="29" t="n"/>
      <c r="G213" s="29" t="n"/>
      <c r="H213" s="29" t="n"/>
      <c r="I213" s="29" t="n"/>
      <c r="J213" s="29" t="n"/>
      <c r="K213" s="29" t="n"/>
      <c r="L213" s="49" t="n"/>
      <c r="M213" s="29" t="n"/>
      <c r="N213" s="29" t="n"/>
      <c r="O213" s="29" t="n"/>
      <c r="P213" s="29" t="n"/>
      <c r="Q213" s="29" t="n"/>
      <c r="R213" s="29" t="n"/>
      <c r="S213" s="29" t="n"/>
      <c r="T213" s="29" t="n"/>
      <c r="U213" s="29" t="n"/>
      <c r="V213" s="29" t="n"/>
      <c r="W213" s="29" t="n"/>
    </row>
    <row r="214" ht="54" customHeight="1">
      <c r="A214" s="29" t="n"/>
      <c r="B214" s="29" t="n"/>
      <c r="C214" s="29" t="n"/>
      <c r="D214" s="29" t="n"/>
      <c r="E214" s="29" t="n"/>
      <c r="F214" s="29" t="n"/>
      <c r="G214" s="29" t="n"/>
      <c r="H214" s="29" t="n"/>
      <c r="I214" s="29" t="n"/>
      <c r="J214" s="29" t="n"/>
      <c r="K214" s="29" t="n"/>
      <c r="L214" s="49" t="n"/>
      <c r="M214" s="29" t="n"/>
      <c r="N214" s="29" t="n"/>
      <c r="O214" s="29" t="n"/>
      <c r="P214" s="29" t="n"/>
      <c r="Q214" s="29" t="n"/>
      <c r="R214" s="29" t="n"/>
      <c r="S214" s="29" t="n"/>
      <c r="T214" s="29" t="n"/>
      <c r="U214" s="29" t="n"/>
      <c r="V214" s="29" t="n"/>
      <c r="W214" s="29" t="n"/>
    </row>
    <row r="215" ht="54" customHeight="1">
      <c r="A215" s="29" t="n"/>
      <c r="B215" s="29" t="n"/>
      <c r="C215" s="29" t="n"/>
      <c r="D215" s="29" t="n"/>
      <c r="E215" s="29" t="n"/>
      <c r="F215" s="29" t="n"/>
      <c r="G215" s="29" t="n"/>
      <c r="H215" s="29" t="n"/>
      <c r="I215" s="29" t="n"/>
      <c r="J215" s="29" t="n"/>
      <c r="K215" s="29" t="n"/>
      <c r="L215" s="49" t="n"/>
      <c r="M215" s="29" t="n"/>
      <c r="N215" s="29" t="n"/>
      <c r="O215" s="29" t="n"/>
      <c r="P215" s="29" t="n"/>
      <c r="Q215" s="29" t="n"/>
      <c r="R215" s="29" t="n"/>
      <c r="S215" s="29" t="n"/>
      <c r="T215" s="29" t="n"/>
      <c r="U215" s="29" t="n"/>
      <c r="V215" s="29" t="n"/>
      <c r="W215" s="29" t="n"/>
    </row>
    <row r="216" ht="54" customHeight="1">
      <c r="A216" s="29" t="n"/>
      <c r="B216" s="29" t="n"/>
      <c r="C216" s="29" t="n"/>
      <c r="D216" s="29" t="n"/>
      <c r="E216" s="29" t="n"/>
      <c r="F216" s="29" t="n"/>
      <c r="G216" s="29" t="n"/>
      <c r="H216" s="29" t="n"/>
      <c r="I216" s="29" t="n"/>
      <c r="J216" s="29" t="n"/>
      <c r="K216" s="29" t="n"/>
      <c r="L216" s="49" t="n"/>
      <c r="M216" s="29" t="n"/>
      <c r="N216" s="29" t="n"/>
      <c r="O216" s="29" t="n"/>
      <c r="P216" s="29" t="n"/>
      <c r="Q216" s="29" t="n"/>
      <c r="R216" s="29" t="n"/>
      <c r="S216" s="29" t="n"/>
      <c r="T216" s="29" t="n"/>
      <c r="U216" s="29" t="n"/>
      <c r="V216" s="29" t="n"/>
      <c r="W216" s="29" t="n"/>
    </row>
    <row r="217" ht="54" customHeight="1">
      <c r="A217" s="29" t="n"/>
      <c r="B217" s="29" t="n"/>
      <c r="C217" s="29" t="n"/>
      <c r="D217" s="29" t="n"/>
      <c r="E217" s="29" t="n"/>
      <c r="F217" s="29" t="n"/>
      <c r="G217" s="29" t="n"/>
      <c r="H217" s="29" t="n"/>
      <c r="I217" s="29" t="n"/>
      <c r="J217" s="29" t="n"/>
      <c r="K217" s="29" t="n"/>
      <c r="L217" s="49" t="n"/>
      <c r="M217" s="29" t="n"/>
      <c r="N217" s="29" t="n"/>
      <c r="O217" s="29" t="n"/>
      <c r="P217" s="29" t="n"/>
      <c r="Q217" s="29" t="n"/>
      <c r="R217" s="29" t="n"/>
      <c r="S217" s="29" t="n"/>
      <c r="T217" s="29" t="n"/>
      <c r="U217" s="29" t="n"/>
      <c r="V217" s="29" t="n"/>
      <c r="W217" s="29" t="n"/>
    </row>
    <row r="218" ht="54" customHeight="1">
      <c r="A218" s="29" t="n"/>
      <c r="B218" s="29" t="n"/>
      <c r="C218" s="29" t="n"/>
      <c r="D218" s="29" t="n"/>
      <c r="E218" s="29" t="n"/>
      <c r="F218" s="29" t="n"/>
      <c r="G218" s="29" t="n"/>
      <c r="H218" s="29" t="n"/>
      <c r="I218" s="29" t="n"/>
      <c r="J218" s="29" t="n"/>
      <c r="K218" s="29" t="n"/>
      <c r="L218" s="49" t="n"/>
      <c r="M218" s="29" t="n"/>
      <c r="N218" s="29" t="n"/>
      <c r="O218" s="29" t="n"/>
      <c r="P218" s="29" t="n"/>
      <c r="Q218" s="29" t="n"/>
      <c r="R218" s="29" t="n"/>
      <c r="S218" s="29" t="n"/>
      <c r="T218" s="29" t="n"/>
      <c r="U218" s="29" t="n"/>
      <c r="V218" s="29" t="n"/>
      <c r="W218" s="29" t="n"/>
    </row>
    <row r="219" ht="54" customHeight="1">
      <c r="A219" s="29" t="n"/>
      <c r="B219" s="29" t="n"/>
      <c r="C219" s="29" t="n"/>
      <c r="D219" s="29" t="n"/>
      <c r="E219" s="29" t="n"/>
      <c r="F219" s="29" t="n"/>
      <c r="G219" s="29" t="n"/>
      <c r="H219" s="29" t="n"/>
      <c r="I219" s="29" t="n"/>
      <c r="J219" s="29" t="n"/>
      <c r="K219" s="29" t="n"/>
      <c r="L219" s="49" t="n"/>
      <c r="M219" s="29" t="n"/>
      <c r="N219" s="29" t="n"/>
      <c r="O219" s="29" t="n"/>
      <c r="P219" s="29" t="n"/>
      <c r="Q219" s="29" t="n"/>
      <c r="R219" s="29" t="n"/>
      <c r="S219" s="29" t="n"/>
      <c r="T219" s="29" t="n"/>
      <c r="U219" s="29" t="n"/>
      <c r="V219" s="29" t="n"/>
      <c r="W219" s="29" t="n"/>
    </row>
    <row r="220" ht="54" customHeight="1">
      <c r="A220" s="29" t="n"/>
      <c r="B220" s="29" t="n"/>
      <c r="C220" s="29" t="n"/>
      <c r="D220" s="29" t="n"/>
      <c r="E220" s="29" t="n"/>
      <c r="F220" s="29" t="n"/>
      <c r="G220" s="29" t="n"/>
      <c r="H220" s="29" t="n"/>
      <c r="I220" s="29" t="n"/>
      <c r="J220" s="29" t="n"/>
      <c r="K220" s="29" t="n"/>
      <c r="L220" s="49" t="n"/>
      <c r="M220" s="29" t="n"/>
      <c r="N220" s="29" t="n"/>
      <c r="O220" s="29" t="n"/>
      <c r="P220" s="29" t="n"/>
      <c r="Q220" s="29" t="n"/>
      <c r="R220" s="29" t="n"/>
      <c r="S220" s="29" t="n"/>
      <c r="T220" s="29" t="n"/>
      <c r="U220" s="29" t="n"/>
      <c r="V220" s="29" t="n"/>
      <c r="W220" s="29" t="n"/>
    </row>
    <row r="221" ht="54" customHeight="1">
      <c r="A221" s="29" t="n"/>
      <c r="B221" s="29" t="n"/>
      <c r="C221" s="29" t="n"/>
      <c r="D221" s="29" t="n"/>
      <c r="E221" s="29" t="n"/>
      <c r="F221" s="29" t="n"/>
      <c r="G221" s="29" t="n"/>
      <c r="H221" s="29" t="n"/>
      <c r="I221" s="29" t="n"/>
      <c r="J221" s="29" t="n"/>
      <c r="K221" s="29" t="n"/>
      <c r="L221" s="49" t="n"/>
      <c r="M221" s="29" t="n"/>
      <c r="N221" s="29" t="n"/>
      <c r="O221" s="29" t="n"/>
      <c r="P221" s="29" t="n"/>
      <c r="Q221" s="29" t="n"/>
      <c r="R221" s="29" t="n"/>
      <c r="S221" s="29" t="n"/>
      <c r="T221" s="29" t="n"/>
      <c r="U221" s="29" t="n"/>
      <c r="V221" s="29" t="n"/>
      <c r="W221" s="29" t="n"/>
    </row>
    <row r="222" ht="54" customHeight="1">
      <c r="A222" s="29" t="n"/>
      <c r="B222" s="29" t="n"/>
      <c r="C222" s="29" t="n"/>
      <c r="D222" s="29" t="n"/>
      <c r="E222" s="29" t="n"/>
      <c r="F222" s="29" t="n"/>
      <c r="G222" s="29" t="n"/>
      <c r="H222" s="29" t="n"/>
      <c r="I222" s="29" t="n"/>
      <c r="J222" s="29" t="n"/>
      <c r="K222" s="29" t="n"/>
      <c r="L222" s="49" t="n"/>
      <c r="M222" s="29" t="n"/>
      <c r="N222" s="29" t="n"/>
      <c r="O222" s="29" t="n"/>
      <c r="P222" s="29" t="n"/>
      <c r="Q222" s="29" t="n"/>
      <c r="R222" s="29" t="n"/>
      <c r="S222" s="29" t="n"/>
      <c r="T222" s="29" t="n"/>
      <c r="U222" s="29" t="n"/>
      <c r="V222" s="29" t="n"/>
      <c r="W222" s="29" t="n"/>
    </row>
    <row r="223" ht="54" customHeight="1">
      <c r="A223" s="29" t="n"/>
      <c r="B223" s="29" t="n"/>
      <c r="C223" s="29" t="n"/>
      <c r="D223" s="29" t="n"/>
      <c r="E223" s="29" t="n"/>
      <c r="F223" s="29" t="n"/>
      <c r="G223" s="29" t="n"/>
      <c r="H223" s="29" t="n"/>
      <c r="I223" s="29" t="n"/>
      <c r="J223" s="29" t="n"/>
      <c r="K223" s="29" t="n"/>
      <c r="L223" s="49" t="n"/>
      <c r="M223" s="29" t="n"/>
      <c r="N223" s="29" t="n"/>
      <c r="O223" s="29" t="n"/>
      <c r="P223" s="29" t="n"/>
      <c r="Q223" s="29" t="n"/>
      <c r="R223" s="29" t="n"/>
      <c r="S223" s="29" t="n"/>
      <c r="T223" s="29" t="n"/>
      <c r="U223" s="29" t="n"/>
      <c r="V223" s="29" t="n"/>
      <c r="W223" s="29" t="n"/>
    </row>
    <row r="224" ht="54" customHeight="1">
      <c r="A224" s="29" t="n"/>
      <c r="B224" s="29" t="n"/>
      <c r="C224" s="29" t="n"/>
      <c r="D224" s="29" t="n"/>
      <c r="E224" s="29" t="n"/>
      <c r="F224" s="29" t="n"/>
      <c r="G224" s="29" t="n"/>
      <c r="H224" s="29" t="n"/>
      <c r="I224" s="29" t="n"/>
      <c r="J224" s="29" t="n"/>
      <c r="K224" s="29" t="n"/>
      <c r="L224" s="49" t="n"/>
      <c r="M224" s="29" t="n"/>
      <c r="N224" s="29" t="n"/>
      <c r="O224" s="29" t="n"/>
      <c r="P224" s="29" t="n"/>
      <c r="Q224" s="29" t="n"/>
      <c r="R224" s="29" t="n"/>
      <c r="S224" s="29" t="n"/>
      <c r="T224" s="29" t="n"/>
      <c r="U224" s="29" t="n"/>
      <c r="V224" s="29" t="n"/>
      <c r="W224" s="29" t="n"/>
    </row>
    <row r="225" ht="54" customHeight="1">
      <c r="A225" s="29" t="n"/>
      <c r="B225" s="29" t="n"/>
      <c r="C225" s="29" t="n"/>
      <c r="D225" s="29" t="n"/>
      <c r="E225" s="29" t="n"/>
      <c r="F225" s="29" t="n"/>
      <c r="G225" s="29" t="n"/>
      <c r="H225" s="29" t="n"/>
      <c r="I225" s="29" t="n"/>
      <c r="J225" s="29" t="n"/>
      <c r="K225" s="29" t="n"/>
      <c r="L225" s="49" t="n"/>
      <c r="M225" s="29" t="n"/>
      <c r="N225" s="29" t="n"/>
      <c r="O225" s="29" t="n"/>
      <c r="P225" s="29" t="n"/>
      <c r="Q225" s="29" t="n"/>
      <c r="R225" s="29" t="n"/>
      <c r="S225" s="29" t="n"/>
      <c r="T225" s="29" t="n"/>
      <c r="U225" s="29" t="n"/>
      <c r="V225" s="29" t="n"/>
      <c r="W225" s="29" t="n"/>
    </row>
    <row r="226" ht="54" customHeight="1">
      <c r="A226" s="29" t="n"/>
      <c r="B226" s="29" t="n"/>
      <c r="C226" s="29" t="n"/>
      <c r="D226" s="29" t="n"/>
      <c r="E226" s="29" t="n"/>
      <c r="F226" s="29" t="n"/>
      <c r="G226" s="29" t="n"/>
      <c r="H226" s="29" t="n"/>
      <c r="I226" s="29" t="n"/>
      <c r="J226" s="29" t="n"/>
      <c r="K226" s="29" t="n"/>
      <c r="L226" s="49" t="n"/>
      <c r="M226" s="29" t="n"/>
      <c r="N226" s="29" t="n"/>
      <c r="O226" s="29" t="n"/>
      <c r="P226" s="29" t="n"/>
      <c r="Q226" s="29" t="n"/>
      <c r="R226" s="29" t="n"/>
      <c r="S226" s="29" t="n"/>
      <c r="T226" s="29" t="n"/>
      <c r="U226" s="29" t="n"/>
      <c r="V226" s="29" t="n"/>
      <c r="W226" s="29" t="n"/>
    </row>
    <row r="227" ht="54" customHeight="1">
      <c r="A227" s="29" t="n"/>
      <c r="B227" s="29" t="n"/>
      <c r="C227" s="29" t="n"/>
      <c r="D227" s="29" t="n"/>
      <c r="E227" s="29" t="n"/>
      <c r="F227" s="29" t="n"/>
      <c r="G227" s="29" t="n"/>
      <c r="H227" s="29" t="n"/>
      <c r="I227" s="29" t="n"/>
      <c r="J227" s="29" t="n"/>
      <c r="K227" s="29" t="n"/>
      <c r="L227" s="49" t="n"/>
      <c r="M227" s="29" t="n"/>
      <c r="N227" s="29" t="n"/>
      <c r="O227" s="29" t="n"/>
      <c r="P227" s="29" t="n"/>
      <c r="Q227" s="29" t="n"/>
      <c r="R227" s="29" t="n"/>
      <c r="S227" s="29" t="n"/>
      <c r="T227" s="29" t="n"/>
      <c r="U227" s="29" t="n"/>
      <c r="V227" s="29" t="n"/>
      <c r="W227" s="29" t="n"/>
    </row>
    <row r="228" ht="54" customHeight="1">
      <c r="A228" s="29" t="n"/>
      <c r="B228" s="29" t="n"/>
      <c r="C228" s="29" t="n"/>
      <c r="D228" s="29" t="n"/>
      <c r="E228" s="29" t="n"/>
      <c r="F228" s="29" t="n"/>
      <c r="G228" s="29" t="n"/>
      <c r="H228" s="29" t="n"/>
      <c r="I228" s="29" t="n"/>
      <c r="J228" s="29" t="n"/>
      <c r="K228" s="29" t="n"/>
      <c r="L228" s="49" t="n"/>
      <c r="M228" s="29" t="n"/>
      <c r="N228" s="29" t="n"/>
      <c r="O228" s="29" t="n"/>
      <c r="P228" s="29" t="n"/>
      <c r="Q228" s="29" t="n"/>
      <c r="R228" s="29" t="n"/>
      <c r="S228" s="29" t="n"/>
      <c r="T228" s="29" t="n"/>
      <c r="U228" s="29" t="n"/>
      <c r="V228" s="29" t="n"/>
      <c r="W228" s="29" t="n"/>
    </row>
    <row r="229" ht="54" customHeight="1">
      <c r="A229" s="29" t="n"/>
      <c r="B229" s="29" t="n"/>
      <c r="C229" s="29" t="n"/>
      <c r="D229" s="29" t="n"/>
      <c r="E229" s="29" t="n"/>
      <c r="F229" s="29" t="n"/>
      <c r="G229" s="29" t="n"/>
      <c r="H229" s="29" t="n"/>
      <c r="I229" s="29" t="n"/>
      <c r="J229" s="29" t="n"/>
      <c r="K229" s="29" t="n"/>
      <c r="L229" s="49" t="n"/>
      <c r="M229" s="29" t="n"/>
      <c r="N229" s="29" t="n"/>
      <c r="O229" s="29" t="n"/>
      <c r="P229" s="29" t="n"/>
      <c r="Q229" s="29" t="n"/>
      <c r="R229" s="29" t="n"/>
      <c r="S229" s="29" t="n"/>
      <c r="T229" s="29" t="n"/>
      <c r="U229" s="29" t="n"/>
      <c r="V229" s="29" t="n"/>
      <c r="W229" s="29" t="n"/>
    </row>
    <row r="230" ht="54" customHeight="1">
      <c r="A230" s="29" t="n"/>
      <c r="B230" s="29" t="n"/>
      <c r="C230" s="29" t="n"/>
      <c r="D230" s="29" t="n"/>
      <c r="E230" s="29" t="n"/>
      <c r="F230" s="29" t="n"/>
      <c r="G230" s="29" t="n"/>
      <c r="H230" s="29" t="n"/>
      <c r="I230" s="29" t="n"/>
      <c r="J230" s="29" t="n"/>
      <c r="K230" s="29" t="n"/>
      <c r="L230" s="49" t="n"/>
      <c r="M230" s="29" t="n"/>
      <c r="N230" s="29" t="n"/>
      <c r="O230" s="29" t="n"/>
      <c r="P230" s="29" t="n"/>
      <c r="Q230" s="29" t="n"/>
      <c r="R230" s="29" t="n"/>
      <c r="S230" s="29" t="n"/>
      <c r="T230" s="29" t="n"/>
      <c r="U230" s="29" t="n"/>
      <c r="V230" s="29" t="n"/>
      <c r="W230" s="29" t="n"/>
    </row>
    <row r="231" ht="54" customHeight="1">
      <c r="A231" s="29" t="n"/>
      <c r="B231" s="29" t="n"/>
      <c r="C231" s="29" t="n"/>
      <c r="D231" s="29" t="n"/>
      <c r="E231" s="29" t="n"/>
      <c r="F231" s="29" t="n"/>
      <c r="G231" s="29" t="n"/>
      <c r="H231" s="29" t="n"/>
      <c r="I231" s="29" t="n"/>
      <c r="J231" s="29" t="n"/>
      <c r="K231" s="29" t="n"/>
      <c r="L231" s="49" t="n"/>
      <c r="M231" s="29" t="n"/>
      <c r="N231" s="29" t="n"/>
      <c r="O231" s="29" t="n"/>
      <c r="P231" s="29" t="n"/>
      <c r="Q231" s="29" t="n"/>
      <c r="R231" s="29" t="n"/>
      <c r="S231" s="29" t="n"/>
      <c r="T231" s="29" t="n"/>
      <c r="U231" s="29" t="n"/>
      <c r="V231" s="29" t="n"/>
      <c r="W231" s="29" t="n"/>
    </row>
    <row r="232" ht="54" customHeight="1">
      <c r="A232" s="29" t="n"/>
      <c r="B232" s="29" t="n"/>
      <c r="C232" s="29" t="n"/>
      <c r="D232" s="29" t="n"/>
      <c r="E232" s="29" t="n"/>
      <c r="F232" s="29" t="n"/>
      <c r="G232" s="29" t="n"/>
      <c r="H232" s="29" t="n"/>
      <c r="I232" s="29" t="n"/>
      <c r="J232" s="29" t="n"/>
      <c r="K232" s="29" t="n"/>
      <c r="L232" s="49" t="n"/>
      <c r="M232" s="29" t="n"/>
      <c r="N232" s="29" t="n"/>
      <c r="O232" s="29" t="n"/>
      <c r="P232" s="29" t="n"/>
      <c r="Q232" s="29" t="n"/>
      <c r="R232" s="29" t="n"/>
      <c r="S232" s="29" t="n"/>
      <c r="T232" s="29" t="n"/>
      <c r="U232" s="29" t="n"/>
      <c r="V232" s="29" t="n"/>
      <c r="W232" s="29" t="n"/>
    </row>
    <row r="233" ht="54" customHeight="1">
      <c r="A233" s="29" t="n"/>
      <c r="B233" s="29" t="n"/>
      <c r="C233" s="29" t="n"/>
      <c r="D233" s="29" t="n"/>
      <c r="E233" s="29" t="n"/>
      <c r="F233" s="29" t="n"/>
      <c r="G233" s="29" t="n"/>
      <c r="H233" s="29" t="n"/>
      <c r="I233" s="29" t="n"/>
      <c r="J233" s="29" t="n"/>
      <c r="K233" s="29" t="n"/>
      <c r="L233" s="49" t="n"/>
      <c r="M233" s="29" t="n"/>
      <c r="N233" s="29" t="n"/>
      <c r="O233" s="29" t="n"/>
      <c r="P233" s="29" t="n"/>
      <c r="Q233" s="29" t="n"/>
      <c r="R233" s="29" t="n"/>
      <c r="S233" s="29" t="n"/>
      <c r="T233" s="29" t="n"/>
      <c r="U233" s="29" t="n"/>
      <c r="V233" s="29" t="n"/>
      <c r="W233" s="29" t="n"/>
    </row>
    <row r="234" ht="54" customHeight="1">
      <c r="A234" s="29" t="n"/>
      <c r="B234" s="29" t="n"/>
      <c r="C234" s="29" t="n"/>
      <c r="D234" s="29" t="n"/>
      <c r="E234" s="29" t="n"/>
      <c r="F234" s="29" t="n"/>
      <c r="G234" s="29" t="n"/>
      <c r="H234" s="29" t="n"/>
      <c r="I234" s="29" t="n"/>
      <c r="J234" s="29" t="n"/>
      <c r="K234" s="29" t="n"/>
      <c r="L234" s="49" t="n"/>
      <c r="M234" s="29" t="n"/>
      <c r="N234" s="29" t="n"/>
      <c r="O234" s="29" t="n"/>
      <c r="P234" s="29" t="n"/>
      <c r="Q234" s="29" t="n"/>
      <c r="R234" s="29" t="n"/>
      <c r="S234" s="29" t="n"/>
      <c r="T234" s="29" t="n"/>
      <c r="U234" s="29" t="n"/>
      <c r="V234" s="29" t="n"/>
      <c r="W234" s="29" t="n"/>
    </row>
    <row r="235" ht="54" customHeight="1">
      <c r="A235" s="29" t="n"/>
      <c r="B235" s="29" t="n"/>
      <c r="C235" s="29" t="n"/>
      <c r="D235" s="29" t="n"/>
      <c r="E235" s="29" t="n"/>
      <c r="F235" s="29" t="n"/>
      <c r="G235" s="29" t="n"/>
      <c r="H235" s="29" t="n"/>
      <c r="I235" s="29" t="n"/>
      <c r="J235" s="29" t="n"/>
      <c r="K235" s="29" t="n"/>
      <c r="L235" s="49" t="n"/>
      <c r="M235" s="29" t="n"/>
      <c r="N235" s="29" t="n"/>
      <c r="O235" s="29" t="n"/>
      <c r="P235" s="29" t="n"/>
      <c r="Q235" s="29" t="n"/>
      <c r="R235" s="29" t="n"/>
      <c r="S235" s="29" t="n"/>
      <c r="T235" s="29" t="n"/>
      <c r="U235" s="29" t="n"/>
      <c r="V235" s="29" t="n"/>
      <c r="W235" s="29" t="n"/>
    </row>
    <row r="236" ht="54" customHeight="1">
      <c r="A236" s="29" t="n"/>
      <c r="B236" s="29" t="n"/>
      <c r="C236" s="29" t="n"/>
      <c r="D236" s="29" t="n"/>
      <c r="E236" s="29" t="n"/>
      <c r="F236" s="29" t="n"/>
      <c r="G236" s="29" t="n"/>
      <c r="H236" s="29" t="n"/>
      <c r="I236" s="29" t="n"/>
      <c r="J236" s="29" t="n"/>
      <c r="K236" s="29" t="n"/>
      <c r="L236" s="49" t="n"/>
      <c r="M236" s="29" t="n"/>
      <c r="N236" s="29" t="n"/>
      <c r="O236" s="29" t="n"/>
      <c r="P236" s="29" t="n"/>
      <c r="Q236" s="29" t="n"/>
      <c r="R236" s="29" t="n"/>
      <c r="S236" s="29" t="n"/>
      <c r="T236" s="29" t="n"/>
      <c r="U236" s="29" t="n"/>
      <c r="V236" s="29" t="n"/>
      <c r="W236" s="29" t="n"/>
    </row>
    <row r="237" ht="54" customHeight="1">
      <c r="A237" s="29" t="n"/>
      <c r="B237" s="29" t="n"/>
      <c r="C237" s="29" t="n"/>
      <c r="D237" s="29" t="n"/>
      <c r="E237" s="29" t="n"/>
      <c r="F237" s="29" t="n"/>
      <c r="G237" s="29" t="n"/>
      <c r="H237" s="29" t="n"/>
      <c r="I237" s="29" t="n"/>
      <c r="J237" s="29" t="n"/>
      <c r="K237" s="29" t="n"/>
      <c r="L237" s="49" t="n"/>
      <c r="M237" s="29" t="n"/>
      <c r="N237" s="29" t="n"/>
      <c r="O237" s="29" t="n"/>
      <c r="P237" s="29" t="n"/>
      <c r="Q237" s="29" t="n"/>
      <c r="R237" s="29" t="n"/>
      <c r="S237" s="29" t="n"/>
      <c r="T237" s="29" t="n"/>
      <c r="U237" s="29" t="n"/>
      <c r="V237" s="29" t="n"/>
      <c r="W237" s="29" t="n"/>
    </row>
    <row r="238" ht="54" customHeight="1">
      <c r="A238" s="29" t="n"/>
      <c r="B238" s="29" t="n"/>
      <c r="C238" s="29" t="n"/>
      <c r="D238" s="29" t="n"/>
      <c r="E238" s="29" t="n"/>
      <c r="F238" s="29" t="n"/>
      <c r="G238" s="29" t="n"/>
      <c r="H238" s="29" t="n"/>
      <c r="I238" s="29" t="n"/>
      <c r="J238" s="29" t="n"/>
      <c r="K238" s="29" t="n"/>
      <c r="L238" s="49" t="n"/>
      <c r="M238" s="29" t="n"/>
      <c r="N238" s="29" t="n"/>
      <c r="O238" s="29" t="n"/>
      <c r="P238" s="29" t="n"/>
      <c r="Q238" s="29" t="n"/>
      <c r="R238" s="29" t="n"/>
      <c r="S238" s="29" t="n"/>
      <c r="T238" s="29" t="n"/>
      <c r="U238" s="29" t="n"/>
      <c r="V238" s="29" t="n"/>
      <c r="W238" s="29" t="n"/>
    </row>
    <row r="239" ht="54" customHeight="1">
      <c r="A239" s="29" t="n"/>
      <c r="B239" s="29" t="n"/>
      <c r="C239" s="29" t="n"/>
      <c r="D239" s="29" t="n"/>
      <c r="E239" s="29" t="n"/>
      <c r="F239" s="29" t="n"/>
      <c r="G239" s="29" t="n"/>
      <c r="H239" s="29" t="n"/>
      <c r="I239" s="29" t="n"/>
      <c r="J239" s="29" t="n"/>
      <c r="K239" s="29" t="n"/>
      <c r="L239" s="49" t="n"/>
      <c r="M239" s="29" t="n"/>
      <c r="N239" s="29" t="n"/>
      <c r="O239" s="29" t="n"/>
      <c r="P239" s="29" t="n"/>
      <c r="Q239" s="29" t="n"/>
      <c r="R239" s="29" t="n"/>
      <c r="S239" s="29" t="n"/>
      <c r="T239" s="29" t="n"/>
      <c r="U239" s="29" t="n"/>
      <c r="V239" s="29" t="n"/>
      <c r="W239" s="29" t="n"/>
    </row>
    <row r="240" ht="54" customHeight="1">
      <c r="A240" s="29" t="n"/>
      <c r="B240" s="29" t="n"/>
      <c r="C240" s="29" t="n"/>
      <c r="D240" s="29" t="n"/>
      <c r="E240" s="29" t="n"/>
      <c r="F240" s="29" t="n"/>
      <c r="G240" s="29" t="n"/>
      <c r="H240" s="29" t="n"/>
      <c r="I240" s="29" t="n"/>
      <c r="J240" s="29" t="n"/>
      <c r="K240" s="29" t="n"/>
      <c r="L240" s="49" t="n"/>
      <c r="M240" s="29" t="n"/>
      <c r="N240" s="29" t="n"/>
      <c r="O240" s="29" t="n"/>
      <c r="P240" s="29" t="n"/>
      <c r="Q240" s="29" t="n"/>
      <c r="R240" s="29" t="n"/>
      <c r="S240" s="29" t="n"/>
      <c r="T240" s="29" t="n"/>
      <c r="U240" s="29" t="n"/>
      <c r="V240" s="29" t="n"/>
      <c r="W240" s="29" t="n"/>
    </row>
    <row r="241" ht="54" customHeight="1">
      <c r="A241" s="29" t="n"/>
      <c r="B241" s="29" t="n"/>
      <c r="C241" s="29" t="n"/>
      <c r="D241" s="29" t="n"/>
      <c r="E241" s="29" t="n"/>
      <c r="F241" s="29" t="n"/>
      <c r="G241" s="29" t="n"/>
      <c r="H241" s="29" t="n"/>
      <c r="I241" s="29" t="n"/>
      <c r="J241" s="29" t="n"/>
      <c r="K241" s="29" t="n"/>
      <c r="L241" s="49" t="n"/>
      <c r="M241" s="29" t="n"/>
      <c r="N241" s="29" t="n"/>
      <c r="O241" s="29" t="n"/>
      <c r="P241" s="29" t="n"/>
      <c r="Q241" s="29" t="n"/>
      <c r="R241" s="29" t="n"/>
      <c r="S241" s="29" t="n"/>
      <c r="T241" s="29" t="n"/>
      <c r="U241" s="29" t="n"/>
      <c r="V241" s="29" t="n"/>
      <c r="W241" s="29" t="n"/>
    </row>
    <row r="242" ht="54" customHeight="1">
      <c r="A242" s="29" t="n"/>
      <c r="B242" s="29" t="n"/>
      <c r="C242" s="29" t="n"/>
      <c r="D242" s="29" t="n"/>
      <c r="E242" s="29" t="n"/>
      <c r="F242" s="29" t="n"/>
      <c r="G242" s="29" t="n"/>
      <c r="H242" s="29" t="n"/>
      <c r="I242" s="29" t="n"/>
      <c r="J242" s="29" t="n"/>
      <c r="K242" s="29" t="n"/>
      <c r="L242" s="49" t="n"/>
      <c r="M242" s="29" t="n"/>
      <c r="N242" s="29" t="n"/>
      <c r="O242" s="29" t="n"/>
      <c r="P242" s="29" t="n"/>
      <c r="Q242" s="29" t="n"/>
      <c r="R242" s="29" t="n"/>
      <c r="S242" s="29" t="n"/>
      <c r="T242" s="29" t="n"/>
      <c r="U242" s="29" t="n"/>
      <c r="V242" s="29" t="n"/>
      <c r="W242" s="29" t="n"/>
    </row>
    <row r="243" ht="54" customHeight="1">
      <c r="A243" s="29" t="n"/>
      <c r="B243" s="29" t="n"/>
      <c r="C243" s="29" t="n"/>
      <c r="D243" s="29" t="n"/>
      <c r="E243" s="29" t="n"/>
      <c r="F243" s="29" t="n"/>
      <c r="G243" s="29" t="n"/>
      <c r="H243" s="29" t="n"/>
      <c r="I243" s="29" t="n"/>
      <c r="J243" s="29" t="n"/>
      <c r="K243" s="29" t="n"/>
      <c r="L243" s="49" t="n"/>
      <c r="M243" s="29" t="n"/>
      <c r="N243" s="29" t="n"/>
      <c r="O243" s="29" t="n"/>
      <c r="P243" s="29" t="n"/>
      <c r="Q243" s="29" t="n"/>
      <c r="R243" s="29" t="n"/>
      <c r="S243" s="29" t="n"/>
      <c r="T243" s="29" t="n"/>
      <c r="U243" s="29" t="n"/>
      <c r="V243" s="29" t="n"/>
      <c r="W243" s="29" t="n"/>
    </row>
    <row r="244" ht="54" customHeight="1">
      <c r="A244" s="29" t="n"/>
      <c r="B244" s="29" t="n"/>
      <c r="C244" s="29" t="n"/>
      <c r="D244" s="29" t="n"/>
      <c r="E244" s="29" t="n"/>
      <c r="F244" s="29" t="n"/>
      <c r="G244" s="29" t="n"/>
      <c r="H244" s="29" t="n"/>
      <c r="I244" s="29" t="n"/>
      <c r="J244" s="29" t="n"/>
      <c r="K244" s="29" t="n"/>
      <c r="L244" s="49" t="n"/>
      <c r="M244" s="29" t="n"/>
      <c r="N244" s="29" t="n"/>
      <c r="O244" s="29" t="n"/>
      <c r="P244" s="29" t="n"/>
      <c r="Q244" s="29" t="n"/>
      <c r="R244" s="29" t="n"/>
      <c r="S244" s="29" t="n"/>
      <c r="T244" s="29" t="n"/>
      <c r="U244" s="29" t="n"/>
      <c r="V244" s="29" t="n"/>
      <c r="W244" s="29" t="n"/>
    </row>
    <row r="245" ht="54" customHeight="1">
      <c r="A245" s="29" t="n"/>
      <c r="B245" s="29" t="n"/>
      <c r="C245" s="29" t="n"/>
      <c r="D245" s="29" t="n"/>
      <c r="E245" s="29" t="n"/>
      <c r="F245" s="29" t="n"/>
      <c r="G245" s="29" t="n"/>
      <c r="H245" s="29" t="n"/>
      <c r="I245" s="29" t="n"/>
      <c r="J245" s="29" t="n"/>
      <c r="K245" s="29" t="n"/>
      <c r="L245" s="49" t="n"/>
      <c r="M245" s="29" t="n"/>
      <c r="N245" s="29" t="n"/>
      <c r="O245" s="29" t="n"/>
      <c r="P245" s="29" t="n"/>
      <c r="Q245" s="29" t="n"/>
      <c r="R245" s="29" t="n"/>
      <c r="S245" s="29" t="n"/>
      <c r="T245" s="29" t="n"/>
      <c r="U245" s="29" t="n"/>
      <c r="V245" s="29" t="n"/>
      <c r="W245" s="29" t="n"/>
    </row>
    <row r="246" ht="54" customHeight="1">
      <c r="A246" s="29" t="n"/>
      <c r="B246" s="29" t="n"/>
      <c r="C246" s="29" t="n"/>
      <c r="D246" s="29" t="n"/>
      <c r="E246" s="29" t="n"/>
      <c r="F246" s="29" t="n"/>
      <c r="G246" s="29" t="n"/>
      <c r="H246" s="29" t="n"/>
      <c r="I246" s="29" t="n"/>
      <c r="J246" s="29" t="n"/>
      <c r="K246" s="29" t="n"/>
      <c r="L246" s="49" t="n"/>
      <c r="M246" s="29" t="n"/>
      <c r="N246" s="29" t="n"/>
      <c r="O246" s="29" t="n"/>
      <c r="P246" s="29" t="n"/>
      <c r="Q246" s="29" t="n"/>
      <c r="R246" s="29" t="n"/>
      <c r="S246" s="29" t="n"/>
      <c r="T246" s="29" t="n"/>
      <c r="U246" s="29" t="n"/>
      <c r="V246" s="29" t="n"/>
      <c r="W246" s="29" t="n"/>
    </row>
    <row r="247" ht="54" customHeight="1">
      <c r="A247" s="29" t="n"/>
      <c r="B247" s="29" t="n"/>
      <c r="C247" s="29" t="n"/>
      <c r="D247" s="29" t="n"/>
      <c r="E247" s="29" t="n"/>
      <c r="F247" s="29" t="n"/>
      <c r="G247" s="29" t="n"/>
      <c r="H247" s="29" t="n"/>
      <c r="I247" s="29" t="n"/>
      <c r="J247" s="29" t="n"/>
      <c r="K247" s="29" t="n"/>
      <c r="L247" s="49" t="n"/>
      <c r="M247" s="29" t="n"/>
      <c r="N247" s="29" t="n"/>
      <c r="O247" s="29" t="n"/>
      <c r="P247" s="29" t="n"/>
      <c r="Q247" s="29" t="n"/>
      <c r="R247" s="29" t="n"/>
      <c r="S247" s="29" t="n"/>
      <c r="T247" s="29" t="n"/>
      <c r="U247" s="29" t="n"/>
      <c r="V247" s="29" t="n"/>
      <c r="W247" s="29" t="n"/>
    </row>
    <row r="248" ht="54" customHeight="1">
      <c r="A248" s="29" t="n"/>
      <c r="B248" s="29" t="n"/>
      <c r="C248" s="29" t="n"/>
      <c r="D248" s="29" t="n"/>
      <c r="E248" s="29" t="n"/>
      <c r="F248" s="29" t="n"/>
      <c r="G248" s="29" t="n"/>
      <c r="H248" s="29" t="n"/>
      <c r="I248" s="29" t="n"/>
      <c r="J248" s="29" t="n"/>
      <c r="K248" s="29" t="n"/>
      <c r="L248" s="49" t="n"/>
      <c r="M248" s="29" t="n"/>
      <c r="N248" s="29" t="n"/>
      <c r="O248" s="29" t="n"/>
      <c r="P248" s="29" t="n"/>
      <c r="Q248" s="29" t="n"/>
      <c r="R248" s="29" t="n"/>
      <c r="S248" s="29" t="n"/>
      <c r="T248" s="29" t="n"/>
      <c r="U248" s="29" t="n"/>
      <c r="V248" s="29" t="n"/>
      <c r="W248" s="29" t="n"/>
    </row>
    <row r="249" ht="54" customHeight="1">
      <c r="A249" s="29" t="n"/>
      <c r="B249" s="29" t="n"/>
      <c r="C249" s="29" t="n"/>
      <c r="D249" s="29" t="n"/>
      <c r="E249" s="29" t="n"/>
      <c r="F249" s="29" t="n"/>
      <c r="G249" s="29" t="n"/>
      <c r="H249" s="29" t="n"/>
      <c r="I249" s="29" t="n"/>
      <c r="J249" s="29" t="n"/>
      <c r="K249" s="29" t="n"/>
      <c r="L249" s="49" t="n"/>
      <c r="M249" s="29" t="n"/>
      <c r="N249" s="29" t="n"/>
      <c r="O249" s="29" t="n"/>
      <c r="P249" s="29" t="n"/>
      <c r="Q249" s="29" t="n"/>
      <c r="R249" s="29" t="n"/>
      <c r="S249" s="29" t="n"/>
      <c r="T249" s="29" t="n"/>
      <c r="U249" s="29" t="n"/>
      <c r="V249" s="29" t="n"/>
      <c r="W249" s="29" t="n"/>
    </row>
    <row r="250" ht="54" customHeight="1">
      <c r="A250" s="29" t="n"/>
      <c r="B250" s="29" t="n"/>
      <c r="C250" s="29" t="n"/>
      <c r="D250" s="29" t="n"/>
      <c r="E250" s="29" t="n"/>
      <c r="F250" s="29" t="n"/>
      <c r="G250" s="29" t="n"/>
      <c r="H250" s="29" t="n"/>
      <c r="I250" s="29" t="n"/>
      <c r="J250" s="29" t="n"/>
      <c r="K250" s="29" t="n"/>
      <c r="L250" s="49" t="n"/>
      <c r="M250" s="29" t="n"/>
      <c r="N250" s="29" t="n"/>
      <c r="O250" s="29" t="n"/>
      <c r="P250" s="29" t="n"/>
      <c r="Q250" s="29" t="n"/>
      <c r="R250" s="29" t="n"/>
      <c r="S250" s="29" t="n"/>
      <c r="T250" s="29" t="n"/>
      <c r="U250" s="29" t="n"/>
      <c r="V250" s="29" t="n"/>
      <c r="W250" s="29" t="n"/>
    </row>
    <row r="251" ht="54" customHeight="1">
      <c r="A251" s="29" t="n"/>
      <c r="B251" s="29" t="n"/>
      <c r="C251" s="29" t="n"/>
      <c r="D251" s="29" t="n"/>
      <c r="E251" s="29" t="n"/>
      <c r="F251" s="29" t="n"/>
      <c r="G251" s="29" t="n"/>
      <c r="H251" s="29" t="n"/>
      <c r="I251" s="29" t="n"/>
      <c r="J251" s="29" t="n"/>
      <c r="K251" s="29" t="n"/>
      <c r="L251" s="49" t="n"/>
      <c r="M251" s="29" t="n"/>
      <c r="N251" s="29" t="n"/>
      <c r="O251" s="29" t="n"/>
      <c r="P251" s="29" t="n"/>
      <c r="Q251" s="29" t="n"/>
      <c r="R251" s="29" t="n"/>
      <c r="S251" s="29" t="n"/>
      <c r="T251" s="29" t="n"/>
      <c r="U251" s="29" t="n"/>
      <c r="V251" s="29" t="n"/>
      <c r="W251" s="29" t="n"/>
    </row>
    <row r="252" ht="54" customHeight="1">
      <c r="A252" s="29" t="n"/>
      <c r="B252" s="29" t="n"/>
      <c r="C252" s="29" t="n"/>
      <c r="D252" s="29" t="n"/>
      <c r="E252" s="29" t="n"/>
      <c r="F252" s="29" t="n"/>
      <c r="G252" s="29" t="n"/>
      <c r="H252" s="29" t="n"/>
      <c r="I252" s="29" t="n"/>
      <c r="J252" s="29" t="n"/>
      <c r="K252" s="29" t="n"/>
      <c r="L252" s="49" t="n"/>
      <c r="M252" s="29" t="n"/>
      <c r="N252" s="29" t="n"/>
      <c r="O252" s="29" t="n"/>
      <c r="P252" s="29" t="n"/>
      <c r="Q252" s="29" t="n"/>
      <c r="R252" s="29" t="n"/>
      <c r="S252" s="29" t="n"/>
      <c r="T252" s="29" t="n"/>
      <c r="U252" s="29" t="n"/>
      <c r="V252" s="29" t="n"/>
      <c r="W252" s="29" t="n"/>
    </row>
    <row r="253" ht="54" customHeight="1">
      <c r="A253" s="29" t="n"/>
      <c r="B253" s="29" t="n"/>
      <c r="C253" s="29" t="n"/>
      <c r="D253" s="29" t="n"/>
      <c r="E253" s="29" t="n"/>
      <c r="F253" s="29" t="n"/>
      <c r="G253" s="29" t="n"/>
      <c r="H253" s="29" t="n"/>
      <c r="I253" s="29" t="n"/>
      <c r="J253" s="29" t="n"/>
      <c r="K253" s="29" t="n"/>
      <c r="L253" s="49" t="n"/>
      <c r="M253" s="29" t="n"/>
      <c r="N253" s="29" t="n"/>
      <c r="O253" s="29" t="n"/>
      <c r="P253" s="29" t="n"/>
      <c r="Q253" s="29" t="n"/>
      <c r="R253" s="29" t="n"/>
      <c r="S253" s="29" t="n"/>
      <c r="T253" s="29" t="n"/>
      <c r="U253" s="29" t="n"/>
      <c r="V253" s="29" t="n"/>
      <c r="W253" s="29" t="n"/>
    </row>
    <row r="254" ht="54" customHeight="1">
      <c r="A254" s="29" t="n"/>
      <c r="B254" s="29" t="n"/>
      <c r="C254" s="29" t="n"/>
      <c r="D254" s="29" t="n"/>
      <c r="E254" s="29" t="n"/>
      <c r="F254" s="29" t="n"/>
      <c r="G254" s="29" t="n"/>
      <c r="H254" s="29" t="n"/>
      <c r="I254" s="29" t="n"/>
      <c r="J254" s="29" t="n"/>
      <c r="K254" s="29" t="n"/>
      <c r="L254" s="49" t="n"/>
      <c r="M254" s="29" t="n"/>
      <c r="N254" s="29" t="n"/>
      <c r="O254" s="29" t="n"/>
      <c r="P254" s="29" t="n"/>
      <c r="Q254" s="29" t="n"/>
      <c r="R254" s="29" t="n"/>
      <c r="S254" s="29" t="n"/>
      <c r="T254" s="29" t="n"/>
      <c r="U254" s="29" t="n"/>
      <c r="V254" s="29" t="n"/>
      <c r="W254" s="29" t="n"/>
    </row>
    <row r="255" ht="54" customHeight="1">
      <c r="A255" s="29" t="n"/>
      <c r="B255" s="29" t="n"/>
      <c r="C255" s="29" t="n"/>
      <c r="D255" s="29" t="n"/>
      <c r="E255" s="29" t="n"/>
      <c r="F255" s="29" t="n"/>
      <c r="G255" s="29" t="n"/>
      <c r="H255" s="29" t="n"/>
      <c r="I255" s="29" t="n"/>
      <c r="J255" s="29" t="n"/>
      <c r="K255" s="29" t="n"/>
      <c r="L255" s="49" t="n"/>
      <c r="M255" s="29" t="n"/>
      <c r="N255" s="29" t="n"/>
      <c r="O255" s="29" t="n"/>
      <c r="P255" s="29" t="n"/>
      <c r="Q255" s="29" t="n"/>
      <c r="R255" s="29" t="n"/>
      <c r="S255" s="29" t="n"/>
      <c r="T255" s="29" t="n"/>
      <c r="U255" s="29" t="n"/>
      <c r="V255" s="29" t="n"/>
      <c r="W255" s="29" t="n"/>
    </row>
    <row r="256" ht="54" customHeight="1">
      <c r="A256" s="29" t="n"/>
      <c r="B256" s="29" t="n"/>
      <c r="C256" s="29" t="n"/>
      <c r="D256" s="29" t="n"/>
      <c r="E256" s="29" t="n"/>
      <c r="F256" s="29" t="n"/>
      <c r="G256" s="29" t="n"/>
      <c r="H256" s="29" t="n"/>
      <c r="I256" s="29" t="n"/>
      <c r="J256" s="29" t="n"/>
      <c r="K256" s="29" t="n"/>
      <c r="L256" s="49" t="n"/>
      <c r="M256" s="29" t="n"/>
      <c r="N256" s="29" t="n"/>
      <c r="O256" s="29" t="n"/>
      <c r="P256" s="29" t="n"/>
      <c r="Q256" s="29" t="n"/>
      <c r="R256" s="29" t="n"/>
      <c r="S256" s="29" t="n"/>
      <c r="T256" s="29" t="n"/>
      <c r="U256" s="29" t="n"/>
      <c r="V256" s="29" t="n"/>
      <c r="W256" s="29" t="n"/>
    </row>
    <row r="257" ht="54" customHeight="1">
      <c r="A257" s="29" t="n"/>
      <c r="B257" s="29" t="n"/>
      <c r="C257" s="29" t="n"/>
      <c r="D257" s="29" t="n"/>
      <c r="E257" s="29" t="n"/>
      <c r="F257" s="29" t="n"/>
      <c r="G257" s="29" t="n"/>
      <c r="H257" s="29" t="n"/>
      <c r="I257" s="29" t="n"/>
      <c r="J257" s="29" t="n"/>
      <c r="K257" s="29" t="n"/>
      <c r="L257" s="49" t="n"/>
      <c r="M257" s="29" t="n"/>
      <c r="N257" s="29" t="n"/>
      <c r="O257" s="29" t="n"/>
      <c r="P257" s="29" t="n"/>
      <c r="Q257" s="29" t="n"/>
      <c r="R257" s="29" t="n"/>
      <c r="S257" s="29" t="n"/>
      <c r="T257" s="29" t="n"/>
      <c r="U257" s="29" t="n"/>
      <c r="V257" s="29" t="n"/>
      <c r="W257" s="29" t="n"/>
    </row>
    <row r="258" ht="54" customHeight="1">
      <c r="A258" s="29" t="n"/>
      <c r="B258" s="29" t="n"/>
      <c r="C258" s="29" t="n"/>
      <c r="D258" s="29" t="n"/>
      <c r="E258" s="29" t="n"/>
      <c r="F258" s="29" t="n"/>
      <c r="G258" s="29" t="n"/>
      <c r="H258" s="29" t="n"/>
      <c r="I258" s="29" t="n"/>
      <c r="J258" s="29" t="n"/>
      <c r="K258" s="29" t="n"/>
      <c r="L258" s="49" t="n"/>
      <c r="M258" s="29" t="n"/>
      <c r="N258" s="29" t="n"/>
      <c r="O258" s="29" t="n"/>
      <c r="P258" s="29" t="n"/>
      <c r="Q258" s="29" t="n"/>
      <c r="R258" s="29" t="n"/>
      <c r="S258" s="29" t="n"/>
      <c r="T258" s="29" t="n"/>
      <c r="U258" s="29" t="n"/>
      <c r="V258" s="29" t="n"/>
      <c r="W258" s="29" t="n"/>
    </row>
    <row r="259" ht="54" customHeight="1">
      <c r="A259" s="29" t="n"/>
      <c r="B259" s="29" t="n"/>
      <c r="C259" s="29" t="n"/>
      <c r="D259" s="29" t="n"/>
      <c r="E259" s="29" t="n"/>
      <c r="F259" s="29" t="n"/>
      <c r="G259" s="29" t="n"/>
      <c r="H259" s="29" t="n"/>
      <c r="I259" s="29" t="n"/>
      <c r="J259" s="29" t="n"/>
      <c r="K259" s="29" t="n"/>
      <c r="L259" s="49" t="n"/>
      <c r="M259" s="29" t="n"/>
      <c r="N259" s="29" t="n"/>
      <c r="O259" s="29" t="n"/>
      <c r="P259" s="29" t="n"/>
      <c r="Q259" s="29" t="n"/>
      <c r="R259" s="29" t="n"/>
      <c r="S259" s="29" t="n"/>
      <c r="T259" s="29" t="n"/>
      <c r="U259" s="29" t="n"/>
      <c r="V259" s="29" t="n"/>
      <c r="W259" s="29" t="n"/>
    </row>
    <row r="260" ht="54" customHeight="1">
      <c r="A260" s="29" t="n"/>
      <c r="B260" s="29" t="n"/>
      <c r="C260" s="29" t="n"/>
      <c r="D260" s="29" t="n"/>
      <c r="E260" s="29" t="n"/>
      <c r="F260" s="29" t="n"/>
      <c r="G260" s="29" t="n"/>
      <c r="H260" s="29" t="n"/>
      <c r="I260" s="29" t="n"/>
      <c r="J260" s="29" t="n"/>
      <c r="K260" s="29" t="n"/>
      <c r="L260" s="49" t="n"/>
      <c r="M260" s="29" t="n"/>
      <c r="N260" s="29" t="n"/>
      <c r="O260" s="29" t="n"/>
      <c r="P260" s="29" t="n"/>
      <c r="Q260" s="29" t="n"/>
      <c r="R260" s="29" t="n"/>
      <c r="S260" s="29" t="n"/>
      <c r="T260" s="29" t="n"/>
      <c r="U260" s="29" t="n"/>
      <c r="V260" s="29" t="n"/>
      <c r="W260" s="29" t="n"/>
    </row>
    <row r="261" ht="54" customHeight="1">
      <c r="A261" s="29" t="n"/>
      <c r="B261" s="29" t="n"/>
      <c r="C261" s="29" t="n"/>
      <c r="D261" s="29" t="n"/>
      <c r="E261" s="29" t="n"/>
      <c r="F261" s="29" t="n"/>
      <c r="G261" s="29" t="n"/>
      <c r="H261" s="29" t="n"/>
      <c r="I261" s="29" t="n"/>
      <c r="J261" s="29" t="n"/>
      <c r="K261" s="29" t="n"/>
      <c r="L261" s="49" t="n"/>
      <c r="M261" s="29" t="n"/>
      <c r="N261" s="29" t="n"/>
      <c r="O261" s="29" t="n"/>
      <c r="P261" s="29" t="n"/>
      <c r="Q261" s="29" t="n"/>
      <c r="R261" s="29" t="n"/>
      <c r="S261" s="29" t="n"/>
      <c r="T261" s="29" t="n"/>
      <c r="U261" s="29" t="n"/>
      <c r="V261" s="29" t="n"/>
      <c r="W261" s="29" t="n"/>
    </row>
    <row r="262" ht="54" customHeight="1">
      <c r="A262" s="29" t="n"/>
      <c r="B262" s="29" t="n"/>
      <c r="C262" s="29" t="n"/>
      <c r="D262" s="29" t="n"/>
      <c r="E262" s="29" t="n"/>
      <c r="F262" s="29" t="n"/>
      <c r="G262" s="29" t="n"/>
      <c r="H262" s="29" t="n"/>
      <c r="I262" s="29" t="n"/>
      <c r="J262" s="29" t="n"/>
      <c r="K262" s="29" t="n"/>
      <c r="L262" s="49" t="n"/>
      <c r="M262" s="29" t="n"/>
      <c r="N262" s="29" t="n"/>
      <c r="O262" s="29" t="n"/>
      <c r="P262" s="29" t="n"/>
      <c r="Q262" s="29" t="n"/>
      <c r="R262" s="29" t="n"/>
      <c r="S262" s="29" t="n"/>
      <c r="T262" s="29" t="n"/>
      <c r="U262" s="29" t="n"/>
      <c r="V262" s="29" t="n"/>
      <c r="W262" s="29" t="n"/>
    </row>
    <row r="263" ht="54" customHeight="1">
      <c r="A263" s="29" t="n"/>
      <c r="B263" s="29" t="n"/>
      <c r="C263" s="29" t="n"/>
      <c r="D263" s="29" t="n"/>
      <c r="E263" s="29" t="n"/>
      <c r="F263" s="29" t="n"/>
      <c r="G263" s="29" t="n"/>
      <c r="H263" s="29" t="n"/>
      <c r="I263" s="29" t="n"/>
      <c r="J263" s="29" t="n"/>
      <c r="K263" s="29" t="n"/>
      <c r="L263" s="49" t="n"/>
      <c r="M263" s="29" t="n"/>
      <c r="N263" s="29" t="n"/>
      <c r="O263" s="29" t="n"/>
      <c r="P263" s="29" t="n"/>
      <c r="Q263" s="29" t="n"/>
      <c r="R263" s="29" t="n"/>
      <c r="S263" s="29" t="n"/>
      <c r="T263" s="29" t="n"/>
      <c r="U263" s="29" t="n"/>
      <c r="V263" s="29" t="n"/>
      <c r="W263" s="29" t="n"/>
    </row>
    <row r="264" ht="54" customHeight="1">
      <c r="A264" s="29" t="n"/>
      <c r="B264" s="29" t="n"/>
      <c r="C264" s="29" t="n"/>
      <c r="D264" s="29" t="n"/>
      <c r="E264" s="29" t="n"/>
      <c r="F264" s="29" t="n"/>
      <c r="G264" s="29" t="n"/>
      <c r="H264" s="29" t="n"/>
      <c r="I264" s="29" t="n"/>
      <c r="J264" s="29" t="n"/>
      <c r="K264" s="29" t="n"/>
      <c r="L264" s="49" t="n"/>
      <c r="M264" s="29" t="n"/>
      <c r="N264" s="29" t="n"/>
      <c r="O264" s="29" t="n"/>
      <c r="P264" s="29" t="n"/>
      <c r="Q264" s="29" t="n"/>
      <c r="R264" s="29" t="n"/>
      <c r="S264" s="29" t="n"/>
      <c r="T264" s="29" t="n"/>
      <c r="U264" s="29" t="n"/>
      <c r="V264" s="29" t="n"/>
      <c r="W264" s="29" t="n"/>
    </row>
    <row r="265" ht="54" customHeight="1">
      <c r="A265" s="29" t="n"/>
      <c r="B265" s="29" t="n"/>
      <c r="C265" s="29" t="n"/>
      <c r="D265" s="29" t="n"/>
      <c r="E265" s="29" t="n"/>
      <c r="F265" s="29" t="n"/>
      <c r="G265" s="29" t="n"/>
      <c r="H265" s="29" t="n"/>
      <c r="I265" s="29" t="n"/>
      <c r="J265" s="29" t="n"/>
      <c r="K265" s="29" t="n"/>
      <c r="L265" s="49" t="n"/>
      <c r="M265" s="29" t="n"/>
      <c r="N265" s="29" t="n"/>
      <c r="O265" s="29" t="n"/>
      <c r="P265" s="29" t="n"/>
      <c r="Q265" s="29" t="n"/>
      <c r="R265" s="29" t="n"/>
      <c r="S265" s="29" t="n"/>
      <c r="T265" s="29" t="n"/>
      <c r="U265" s="29" t="n"/>
      <c r="V265" s="29" t="n"/>
      <c r="W265" s="29" t="n"/>
    </row>
    <row r="266" ht="54" customHeight="1">
      <c r="A266" s="29" t="n"/>
      <c r="B266" s="29" t="n"/>
      <c r="C266" s="29" t="n"/>
      <c r="D266" s="29" t="n"/>
      <c r="E266" s="29" t="n"/>
      <c r="F266" s="29" t="n"/>
      <c r="G266" s="29" t="n"/>
      <c r="H266" s="29" t="n"/>
      <c r="I266" s="29" t="n"/>
      <c r="J266" s="29" t="n"/>
      <c r="K266" s="29" t="n"/>
      <c r="L266" s="49" t="n"/>
      <c r="M266" s="29" t="n"/>
      <c r="N266" s="29" t="n"/>
      <c r="O266" s="29" t="n"/>
      <c r="P266" s="29" t="n"/>
      <c r="Q266" s="29" t="n"/>
      <c r="R266" s="29" t="n"/>
      <c r="S266" s="29" t="n"/>
      <c r="T266" s="29" t="n"/>
      <c r="U266" s="29" t="n"/>
      <c r="V266" s="29" t="n"/>
      <c r="W266" s="29" t="n"/>
    </row>
    <row r="267" ht="54" customHeight="1">
      <c r="A267" s="29" t="n"/>
      <c r="B267" s="29" t="n"/>
      <c r="C267" s="29" t="n"/>
      <c r="D267" s="29" t="n"/>
      <c r="E267" s="29" t="n"/>
      <c r="F267" s="29" t="n"/>
      <c r="G267" s="29" t="n"/>
      <c r="H267" s="29" t="n"/>
      <c r="I267" s="29" t="n"/>
      <c r="J267" s="29" t="n"/>
      <c r="K267" s="29" t="n"/>
      <c r="L267" s="49" t="n"/>
      <c r="M267" s="29" t="n"/>
      <c r="N267" s="29" t="n"/>
      <c r="O267" s="29" t="n"/>
      <c r="P267" s="29" t="n"/>
      <c r="Q267" s="29" t="n"/>
      <c r="R267" s="29" t="n"/>
      <c r="S267" s="29" t="n"/>
      <c r="T267" s="29" t="n"/>
      <c r="U267" s="29" t="n"/>
      <c r="V267" s="29" t="n"/>
      <c r="W267" s="29" t="n"/>
    </row>
    <row r="268" ht="54" customHeight="1">
      <c r="A268" s="29" t="n"/>
      <c r="B268" s="29" t="n"/>
      <c r="C268" s="29" t="n"/>
      <c r="D268" s="29" t="n"/>
      <c r="E268" s="29" t="n"/>
      <c r="F268" s="29" t="n"/>
      <c r="G268" s="29" t="n"/>
      <c r="H268" s="29" t="n"/>
      <c r="I268" s="29" t="n"/>
      <c r="J268" s="29" t="n"/>
      <c r="K268" s="29" t="n"/>
      <c r="L268" s="49" t="n"/>
      <c r="M268" s="29" t="n"/>
      <c r="N268" s="29" t="n"/>
      <c r="O268" s="29" t="n"/>
      <c r="P268" s="29" t="n"/>
      <c r="Q268" s="29" t="n"/>
      <c r="R268" s="29" t="n"/>
      <c r="S268" s="29" t="n"/>
      <c r="T268" s="29" t="n"/>
      <c r="U268" s="29" t="n"/>
      <c r="V268" s="29" t="n"/>
      <c r="W268" s="29" t="n"/>
    </row>
    <row r="269" ht="54" customHeight="1">
      <c r="A269" s="29" t="n"/>
      <c r="B269" s="29" t="n"/>
      <c r="C269" s="29" t="n"/>
      <c r="D269" s="29" t="n"/>
      <c r="E269" s="29" t="n"/>
      <c r="F269" s="29" t="n"/>
      <c r="G269" s="29" t="n"/>
      <c r="H269" s="29" t="n"/>
      <c r="I269" s="29" t="n"/>
      <c r="J269" s="29" t="n"/>
      <c r="K269" s="29" t="n"/>
      <c r="L269" s="49" t="n"/>
      <c r="M269" s="29" t="n"/>
      <c r="N269" s="29" t="n"/>
      <c r="O269" s="29" t="n"/>
      <c r="P269" s="29" t="n"/>
      <c r="Q269" s="29" t="n"/>
      <c r="R269" s="29" t="n"/>
      <c r="S269" s="29" t="n"/>
      <c r="T269" s="29" t="n"/>
      <c r="U269" s="29" t="n"/>
      <c r="V269" s="29" t="n"/>
      <c r="W269" s="29" t="n"/>
    </row>
    <row r="270" ht="54" customHeight="1">
      <c r="A270" s="29" t="n"/>
      <c r="B270" s="29" t="n"/>
      <c r="C270" s="29" t="n"/>
      <c r="D270" s="29" t="n"/>
      <c r="E270" s="29" t="n"/>
      <c r="F270" s="29" t="n"/>
      <c r="G270" s="29" t="n"/>
      <c r="H270" s="29" t="n"/>
      <c r="I270" s="29" t="n"/>
      <c r="J270" s="29" t="n"/>
      <c r="K270" s="29" t="n"/>
      <c r="L270" s="49" t="n"/>
      <c r="M270" s="29" t="n"/>
      <c r="N270" s="29" t="n"/>
      <c r="O270" s="29" t="n"/>
      <c r="P270" s="29" t="n"/>
      <c r="Q270" s="29" t="n"/>
      <c r="R270" s="29" t="n"/>
      <c r="S270" s="29" t="n"/>
      <c r="T270" s="29" t="n"/>
      <c r="U270" s="29" t="n"/>
      <c r="V270" s="29" t="n"/>
      <c r="W270" s="29" t="n"/>
    </row>
    <row r="271" ht="54" customHeight="1">
      <c r="A271" s="29" t="n"/>
      <c r="B271" s="29" t="n"/>
      <c r="C271" s="29" t="n"/>
      <c r="D271" s="29" t="n"/>
      <c r="E271" s="29" t="n"/>
      <c r="F271" s="29" t="n"/>
      <c r="G271" s="29" t="n"/>
      <c r="H271" s="29" t="n"/>
      <c r="I271" s="29" t="n"/>
      <c r="J271" s="29" t="n"/>
      <c r="K271" s="29" t="n"/>
      <c r="L271" s="49" t="n"/>
      <c r="M271" s="29" t="n"/>
      <c r="N271" s="29" t="n"/>
      <c r="O271" s="29" t="n"/>
      <c r="P271" s="29" t="n"/>
      <c r="Q271" s="29" t="n"/>
      <c r="R271" s="29" t="n"/>
      <c r="S271" s="29" t="n"/>
      <c r="T271" s="29" t="n"/>
      <c r="U271" s="29" t="n"/>
      <c r="V271" s="29" t="n"/>
      <c r="W271" s="29" t="n"/>
    </row>
    <row r="272" ht="54" customHeight="1">
      <c r="A272" s="29" t="n"/>
      <c r="B272" s="29" t="n"/>
      <c r="C272" s="29" t="n"/>
      <c r="D272" s="29" t="n"/>
      <c r="E272" s="29" t="n"/>
      <c r="F272" s="29" t="n"/>
      <c r="G272" s="29" t="n"/>
      <c r="H272" s="29" t="n"/>
      <c r="I272" s="29" t="n"/>
      <c r="J272" s="29" t="n"/>
      <c r="K272" s="29" t="n"/>
      <c r="L272" s="49" t="n"/>
      <c r="M272" s="29" t="n"/>
      <c r="N272" s="29" t="n"/>
      <c r="O272" s="29" t="n"/>
      <c r="P272" s="29" t="n"/>
      <c r="Q272" s="29" t="n"/>
      <c r="R272" s="29" t="n"/>
      <c r="S272" s="29" t="n"/>
      <c r="T272" s="29" t="n"/>
      <c r="U272" s="29" t="n"/>
      <c r="V272" s="29" t="n"/>
      <c r="W272" s="29" t="n"/>
    </row>
    <row r="273" ht="54" customHeight="1">
      <c r="A273" s="29" t="n"/>
      <c r="B273" s="29" t="n"/>
      <c r="C273" s="29" t="n"/>
      <c r="D273" s="29" t="n"/>
      <c r="E273" s="29" t="n"/>
      <c r="F273" s="29" t="n"/>
      <c r="G273" s="29" t="n"/>
      <c r="H273" s="29" t="n"/>
      <c r="I273" s="29" t="n"/>
      <c r="J273" s="29" t="n"/>
      <c r="K273" s="29" t="n"/>
      <c r="L273" s="49" t="n"/>
      <c r="M273" s="29" t="n"/>
      <c r="N273" s="29" t="n"/>
      <c r="O273" s="29" t="n"/>
      <c r="P273" s="29" t="n"/>
      <c r="Q273" s="29" t="n"/>
      <c r="R273" s="29" t="n"/>
      <c r="S273" s="29" t="n"/>
      <c r="T273" s="29" t="n"/>
      <c r="U273" s="29" t="n"/>
      <c r="V273" s="29" t="n"/>
      <c r="W273" s="29" t="n"/>
    </row>
    <row r="274" ht="54" customHeight="1">
      <c r="A274" s="29" t="n"/>
      <c r="B274" s="29" t="n"/>
      <c r="C274" s="29" t="n"/>
      <c r="D274" s="29" t="n"/>
      <c r="E274" s="29" t="n"/>
      <c r="F274" s="29" t="n"/>
      <c r="G274" s="29" t="n"/>
      <c r="H274" s="29" t="n"/>
      <c r="I274" s="29" t="n"/>
      <c r="J274" s="29" t="n"/>
      <c r="K274" s="29" t="n"/>
      <c r="L274" s="49" t="n"/>
      <c r="M274" s="29" t="n"/>
      <c r="N274" s="29" t="n"/>
      <c r="O274" s="29" t="n"/>
      <c r="P274" s="29" t="n"/>
      <c r="Q274" s="29" t="n"/>
      <c r="R274" s="29" t="n"/>
      <c r="S274" s="29" t="n"/>
      <c r="T274" s="29" t="n"/>
      <c r="U274" s="29" t="n"/>
      <c r="V274" s="29" t="n"/>
      <c r="W274" s="29" t="n"/>
    </row>
    <row r="275" ht="54" customHeight="1">
      <c r="A275" s="29" t="n"/>
      <c r="B275" s="29" t="n"/>
      <c r="C275" s="29" t="n"/>
      <c r="D275" s="29" t="n"/>
      <c r="E275" s="29" t="n"/>
      <c r="F275" s="29" t="n"/>
      <c r="G275" s="29" t="n"/>
      <c r="H275" s="29" t="n"/>
      <c r="I275" s="29" t="n"/>
      <c r="J275" s="29" t="n"/>
      <c r="K275" s="29" t="n"/>
      <c r="L275" s="49" t="n"/>
      <c r="M275" s="29" t="n"/>
      <c r="N275" s="29" t="n"/>
      <c r="O275" s="29" t="n"/>
      <c r="P275" s="29" t="n"/>
      <c r="Q275" s="29" t="n"/>
      <c r="R275" s="29" t="n"/>
      <c r="S275" s="29" t="n"/>
      <c r="T275" s="29" t="n"/>
      <c r="U275" s="29" t="n"/>
      <c r="V275" s="29" t="n"/>
      <c r="W275" s="29" t="n"/>
    </row>
    <row r="276" ht="54" customHeight="1">
      <c r="A276" s="29" t="n"/>
      <c r="B276" s="29" t="n"/>
      <c r="C276" s="29" t="n"/>
      <c r="D276" s="29" t="n"/>
      <c r="E276" s="29" t="n"/>
      <c r="F276" s="29" t="n"/>
      <c r="G276" s="29" t="n"/>
      <c r="H276" s="29" t="n"/>
      <c r="I276" s="29" t="n"/>
      <c r="J276" s="29" t="n"/>
      <c r="K276" s="29" t="n"/>
      <c r="L276" s="49" t="n"/>
      <c r="M276" s="29" t="n"/>
      <c r="N276" s="29" t="n"/>
      <c r="O276" s="29" t="n"/>
      <c r="P276" s="29" t="n"/>
      <c r="Q276" s="29" t="n"/>
      <c r="R276" s="29" t="n"/>
      <c r="S276" s="29" t="n"/>
      <c r="T276" s="29" t="n"/>
      <c r="U276" s="29" t="n"/>
      <c r="V276" s="29" t="n"/>
      <c r="W276" s="29" t="n"/>
    </row>
    <row r="277" ht="54" customHeight="1">
      <c r="A277" s="29" t="n"/>
      <c r="B277" s="29" t="n"/>
      <c r="C277" s="29" t="n"/>
      <c r="D277" s="29" t="n"/>
      <c r="E277" s="29" t="n"/>
      <c r="F277" s="29" t="n"/>
      <c r="G277" s="29" t="n"/>
      <c r="H277" s="29" t="n"/>
      <c r="I277" s="29" t="n"/>
      <c r="J277" s="29" t="n"/>
      <c r="K277" s="29" t="n"/>
      <c r="L277" s="49" t="n"/>
      <c r="M277" s="29" t="n"/>
      <c r="N277" s="29" t="n"/>
      <c r="O277" s="29" t="n"/>
      <c r="P277" s="29" t="n"/>
      <c r="Q277" s="29" t="n"/>
      <c r="R277" s="29" t="n"/>
      <c r="S277" s="29" t="n"/>
      <c r="T277" s="29" t="n"/>
      <c r="U277" s="29" t="n"/>
      <c r="V277" s="29" t="n"/>
      <c r="W277" s="29" t="n"/>
    </row>
    <row r="278" ht="54" customHeight="1">
      <c r="A278" s="29" t="n"/>
      <c r="B278" s="29" t="n"/>
      <c r="C278" s="29" t="n"/>
      <c r="D278" s="29" t="n"/>
      <c r="E278" s="29" t="n"/>
      <c r="F278" s="29" t="n"/>
      <c r="G278" s="29" t="n"/>
      <c r="H278" s="29" t="n"/>
      <c r="I278" s="29" t="n"/>
      <c r="J278" s="29" t="n"/>
      <c r="K278" s="29" t="n"/>
      <c r="L278" s="49" t="n"/>
      <c r="M278" s="29" t="n"/>
      <c r="N278" s="29" t="n"/>
      <c r="O278" s="29" t="n"/>
      <c r="P278" s="29" t="n"/>
      <c r="Q278" s="29" t="n"/>
      <c r="R278" s="29" t="n"/>
      <c r="S278" s="29" t="n"/>
      <c r="T278" s="29" t="n"/>
      <c r="U278" s="29" t="n"/>
      <c r="V278" s="29" t="n"/>
      <c r="W278" s="29" t="n"/>
    </row>
    <row r="279" ht="54" customHeight="1">
      <c r="A279" s="29" t="n"/>
      <c r="B279" s="29" t="n"/>
      <c r="C279" s="29" t="n"/>
      <c r="D279" s="29" t="n"/>
      <c r="E279" s="29" t="n"/>
      <c r="F279" s="29" t="n"/>
      <c r="G279" s="29" t="n"/>
      <c r="H279" s="29" t="n"/>
      <c r="I279" s="29" t="n"/>
      <c r="J279" s="29" t="n"/>
      <c r="K279" s="29" t="n"/>
      <c r="L279" s="49" t="n"/>
      <c r="M279" s="29" t="n"/>
      <c r="N279" s="29" t="n"/>
      <c r="O279" s="29" t="n"/>
      <c r="P279" s="29" t="n"/>
      <c r="Q279" s="29" t="n"/>
      <c r="R279" s="29" t="n"/>
      <c r="S279" s="29" t="n"/>
      <c r="T279" s="29" t="n"/>
      <c r="U279" s="29" t="n"/>
      <c r="V279" s="29" t="n"/>
      <c r="W279" s="29" t="n"/>
    </row>
    <row r="280" ht="54" customHeight="1">
      <c r="A280" s="29" t="n"/>
      <c r="B280" s="29" t="n"/>
      <c r="C280" s="29" t="n"/>
      <c r="D280" s="29" t="n"/>
      <c r="E280" s="29" t="n"/>
      <c r="F280" s="29" t="n"/>
      <c r="G280" s="29" t="n"/>
      <c r="H280" s="29" t="n"/>
      <c r="I280" s="29" t="n"/>
      <c r="J280" s="29" t="n"/>
      <c r="K280" s="29" t="n"/>
      <c r="L280" s="49" t="n"/>
      <c r="M280" s="29" t="n"/>
      <c r="N280" s="29" t="n"/>
      <c r="O280" s="29" t="n"/>
      <c r="P280" s="29" t="n"/>
      <c r="Q280" s="29" t="n"/>
      <c r="R280" s="29" t="n"/>
      <c r="S280" s="29" t="n"/>
      <c r="T280" s="29" t="n"/>
      <c r="U280" s="29" t="n"/>
      <c r="V280" s="29" t="n"/>
      <c r="W280" s="29" t="n"/>
    </row>
    <row r="281" ht="54" customHeight="1">
      <c r="A281" s="29" t="n"/>
      <c r="B281" s="29" t="n"/>
      <c r="C281" s="29" t="n"/>
      <c r="D281" s="29" t="n"/>
      <c r="E281" s="29" t="n"/>
      <c r="F281" s="29" t="n"/>
      <c r="G281" s="29" t="n"/>
      <c r="H281" s="29" t="n"/>
      <c r="I281" s="29" t="n"/>
      <c r="J281" s="29" t="n"/>
      <c r="K281" s="29" t="n"/>
      <c r="L281" s="49" t="n"/>
      <c r="M281" s="29" t="n"/>
      <c r="N281" s="29" t="n"/>
      <c r="O281" s="29" t="n"/>
      <c r="P281" s="29" t="n"/>
      <c r="Q281" s="29" t="n"/>
      <c r="R281" s="29" t="n"/>
      <c r="S281" s="29" t="n"/>
      <c r="T281" s="29" t="n"/>
      <c r="U281" s="29" t="n"/>
      <c r="V281" s="29" t="n"/>
      <c r="W281" s="29" t="n"/>
    </row>
    <row r="282" ht="54" customHeight="1">
      <c r="A282" s="29" t="n"/>
      <c r="B282" s="29" t="n"/>
      <c r="C282" s="29" t="n"/>
      <c r="D282" s="29" t="n"/>
      <c r="E282" s="29" t="n"/>
      <c r="F282" s="29" t="n"/>
      <c r="G282" s="29" t="n"/>
      <c r="H282" s="29" t="n"/>
      <c r="I282" s="29" t="n"/>
      <c r="J282" s="29" t="n"/>
      <c r="K282" s="29" t="n"/>
      <c r="L282" s="49" t="n"/>
      <c r="M282" s="29" t="n"/>
      <c r="N282" s="29" t="n"/>
      <c r="O282" s="29" t="n"/>
      <c r="P282" s="29" t="n"/>
      <c r="Q282" s="29" t="n"/>
      <c r="R282" s="29" t="n"/>
      <c r="S282" s="29" t="n"/>
      <c r="T282" s="29" t="n"/>
      <c r="U282" s="29" t="n"/>
      <c r="V282" s="29" t="n"/>
      <c r="W282" s="29" t="n"/>
    </row>
    <row r="283" ht="54" customHeight="1">
      <c r="A283" s="29" t="n"/>
      <c r="B283" s="29" t="n"/>
      <c r="C283" s="29" t="n"/>
      <c r="D283" s="29" t="n"/>
      <c r="E283" s="29" t="n"/>
      <c r="F283" s="29" t="n"/>
      <c r="G283" s="29" t="n"/>
      <c r="H283" s="29" t="n"/>
      <c r="I283" s="29" t="n"/>
      <c r="J283" s="29" t="n"/>
      <c r="K283" s="29" t="n"/>
      <c r="L283" s="49" t="n"/>
      <c r="M283" s="29" t="n"/>
      <c r="N283" s="29" t="n"/>
      <c r="O283" s="29" t="n"/>
      <c r="P283" s="29" t="n"/>
      <c r="Q283" s="29" t="n"/>
      <c r="R283" s="29" t="n"/>
      <c r="S283" s="29" t="n"/>
      <c r="T283" s="29" t="n"/>
      <c r="U283" s="29" t="n"/>
      <c r="V283" s="29" t="n"/>
      <c r="W283" s="29" t="n"/>
    </row>
    <row r="284" ht="54" customHeight="1">
      <c r="A284" s="29" t="n"/>
      <c r="B284" s="29" t="n"/>
      <c r="C284" s="29" t="n"/>
      <c r="D284" s="29" t="n"/>
      <c r="E284" s="29" t="n"/>
      <c r="F284" s="29" t="n"/>
      <c r="G284" s="29" t="n"/>
      <c r="H284" s="29" t="n"/>
      <c r="I284" s="29" t="n"/>
      <c r="J284" s="29" t="n"/>
      <c r="K284" s="29" t="n"/>
      <c r="L284" s="49" t="n"/>
      <c r="M284" s="29" t="n"/>
      <c r="N284" s="29" t="n"/>
      <c r="O284" s="29" t="n"/>
      <c r="P284" s="29" t="n"/>
      <c r="Q284" s="29" t="n"/>
      <c r="R284" s="29" t="n"/>
      <c r="S284" s="29" t="n"/>
      <c r="T284" s="29" t="n"/>
      <c r="U284" s="29" t="n"/>
      <c r="V284" s="29" t="n"/>
      <c r="W284" s="29" t="n"/>
    </row>
    <row r="285" ht="54" customHeight="1">
      <c r="A285" s="29" t="n"/>
      <c r="B285" s="29" t="n"/>
      <c r="C285" s="29" t="n"/>
      <c r="D285" s="29" t="n"/>
      <c r="E285" s="29" t="n"/>
      <c r="F285" s="29" t="n"/>
      <c r="G285" s="29" t="n"/>
      <c r="H285" s="29" t="n"/>
      <c r="I285" s="29" t="n"/>
      <c r="J285" s="29" t="n"/>
      <c r="K285" s="29" t="n"/>
      <c r="L285" s="49" t="n"/>
      <c r="M285" s="29" t="n"/>
      <c r="N285" s="29" t="n"/>
      <c r="O285" s="29" t="n"/>
      <c r="P285" s="29" t="n"/>
      <c r="Q285" s="29" t="n"/>
      <c r="R285" s="29" t="n"/>
      <c r="S285" s="29" t="n"/>
      <c r="T285" s="29" t="n"/>
      <c r="U285" s="29" t="n"/>
      <c r="V285" s="29" t="n"/>
      <c r="W285" s="29" t="n"/>
    </row>
    <row r="286" ht="54" customHeight="1">
      <c r="A286" s="29" t="n"/>
      <c r="B286" s="29" t="n"/>
      <c r="C286" s="29" t="n"/>
      <c r="D286" s="29" t="n"/>
      <c r="E286" s="29" t="n"/>
      <c r="F286" s="29" t="n"/>
      <c r="G286" s="29" t="n"/>
      <c r="H286" s="29" t="n"/>
      <c r="I286" s="29" t="n"/>
      <c r="J286" s="29" t="n"/>
      <c r="K286" s="29" t="n"/>
      <c r="L286" s="49" t="n"/>
      <c r="M286" s="29" t="n"/>
      <c r="N286" s="29" t="n"/>
      <c r="O286" s="29" t="n"/>
      <c r="P286" s="29" t="n"/>
      <c r="Q286" s="29" t="n"/>
      <c r="R286" s="29" t="n"/>
      <c r="S286" s="29" t="n"/>
      <c r="T286" s="29" t="n"/>
      <c r="U286" s="29" t="n"/>
      <c r="V286" s="29" t="n"/>
      <c r="W286" s="29" t="n"/>
    </row>
    <row r="287" ht="54" customHeight="1">
      <c r="A287" s="29" t="n"/>
      <c r="B287" s="29" t="n"/>
      <c r="C287" s="29" t="n"/>
      <c r="D287" s="29" t="n"/>
      <c r="E287" s="29" t="n"/>
      <c r="F287" s="29" t="n"/>
      <c r="G287" s="29" t="n"/>
      <c r="H287" s="29" t="n"/>
      <c r="I287" s="29" t="n"/>
      <c r="J287" s="29" t="n"/>
      <c r="K287" s="29" t="n"/>
      <c r="L287" s="49" t="n"/>
      <c r="M287" s="29" t="n"/>
      <c r="N287" s="29" t="n"/>
      <c r="O287" s="29" t="n"/>
      <c r="P287" s="29" t="n"/>
      <c r="Q287" s="29" t="n"/>
      <c r="R287" s="29" t="n"/>
      <c r="S287" s="29" t="n"/>
      <c r="T287" s="29" t="n"/>
      <c r="U287" s="29" t="n"/>
      <c r="V287" s="29" t="n"/>
      <c r="W287" s="29" t="n"/>
    </row>
    <row r="288" ht="54" customHeight="1">
      <c r="A288" s="29" t="n"/>
      <c r="B288" s="29" t="n"/>
      <c r="C288" s="29" t="n"/>
      <c r="D288" s="29" t="n"/>
      <c r="E288" s="29" t="n"/>
      <c r="F288" s="29" t="n"/>
      <c r="G288" s="29" t="n"/>
      <c r="H288" s="29" t="n"/>
      <c r="I288" s="29" t="n"/>
      <c r="J288" s="29" t="n"/>
      <c r="K288" s="29" t="n"/>
      <c r="L288" s="49" t="n"/>
      <c r="M288" s="29" t="n"/>
      <c r="N288" s="29" t="n"/>
      <c r="O288" s="29" t="n"/>
      <c r="P288" s="29" t="n"/>
      <c r="Q288" s="29" t="n"/>
      <c r="R288" s="29" t="n"/>
      <c r="S288" s="29" t="n"/>
      <c r="T288" s="29" t="n"/>
      <c r="U288" s="29" t="n"/>
      <c r="V288" s="29" t="n"/>
      <c r="W288" s="29" t="n"/>
    </row>
    <row r="289" ht="54" customHeight="1">
      <c r="A289" s="29" t="n"/>
      <c r="B289" s="29" t="n"/>
      <c r="C289" s="29" t="n"/>
      <c r="D289" s="29" t="n"/>
      <c r="E289" s="29" t="n"/>
      <c r="F289" s="29" t="n"/>
      <c r="G289" s="29" t="n"/>
      <c r="H289" s="29" t="n"/>
      <c r="I289" s="29" t="n"/>
      <c r="J289" s="29" t="n"/>
      <c r="K289" s="29" t="n"/>
      <c r="L289" s="49" t="n"/>
      <c r="M289" s="29" t="n"/>
      <c r="N289" s="29" t="n"/>
      <c r="O289" s="29" t="n"/>
      <c r="P289" s="29" t="n"/>
      <c r="Q289" s="29" t="n"/>
      <c r="R289" s="29" t="n"/>
      <c r="S289" s="29" t="n"/>
      <c r="T289" s="29" t="n"/>
      <c r="U289" s="29" t="n"/>
      <c r="V289" s="29" t="n"/>
      <c r="W289" s="29" t="n"/>
    </row>
    <row r="290" ht="54" customHeight="1">
      <c r="A290" s="29" t="n"/>
      <c r="B290" s="29" t="n"/>
      <c r="C290" s="29" t="n"/>
      <c r="D290" s="29" t="n"/>
      <c r="E290" s="29" t="n"/>
      <c r="F290" s="29" t="n"/>
      <c r="G290" s="29" t="n"/>
      <c r="H290" s="29" t="n"/>
      <c r="I290" s="29" t="n"/>
      <c r="J290" s="29" t="n"/>
      <c r="K290" s="29" t="n"/>
      <c r="L290" s="49" t="n"/>
      <c r="M290" s="29" t="n"/>
      <c r="N290" s="29" t="n"/>
      <c r="O290" s="29" t="n"/>
      <c r="P290" s="29" t="n"/>
      <c r="Q290" s="29" t="n"/>
      <c r="R290" s="29" t="n"/>
      <c r="S290" s="29" t="n"/>
      <c r="T290" s="29" t="n"/>
      <c r="U290" s="29" t="n"/>
      <c r="V290" s="29" t="n"/>
      <c r="W290" s="29" t="n"/>
    </row>
    <row r="291" ht="54" customHeight="1">
      <c r="A291" s="29" t="n"/>
      <c r="B291" s="29" t="n"/>
      <c r="C291" s="29" t="n"/>
      <c r="D291" s="29" t="n"/>
      <c r="E291" s="29" t="n"/>
      <c r="F291" s="29" t="n"/>
      <c r="G291" s="29" t="n"/>
      <c r="H291" s="29" t="n"/>
      <c r="I291" s="29" t="n"/>
      <c r="J291" s="29" t="n"/>
      <c r="K291" s="29" t="n"/>
      <c r="L291" s="49" t="n"/>
      <c r="M291" s="29" t="n"/>
      <c r="N291" s="29" t="n"/>
      <c r="O291" s="29" t="n"/>
      <c r="P291" s="29" t="n"/>
      <c r="Q291" s="29" t="n"/>
      <c r="R291" s="29" t="n"/>
      <c r="S291" s="29" t="n"/>
      <c r="T291" s="29" t="n"/>
      <c r="U291" s="29" t="n"/>
      <c r="V291" s="29" t="n"/>
      <c r="W291" s="29" t="n"/>
    </row>
    <row r="292" ht="54" customHeight="1">
      <c r="A292" s="29" t="n"/>
      <c r="B292" s="29" t="n"/>
      <c r="C292" s="29" t="n"/>
      <c r="D292" s="29" t="n"/>
      <c r="E292" s="29" t="n"/>
      <c r="F292" s="29" t="n"/>
      <c r="G292" s="29" t="n"/>
      <c r="H292" s="29" t="n"/>
      <c r="I292" s="29" t="n"/>
      <c r="J292" s="29" t="n"/>
      <c r="K292" s="29" t="n"/>
      <c r="L292" s="49" t="n"/>
      <c r="M292" s="29" t="n"/>
      <c r="N292" s="29" t="n"/>
      <c r="O292" s="29" t="n"/>
      <c r="P292" s="29" t="n"/>
      <c r="Q292" s="29" t="n"/>
      <c r="R292" s="29" t="n"/>
      <c r="S292" s="29" t="n"/>
      <c r="T292" s="29" t="n"/>
      <c r="U292" s="29" t="n"/>
      <c r="V292" s="29" t="n"/>
      <c r="W292" s="29" t="n"/>
    </row>
    <row r="293" ht="54" customHeight="1">
      <c r="A293" s="29" t="n"/>
      <c r="B293" s="29" t="n"/>
      <c r="C293" s="29" t="n"/>
      <c r="D293" s="29" t="n"/>
      <c r="E293" s="29" t="n"/>
      <c r="F293" s="29" t="n"/>
      <c r="G293" s="29" t="n"/>
      <c r="H293" s="29" t="n"/>
      <c r="I293" s="29" t="n"/>
      <c r="J293" s="29" t="n"/>
      <c r="K293" s="29" t="n"/>
      <c r="L293" s="49" t="n"/>
      <c r="M293" s="29" t="n"/>
      <c r="N293" s="29" t="n"/>
      <c r="O293" s="29" t="n"/>
      <c r="P293" s="29" t="n"/>
      <c r="Q293" s="29" t="n"/>
      <c r="R293" s="29" t="n"/>
      <c r="S293" s="29" t="n"/>
      <c r="T293" s="29" t="n"/>
      <c r="U293" s="29" t="n"/>
      <c r="V293" s="29" t="n"/>
      <c r="W293" s="29" t="n"/>
    </row>
    <row r="294" ht="54" customHeight="1">
      <c r="A294" s="29" t="n"/>
      <c r="B294" s="29" t="n"/>
      <c r="C294" s="29" t="n"/>
      <c r="D294" s="29" t="n"/>
      <c r="E294" s="29" t="n"/>
      <c r="F294" s="29" t="n"/>
      <c r="G294" s="29" t="n"/>
      <c r="H294" s="29" t="n"/>
      <c r="I294" s="29" t="n"/>
      <c r="J294" s="29" t="n"/>
      <c r="K294" s="29" t="n"/>
      <c r="L294" s="49" t="n"/>
      <c r="M294" s="29" t="n"/>
      <c r="N294" s="29" t="n"/>
      <c r="O294" s="29" t="n"/>
      <c r="P294" s="29" t="n"/>
      <c r="Q294" s="29" t="n"/>
      <c r="R294" s="29" t="n"/>
      <c r="S294" s="29" t="n"/>
      <c r="T294" s="29" t="n"/>
      <c r="U294" s="29" t="n"/>
      <c r="V294" s="29" t="n"/>
      <c r="W294" s="29" t="n"/>
    </row>
    <row r="295" ht="54" customHeight="1">
      <c r="A295" s="29" t="n"/>
      <c r="B295" s="29" t="n"/>
      <c r="C295" s="29" t="n"/>
      <c r="D295" s="29" t="n"/>
      <c r="E295" s="29" t="n"/>
      <c r="F295" s="29" t="n"/>
      <c r="G295" s="29" t="n"/>
      <c r="H295" s="29" t="n"/>
      <c r="I295" s="29" t="n"/>
      <c r="J295" s="29" t="n"/>
      <c r="K295" s="29" t="n"/>
      <c r="L295" s="49" t="n"/>
      <c r="M295" s="29" t="n"/>
      <c r="N295" s="29" t="n"/>
      <c r="O295" s="29" t="n"/>
      <c r="P295" s="29" t="n"/>
      <c r="Q295" s="29" t="n"/>
      <c r="R295" s="29" t="n"/>
      <c r="S295" s="29" t="n"/>
      <c r="T295" s="29" t="n"/>
      <c r="U295" s="29" t="n"/>
      <c r="V295" s="29" t="n"/>
      <c r="W295" s="29" t="n"/>
    </row>
    <row r="296" ht="54" customHeight="1">
      <c r="A296" s="29" t="n"/>
      <c r="B296" s="29" t="n"/>
      <c r="C296" s="29" t="n"/>
      <c r="D296" s="29" t="n"/>
      <c r="E296" s="29" t="n"/>
      <c r="F296" s="29" t="n"/>
      <c r="G296" s="29" t="n"/>
      <c r="H296" s="29" t="n"/>
      <c r="I296" s="29" t="n"/>
      <c r="J296" s="29" t="n"/>
      <c r="K296" s="29" t="n"/>
      <c r="L296" s="49" t="n"/>
      <c r="M296" s="29" t="n"/>
      <c r="N296" s="29" t="n"/>
      <c r="O296" s="29" t="n"/>
      <c r="P296" s="29" t="n"/>
      <c r="Q296" s="29" t="n"/>
      <c r="R296" s="29" t="n"/>
      <c r="S296" s="29" t="n"/>
      <c r="T296" s="29" t="n"/>
      <c r="U296" s="29" t="n"/>
      <c r="V296" s="29" t="n"/>
      <c r="W296" s="29" t="n"/>
    </row>
    <row r="297" ht="54" customHeight="1">
      <c r="A297" s="29" t="n"/>
      <c r="B297" s="29" t="n"/>
      <c r="C297" s="29" t="n"/>
      <c r="D297" s="29" t="n"/>
      <c r="E297" s="29" t="n"/>
      <c r="F297" s="29" t="n"/>
      <c r="G297" s="29" t="n"/>
      <c r="H297" s="29" t="n"/>
      <c r="I297" s="29" t="n"/>
      <c r="J297" s="29" t="n"/>
      <c r="K297" s="29" t="n"/>
      <c r="L297" s="49" t="n"/>
      <c r="M297" s="29" t="n"/>
      <c r="N297" s="29" t="n"/>
      <c r="O297" s="29" t="n"/>
      <c r="P297" s="29" t="n"/>
      <c r="Q297" s="29" t="n"/>
      <c r="R297" s="29" t="n"/>
      <c r="S297" s="29" t="n"/>
      <c r="T297" s="29" t="n"/>
      <c r="U297" s="29" t="n"/>
      <c r="V297" s="29" t="n"/>
      <c r="W297" s="29" t="n"/>
    </row>
    <row r="298" ht="54" customHeight="1">
      <c r="A298" s="29" t="n"/>
      <c r="B298" s="29" t="n"/>
      <c r="C298" s="29" t="n"/>
      <c r="D298" s="29" t="n"/>
      <c r="E298" s="29" t="n"/>
      <c r="F298" s="29" t="n"/>
      <c r="G298" s="29" t="n"/>
      <c r="H298" s="29" t="n"/>
      <c r="I298" s="29" t="n"/>
      <c r="J298" s="29" t="n"/>
      <c r="K298" s="29" t="n"/>
      <c r="L298" s="49" t="n"/>
      <c r="M298" s="29" t="n"/>
      <c r="N298" s="29" t="n"/>
      <c r="O298" s="29" t="n"/>
      <c r="P298" s="29" t="n"/>
      <c r="Q298" s="29" t="n"/>
      <c r="R298" s="29" t="n"/>
      <c r="S298" s="29" t="n"/>
      <c r="T298" s="29" t="n"/>
      <c r="U298" s="29" t="n"/>
      <c r="V298" s="29" t="n"/>
      <c r="W298" s="29" t="n"/>
    </row>
    <row r="299" ht="54" customHeight="1">
      <c r="A299" s="29" t="n"/>
      <c r="B299" s="29" t="n"/>
      <c r="C299" s="29" t="n"/>
      <c r="D299" s="29" t="n"/>
      <c r="E299" s="29" t="n"/>
      <c r="F299" s="29" t="n"/>
      <c r="G299" s="29" t="n"/>
      <c r="H299" s="29" t="n"/>
      <c r="I299" s="29" t="n"/>
      <c r="J299" s="29" t="n"/>
      <c r="K299" s="29" t="n"/>
      <c r="L299" s="49" t="n"/>
      <c r="M299" s="29" t="n"/>
      <c r="N299" s="29" t="n"/>
      <c r="O299" s="29" t="n"/>
      <c r="P299" s="29" t="n"/>
      <c r="Q299" s="29" t="n"/>
      <c r="R299" s="29" t="n"/>
      <c r="S299" s="29" t="n"/>
      <c r="T299" s="29" t="n"/>
      <c r="U299" s="29" t="n"/>
      <c r="V299" s="29" t="n"/>
      <c r="W299" s="29" t="n"/>
    </row>
    <row r="300" ht="54" customHeight="1">
      <c r="A300" s="29" t="n"/>
      <c r="B300" s="29" t="n"/>
      <c r="C300" s="29" t="n"/>
      <c r="D300" s="29" t="n"/>
      <c r="E300" s="29" t="n"/>
      <c r="F300" s="29" t="n"/>
      <c r="G300" s="29" t="n"/>
      <c r="H300" s="29" t="n"/>
      <c r="I300" s="29" t="n"/>
      <c r="J300" s="29" t="n"/>
      <c r="K300" s="29" t="n"/>
      <c r="L300" s="49" t="n"/>
      <c r="M300" s="29" t="n"/>
      <c r="N300" s="29" t="n"/>
      <c r="O300" s="29" t="n"/>
      <c r="P300" s="29" t="n"/>
      <c r="Q300" s="29" t="n"/>
      <c r="R300" s="29" t="n"/>
      <c r="S300" s="29" t="n"/>
      <c r="T300" s="29" t="n"/>
      <c r="U300" s="29" t="n"/>
      <c r="V300" s="29" t="n"/>
      <c r="W300" s="29" t="n"/>
    </row>
    <row r="301" ht="54" customHeight="1">
      <c r="A301" s="29" t="n"/>
      <c r="B301" s="29" t="n"/>
      <c r="C301" s="29" t="n"/>
      <c r="D301" s="29" t="n"/>
      <c r="E301" s="29" t="n"/>
      <c r="F301" s="29" t="n"/>
      <c r="G301" s="29" t="n"/>
      <c r="H301" s="29" t="n"/>
      <c r="I301" s="29" t="n"/>
      <c r="J301" s="29" t="n"/>
      <c r="K301" s="29" t="n"/>
      <c r="L301" s="49" t="n"/>
      <c r="M301" s="29" t="n"/>
      <c r="N301" s="29" t="n"/>
      <c r="O301" s="29" t="n"/>
      <c r="P301" s="29" t="n"/>
      <c r="Q301" s="29" t="n"/>
      <c r="R301" s="29" t="n"/>
      <c r="S301" s="29" t="n"/>
      <c r="T301" s="29" t="n"/>
      <c r="U301" s="29" t="n"/>
      <c r="V301" s="29" t="n"/>
      <c r="W301" s="29" t="n"/>
    </row>
    <row r="302" ht="54" customHeight="1">
      <c r="A302" s="29" t="n"/>
      <c r="B302" s="29" t="n"/>
      <c r="C302" s="29" t="n"/>
      <c r="D302" s="29" t="n"/>
      <c r="E302" s="29" t="n"/>
      <c r="F302" s="29" t="n"/>
      <c r="G302" s="29" t="n"/>
      <c r="H302" s="29" t="n"/>
      <c r="I302" s="29" t="n"/>
      <c r="J302" s="29" t="n"/>
      <c r="K302" s="29" t="n"/>
      <c r="L302" s="49" t="n"/>
      <c r="M302" s="29" t="n"/>
      <c r="N302" s="29" t="n"/>
      <c r="O302" s="29" t="n"/>
      <c r="P302" s="29" t="n"/>
      <c r="Q302" s="29" t="n"/>
      <c r="R302" s="29" t="n"/>
      <c r="S302" s="29" t="n"/>
      <c r="T302" s="29" t="n"/>
      <c r="U302" s="29" t="n"/>
      <c r="V302" s="29" t="n"/>
      <c r="W302" s="29" t="n"/>
    </row>
    <row r="303" ht="54" customHeight="1">
      <c r="A303" s="29" t="n"/>
      <c r="B303" s="29" t="n"/>
      <c r="C303" s="29" t="n"/>
      <c r="D303" s="29" t="n"/>
      <c r="E303" s="29" t="n"/>
      <c r="F303" s="29" t="n"/>
      <c r="G303" s="29" t="n"/>
      <c r="H303" s="29" t="n"/>
      <c r="I303" s="29" t="n"/>
      <c r="J303" s="29" t="n"/>
      <c r="K303" s="29" t="n"/>
      <c r="L303" s="49" t="n"/>
      <c r="M303" s="29" t="n"/>
      <c r="N303" s="29" t="n"/>
      <c r="O303" s="29" t="n"/>
      <c r="P303" s="29" t="n"/>
      <c r="Q303" s="29" t="n"/>
      <c r="R303" s="29" t="n"/>
      <c r="S303" s="29" t="n"/>
      <c r="T303" s="29" t="n"/>
      <c r="U303" s="29" t="n"/>
      <c r="V303" s="29" t="n"/>
      <c r="W303" s="29" t="n"/>
    </row>
    <row r="304" ht="54" customHeight="1">
      <c r="A304" s="29" t="n"/>
      <c r="B304" s="29" t="n"/>
      <c r="C304" s="29" t="n"/>
      <c r="D304" s="29" t="n"/>
      <c r="E304" s="29" t="n"/>
      <c r="F304" s="29" t="n"/>
      <c r="G304" s="29" t="n"/>
      <c r="H304" s="29" t="n"/>
      <c r="I304" s="29" t="n"/>
      <c r="J304" s="29" t="n"/>
      <c r="K304" s="29" t="n"/>
      <c r="L304" s="49" t="n"/>
      <c r="M304" s="29" t="n"/>
      <c r="N304" s="29" t="n"/>
      <c r="O304" s="29" t="n"/>
      <c r="P304" s="29" t="n"/>
      <c r="Q304" s="29" t="n"/>
      <c r="R304" s="29" t="n"/>
      <c r="S304" s="29" t="n"/>
      <c r="T304" s="29" t="n"/>
      <c r="U304" s="29" t="n"/>
      <c r="V304" s="29" t="n"/>
      <c r="W304" s="29" t="n"/>
    </row>
    <row r="305" ht="54" customHeight="1">
      <c r="A305" s="29" t="n"/>
      <c r="B305" s="29" t="n"/>
      <c r="C305" s="29" t="n"/>
      <c r="D305" s="29" t="n"/>
      <c r="E305" s="29" t="n"/>
      <c r="F305" s="29" t="n"/>
      <c r="G305" s="29" t="n"/>
      <c r="H305" s="29" t="n"/>
      <c r="I305" s="29" t="n"/>
      <c r="J305" s="29" t="n"/>
      <c r="K305" s="29" t="n"/>
      <c r="L305" s="49" t="n"/>
      <c r="M305" s="29" t="n"/>
      <c r="N305" s="29" t="n"/>
      <c r="O305" s="29" t="n"/>
      <c r="P305" s="29" t="n"/>
      <c r="Q305" s="29" t="n"/>
      <c r="R305" s="29" t="n"/>
      <c r="S305" s="29" t="n"/>
      <c r="T305" s="29" t="n"/>
      <c r="U305" s="29" t="n"/>
      <c r="V305" s="29" t="n"/>
      <c r="W305" s="29" t="n"/>
    </row>
    <row r="306" ht="54" customHeight="1">
      <c r="A306" s="29" t="n"/>
      <c r="B306" s="29" t="n"/>
      <c r="C306" s="29" t="n"/>
      <c r="D306" s="29" t="n"/>
      <c r="E306" s="29" t="n"/>
      <c r="F306" s="29" t="n"/>
      <c r="G306" s="29" t="n"/>
      <c r="H306" s="29" t="n"/>
      <c r="I306" s="29" t="n"/>
      <c r="J306" s="29" t="n"/>
      <c r="K306" s="29" t="n"/>
      <c r="L306" s="49" t="n"/>
      <c r="M306" s="29" t="n"/>
      <c r="N306" s="29" t="n"/>
      <c r="O306" s="29" t="n"/>
      <c r="P306" s="29" t="n"/>
      <c r="Q306" s="29" t="n"/>
      <c r="R306" s="29" t="n"/>
      <c r="S306" s="29" t="n"/>
      <c r="T306" s="29" t="n"/>
      <c r="U306" s="29" t="n"/>
      <c r="V306" s="29" t="n"/>
      <c r="W306" s="29" t="n"/>
    </row>
    <row r="307" ht="54" customHeight="1">
      <c r="A307" s="29" t="n"/>
      <c r="B307" s="29" t="n"/>
      <c r="C307" s="29" t="n"/>
      <c r="D307" s="29" t="n"/>
      <c r="E307" s="29" t="n"/>
      <c r="F307" s="29" t="n"/>
      <c r="G307" s="29" t="n"/>
      <c r="H307" s="29" t="n"/>
      <c r="I307" s="29" t="n"/>
      <c r="J307" s="29" t="n"/>
      <c r="K307" s="29" t="n"/>
      <c r="L307" s="49" t="n"/>
      <c r="M307" s="29" t="n"/>
      <c r="N307" s="29" t="n"/>
      <c r="O307" s="29" t="n"/>
      <c r="P307" s="29" t="n"/>
      <c r="Q307" s="29" t="n"/>
      <c r="R307" s="29" t="n"/>
      <c r="S307" s="29" t="n"/>
      <c r="T307" s="29" t="n"/>
      <c r="U307" s="29" t="n"/>
      <c r="V307" s="29" t="n"/>
      <c r="W307" s="29" t="n"/>
    </row>
    <row r="308" ht="54" customHeight="1">
      <c r="A308" s="29" t="n"/>
      <c r="B308" s="29" t="n"/>
      <c r="C308" s="29" t="n"/>
      <c r="D308" s="29" t="n"/>
      <c r="E308" s="29" t="n"/>
      <c r="F308" s="29" t="n"/>
      <c r="G308" s="29" t="n"/>
      <c r="H308" s="29" t="n"/>
      <c r="I308" s="29" t="n"/>
      <c r="J308" s="29" t="n"/>
      <c r="K308" s="29" t="n"/>
      <c r="L308" s="49" t="n"/>
      <c r="M308" s="29" t="n"/>
      <c r="N308" s="29" t="n"/>
      <c r="O308" s="29" t="n"/>
      <c r="P308" s="29" t="n"/>
      <c r="Q308" s="29" t="n"/>
      <c r="R308" s="29" t="n"/>
      <c r="S308" s="29" t="n"/>
      <c r="T308" s="29" t="n"/>
      <c r="U308" s="29" t="n"/>
      <c r="V308" s="29" t="n"/>
      <c r="W308" s="29" t="n"/>
    </row>
    <row r="309" ht="54" customHeight="1">
      <c r="A309" s="29" t="n"/>
      <c r="B309" s="29" t="n"/>
      <c r="C309" s="29" t="n"/>
      <c r="D309" s="29" t="n"/>
      <c r="E309" s="29" t="n"/>
      <c r="F309" s="29" t="n"/>
      <c r="G309" s="29" t="n"/>
      <c r="H309" s="29" t="n"/>
      <c r="I309" s="29" t="n"/>
      <c r="J309" s="29" t="n"/>
      <c r="K309" s="29" t="n"/>
      <c r="L309" s="49" t="n"/>
      <c r="M309" s="29" t="n"/>
      <c r="N309" s="29" t="n"/>
      <c r="O309" s="29" t="n"/>
      <c r="P309" s="29" t="n"/>
      <c r="Q309" s="29" t="n"/>
      <c r="R309" s="29" t="n"/>
      <c r="S309" s="29" t="n"/>
      <c r="T309" s="29" t="n"/>
      <c r="U309" s="29" t="n"/>
      <c r="V309" s="29" t="n"/>
      <c r="W309" s="29" t="n"/>
    </row>
    <row r="310" ht="54" customHeight="1">
      <c r="A310" s="29" t="n"/>
      <c r="B310" s="29" t="n"/>
      <c r="C310" s="29" t="n"/>
      <c r="D310" s="29" t="n"/>
      <c r="E310" s="29" t="n"/>
      <c r="F310" s="29" t="n"/>
      <c r="G310" s="29" t="n"/>
      <c r="H310" s="29" t="n"/>
      <c r="I310" s="29" t="n"/>
      <c r="J310" s="29" t="n"/>
      <c r="K310" s="29" t="n"/>
      <c r="L310" s="49" t="n"/>
      <c r="M310" s="29" t="n"/>
      <c r="N310" s="29" t="n"/>
      <c r="O310" s="29" t="n"/>
      <c r="P310" s="29" t="n"/>
      <c r="Q310" s="29" t="n"/>
      <c r="R310" s="29" t="n"/>
      <c r="S310" s="29" t="n"/>
      <c r="T310" s="29" t="n"/>
      <c r="U310" s="29" t="n"/>
      <c r="V310" s="29" t="n"/>
      <c r="W310" s="29" t="n"/>
    </row>
    <row r="311" ht="54" customHeight="1">
      <c r="A311" s="29" t="n"/>
      <c r="B311" s="29" t="n"/>
      <c r="C311" s="29" t="n"/>
      <c r="D311" s="29" t="n"/>
      <c r="E311" s="29" t="n"/>
      <c r="F311" s="29" t="n"/>
      <c r="G311" s="29" t="n"/>
      <c r="H311" s="29" t="n"/>
      <c r="I311" s="29" t="n"/>
      <c r="J311" s="29" t="n"/>
      <c r="K311" s="29" t="n"/>
      <c r="L311" s="49" t="n"/>
      <c r="M311" s="29" t="n"/>
      <c r="N311" s="29" t="n"/>
      <c r="O311" s="29" t="n"/>
      <c r="P311" s="29" t="n"/>
      <c r="Q311" s="29" t="n"/>
      <c r="R311" s="29" t="n"/>
      <c r="S311" s="29" t="n"/>
      <c r="T311" s="29" t="n"/>
      <c r="U311" s="29" t="n"/>
      <c r="V311" s="29" t="n"/>
      <c r="W311" s="29" t="n"/>
    </row>
    <row r="312" ht="54" customHeight="1">
      <c r="A312" s="29" t="n"/>
      <c r="B312" s="29" t="n"/>
      <c r="C312" s="29" t="n"/>
      <c r="D312" s="29" t="n"/>
      <c r="E312" s="29" t="n"/>
      <c r="F312" s="29" t="n"/>
      <c r="G312" s="29" t="n"/>
      <c r="H312" s="29" t="n"/>
      <c r="I312" s="29" t="n"/>
      <c r="J312" s="29" t="n"/>
      <c r="K312" s="29" t="n"/>
      <c r="L312" s="49" t="n"/>
      <c r="M312" s="29" t="n"/>
      <c r="N312" s="29" t="n"/>
      <c r="O312" s="29" t="n"/>
      <c r="P312" s="29" t="n"/>
      <c r="Q312" s="29" t="n"/>
      <c r="R312" s="29" t="n"/>
      <c r="S312" s="29" t="n"/>
      <c r="T312" s="29" t="n"/>
      <c r="U312" s="29" t="n"/>
      <c r="V312" s="29" t="n"/>
      <c r="W312" s="29" t="n"/>
    </row>
    <row r="313" ht="54" customHeight="1">
      <c r="A313" s="29" t="n"/>
      <c r="B313" s="29" t="n"/>
      <c r="C313" s="29" t="n"/>
      <c r="D313" s="29" t="n"/>
      <c r="E313" s="29" t="n"/>
      <c r="F313" s="29" t="n"/>
      <c r="G313" s="29" t="n"/>
      <c r="H313" s="29" t="n"/>
      <c r="I313" s="29" t="n"/>
      <c r="J313" s="29" t="n"/>
      <c r="K313" s="29" t="n"/>
      <c r="L313" s="49" t="n"/>
      <c r="M313" s="29" t="n"/>
      <c r="N313" s="29" t="n"/>
      <c r="O313" s="29" t="n"/>
      <c r="P313" s="29" t="n"/>
      <c r="Q313" s="29" t="n"/>
      <c r="R313" s="29" t="n"/>
      <c r="S313" s="29" t="n"/>
      <c r="T313" s="29" t="n"/>
      <c r="U313" s="29" t="n"/>
      <c r="V313" s="29" t="n"/>
      <c r="W313" s="29" t="n"/>
    </row>
    <row r="314" ht="54" customHeight="1">
      <c r="A314" s="29" t="n"/>
      <c r="B314" s="29" t="n"/>
      <c r="C314" s="29" t="n"/>
      <c r="D314" s="29" t="n"/>
      <c r="E314" s="29" t="n"/>
      <c r="F314" s="29" t="n"/>
      <c r="G314" s="29" t="n"/>
      <c r="H314" s="29" t="n"/>
      <c r="I314" s="29" t="n"/>
      <c r="J314" s="29" t="n"/>
      <c r="K314" s="29" t="n"/>
      <c r="L314" s="49" t="n"/>
      <c r="M314" s="29" t="n"/>
      <c r="N314" s="29" t="n"/>
      <c r="O314" s="29" t="n"/>
      <c r="P314" s="29" t="n"/>
      <c r="Q314" s="29" t="n"/>
      <c r="R314" s="29" t="n"/>
      <c r="S314" s="29" t="n"/>
      <c r="T314" s="29" t="n"/>
      <c r="U314" s="29" t="n"/>
      <c r="V314" s="29" t="n"/>
      <c r="W314" s="29" t="n"/>
    </row>
    <row r="315" ht="54" customHeight="1">
      <c r="A315" s="29" t="n"/>
      <c r="B315" s="29" t="n"/>
      <c r="C315" s="29" t="n"/>
      <c r="D315" s="29" t="n"/>
      <c r="E315" s="29" t="n"/>
      <c r="F315" s="29" t="n"/>
      <c r="G315" s="29" t="n"/>
      <c r="H315" s="29" t="n"/>
      <c r="I315" s="29" t="n"/>
      <c r="J315" s="29" t="n"/>
      <c r="K315" s="29" t="n"/>
      <c r="L315" s="49" t="n"/>
      <c r="M315" s="29" t="n"/>
      <c r="N315" s="29" t="n"/>
      <c r="O315" s="29" t="n"/>
      <c r="P315" s="29" t="n"/>
      <c r="Q315" s="29" t="n"/>
      <c r="R315" s="29" t="n"/>
      <c r="S315" s="29" t="n"/>
      <c r="T315" s="29" t="n"/>
      <c r="U315" s="29" t="n"/>
      <c r="V315" s="29" t="n"/>
      <c r="W315" s="29" t="n"/>
    </row>
    <row r="316" ht="54" customHeight="1">
      <c r="A316" s="29" t="n"/>
      <c r="B316" s="29" t="n"/>
      <c r="C316" s="29" t="n"/>
      <c r="D316" s="29" t="n"/>
      <c r="E316" s="29" t="n"/>
      <c r="F316" s="29" t="n"/>
      <c r="G316" s="29" t="n"/>
      <c r="H316" s="29" t="n"/>
      <c r="I316" s="29" t="n"/>
      <c r="J316" s="29" t="n"/>
      <c r="K316" s="29" t="n"/>
      <c r="L316" s="49" t="n"/>
      <c r="M316" s="29" t="n"/>
      <c r="N316" s="29" t="n"/>
      <c r="O316" s="29" t="n"/>
      <c r="P316" s="29" t="n"/>
      <c r="Q316" s="29" t="n"/>
      <c r="R316" s="29" t="n"/>
      <c r="S316" s="29" t="n"/>
      <c r="T316" s="29" t="n"/>
      <c r="U316" s="29" t="n"/>
      <c r="V316" s="29" t="n"/>
      <c r="W316" s="29" t="n"/>
    </row>
    <row r="317" ht="54" customHeight="1">
      <c r="A317" s="29" t="n"/>
      <c r="B317" s="29" t="n"/>
      <c r="C317" s="29" t="n"/>
      <c r="D317" s="29" t="n"/>
      <c r="E317" s="29" t="n"/>
      <c r="F317" s="29" t="n"/>
      <c r="G317" s="29" t="n"/>
      <c r="H317" s="29" t="n"/>
      <c r="I317" s="29" t="n"/>
      <c r="J317" s="29" t="n"/>
      <c r="K317" s="29" t="n"/>
      <c r="L317" s="49" t="n"/>
      <c r="M317" s="29" t="n"/>
      <c r="N317" s="29" t="n"/>
      <c r="O317" s="29" t="n"/>
      <c r="P317" s="29" t="n"/>
      <c r="Q317" s="29" t="n"/>
      <c r="R317" s="29" t="n"/>
      <c r="S317" s="29" t="n"/>
      <c r="T317" s="29" t="n"/>
      <c r="U317" s="29" t="n"/>
      <c r="V317" s="29" t="n"/>
      <c r="W317" s="29" t="n"/>
    </row>
    <row r="318" ht="54" customHeight="1">
      <c r="A318" s="29" t="n"/>
      <c r="B318" s="29" t="n"/>
      <c r="C318" s="29" t="n"/>
      <c r="D318" s="29" t="n"/>
      <c r="E318" s="29" t="n"/>
      <c r="F318" s="29" t="n"/>
      <c r="G318" s="29" t="n"/>
      <c r="H318" s="29" t="n"/>
      <c r="I318" s="29" t="n"/>
      <c r="J318" s="29" t="n"/>
      <c r="K318" s="29" t="n"/>
      <c r="L318" s="49" t="n"/>
      <c r="M318" s="29" t="n"/>
      <c r="N318" s="29" t="n"/>
      <c r="O318" s="29" t="n"/>
      <c r="P318" s="29" t="n"/>
      <c r="Q318" s="29" t="n"/>
      <c r="R318" s="29" t="n"/>
      <c r="S318" s="29" t="n"/>
      <c r="T318" s="29" t="n"/>
      <c r="U318" s="29" t="n"/>
      <c r="V318" s="29" t="n"/>
      <c r="W318" s="29" t="n"/>
    </row>
    <row r="319" ht="54" customHeight="1">
      <c r="A319" s="29" t="n"/>
      <c r="B319" s="29" t="n"/>
      <c r="C319" s="29" t="n"/>
      <c r="D319" s="29" t="n"/>
      <c r="E319" s="29" t="n"/>
      <c r="F319" s="29" t="n"/>
      <c r="G319" s="29" t="n"/>
      <c r="H319" s="29" t="n"/>
      <c r="I319" s="29" t="n"/>
      <c r="J319" s="29" t="n"/>
      <c r="K319" s="29" t="n"/>
      <c r="L319" s="49" t="n"/>
      <c r="M319" s="29" t="n"/>
      <c r="N319" s="29" t="n"/>
      <c r="O319" s="29" t="n"/>
      <c r="P319" s="29" t="n"/>
      <c r="Q319" s="29" t="n"/>
      <c r="R319" s="29" t="n"/>
      <c r="S319" s="29" t="n"/>
      <c r="T319" s="29" t="n"/>
      <c r="U319" s="29" t="n"/>
      <c r="V319" s="29" t="n"/>
      <c r="W319" s="29" t="n"/>
    </row>
    <row r="320" ht="54" customHeight="1">
      <c r="A320" s="29" t="n"/>
      <c r="B320" s="29" t="n"/>
      <c r="C320" s="29" t="n"/>
      <c r="D320" s="29" t="n"/>
      <c r="E320" s="29" t="n"/>
      <c r="F320" s="29" t="n"/>
      <c r="G320" s="29" t="n"/>
      <c r="H320" s="29" t="n"/>
      <c r="I320" s="29" t="n"/>
      <c r="J320" s="29" t="n"/>
      <c r="K320" s="29" t="n"/>
      <c r="L320" s="49" t="n"/>
      <c r="M320" s="29" t="n"/>
      <c r="N320" s="29" t="n"/>
      <c r="O320" s="29" t="n"/>
      <c r="P320" s="29" t="n"/>
      <c r="Q320" s="29" t="n"/>
      <c r="R320" s="29" t="n"/>
      <c r="S320" s="29" t="n"/>
      <c r="T320" s="29" t="n"/>
      <c r="U320" s="29" t="n"/>
      <c r="V320" s="29" t="n"/>
      <c r="W320" s="29" t="n"/>
    </row>
    <row r="321" ht="54" customHeight="1">
      <c r="A321" s="29" t="n"/>
      <c r="B321" s="29" t="n"/>
      <c r="C321" s="29" t="n"/>
      <c r="D321" s="29" t="n"/>
      <c r="E321" s="29" t="n"/>
      <c r="F321" s="29" t="n"/>
      <c r="G321" s="29" t="n"/>
      <c r="H321" s="29" t="n"/>
      <c r="I321" s="29" t="n"/>
      <c r="J321" s="29" t="n"/>
      <c r="K321" s="29" t="n"/>
      <c r="L321" s="49" t="n"/>
      <c r="M321" s="29" t="n"/>
      <c r="N321" s="29" t="n"/>
      <c r="O321" s="29" t="n"/>
      <c r="P321" s="29" t="n"/>
      <c r="Q321" s="29" t="n"/>
      <c r="R321" s="29" t="n"/>
      <c r="S321" s="29" t="n"/>
      <c r="T321" s="29" t="n"/>
      <c r="U321" s="29" t="n"/>
      <c r="V321" s="29" t="n"/>
      <c r="W321" s="29" t="n"/>
    </row>
    <row r="322" ht="54" customHeight="1">
      <c r="A322" s="29" t="n"/>
      <c r="B322" s="29" t="n"/>
      <c r="C322" s="29" t="n"/>
      <c r="D322" s="29" t="n"/>
      <c r="E322" s="29" t="n"/>
      <c r="F322" s="29" t="n"/>
      <c r="G322" s="29" t="n"/>
      <c r="H322" s="29" t="n"/>
      <c r="I322" s="29" t="n"/>
      <c r="J322" s="29" t="n"/>
      <c r="K322" s="29" t="n"/>
      <c r="L322" s="49" t="n"/>
      <c r="M322" s="29" t="n"/>
      <c r="N322" s="29" t="n"/>
      <c r="O322" s="29" t="n"/>
      <c r="P322" s="29" t="n"/>
      <c r="Q322" s="29" t="n"/>
      <c r="R322" s="29" t="n"/>
      <c r="S322" s="29" t="n"/>
      <c r="T322" s="29" t="n"/>
      <c r="U322" s="29" t="n"/>
      <c r="V322" s="29" t="n"/>
      <c r="W322" s="29" t="n"/>
    </row>
    <row r="323" ht="54" customHeight="1">
      <c r="A323" s="29" t="n"/>
      <c r="B323" s="29" t="n"/>
      <c r="C323" s="29" t="n"/>
      <c r="D323" s="29" t="n"/>
      <c r="E323" s="29" t="n"/>
      <c r="F323" s="29" t="n"/>
      <c r="G323" s="29" t="n"/>
      <c r="H323" s="29" t="n"/>
      <c r="I323" s="29" t="n"/>
      <c r="J323" s="29" t="n"/>
      <c r="K323" s="29" t="n"/>
      <c r="L323" s="49" t="n"/>
      <c r="M323" s="29" t="n"/>
      <c r="N323" s="29" t="n"/>
      <c r="O323" s="29" t="n"/>
      <c r="P323" s="29" t="n"/>
      <c r="Q323" s="29" t="n"/>
      <c r="R323" s="29" t="n"/>
      <c r="S323" s="29" t="n"/>
      <c r="T323" s="29" t="n"/>
      <c r="U323" s="29" t="n"/>
      <c r="V323" s="29" t="n"/>
      <c r="W323" s="29" t="n"/>
    </row>
    <row r="324" ht="54" customHeight="1">
      <c r="A324" s="29" t="n"/>
      <c r="B324" s="29" t="n"/>
      <c r="C324" s="29" t="n"/>
      <c r="D324" s="29" t="n"/>
      <c r="E324" s="29" t="n"/>
      <c r="F324" s="29" t="n"/>
      <c r="G324" s="29" t="n"/>
      <c r="H324" s="29" t="n"/>
      <c r="I324" s="29" t="n"/>
      <c r="J324" s="29" t="n"/>
      <c r="K324" s="29" t="n"/>
      <c r="L324" s="49" t="n"/>
      <c r="M324" s="29" t="n"/>
      <c r="N324" s="29" t="n"/>
      <c r="O324" s="29" t="n"/>
      <c r="P324" s="29" t="n"/>
      <c r="Q324" s="29" t="n"/>
      <c r="R324" s="29" t="n"/>
      <c r="S324" s="29" t="n"/>
      <c r="T324" s="29" t="n"/>
      <c r="U324" s="29" t="n"/>
      <c r="V324" s="29" t="n"/>
      <c r="W324" s="29" t="n"/>
    </row>
    <row r="325" ht="54" customHeight="1">
      <c r="A325" s="29" t="n"/>
      <c r="B325" s="29" t="n"/>
      <c r="C325" s="29" t="n"/>
      <c r="D325" s="29" t="n"/>
      <c r="E325" s="29" t="n"/>
      <c r="F325" s="29" t="n"/>
      <c r="G325" s="29" t="n"/>
      <c r="H325" s="29" t="n"/>
      <c r="I325" s="29" t="n"/>
      <c r="J325" s="29" t="n"/>
      <c r="K325" s="29" t="n"/>
      <c r="L325" s="49" t="n"/>
      <c r="M325" s="29" t="n"/>
      <c r="N325" s="29" t="n"/>
      <c r="O325" s="29" t="n"/>
      <c r="P325" s="29" t="n"/>
      <c r="Q325" s="29" t="n"/>
      <c r="R325" s="29" t="n"/>
      <c r="S325" s="29" t="n"/>
      <c r="T325" s="29" t="n"/>
      <c r="U325" s="29" t="n"/>
      <c r="V325" s="29" t="n"/>
      <c r="W325" s="29" t="n"/>
    </row>
    <row r="326" ht="54" customHeight="1">
      <c r="A326" s="29" t="n"/>
      <c r="B326" s="29" t="n"/>
      <c r="C326" s="29" t="n"/>
      <c r="D326" s="29" t="n"/>
      <c r="E326" s="29" t="n"/>
      <c r="F326" s="29" t="n"/>
      <c r="G326" s="29" t="n"/>
      <c r="H326" s="29" t="n"/>
      <c r="I326" s="29" t="n"/>
      <c r="J326" s="29" t="n"/>
      <c r="K326" s="29" t="n"/>
      <c r="L326" s="49" t="n"/>
      <c r="M326" s="29" t="n"/>
      <c r="N326" s="29" t="n"/>
      <c r="O326" s="29" t="n"/>
      <c r="P326" s="29" t="n"/>
      <c r="Q326" s="29" t="n"/>
      <c r="R326" s="29" t="n"/>
      <c r="S326" s="29" t="n"/>
      <c r="T326" s="29" t="n"/>
      <c r="U326" s="29" t="n"/>
      <c r="V326" s="29" t="n"/>
      <c r="W326" s="29" t="n"/>
    </row>
    <row r="327" ht="54" customHeight="1">
      <c r="A327" s="29" t="n"/>
      <c r="B327" s="29" t="n"/>
      <c r="C327" s="29" t="n"/>
      <c r="D327" s="29" t="n"/>
      <c r="E327" s="29" t="n"/>
      <c r="F327" s="29" t="n"/>
      <c r="G327" s="29" t="n"/>
      <c r="H327" s="29" t="n"/>
      <c r="I327" s="29" t="n"/>
      <c r="J327" s="29" t="n"/>
      <c r="K327" s="29" t="n"/>
      <c r="L327" s="49" t="n"/>
      <c r="M327" s="29" t="n"/>
      <c r="N327" s="29" t="n"/>
      <c r="O327" s="29" t="n"/>
      <c r="P327" s="29" t="n"/>
      <c r="Q327" s="29" t="n"/>
      <c r="R327" s="29" t="n"/>
      <c r="S327" s="29" t="n"/>
      <c r="T327" s="29" t="n"/>
      <c r="U327" s="29" t="n"/>
      <c r="V327" s="29" t="n"/>
      <c r="W327" s="29" t="n"/>
    </row>
    <row r="328" ht="54" customHeight="1">
      <c r="A328" s="29" t="n"/>
      <c r="B328" s="29" t="n"/>
      <c r="C328" s="29" t="n"/>
      <c r="D328" s="29" t="n"/>
      <c r="E328" s="29" t="n"/>
      <c r="F328" s="29" t="n"/>
      <c r="G328" s="29" t="n"/>
      <c r="H328" s="29" t="n"/>
      <c r="I328" s="29" t="n"/>
      <c r="J328" s="29" t="n"/>
      <c r="K328" s="29" t="n"/>
      <c r="L328" s="49" t="n"/>
      <c r="M328" s="29" t="n"/>
      <c r="N328" s="29" t="n"/>
      <c r="O328" s="29" t="n"/>
      <c r="P328" s="29" t="n"/>
      <c r="Q328" s="29" t="n"/>
      <c r="R328" s="29" t="n"/>
      <c r="S328" s="29" t="n"/>
      <c r="T328" s="29" t="n"/>
      <c r="U328" s="29" t="n"/>
      <c r="V328" s="29" t="n"/>
      <c r="W328" s="29" t="n"/>
    </row>
    <row r="329" ht="54" customHeight="1">
      <c r="A329" s="29" t="n"/>
      <c r="B329" s="29" t="n"/>
      <c r="C329" s="29" t="n"/>
      <c r="D329" s="29" t="n"/>
      <c r="E329" s="29" t="n"/>
      <c r="F329" s="29" t="n"/>
      <c r="G329" s="29" t="n"/>
      <c r="H329" s="29" t="n"/>
      <c r="I329" s="29" t="n"/>
      <c r="J329" s="29" t="n"/>
      <c r="K329" s="29" t="n"/>
      <c r="L329" s="49" t="n"/>
      <c r="M329" s="29" t="n"/>
      <c r="N329" s="29" t="n"/>
      <c r="O329" s="29" t="n"/>
      <c r="P329" s="29" t="n"/>
      <c r="Q329" s="29" t="n"/>
      <c r="R329" s="29" t="n"/>
      <c r="S329" s="29" t="n"/>
      <c r="T329" s="29" t="n"/>
      <c r="U329" s="29" t="n"/>
      <c r="V329" s="29" t="n"/>
      <c r="W329" s="29" t="n"/>
    </row>
    <row r="330" ht="54" customHeight="1">
      <c r="A330" s="29" t="n"/>
      <c r="B330" s="29" t="n"/>
      <c r="C330" s="29" t="n"/>
      <c r="D330" s="29" t="n"/>
      <c r="E330" s="29" t="n"/>
      <c r="F330" s="29" t="n"/>
      <c r="G330" s="29" t="n"/>
      <c r="H330" s="29" t="n"/>
      <c r="I330" s="29" t="n"/>
      <c r="J330" s="29" t="n"/>
      <c r="K330" s="29" t="n"/>
      <c r="L330" s="49" t="n"/>
      <c r="M330" s="29" t="n"/>
      <c r="N330" s="29" t="n"/>
      <c r="O330" s="29" t="n"/>
      <c r="P330" s="29" t="n"/>
      <c r="Q330" s="29" t="n"/>
      <c r="R330" s="29" t="n"/>
      <c r="S330" s="29" t="n"/>
      <c r="T330" s="29" t="n"/>
      <c r="U330" s="29" t="n"/>
      <c r="V330" s="29" t="n"/>
      <c r="W330" s="29" t="n"/>
    </row>
    <row r="331" ht="54" customHeight="1">
      <c r="A331" s="29" t="n"/>
      <c r="B331" s="29" t="n"/>
      <c r="C331" s="29" t="n"/>
      <c r="D331" s="29" t="n"/>
      <c r="E331" s="29" t="n"/>
      <c r="F331" s="29" t="n"/>
      <c r="G331" s="29" t="n"/>
      <c r="H331" s="29" t="n"/>
      <c r="I331" s="29" t="n"/>
      <c r="J331" s="29" t="n"/>
      <c r="K331" s="29" t="n"/>
      <c r="L331" s="49" t="n"/>
      <c r="M331" s="29" t="n"/>
      <c r="N331" s="29" t="n"/>
      <c r="O331" s="29" t="n"/>
      <c r="P331" s="29" t="n"/>
      <c r="Q331" s="29" t="n"/>
      <c r="R331" s="29" t="n"/>
      <c r="S331" s="29" t="n"/>
      <c r="T331" s="29" t="n"/>
      <c r="U331" s="29" t="n"/>
      <c r="V331" s="29" t="n"/>
      <c r="W331" s="29" t="n"/>
    </row>
    <row r="332" ht="54" customHeight="1">
      <c r="A332" s="29" t="n"/>
      <c r="B332" s="29" t="n"/>
      <c r="C332" s="29" t="n"/>
      <c r="D332" s="29" t="n"/>
      <c r="E332" s="29" t="n"/>
      <c r="F332" s="29" t="n"/>
      <c r="G332" s="29" t="n"/>
      <c r="H332" s="29" t="n"/>
      <c r="I332" s="29" t="n"/>
      <c r="J332" s="29" t="n"/>
      <c r="K332" s="29" t="n"/>
      <c r="L332" s="49" t="n"/>
      <c r="M332" s="29" t="n"/>
      <c r="N332" s="29" t="n"/>
      <c r="O332" s="29" t="n"/>
      <c r="P332" s="29" t="n"/>
      <c r="Q332" s="29" t="n"/>
      <c r="R332" s="29" t="n"/>
      <c r="S332" s="29" t="n"/>
      <c r="T332" s="29" t="n"/>
      <c r="U332" s="29" t="n"/>
      <c r="V332" s="29" t="n"/>
      <c r="W332" s="29" t="n"/>
    </row>
    <row r="333" ht="54" customHeight="1">
      <c r="A333" s="29" t="n"/>
      <c r="B333" s="29" t="n"/>
      <c r="C333" s="29" t="n"/>
      <c r="D333" s="29" t="n"/>
      <c r="E333" s="29" t="n"/>
      <c r="F333" s="29" t="n"/>
      <c r="G333" s="29" t="n"/>
      <c r="H333" s="29" t="n"/>
      <c r="I333" s="29" t="n"/>
      <c r="J333" s="29" t="n"/>
      <c r="K333" s="29" t="n"/>
      <c r="L333" s="49" t="n"/>
      <c r="M333" s="29" t="n"/>
      <c r="N333" s="29" t="n"/>
      <c r="O333" s="29" t="n"/>
      <c r="P333" s="29" t="n"/>
      <c r="Q333" s="29" t="n"/>
      <c r="R333" s="29" t="n"/>
      <c r="S333" s="29" t="n"/>
      <c r="T333" s="29" t="n"/>
      <c r="U333" s="29" t="n"/>
      <c r="V333" s="29" t="n"/>
      <c r="W333" s="29" t="n"/>
    </row>
    <row r="334" ht="54" customHeight="1">
      <c r="A334" s="29" t="n"/>
      <c r="B334" s="29" t="n"/>
      <c r="C334" s="29" t="n"/>
      <c r="D334" s="29" t="n"/>
      <c r="E334" s="29" t="n"/>
      <c r="F334" s="29" t="n"/>
      <c r="G334" s="29" t="n"/>
      <c r="H334" s="29" t="n"/>
      <c r="I334" s="29" t="n"/>
      <c r="J334" s="29" t="n"/>
      <c r="K334" s="29" t="n"/>
      <c r="L334" s="49" t="n"/>
      <c r="M334" s="29" t="n"/>
      <c r="N334" s="29" t="n"/>
      <c r="O334" s="29" t="n"/>
      <c r="P334" s="29" t="n"/>
      <c r="Q334" s="29" t="n"/>
      <c r="R334" s="29" t="n"/>
      <c r="S334" s="29" t="n"/>
      <c r="T334" s="29" t="n"/>
      <c r="U334" s="29" t="n"/>
      <c r="V334" s="29" t="n"/>
      <c r="W334" s="29" t="n"/>
    </row>
    <row r="335" ht="54" customHeight="1">
      <c r="A335" s="29" t="n"/>
      <c r="B335" s="29" t="n"/>
      <c r="C335" s="29" t="n"/>
      <c r="D335" s="29" t="n"/>
      <c r="E335" s="29" t="n"/>
      <c r="F335" s="29" t="n"/>
      <c r="G335" s="29" t="n"/>
      <c r="H335" s="29" t="n"/>
      <c r="I335" s="29" t="n"/>
      <c r="J335" s="29" t="n"/>
      <c r="K335" s="29" t="n"/>
      <c r="L335" s="49" t="n"/>
      <c r="M335" s="29" t="n"/>
      <c r="N335" s="29" t="n"/>
      <c r="O335" s="29" t="n"/>
      <c r="P335" s="29" t="n"/>
      <c r="Q335" s="29" t="n"/>
      <c r="R335" s="29" t="n"/>
      <c r="S335" s="29" t="n"/>
      <c r="T335" s="29" t="n"/>
      <c r="U335" s="29" t="n"/>
      <c r="V335" s="29" t="n"/>
      <c r="W335" s="29" t="n"/>
    </row>
    <row r="336" ht="54" customHeight="1">
      <c r="A336" s="29" t="n"/>
      <c r="B336" s="29" t="n"/>
      <c r="C336" s="29" t="n"/>
      <c r="D336" s="29" t="n"/>
      <c r="E336" s="29" t="n"/>
      <c r="F336" s="29" t="n"/>
      <c r="G336" s="29" t="n"/>
      <c r="H336" s="29" t="n"/>
      <c r="I336" s="29" t="n"/>
      <c r="J336" s="29" t="n"/>
      <c r="K336" s="29" t="n"/>
      <c r="L336" s="49" t="n"/>
      <c r="M336" s="29" t="n"/>
      <c r="N336" s="29" t="n"/>
      <c r="O336" s="29" t="n"/>
      <c r="P336" s="29" t="n"/>
      <c r="Q336" s="29" t="n"/>
      <c r="R336" s="29" t="n"/>
      <c r="S336" s="29" t="n"/>
      <c r="T336" s="29" t="n"/>
      <c r="U336" s="29" t="n"/>
      <c r="V336" s="29" t="n"/>
      <c r="W336" s="29" t="n"/>
    </row>
    <row r="337" ht="54" customHeight="1">
      <c r="A337" s="29" t="n"/>
      <c r="B337" s="29" t="n"/>
      <c r="C337" s="29" t="n"/>
      <c r="D337" s="29" t="n"/>
      <c r="E337" s="29" t="n"/>
      <c r="F337" s="29" t="n"/>
      <c r="G337" s="29" t="n"/>
      <c r="H337" s="29" t="n"/>
      <c r="I337" s="29" t="n"/>
      <c r="J337" s="29" t="n"/>
      <c r="K337" s="29" t="n"/>
      <c r="L337" s="49" t="n"/>
      <c r="M337" s="29" t="n"/>
      <c r="N337" s="29" t="n"/>
      <c r="O337" s="29" t="n"/>
      <c r="P337" s="29" t="n"/>
      <c r="Q337" s="29" t="n"/>
      <c r="R337" s="29" t="n"/>
      <c r="S337" s="29" t="n"/>
      <c r="T337" s="29" t="n"/>
      <c r="U337" s="29" t="n"/>
      <c r="V337" s="29" t="n"/>
      <c r="W337" s="29" t="n"/>
    </row>
    <row r="338" ht="54" customHeight="1">
      <c r="A338" s="29" t="n"/>
      <c r="B338" s="29" t="n"/>
      <c r="C338" s="29" t="n"/>
      <c r="D338" s="29" t="n"/>
      <c r="E338" s="29" t="n"/>
      <c r="F338" s="29" t="n"/>
      <c r="G338" s="29" t="n"/>
      <c r="H338" s="29" t="n"/>
      <c r="I338" s="29" t="n"/>
      <c r="J338" s="29" t="n"/>
      <c r="K338" s="29" t="n"/>
      <c r="L338" s="49" t="n"/>
      <c r="M338" s="29" t="n"/>
      <c r="N338" s="29" t="n"/>
      <c r="O338" s="29" t="n"/>
      <c r="P338" s="29" t="n"/>
      <c r="Q338" s="29" t="n"/>
      <c r="R338" s="29" t="n"/>
      <c r="S338" s="29" t="n"/>
      <c r="T338" s="29" t="n"/>
      <c r="U338" s="29" t="n"/>
      <c r="V338" s="29" t="n"/>
      <c r="W338" s="29" t="n"/>
    </row>
    <row r="339" ht="54" customHeight="1">
      <c r="A339" s="29" t="n"/>
      <c r="B339" s="29" t="n"/>
      <c r="C339" s="29" t="n"/>
      <c r="D339" s="29" t="n"/>
      <c r="E339" s="29" t="n"/>
      <c r="F339" s="29" t="n"/>
      <c r="G339" s="29" t="n"/>
      <c r="H339" s="29" t="n"/>
      <c r="I339" s="29" t="n"/>
      <c r="J339" s="29" t="n"/>
      <c r="K339" s="29" t="n"/>
      <c r="L339" s="49" t="n"/>
      <c r="M339" s="29" t="n"/>
      <c r="N339" s="29" t="n"/>
      <c r="O339" s="29" t="n"/>
      <c r="P339" s="29" t="n"/>
      <c r="Q339" s="29" t="n"/>
      <c r="R339" s="29" t="n"/>
      <c r="S339" s="29" t="n"/>
      <c r="T339" s="29" t="n"/>
      <c r="U339" s="29" t="n"/>
      <c r="V339" s="29" t="n"/>
      <c r="W339" s="29" t="n"/>
    </row>
    <row r="340" ht="54" customHeight="1">
      <c r="A340" s="29" t="n"/>
      <c r="B340" s="29" t="n"/>
      <c r="C340" s="29" t="n"/>
      <c r="D340" s="29" t="n"/>
      <c r="E340" s="29" t="n"/>
      <c r="F340" s="29" t="n"/>
      <c r="G340" s="29" t="n"/>
      <c r="H340" s="29" t="n"/>
      <c r="I340" s="29" t="n"/>
      <c r="J340" s="29" t="n"/>
      <c r="K340" s="29" t="n"/>
      <c r="L340" s="49" t="n"/>
      <c r="M340" s="29" t="n"/>
      <c r="N340" s="29" t="n"/>
      <c r="O340" s="29" t="n"/>
      <c r="P340" s="29" t="n"/>
      <c r="Q340" s="29" t="n"/>
      <c r="R340" s="29" t="n"/>
      <c r="S340" s="29" t="n"/>
      <c r="T340" s="29" t="n"/>
      <c r="U340" s="29" t="n"/>
      <c r="V340" s="29" t="n"/>
      <c r="W340" s="29" t="n"/>
    </row>
    <row r="341" ht="54" customHeight="1">
      <c r="A341" s="29" t="n"/>
      <c r="B341" s="29" t="n"/>
      <c r="C341" s="29" t="n"/>
      <c r="D341" s="29" t="n"/>
      <c r="E341" s="29" t="n"/>
      <c r="F341" s="29" t="n"/>
      <c r="G341" s="29" t="n"/>
      <c r="H341" s="29" t="n"/>
      <c r="I341" s="29" t="n"/>
      <c r="J341" s="29" t="n"/>
      <c r="K341" s="29" t="n"/>
      <c r="L341" s="49" t="n"/>
      <c r="M341" s="29" t="n"/>
      <c r="N341" s="29" t="n"/>
      <c r="O341" s="29" t="n"/>
      <c r="P341" s="29" t="n"/>
      <c r="Q341" s="29" t="n"/>
      <c r="R341" s="29" t="n"/>
      <c r="S341" s="29" t="n"/>
      <c r="T341" s="29" t="n"/>
      <c r="U341" s="29" t="n"/>
      <c r="V341" s="29" t="n"/>
      <c r="W341" s="29" t="n"/>
    </row>
    <row r="342" ht="54" customHeight="1">
      <c r="A342" s="29" t="n"/>
      <c r="B342" s="29" t="n"/>
      <c r="C342" s="29" t="n"/>
      <c r="D342" s="29" t="n"/>
      <c r="E342" s="29" t="n"/>
      <c r="F342" s="29" t="n"/>
      <c r="G342" s="29" t="n"/>
      <c r="H342" s="29" t="n"/>
      <c r="I342" s="29" t="n"/>
      <c r="J342" s="29" t="n"/>
      <c r="K342" s="29" t="n"/>
      <c r="L342" s="49" t="n"/>
      <c r="M342" s="29" t="n"/>
      <c r="N342" s="29" t="n"/>
      <c r="O342" s="29" t="n"/>
      <c r="P342" s="29" t="n"/>
      <c r="Q342" s="29" t="n"/>
      <c r="R342" s="29" t="n"/>
      <c r="S342" s="29" t="n"/>
      <c r="T342" s="29" t="n"/>
      <c r="U342" s="29" t="n"/>
      <c r="V342" s="29" t="n"/>
      <c r="W342" s="29" t="n"/>
    </row>
    <row r="343" ht="54" customHeight="1">
      <c r="A343" s="29" t="n"/>
      <c r="B343" s="29" t="n"/>
      <c r="C343" s="29" t="n"/>
      <c r="D343" s="29" t="n"/>
      <c r="E343" s="29" t="n"/>
      <c r="F343" s="29" t="n"/>
      <c r="G343" s="29" t="n"/>
      <c r="H343" s="29" t="n"/>
      <c r="I343" s="29" t="n"/>
      <c r="J343" s="29" t="n"/>
      <c r="K343" s="29" t="n"/>
      <c r="L343" s="49" t="n"/>
      <c r="M343" s="29" t="n"/>
      <c r="N343" s="29" t="n"/>
      <c r="O343" s="29" t="n"/>
      <c r="P343" s="29" t="n"/>
      <c r="Q343" s="29" t="n"/>
      <c r="R343" s="29" t="n"/>
      <c r="S343" s="29" t="n"/>
      <c r="T343" s="29" t="n"/>
      <c r="U343" s="29" t="n"/>
      <c r="V343" s="29" t="n"/>
      <c r="W343" s="29" t="n"/>
    </row>
    <row r="344" ht="54" customHeight="1">
      <c r="A344" s="29" t="n"/>
      <c r="B344" s="29" t="n"/>
      <c r="C344" s="29" t="n"/>
      <c r="D344" s="29" t="n"/>
      <c r="E344" s="29" t="n"/>
      <c r="F344" s="29" t="n"/>
      <c r="G344" s="29" t="n"/>
      <c r="H344" s="29" t="n"/>
      <c r="I344" s="29" t="n"/>
      <c r="J344" s="29" t="n"/>
      <c r="K344" s="29" t="n"/>
      <c r="L344" s="49" t="n"/>
      <c r="M344" s="29" t="n"/>
      <c r="N344" s="29" t="n"/>
      <c r="O344" s="29" t="n"/>
      <c r="P344" s="29" t="n"/>
      <c r="Q344" s="29" t="n"/>
      <c r="R344" s="29" t="n"/>
      <c r="S344" s="29" t="n"/>
      <c r="T344" s="29" t="n"/>
      <c r="U344" s="29" t="n"/>
      <c r="V344" s="29" t="n"/>
      <c r="W344" s="29" t="n"/>
    </row>
    <row r="345" ht="54" customHeight="1">
      <c r="A345" s="29" t="n"/>
      <c r="B345" s="29" t="n"/>
      <c r="C345" s="29" t="n"/>
      <c r="D345" s="29" t="n"/>
      <c r="E345" s="29" t="n"/>
      <c r="F345" s="29" t="n"/>
      <c r="G345" s="29" t="n"/>
      <c r="H345" s="29" t="n"/>
      <c r="I345" s="29" t="n"/>
      <c r="J345" s="29" t="n"/>
      <c r="K345" s="29" t="n"/>
      <c r="L345" s="49" t="n"/>
      <c r="M345" s="29" t="n"/>
      <c r="N345" s="29" t="n"/>
      <c r="O345" s="29" t="n"/>
      <c r="P345" s="29" t="n"/>
      <c r="Q345" s="29" t="n"/>
      <c r="R345" s="29" t="n"/>
      <c r="S345" s="29" t="n"/>
      <c r="T345" s="29" t="n"/>
      <c r="U345" s="29" t="n"/>
      <c r="V345" s="29" t="n"/>
      <c r="W345" s="29" t="n"/>
    </row>
    <row r="346" ht="54" customHeight="1">
      <c r="A346" s="29" t="n"/>
      <c r="B346" s="29" t="n"/>
      <c r="C346" s="29" t="n"/>
      <c r="D346" s="29" t="n"/>
      <c r="E346" s="29" t="n"/>
      <c r="F346" s="29" t="n"/>
      <c r="G346" s="29" t="n"/>
      <c r="H346" s="29" t="n"/>
      <c r="I346" s="29" t="n"/>
      <c r="J346" s="29" t="n"/>
      <c r="K346" s="29" t="n"/>
      <c r="L346" s="49" t="n"/>
      <c r="M346" s="29" t="n"/>
      <c r="N346" s="29" t="n"/>
      <c r="O346" s="29" t="n"/>
      <c r="P346" s="29" t="n"/>
      <c r="Q346" s="29" t="n"/>
      <c r="R346" s="29" t="n"/>
      <c r="S346" s="29" t="n"/>
      <c r="T346" s="29" t="n"/>
      <c r="U346" s="29" t="n"/>
      <c r="V346" s="29" t="n"/>
      <c r="W346" s="29" t="n"/>
    </row>
    <row r="347" ht="54" customHeight="1">
      <c r="A347" s="29" t="n"/>
      <c r="B347" s="29" t="n"/>
      <c r="C347" s="29" t="n"/>
      <c r="D347" s="29" t="n"/>
      <c r="E347" s="29" t="n"/>
      <c r="F347" s="29" t="n"/>
      <c r="G347" s="29" t="n"/>
      <c r="H347" s="29" t="n"/>
      <c r="I347" s="29" t="n"/>
      <c r="J347" s="29" t="n"/>
      <c r="K347" s="29" t="n"/>
      <c r="L347" s="49" t="n"/>
      <c r="M347" s="29" t="n"/>
      <c r="N347" s="29" t="n"/>
      <c r="O347" s="29" t="n"/>
      <c r="P347" s="29" t="n"/>
      <c r="Q347" s="29" t="n"/>
      <c r="R347" s="29" t="n"/>
      <c r="S347" s="29" t="n"/>
      <c r="T347" s="29" t="n"/>
      <c r="U347" s="29" t="n"/>
      <c r="V347" s="29" t="n"/>
      <c r="W347" s="29" t="n"/>
    </row>
    <row r="348" ht="54" customHeight="1">
      <c r="A348" s="29" t="n"/>
      <c r="B348" s="29" t="n"/>
      <c r="C348" s="29" t="n"/>
      <c r="D348" s="29" t="n"/>
      <c r="E348" s="29" t="n"/>
      <c r="F348" s="29" t="n"/>
      <c r="G348" s="29" t="n"/>
      <c r="H348" s="29" t="n"/>
      <c r="I348" s="29" t="n"/>
      <c r="J348" s="29" t="n"/>
      <c r="K348" s="29" t="n"/>
      <c r="L348" s="49" t="n"/>
      <c r="M348" s="29" t="n"/>
      <c r="N348" s="29" t="n"/>
      <c r="O348" s="29" t="n"/>
      <c r="P348" s="29" t="n"/>
      <c r="Q348" s="29" t="n"/>
      <c r="R348" s="29" t="n"/>
      <c r="S348" s="29" t="n"/>
      <c r="T348" s="29" t="n"/>
      <c r="U348" s="29" t="n"/>
      <c r="V348" s="29" t="n"/>
      <c r="W348" s="29" t="n"/>
    </row>
    <row r="349" ht="54" customHeight="1">
      <c r="A349" s="29" t="n"/>
      <c r="B349" s="29" t="n"/>
      <c r="C349" s="29" t="n"/>
      <c r="D349" s="29" t="n"/>
      <c r="E349" s="29" t="n"/>
      <c r="F349" s="29" t="n"/>
      <c r="G349" s="29" t="n"/>
      <c r="H349" s="29" t="n"/>
      <c r="I349" s="29" t="n"/>
      <c r="J349" s="29" t="n"/>
      <c r="K349" s="29" t="n"/>
      <c r="L349" s="49" t="n"/>
      <c r="M349" s="29" t="n"/>
      <c r="N349" s="29" t="n"/>
      <c r="O349" s="29" t="n"/>
      <c r="P349" s="29" t="n"/>
      <c r="Q349" s="29" t="n"/>
      <c r="R349" s="29" t="n"/>
      <c r="S349" s="29" t="n"/>
      <c r="T349" s="29" t="n"/>
      <c r="U349" s="29" t="n"/>
      <c r="V349" s="29" t="n"/>
      <c r="W349" s="29" t="n"/>
    </row>
    <row r="350" ht="54" customHeight="1">
      <c r="A350" s="29" t="n"/>
      <c r="B350" s="29" t="n"/>
      <c r="C350" s="29" t="n"/>
      <c r="D350" s="29" t="n"/>
      <c r="E350" s="29" t="n"/>
      <c r="F350" s="29" t="n"/>
      <c r="G350" s="29" t="n"/>
      <c r="H350" s="29" t="n"/>
      <c r="I350" s="29" t="n"/>
      <c r="J350" s="29" t="n"/>
      <c r="K350" s="29" t="n"/>
      <c r="L350" s="49" t="n"/>
      <c r="M350" s="29" t="n"/>
      <c r="N350" s="29" t="n"/>
      <c r="O350" s="29" t="n"/>
      <c r="P350" s="29" t="n"/>
      <c r="Q350" s="29" t="n"/>
      <c r="R350" s="29" t="n"/>
      <c r="S350" s="29" t="n"/>
      <c r="T350" s="29" t="n"/>
      <c r="U350" s="29" t="n"/>
      <c r="V350" s="29" t="n"/>
      <c r="W350" s="29" t="n"/>
    </row>
    <row r="351" ht="54" customHeight="1">
      <c r="A351" s="29" t="n"/>
      <c r="B351" s="29" t="n"/>
      <c r="C351" s="29" t="n"/>
      <c r="D351" s="29" t="n"/>
      <c r="E351" s="29" t="n"/>
      <c r="F351" s="29" t="n"/>
      <c r="G351" s="29" t="n"/>
      <c r="H351" s="29" t="n"/>
      <c r="I351" s="29" t="n"/>
      <c r="J351" s="29" t="n"/>
      <c r="K351" s="29" t="n"/>
      <c r="L351" s="49" t="n"/>
      <c r="M351" s="29" t="n"/>
      <c r="N351" s="29" t="n"/>
      <c r="O351" s="29" t="n"/>
      <c r="P351" s="29" t="n"/>
      <c r="Q351" s="29" t="n"/>
      <c r="R351" s="29" t="n"/>
      <c r="S351" s="29" t="n"/>
      <c r="T351" s="29" t="n"/>
      <c r="U351" s="29" t="n"/>
      <c r="V351" s="29" t="n"/>
      <c r="W351" s="29" t="n"/>
    </row>
    <row r="352" ht="54" customHeight="1">
      <c r="A352" s="29" t="n"/>
      <c r="B352" s="29" t="n"/>
      <c r="C352" s="29" t="n"/>
      <c r="D352" s="29" t="n"/>
      <c r="E352" s="29" t="n"/>
      <c r="F352" s="29" t="n"/>
      <c r="G352" s="29" t="n"/>
      <c r="H352" s="29" t="n"/>
      <c r="I352" s="29" t="n"/>
      <c r="J352" s="29" t="n"/>
      <c r="K352" s="29" t="n"/>
      <c r="L352" s="49" t="n"/>
      <c r="M352" s="29" t="n"/>
      <c r="N352" s="29" t="n"/>
      <c r="O352" s="29" t="n"/>
      <c r="P352" s="29" t="n"/>
      <c r="Q352" s="29" t="n"/>
      <c r="R352" s="29" t="n"/>
      <c r="S352" s="29" t="n"/>
      <c r="T352" s="29" t="n"/>
      <c r="U352" s="29" t="n"/>
      <c r="V352" s="29" t="n"/>
      <c r="W352" s="29" t="n"/>
    </row>
    <row r="353" ht="54" customHeight="1">
      <c r="A353" s="29" t="n"/>
      <c r="B353" s="29" t="n"/>
      <c r="C353" s="29" t="n"/>
      <c r="D353" s="29" t="n"/>
      <c r="E353" s="29" t="n"/>
      <c r="F353" s="29" t="n"/>
      <c r="G353" s="29" t="n"/>
      <c r="H353" s="29" t="n"/>
      <c r="I353" s="29" t="n"/>
      <c r="J353" s="29" t="n"/>
      <c r="K353" s="29" t="n"/>
      <c r="L353" s="49" t="n"/>
      <c r="M353" s="29" t="n"/>
      <c r="N353" s="29" t="n"/>
      <c r="O353" s="29" t="n"/>
      <c r="P353" s="29" t="n"/>
      <c r="Q353" s="29" t="n"/>
      <c r="R353" s="29" t="n"/>
      <c r="S353" s="29" t="n"/>
      <c r="T353" s="29" t="n"/>
      <c r="U353" s="29" t="n"/>
      <c r="V353" s="29" t="n"/>
      <c r="W353" s="29" t="n"/>
    </row>
    <row r="354" ht="54" customHeight="1">
      <c r="A354" s="29" t="n"/>
      <c r="B354" s="29" t="n"/>
      <c r="C354" s="29" t="n"/>
      <c r="D354" s="29" t="n"/>
      <c r="E354" s="29" t="n"/>
      <c r="F354" s="29" t="n"/>
      <c r="G354" s="29" t="n"/>
      <c r="H354" s="29" t="n"/>
      <c r="I354" s="29" t="n"/>
      <c r="J354" s="29" t="n"/>
      <c r="K354" s="29" t="n"/>
      <c r="L354" s="49" t="n"/>
      <c r="M354" s="29" t="n"/>
      <c r="N354" s="29" t="n"/>
      <c r="O354" s="29" t="n"/>
      <c r="P354" s="29" t="n"/>
      <c r="Q354" s="29" t="n"/>
      <c r="R354" s="29" t="n"/>
      <c r="S354" s="29" t="n"/>
      <c r="T354" s="29" t="n"/>
      <c r="U354" s="29" t="n"/>
      <c r="V354" s="29" t="n"/>
      <c r="W354" s="29" t="n"/>
    </row>
    <row r="355" ht="54" customHeight="1">
      <c r="A355" s="29" t="n"/>
      <c r="B355" s="29" t="n"/>
      <c r="C355" s="29" t="n"/>
      <c r="D355" s="29" t="n"/>
      <c r="E355" s="29" t="n"/>
      <c r="F355" s="29" t="n"/>
      <c r="G355" s="29" t="n"/>
      <c r="H355" s="29" t="n"/>
      <c r="I355" s="29" t="n"/>
      <c r="J355" s="29" t="n"/>
      <c r="K355" s="29" t="n"/>
      <c r="L355" s="49" t="n"/>
      <c r="M355" s="29" t="n"/>
      <c r="N355" s="29" t="n"/>
      <c r="O355" s="29" t="n"/>
      <c r="P355" s="29" t="n"/>
      <c r="Q355" s="29" t="n"/>
      <c r="R355" s="29" t="n"/>
      <c r="S355" s="29" t="n"/>
      <c r="T355" s="29" t="n"/>
      <c r="U355" s="29" t="n"/>
      <c r="V355" s="29" t="n"/>
      <c r="W355" s="29" t="n"/>
    </row>
    <row r="356" ht="54" customHeight="1">
      <c r="A356" s="29" t="n"/>
      <c r="B356" s="29" t="n"/>
      <c r="C356" s="29" t="n"/>
      <c r="D356" s="29" t="n"/>
      <c r="E356" s="29" t="n"/>
      <c r="F356" s="29" t="n"/>
      <c r="G356" s="29" t="n"/>
      <c r="H356" s="29" t="n"/>
      <c r="I356" s="29" t="n"/>
      <c r="J356" s="29" t="n"/>
      <c r="K356" s="29" t="n"/>
      <c r="L356" s="49" t="n"/>
      <c r="M356" s="29" t="n"/>
      <c r="N356" s="29" t="n"/>
      <c r="O356" s="29" t="n"/>
      <c r="P356" s="29" t="n"/>
      <c r="Q356" s="29" t="n"/>
      <c r="R356" s="29" t="n"/>
      <c r="S356" s="29" t="n"/>
      <c r="T356" s="29" t="n"/>
      <c r="U356" s="29" t="n"/>
      <c r="V356" s="29" t="n"/>
      <c r="W356" s="29" t="n"/>
    </row>
    <row r="357" ht="54" customHeight="1">
      <c r="A357" s="29" t="n"/>
      <c r="B357" s="29" t="n"/>
      <c r="C357" s="29" t="n"/>
      <c r="D357" s="29" t="n"/>
      <c r="E357" s="29" t="n"/>
      <c r="F357" s="29" t="n"/>
      <c r="G357" s="29" t="n"/>
      <c r="H357" s="29" t="n"/>
      <c r="I357" s="29" t="n"/>
      <c r="J357" s="29" t="n"/>
      <c r="K357" s="29" t="n"/>
      <c r="L357" s="49" t="n"/>
      <c r="M357" s="29" t="n"/>
      <c r="N357" s="29" t="n"/>
      <c r="O357" s="29" t="n"/>
      <c r="P357" s="29" t="n"/>
      <c r="Q357" s="29" t="n"/>
      <c r="R357" s="29" t="n"/>
      <c r="S357" s="29" t="n"/>
      <c r="T357" s="29" t="n"/>
      <c r="U357" s="29" t="n"/>
      <c r="V357" s="29" t="n"/>
      <c r="W357" s="29" t="n"/>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D8:D357">
    <cfRule type="expression" priority="4" dxfId="1">
      <formula>AND($A8&lt;&gt;"",ISBLANK(D8))</formula>
    </cfRule>
  </conditionalFormatting>
  <conditionalFormatting sqref="E8:E357">
    <cfRule type="expression" priority="5" dxfId="1">
      <formula>AND($A8&lt;&gt;"",ISBLANK(E8))</formula>
    </cfRule>
  </conditionalFormatting>
  <conditionalFormatting sqref="F8:F357">
    <cfRule type="expression" priority="6" dxfId="1">
      <formula>AND($A8&lt;&gt;"",ISBLANK(F8))</formula>
    </cfRule>
  </conditionalFormatting>
  <conditionalFormatting sqref="G8:G357">
    <cfRule type="expression" priority="7" dxfId="1">
      <formula>AND($A8&lt;&gt;"",ISBLANK(G8))</formula>
    </cfRule>
  </conditionalFormatting>
  <conditionalFormatting sqref="H8:H357">
    <cfRule type="expression" priority="8" dxfId="1">
      <formula>AND($A8&lt;&gt;"",ISBLANK(H8))</formula>
    </cfRule>
  </conditionalFormatting>
  <conditionalFormatting sqref="I8:I357">
    <cfRule type="expression" priority="9" dxfId="1">
      <formula>AND($A8&lt;&gt;"",ISBLANK(I8))</formula>
    </cfRule>
  </conditionalFormatting>
  <conditionalFormatting sqref="L8:L357">
    <cfRule type="expression" priority="10" dxfId="1">
      <formula>AND($A8&lt;&gt;"",ISBLANK(L8))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Q8:Q357">
    <cfRule type="expression" priority="13" dxfId="1">
      <formula>AND($A8&lt;&gt;"",ISBLANK(Q8))</formula>
    </cfRule>
  </conditionalFormatting>
  <dataValidations count="3">
    <dataValidation sqref="M8:M357" showDropDown="0" showInputMessage="0" showErrorMessage="0" allowBlank="0" type="list">
      <formula1>"Bekliyor,Doğrulandı"</formula1>
    </dataValidation>
    <dataValidation sqref="N8:N357" showDropDown="0" showInputMessage="0" showErrorMessage="0" allowBlank="0" type="list">
      <formula1>"Bekliyor,Doğrulandı"</formula1>
    </dataValidation>
    <dataValidation sqref="Q8:Q357" showDropDown="0" showInputMessage="0" showErrorMessage="0" allowBlank="0" type="list">
      <formula1>"Bekliyor,Bu kare için uygun"</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G12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0" customWidth="1" min="7" max="7"/>
  </cols>
  <sheetData>
    <row r="1" ht="30" customHeight="1">
      <c r="A1" s="2" t="n"/>
      <c r="B1" s="2" t="n"/>
      <c r="C1" s="2" t="n"/>
      <c r="D1" s="2" t="n"/>
      <c r="E1" s="2" t="n"/>
      <c r="F1" s="2" t="n"/>
      <c r="G1" s="2" t="n"/>
    </row>
    <row r="2" ht="30" customHeight="1">
      <c r="A2" s="19" t="inlineStr">
        <is>
          <t>Corteqs · Sayfa metinleri ve ek yapılandırma</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 · tarih</t>
        </is>
      </c>
    </row>
    <row r="6" ht="44" customHeight="1">
      <c r="A6" s="25" t="inlineStr">
        <is>
          <t>Alan kimliği</t>
        </is>
      </c>
      <c r="B6" s="25" t="inlineStr">
        <is>
          <t>Şehir kimliği</t>
        </is>
      </c>
      <c r="C6" s="25" t="inlineStr">
        <is>
          <t>Sayfa alanı anahtarı</t>
        </is>
      </c>
      <c r="D6" s="25" t="inlineStr">
        <is>
          <t>Türkçe alan açıklaması</t>
        </is>
      </c>
      <c r="E6" s="25" t="inlineStr">
        <is>
          <t>Değer türü</t>
        </is>
      </c>
      <c r="F6" s="25" t="inlineStr">
        <is>
          <t>Alan değeri</t>
        </is>
      </c>
      <c r="G6" s="25" t="inlineStr">
        <is>
          <t>Alan kontrol tarihi</t>
        </is>
      </c>
    </row>
    <row r="7" ht="32" customHeight="1">
      <c r="A7" s="28" t="inlineStr">
        <is>
          <t>field_id</t>
        </is>
      </c>
      <c r="B7" s="28" t="inlineStr">
        <is>
          <t>city_id</t>
        </is>
      </c>
      <c r="C7" s="28" t="inlineStr">
        <is>
          <t>key</t>
        </is>
      </c>
      <c r="D7" s="28" t="inlineStr">
        <is>
          <t>label</t>
        </is>
      </c>
      <c r="E7" s="28" t="inlineStr">
        <is>
          <t>value_type</t>
        </is>
      </c>
      <c r="F7" s="28" t="inlineStr">
        <is>
          <t>value</t>
        </is>
      </c>
      <c r="G7" s="28" t="inlineStr">
        <is>
          <t>reviewed_on</t>
        </is>
      </c>
    </row>
    <row r="8" ht="54" customHeight="1">
      <c r="A8" s="29" t="inlineStr">
        <is>
          <t>malaga:field:hero_kicker</t>
        </is>
      </c>
      <c r="B8" s="29" t="inlineStr">
        <is>
          <t>malaga</t>
        </is>
      </c>
      <c r="C8" s="29" t="inlineStr">
        <is>
          <t>hero_kicker</t>
        </is>
      </c>
      <c r="D8" s="29" t="inlineStr">
        <is>
          <t>Üst küçük başlık</t>
        </is>
      </c>
      <c r="E8" s="29" t="inlineStr">
        <is>
          <t>Metin</t>
        </is>
      </c>
      <c r="F8" s="29" t="inlineStr">
        <is>
          <t>İspanya · Málaga rehberi</t>
        </is>
      </c>
      <c r="G8" s="49" t="n">
        <v>46322</v>
      </c>
    </row>
    <row r="9" ht="54" customHeight="1">
      <c r="A9" s="29" t="inlineStr">
        <is>
          <t>malaga:field:hero_accent</t>
        </is>
      </c>
      <c r="B9" s="29" t="inlineStr">
        <is>
          <t>malaga</t>
        </is>
      </c>
      <c r="C9" s="29" t="inlineStr">
        <is>
          <t>hero_accent</t>
        </is>
      </c>
      <c r="D9" s="29" t="inlineStr">
        <is>
          <t>Ana başlığın vurgu metni</t>
        </is>
      </c>
      <c r="E9" s="29" t="inlineStr">
        <is>
          <t>Metin</t>
        </is>
      </c>
      <c r="F9" s="29" t="inlineStr">
        <is>
          <t>Yeni şehrinde ilk günden yolunu bul</t>
        </is>
      </c>
      <c r="G9" s="49" t="n">
        <v>46322</v>
      </c>
    </row>
    <row r="10" ht="54" customHeight="1">
      <c r="A10" s="29" t="inlineStr">
        <is>
          <t>malaga:field:hero_note</t>
        </is>
      </c>
      <c r="B10" s="29" t="inlineStr">
        <is>
          <t>malaga</t>
        </is>
      </c>
      <c r="C10" s="29" t="inlineStr">
        <is>
          <t>hero_note</t>
        </is>
      </c>
      <c r="D10" s="29" t="inlineStr">
        <is>
          <t>Kapak altı kısa açıklama</t>
        </is>
      </c>
      <c r="E10" s="29" t="inlineStr">
        <is>
          <t>Metin</t>
        </is>
      </c>
      <c r="F10" s="29" t="inlineStr">
        <is>
          <t>Kayıt işlemlerinden ulaşıma, sağlıktan semtlere Málaga'da ihtiyacın olan bilgi resmî kaynaklardan derlendi.</t>
        </is>
      </c>
      <c r="G10" s="49" t="n">
        <v>46322</v>
      </c>
    </row>
    <row r="11" ht="54" customHeight="1">
      <c r="A11" s="29" t="inlineStr">
        <is>
          <t>malaga:field:topic_title</t>
        </is>
      </c>
      <c r="B11" s="29" t="inlineStr">
        <is>
          <t>malaga</t>
        </is>
      </c>
      <c r="C11" s="29" t="inlineStr">
        <is>
          <t>topic_title</t>
        </is>
      </c>
      <c r="D11" s="29" t="inlineStr">
        <is>
          <t>Bilgi bölümü başlığı</t>
        </is>
      </c>
      <c r="E11" s="29" t="inlineStr">
        <is>
          <t>Metin</t>
        </is>
      </c>
      <c r="F11" s="29" t="inlineStr">
        <is>
          <t>Bilmen gerekenler</t>
        </is>
      </c>
      <c r="G11" s="49" t="n">
        <v>46322</v>
      </c>
    </row>
    <row r="12" ht="54" customHeight="1">
      <c r="A12" s="29" t="inlineStr">
        <is>
          <t>malaga:field:topic_intro</t>
        </is>
      </c>
      <c r="B12" s="29" t="inlineStr">
        <is>
          <t>malaga</t>
        </is>
      </c>
      <c r="C12" s="29" t="inlineStr">
        <is>
          <t>topic_intro</t>
        </is>
      </c>
      <c r="D12" s="29" t="inlineStr">
        <is>
          <t>Bilgi bölümü açıklaması</t>
        </is>
      </c>
      <c r="E12" s="29" t="inlineStr">
        <is>
          <t>Metin</t>
        </is>
      </c>
      <c r="F12" s="29" t="inlineStr">
        <is>
          <t>Oturum, ev, iş, sağlık, okul ve günlük yaşam sorularının cevaplarını tek yerde bul.</t>
        </is>
      </c>
      <c r="G12" s="49" t="n">
        <v>46322</v>
      </c>
    </row>
    <row r="13" ht="54" customHeight="1">
      <c r="A13" s="29" t="inlineStr">
        <is>
          <t>malaga:field:journey_title</t>
        </is>
      </c>
      <c r="B13" s="29" t="inlineStr">
        <is>
          <t>malaga</t>
        </is>
      </c>
      <c r="C13" s="29" t="inlineStr">
        <is>
          <t>journey_title</t>
        </is>
      </c>
      <c r="D13" s="29" t="inlineStr">
        <is>
          <t>İlk adımlar başlığı</t>
        </is>
      </c>
      <c r="E13" s="29" t="inlineStr">
        <is>
          <t>Metin</t>
        </is>
      </c>
      <c r="F13" s="29" t="inlineStr">
        <is>
          <t>İlk adımlar</t>
        </is>
      </c>
      <c r="G13" s="49" t="n">
        <v>46322</v>
      </c>
    </row>
    <row r="14" ht="54" customHeight="1">
      <c r="A14" s="29" t="inlineStr">
        <is>
          <t>malaga:field:journey_intro</t>
        </is>
      </c>
      <c r="B14" s="29" t="inlineStr">
        <is>
          <t>malaga</t>
        </is>
      </c>
      <c r="C14" s="29" t="inlineStr">
        <is>
          <t>journey_intro</t>
        </is>
      </c>
      <c r="D14" s="29" t="inlineStr">
        <is>
          <t>İlk adımlar açıklaması</t>
        </is>
      </c>
      <c r="E14" s="29" t="inlineStr">
        <is>
          <t>Metin</t>
        </is>
      </c>
      <c r="F14" s="29" t="inlineStr">
        <is>
          <t>Taşınmadan önce ve geldikten sonra yapabileceğin işler bir yol haritası olarak sıralandı; zorunlu bir sıra değildir. Yasal süreler ilgili kartlarda kaynağıyla yazılıdır.</t>
        </is>
      </c>
      <c r="G14" s="49" t="n">
        <v>46322</v>
      </c>
    </row>
    <row r="15" ht="54" customHeight="1">
      <c r="A15" s="29" t="inlineStr">
        <is>
          <t>malaga:field:neighborhood_title</t>
        </is>
      </c>
      <c r="B15" s="29" t="inlineStr">
        <is>
          <t>malaga</t>
        </is>
      </c>
      <c r="C15" s="29" t="inlineStr">
        <is>
          <t>neighborhood_title</t>
        </is>
      </c>
      <c r="D15" s="29" t="inlineStr">
        <is>
          <t>Mahalleler başlığı</t>
        </is>
      </c>
      <c r="E15" s="29" t="inlineStr">
        <is>
          <t>Metin</t>
        </is>
      </c>
      <c r="F15" s="29" t="inlineStr">
        <is>
          <t>Mahalleler</t>
        </is>
      </c>
      <c r="G15" s="49" t="n">
        <v>46322</v>
      </c>
    </row>
    <row r="16" ht="54" customHeight="1">
      <c r="A16" s="29" t="inlineStr">
        <is>
          <t>malaga:field:neighborhood_intro</t>
        </is>
      </c>
      <c r="B16" s="29" t="inlineStr">
        <is>
          <t>malaga</t>
        </is>
      </c>
      <c r="C16" s="29" t="inlineStr">
        <is>
          <t>neighborhood_intro</t>
        </is>
      </c>
      <c r="D16" s="29" t="inlineStr">
        <is>
          <t>Mahalleler açıklaması</t>
        </is>
      </c>
      <c r="E16" s="29" t="inlineStr">
        <is>
          <t>Metin</t>
        </is>
      </c>
      <c r="F16" s="29" t="inlineStr">
        <is>
          <t>Málaga'nın semtlerini konum, ulaşım ve gündelik yaşam gibi başlıklarla yan yana karşılaştır.</t>
        </is>
      </c>
      <c r="G16" s="49" t="n">
        <v>46322</v>
      </c>
    </row>
    <row r="17" ht="54" customHeight="1">
      <c r="A17" s="29" t="inlineStr">
        <is>
          <t>malaga:field:explore_title</t>
        </is>
      </c>
      <c r="B17" s="29" t="inlineStr">
        <is>
          <t>malaga</t>
        </is>
      </c>
      <c r="C17" s="29" t="inlineStr">
        <is>
          <t>explore_title</t>
        </is>
      </c>
      <c r="D17" s="29" t="inlineStr">
        <is>
          <t>Keşif başlığı</t>
        </is>
      </c>
      <c r="E17" s="29" t="inlineStr">
        <is>
          <t>Metin</t>
        </is>
      </c>
      <c r="F17" s="29" t="inlineStr">
        <is>
          <t>Keşfet</t>
        </is>
      </c>
      <c r="G17" s="49" t="n">
        <v>46322</v>
      </c>
    </row>
    <row r="18" ht="54" customHeight="1">
      <c r="A18" s="29" t="inlineStr">
        <is>
          <t>malaga:field:explore_intro</t>
        </is>
      </c>
      <c r="B18" s="29" t="inlineStr">
        <is>
          <t>malaga</t>
        </is>
      </c>
      <c r="C18" s="29" t="inlineStr">
        <is>
          <t>explore_intro</t>
        </is>
      </c>
      <c r="D18" s="29" t="inlineStr">
        <is>
          <t>Keşif açıklaması</t>
        </is>
      </c>
      <c r="E18" s="29" t="inlineStr">
        <is>
          <t>Metin</t>
        </is>
      </c>
      <c r="F18" s="29" t="inlineStr">
        <is>
          <t>Müzelerden açık havaya, sahneden yemeğe Málaga'da gezip görebileceğin yerleri gruplara göre incele.</t>
        </is>
      </c>
      <c r="G18" s="49" t="n">
        <v>46322</v>
      </c>
    </row>
    <row r="19" ht="54" customHeight="1">
      <c r="A19" s="29" t="inlineStr">
        <is>
          <t>malaga:field:sources_note</t>
        </is>
      </c>
      <c r="B19" s="29" t="inlineStr">
        <is>
          <t>malaga</t>
        </is>
      </c>
      <c r="C19" s="29" t="inlineStr">
        <is>
          <t>sources_note</t>
        </is>
      </c>
      <c r="D19" s="29" t="inlineStr">
        <is>
          <t>Kaynak ve kontrol açıklaması</t>
        </is>
      </c>
      <c r="E19" s="29" t="inlineStr">
        <is>
          <t>Metin</t>
        </is>
      </c>
      <c r="F19" s="29" t="inlineStr">
        <is>
          <t>Bilgiler belediye, Junta de Andalucía, ulaşım işletmecileri ve ulusal kurumlar gibi resmî kaynaklardan derlendi. Kişisel hukuki, mali ya da sağlık danışmanlığının yerine geçmez.</t>
        </is>
      </c>
      <c r="G19" s="49" t="n">
        <v>46322</v>
      </c>
    </row>
    <row r="20" ht="54" customHeight="1">
      <c r="A20" s="29" t="inlineStr">
        <is>
          <t>malaga:field:photo_credit</t>
        </is>
      </c>
      <c r="B20" s="29" t="inlineStr">
        <is>
          <t>malaga</t>
        </is>
      </c>
      <c r="C20" s="29" t="inlineStr">
        <is>
          <t>photo_credit</t>
        </is>
      </c>
      <c r="D20" s="29" t="inlineStr">
        <is>
          <t>Fotoğraf bölümü genel atıf notu; kare atıflarının yerine geçmez</t>
        </is>
      </c>
      <c r="E20" s="29" t="inlineStr">
        <is>
          <t>Metin</t>
        </is>
      </c>
      <c r="F20" s="29" t="inlineStr">
        <is>
          <t>Fotoğrafların sahibi ve lisans bilgisi her karenin altında yazılıdır.</t>
        </is>
      </c>
      <c r="G20" s="49" t="n">
        <v>46322</v>
      </c>
    </row>
    <row r="21" ht="54" customHeight="1">
      <c r="A21" s="29" t="inlineStr">
        <is>
          <t>malaga:field:arrival_note</t>
        </is>
      </c>
      <c r="B21" s="29" t="inlineStr">
        <is>
          <t>malaga</t>
        </is>
      </c>
      <c r="C21" s="29" t="inlineStr">
        <is>
          <t>arrival_note</t>
        </is>
      </c>
      <c r="D21" s="29" t="inlineStr">
        <is>
          <t>Kişisel takvimin yasal süre yerine geçmediğini açıklayan yerel not</t>
        </is>
      </c>
      <c r="E21" s="29" t="inlineStr">
        <is>
          <t>Metin</t>
        </is>
      </c>
      <c r="F21" s="29" t="inlineStr">
        <is>
          <t>Buradaki kişisel takvim yalnızca hazırlık içindir ve yasal sürelerin yerine geçmez; yasal süreler ilgili kartlarda kaynağıyla yazılıdır.</t>
        </is>
      </c>
      <c r="G21" s="49" t="n">
        <v>46322</v>
      </c>
    </row>
    <row r="22" ht="54" customHeight="1">
      <c r="A22" s="29" t="inlineStr">
        <is>
          <t>malaga:field:emergency_url</t>
        </is>
      </c>
      <c r="B22" s="29" t="inlineStr">
        <is>
          <t>malaga</t>
        </is>
      </c>
      <c r="C22" s="29" t="inlineStr">
        <is>
          <t>emergency_url</t>
        </is>
      </c>
      <c r="D22" s="29" t="inlineStr">
        <is>
          <t>Yerel resmî acil yardım açıklamasına bağlantı</t>
        </is>
      </c>
      <c r="E22" s="29" t="inlineStr">
        <is>
          <t>Metin</t>
        </is>
      </c>
      <c r="F22" s="29" t="inlineStr">
        <is>
          <t>https://www.juntadeandalucia.es/organismos/ema/areas/emergencias-112/cecem-112-andalucia.html</t>
        </is>
      </c>
      <c r="G22" s="49" t="n">
        <v>46322</v>
      </c>
    </row>
    <row r="23" ht="54" customHeight="1">
      <c r="A23" s="29" t="inlineStr">
        <is>
          <t>malaga:field:pharmacy_url</t>
        </is>
      </c>
      <c r="B23" s="29" t="inlineStr">
        <is>
          <t>malaga</t>
        </is>
      </c>
      <c r="C23" s="29" t="inlineStr">
        <is>
          <t>pharmacy_url</t>
        </is>
      </c>
      <c r="D23" s="29" t="inlineStr">
        <is>
          <t>Yerel resmî nöbetçi eczane/eczane bulma bağlantısı</t>
        </is>
      </c>
      <c r="E23" s="29" t="inlineStr">
        <is>
          <t>Metin</t>
        </is>
      </c>
      <c r="F23" s="29" t="inlineStr">
        <is>
          <t>https://www.farmaceuticos.com/farmacias-de-guardia/malaga/</t>
        </is>
      </c>
      <c r="G23" s="49" t="n">
        <v>46322</v>
      </c>
    </row>
    <row r="24" ht="54" customHeight="1">
      <c r="A24" s="29" t="inlineStr">
        <is>
          <t>malaga:field:advice_entry</t>
        </is>
      </c>
      <c r="B24" s="29" t="inlineStr">
        <is>
          <t>malaga</t>
        </is>
      </c>
      <c r="C24" s="29" t="inlineStr">
        <is>
          <t>advice_entry</t>
        </is>
      </c>
      <c r="D24" s="29" t="inlineStr">
        <is>
          <t>Danışma kartının bu şehirdeki içerik slugı</t>
        </is>
      </c>
      <c r="E24" s="29" t="inlineStr">
        <is>
          <t>Metin</t>
        </is>
      </c>
      <c r="F24" s="29" t="inlineStr">
        <is>
          <t>belediye-yabancilar-hukuki-danisma-010</t>
        </is>
      </c>
      <c r="G24" s="49" t="n">
        <v>46322</v>
      </c>
    </row>
    <row r="25" ht="54" customHeight="1">
      <c r="A25" s="29" t="inlineStr">
        <is>
          <t>malaga:field:facts</t>
        </is>
      </c>
      <c r="B25" s="29" t="inlineStr">
        <is>
          <t>malaga</t>
        </is>
      </c>
      <c r="C25" s="29" t="inlineStr">
        <is>
          <t>facts</t>
        </is>
      </c>
      <c r="D25" s="29" t="inlineStr">
        <is>
          <t>En az 4 kısa bilgi; her biri aynı şehirde bir içerik slugına gider</t>
        </is>
      </c>
      <c r="E25" s="29" t="inlineStr">
        <is>
          <t>JSON</t>
        </is>
      </c>
      <c r="F25" s="29" t="inlineStr">
        <is>
          <t>[{"value": "112", "label": "Tek ve ücretsiz acil numara", "entry": "malaga-acil-durumda-112-061-ve-urgencias-numarasi"}, {"value": "010", "label": "Belediyenin yabancılar hukuku danışma hattı", "entry": "belediye-yabancilar-hukuki-danisma-010"}, {"value": "4 euro", "label": "Havalimanı ekspres otobüsü tek yön bilet", "entry": "havalimani-express-otobus-l-a-bilet-ve-duraklar"}, {"value": "14", "label": "Endülüs'te yıllık tatil günü", "entry": "malaga-yerel-tatilleri-19-agustos-ve-8-eylul-ve-yilin-kalan-tatilleri"}, {"value": "8:30-14:00", "label": "Padrón ofisi hafta içi açık saatler", "entry": "malaga-padron-kaydi-gestion-tributaria-ofisi-ve-randevu"}]</t>
        </is>
      </c>
      <c r="G25" s="49" t="n">
        <v>46322</v>
      </c>
    </row>
    <row r="26" ht="54" customHeight="1">
      <c r="A26" s="29" t="inlineStr">
        <is>
          <t>malaga:field:quick_links</t>
        </is>
      </c>
      <c r="B26" s="29" t="inlineStr">
        <is>
          <t>malaga</t>
        </is>
      </c>
      <c r="C26" s="29" t="inlineStr">
        <is>
          <t>quick_links</t>
        </is>
      </c>
      <c r="D26" s="29" t="inlineStr">
        <is>
          <t>En az 3 hızlı bağlantı; aynı şehirde içerik slugına gider</t>
        </is>
      </c>
      <c r="E26" s="29" t="inlineStr">
        <is>
          <t>JSON</t>
        </is>
      </c>
      <c r="F26" s="29" t="inlineStr">
        <is>
          <t>[{"label": "Padrón kaydı", "entry": "malaga-padron-kaydi-gestion-tributaria-ofisi-ve-randevu"}, {"label": "NIE başvurusu", "entry": "nie-basvurusu-polis-birimi"}, {"label": "Sağlık kartı ve aile hekimi", "entry": "endulus-saglik-karti-tarjeta-sanitaria-ve-aile-hekimi-secimi"}, {"label": "Ulaşım kartı", "entry": "consorcio-ulasim-karti-alma-ve-yukleme"}, {"label": "Acil durum numaraları", "entry": "malaga-acil-durumda-112-061-ve-urgencias-numarasi"}]</t>
        </is>
      </c>
      <c r="G26" s="49" t="n">
        <v>46322</v>
      </c>
    </row>
    <row r="27" ht="54" customHeight="1">
      <c r="A27" s="29" t="inlineStr">
        <is>
          <t>malaga:field:timeline</t>
        </is>
      </c>
      <c r="B27" s="29" t="inlineStr">
        <is>
          <t>malaga</t>
        </is>
      </c>
      <c r="C27" s="29" t="inlineStr">
        <is>
          <t>timeline</t>
        </is>
      </c>
      <c r="D27" s="29" t="inlineStr">
        <is>
          <t>En az 4 kişisel hazırlık hatırlatıcısı; offset taşınma tarihine göre gün</t>
        </is>
      </c>
      <c r="E27" s="29" t="inlineStr">
        <is>
          <t>JSON</t>
        </is>
      </c>
      <c r="F27" s="29" t="inlineStr">
        <is>
          <t>[{"title": "Oturum vizesi belgelerini toparla", "note": "Çalışmayı içermeyen oturum vizesi gerekiyorsa gereken belgelerin listesine bak ve hazırlamaya başla.", "offset": -90, "entry": "oturum-vizesi-basvurusunda-getirilecek-belgeler"}, {"title": "Ev ararken sahte ilanlara dikkat et", "note": "Kiralık ilan dolandırıcılığının işaretlerini öğren, ödemeyi ev ve sözleşme netleşmeden yapma.", "offset": -30, "entry": "kiralik-ilan-dolandiriciligini-tanima"}, {"title": "Padrón için randevu al", "note": "Oturduğun adrese göre OMAC ya da Gestión Tributaria ofisinden padrón randevusunu planla.", "offset": 3, "entry": "malaga-padron-kaydi-gestion-tributaria-ofisi-ve-randevu"}, {"title": "NIE işlemi için polis birimini ara", "note": "Durumuna uygun işlem için yabancılar biriminin telefonuyla görüş, belgeleri hazırla.", "offset": 7, "entry": "nie-basvurusu-polis-birimi"}, {"title": "Sağlık kartını ve aile hekimini ayarla", "note": "Kamu sağlık kartını çıkarmak ve aile hekimi seçmek için adımlara bak.", "offset": 14, "entry": "endulus-saglik-karti-tarjeta-sanitaria-ve-aile-hekimi-secimi"}, {"title": "Ulaşım kartını edin", "note": "Günlük yolculukların için sana uygun kartı seç ve yükle.", "offset": 21, "entry": "consorcio-ulasim-karti-alma-ve-yukleme"}]</t>
        </is>
      </c>
      <c r="G27" s="49" t="n">
        <v>46322</v>
      </c>
    </row>
    <row r="28" ht="54" customHeight="1">
      <c r="A28" s="29" t="inlineStr">
        <is>
          <t>malaga:field:budget_fields</t>
        </is>
      </c>
      <c r="B28" s="29" t="inlineStr">
        <is>
          <t>malaga</t>
        </is>
      </c>
      <c r="C28" s="29" t="inlineStr">
        <is>
          <t>budget_fields</t>
        </is>
      </c>
      <c r="D28" s="29" t="inlineStr">
        <is>
          <t>Bütçe hesaplayıcısının 10 alanı</t>
        </is>
      </c>
      <c r="E28" s="29" t="inlineStr">
        <is>
          <t>JSON</t>
        </is>
      </c>
      <c r="F28" s="29" t="inlineStr">
        <is>
          <t>[{"key": "income", "label": "Aylık net gelir"}, {"key": "rent", "label": "Kira"}, {"key": "bills", "label": "Faturalar (elektrik, su, internet)"}, {"key": "food", "label": "Yiyecek ve market"}, {"key": "transport", "label": "Ulaşım"}, {"key": "health", "label": "Sağlık ve sigorta"}, {"key": "leisure", "label": "Eğlence ve gezi"}, {"key": "other", "label": "Diğer giderler"}, {"key": "deposit", "label": "Depozito (fianza)"}, {"key": "moving", "label": "Taşınma masrafı"}]</t>
        </is>
      </c>
      <c r="G28" s="49" t="n">
        <v>46322</v>
      </c>
    </row>
    <row r="29" ht="54" customHeight="1">
      <c r="A29" s="29" t="inlineStr">
        <is>
          <t>malaga:field:place_groups</t>
        </is>
      </c>
      <c r="B29" s="29" t="inlineStr">
        <is>
          <t>malaga</t>
        </is>
      </c>
      <c r="C29" s="29" t="inlineStr">
        <is>
          <t>place_groups</t>
        </is>
      </c>
      <c r="D29" s="29" t="inlineStr">
        <is>
          <t>Keşif filtresinin 8 sabit anahtarı ve Türkçe etiketleri</t>
        </is>
      </c>
      <c r="E29" s="29" t="inlineStr">
        <is>
          <t>JSON</t>
        </is>
      </c>
      <c r="F29" s="29" t="inlineStr">
        <is>
          <t>[{"key": "museum", "label": "Müzeler"}, {"key": "art", "label": "Sanat ve sergiler"}, {"key": "stage", "label": "Sahne ve müzik"}, {"key": "sport", "label": "Spor"}, {"key": "nature", "label": "Doğa ve açık hava"}, {"key": "family", "label": "Çocuklarla keşif"}, {"key": "food", "label": "Yeme ve içme"}, {"key": "history", "label": "Tarih ve mimari"}]</t>
        </is>
      </c>
      <c r="G29" s="49" t="n">
        <v>46322</v>
      </c>
    </row>
    <row r="30" ht="54" customHeight="1">
      <c r="A30" s="29" t="inlineStr">
        <is>
          <t>malaga:field:emergency</t>
        </is>
      </c>
      <c r="B30" s="29" t="inlineStr">
        <is>
          <t>malaga</t>
        </is>
      </c>
      <c r="C30" s="29" t="inlineStr">
        <is>
          <t>emergency</t>
        </is>
      </c>
      <c r="D30" s="29" t="inlineStr">
        <is>
          <t>Yerel resmî kaynaktan doğrulanmış acil telefon kayıtları</t>
        </is>
      </c>
      <c r="E30" s="29" t="inlineStr">
        <is>
          <t>JSON</t>
        </is>
      </c>
      <c r="F30" s="29" t="inlineStr">
        <is>
          <t>[{"tel": "112", "number": "112", "label": "Genel acil durum", "desc": "Sağlık, yangın ve kurtarma, güvenlik ve sivil koruma için tek ve ücretsiz numara; Endülüs genelinde kesintisiz yanıtlanır."}, {"tel": "061", "number": "061", "label": "Sağlık acili", "desc": "Hayatın tehlikede olduğu sağlık acillerinde aranır; yılın her günü 24 saat çalışır."}, {"tel": "951031437", "number": "951 031 437", "label": "Hayati tehlike olmayan sağlık acili", "desc": "Ateş, ağrı, kusma gibi durumlarda aranan Málaga ilinin urgencias numarası."}]</t>
        </is>
      </c>
      <c r="G30" s="49" t="n">
        <v>46322</v>
      </c>
    </row>
    <row r="31" ht="54" customHeight="1">
      <c r="A31" s="29" t="n"/>
      <c r="B31" s="29" t="n"/>
      <c r="C31" s="29" t="n"/>
      <c r="D31" s="29" t="n"/>
      <c r="E31" s="29" t="n"/>
      <c r="F31" s="29" t="n"/>
      <c r="G31" s="49" t="n"/>
    </row>
    <row r="32" ht="54" customHeight="1">
      <c r="A32" s="29" t="n"/>
      <c r="B32" s="29" t="n"/>
      <c r="C32" s="29" t="n"/>
      <c r="D32" s="29" t="n"/>
      <c r="E32" s="29" t="n"/>
      <c r="F32" s="29" t="n"/>
      <c r="G32" s="49" t="n"/>
    </row>
    <row r="33" ht="54" customHeight="1">
      <c r="A33" s="29" t="n"/>
      <c r="B33" s="29" t="n"/>
      <c r="C33" s="29" t="n"/>
      <c r="D33" s="29" t="n"/>
      <c r="E33" s="29" t="n"/>
      <c r="F33" s="29" t="n"/>
      <c r="G33" s="49" t="n"/>
    </row>
    <row r="34" ht="54" customHeight="1">
      <c r="A34" s="29" t="n"/>
      <c r="B34" s="29" t="n"/>
      <c r="C34" s="29" t="n"/>
      <c r="D34" s="29" t="n"/>
      <c r="E34" s="29" t="n"/>
      <c r="F34" s="29" t="n"/>
      <c r="G34" s="49" t="n"/>
    </row>
    <row r="35" ht="54" customHeight="1">
      <c r="A35" s="29" t="n"/>
      <c r="B35" s="29" t="n"/>
      <c r="C35" s="29" t="n"/>
      <c r="D35" s="29" t="n"/>
      <c r="E35" s="29" t="n"/>
      <c r="F35" s="29" t="n"/>
      <c r="G35" s="49" t="n"/>
    </row>
    <row r="36" ht="54" customHeight="1">
      <c r="A36" s="29" t="n"/>
      <c r="B36" s="29" t="n"/>
      <c r="C36" s="29" t="n"/>
      <c r="D36" s="29" t="n"/>
      <c r="E36" s="29" t="n"/>
      <c r="F36" s="29" t="n"/>
      <c r="G36" s="49" t="n"/>
    </row>
    <row r="37" ht="54" customHeight="1">
      <c r="A37" s="29" t="n"/>
      <c r="B37" s="29" t="n"/>
      <c r="C37" s="29" t="n"/>
      <c r="D37" s="29" t="n"/>
      <c r="E37" s="29" t="n"/>
      <c r="F37" s="29" t="n"/>
      <c r="G37" s="49" t="n"/>
    </row>
    <row r="38" ht="54" customHeight="1">
      <c r="A38" s="29" t="n"/>
      <c r="B38" s="29" t="n"/>
      <c r="C38" s="29" t="n"/>
      <c r="D38" s="29" t="n"/>
      <c r="E38" s="29" t="n"/>
      <c r="F38" s="29" t="n"/>
      <c r="G38" s="49" t="n"/>
    </row>
    <row r="39" ht="54" customHeight="1">
      <c r="A39" s="29" t="n"/>
      <c r="B39" s="29" t="n"/>
      <c r="C39" s="29" t="n"/>
      <c r="D39" s="29" t="n"/>
      <c r="E39" s="29" t="n"/>
      <c r="F39" s="29" t="n"/>
      <c r="G39" s="49" t="n"/>
    </row>
    <row r="40" ht="54" customHeight="1">
      <c r="A40" s="29" t="n"/>
      <c r="B40" s="29" t="n"/>
      <c r="C40" s="29" t="n"/>
      <c r="D40" s="29" t="n"/>
      <c r="E40" s="29" t="n"/>
      <c r="F40" s="29" t="n"/>
      <c r="G40" s="49" t="n"/>
    </row>
    <row r="41" ht="54" customHeight="1">
      <c r="A41" s="29" t="n"/>
      <c r="B41" s="29" t="n"/>
      <c r="C41" s="29" t="n"/>
      <c r="D41" s="29" t="n"/>
      <c r="E41" s="29" t="n"/>
      <c r="F41" s="29" t="n"/>
      <c r="G41" s="49" t="n"/>
    </row>
    <row r="42" ht="54" customHeight="1">
      <c r="A42" s="29" t="n"/>
      <c r="B42" s="29" t="n"/>
      <c r="C42" s="29" t="n"/>
      <c r="D42" s="29" t="n"/>
      <c r="E42" s="29" t="n"/>
      <c r="F42" s="29" t="n"/>
      <c r="G42" s="49" t="n"/>
    </row>
    <row r="43" ht="54" customHeight="1">
      <c r="A43" s="29" t="n"/>
      <c r="B43" s="29" t="n"/>
      <c r="C43" s="29" t="n"/>
      <c r="D43" s="29" t="n"/>
      <c r="E43" s="29" t="n"/>
      <c r="F43" s="29" t="n"/>
      <c r="G43" s="49" t="n"/>
    </row>
    <row r="44" ht="54" customHeight="1">
      <c r="A44" s="29" t="n"/>
      <c r="B44" s="29" t="n"/>
      <c r="C44" s="29" t="n"/>
      <c r="D44" s="29" t="n"/>
      <c r="E44" s="29" t="n"/>
      <c r="F44" s="29" t="n"/>
      <c r="G44" s="49" t="n"/>
    </row>
    <row r="45" ht="54" customHeight="1">
      <c r="A45" s="29" t="n"/>
      <c r="B45" s="29" t="n"/>
      <c r="C45" s="29" t="n"/>
      <c r="D45" s="29" t="n"/>
      <c r="E45" s="29" t="n"/>
      <c r="F45" s="29" t="n"/>
      <c r="G45" s="49" t="n"/>
    </row>
    <row r="46" ht="54" customHeight="1">
      <c r="A46" s="29" t="n"/>
      <c r="B46" s="29" t="n"/>
      <c r="C46" s="29" t="n"/>
      <c r="D46" s="29" t="n"/>
      <c r="E46" s="29" t="n"/>
      <c r="F46" s="29" t="n"/>
      <c r="G46" s="49" t="n"/>
    </row>
    <row r="47" ht="54" customHeight="1">
      <c r="A47" s="29" t="n"/>
      <c r="B47" s="29" t="n"/>
      <c r="C47" s="29" t="n"/>
      <c r="D47" s="29" t="n"/>
      <c r="E47" s="29" t="n"/>
      <c r="F47" s="29" t="n"/>
      <c r="G47" s="49" t="n"/>
    </row>
    <row r="48" ht="54" customHeight="1">
      <c r="A48" s="29" t="n"/>
      <c r="B48" s="29" t="n"/>
      <c r="C48" s="29" t="n"/>
      <c r="D48" s="29" t="n"/>
      <c r="E48" s="29" t="n"/>
      <c r="F48" s="29" t="n"/>
      <c r="G48" s="49" t="n"/>
    </row>
    <row r="49" ht="54" customHeight="1">
      <c r="A49" s="29" t="n"/>
      <c r="B49" s="29" t="n"/>
      <c r="C49" s="29" t="n"/>
      <c r="D49" s="29" t="n"/>
      <c r="E49" s="29" t="n"/>
      <c r="F49" s="29" t="n"/>
      <c r="G49" s="49" t="n"/>
    </row>
    <row r="50" ht="54" customHeight="1">
      <c r="A50" s="29" t="n"/>
      <c r="B50" s="29" t="n"/>
      <c r="C50" s="29" t="n"/>
      <c r="D50" s="29" t="n"/>
      <c r="E50" s="29" t="n"/>
      <c r="F50" s="29" t="n"/>
      <c r="G50" s="49" t="n"/>
    </row>
    <row r="51" ht="54" customHeight="1">
      <c r="A51" s="29" t="n"/>
      <c r="B51" s="29" t="n"/>
      <c r="C51" s="29" t="n"/>
      <c r="D51" s="29" t="n"/>
      <c r="E51" s="29" t="n"/>
      <c r="F51" s="29" t="n"/>
      <c r="G51" s="49" t="n"/>
    </row>
    <row r="52" ht="54" customHeight="1">
      <c r="A52" s="29" t="n"/>
      <c r="B52" s="29" t="n"/>
      <c r="C52" s="29" t="n"/>
      <c r="D52" s="29" t="n"/>
      <c r="E52" s="29" t="n"/>
      <c r="F52" s="29" t="n"/>
      <c r="G52" s="49" t="n"/>
    </row>
    <row r="53" ht="54" customHeight="1">
      <c r="A53" s="29" t="n"/>
      <c r="B53" s="29" t="n"/>
      <c r="C53" s="29" t="n"/>
      <c r="D53" s="29" t="n"/>
      <c r="E53" s="29" t="n"/>
      <c r="F53" s="29" t="n"/>
      <c r="G53" s="49" t="n"/>
    </row>
    <row r="54" ht="54" customHeight="1">
      <c r="A54" s="29" t="n"/>
      <c r="B54" s="29" t="n"/>
      <c r="C54" s="29" t="n"/>
      <c r="D54" s="29" t="n"/>
      <c r="E54" s="29" t="n"/>
      <c r="F54" s="29" t="n"/>
      <c r="G54" s="49" t="n"/>
    </row>
    <row r="55" ht="54" customHeight="1">
      <c r="A55" s="29" t="n"/>
      <c r="B55" s="29" t="n"/>
      <c r="C55" s="29" t="n"/>
      <c r="D55" s="29" t="n"/>
      <c r="E55" s="29" t="n"/>
      <c r="F55" s="29" t="n"/>
      <c r="G55" s="49" t="n"/>
    </row>
    <row r="56" ht="54" customHeight="1">
      <c r="A56" s="29" t="n"/>
      <c r="B56" s="29" t="n"/>
      <c r="C56" s="29" t="n"/>
      <c r="D56" s="29" t="n"/>
      <c r="E56" s="29" t="n"/>
      <c r="F56" s="29" t="n"/>
      <c r="G56" s="49" t="n"/>
    </row>
    <row r="57" ht="54" customHeight="1">
      <c r="A57" s="29" t="n"/>
      <c r="B57" s="29" t="n"/>
      <c r="C57" s="29" t="n"/>
      <c r="D57" s="29" t="n"/>
      <c r="E57" s="29" t="n"/>
      <c r="F57" s="29" t="n"/>
      <c r="G57" s="49" t="n"/>
    </row>
    <row r="58" ht="54" customHeight="1">
      <c r="A58" s="29" t="n"/>
      <c r="B58" s="29" t="n"/>
      <c r="C58" s="29" t="n"/>
      <c r="D58" s="29" t="n"/>
      <c r="E58" s="29" t="n"/>
      <c r="F58" s="29" t="n"/>
      <c r="G58" s="49" t="n"/>
    </row>
    <row r="59" ht="54" customHeight="1">
      <c r="A59" s="29" t="n"/>
      <c r="B59" s="29" t="n"/>
      <c r="C59" s="29" t="n"/>
      <c r="D59" s="29" t="n"/>
      <c r="E59" s="29" t="n"/>
      <c r="F59" s="29" t="n"/>
      <c r="G59" s="49" t="n"/>
    </row>
    <row r="60" ht="54" customHeight="1">
      <c r="A60" s="29" t="n"/>
      <c r="B60" s="29" t="n"/>
      <c r="C60" s="29" t="n"/>
      <c r="D60" s="29" t="n"/>
      <c r="E60" s="29" t="n"/>
      <c r="F60" s="29" t="n"/>
      <c r="G60" s="49" t="n"/>
    </row>
    <row r="61" ht="54" customHeight="1">
      <c r="A61" s="29" t="n"/>
      <c r="B61" s="29" t="n"/>
      <c r="C61" s="29" t="n"/>
      <c r="D61" s="29" t="n"/>
      <c r="E61" s="29" t="n"/>
      <c r="F61" s="29" t="n"/>
      <c r="G61" s="49" t="n"/>
    </row>
    <row r="62" ht="54" customHeight="1">
      <c r="A62" s="29" t="n"/>
      <c r="B62" s="29" t="n"/>
      <c r="C62" s="29" t="n"/>
      <c r="D62" s="29" t="n"/>
      <c r="E62" s="29" t="n"/>
      <c r="F62" s="29" t="n"/>
      <c r="G62" s="49" t="n"/>
    </row>
    <row r="63" ht="54" customHeight="1">
      <c r="A63" s="29" t="n"/>
      <c r="B63" s="29" t="n"/>
      <c r="C63" s="29" t="n"/>
      <c r="D63" s="29" t="n"/>
      <c r="E63" s="29" t="n"/>
      <c r="F63" s="29" t="n"/>
      <c r="G63" s="49" t="n"/>
    </row>
    <row r="64" ht="54" customHeight="1">
      <c r="A64" s="29" t="n"/>
      <c r="B64" s="29" t="n"/>
      <c r="C64" s="29" t="n"/>
      <c r="D64" s="29" t="n"/>
      <c r="E64" s="29" t="n"/>
      <c r="F64" s="29" t="n"/>
      <c r="G64" s="49" t="n"/>
    </row>
    <row r="65" ht="54" customHeight="1">
      <c r="A65" s="29" t="n"/>
      <c r="B65" s="29" t="n"/>
      <c r="C65" s="29" t="n"/>
      <c r="D65" s="29" t="n"/>
      <c r="E65" s="29" t="n"/>
      <c r="F65" s="29" t="n"/>
      <c r="G65" s="49" t="n"/>
    </row>
    <row r="66" ht="54" customHeight="1">
      <c r="A66" s="29" t="n"/>
      <c r="B66" s="29" t="n"/>
      <c r="C66" s="29" t="n"/>
      <c r="D66" s="29" t="n"/>
      <c r="E66" s="29" t="n"/>
      <c r="F66" s="29" t="n"/>
      <c r="G66" s="49" t="n"/>
    </row>
    <row r="67" ht="54" customHeight="1">
      <c r="A67" s="29" t="n"/>
      <c r="B67" s="29" t="n"/>
      <c r="C67" s="29" t="n"/>
      <c r="D67" s="29" t="n"/>
      <c r="E67" s="29" t="n"/>
      <c r="F67" s="29" t="n"/>
      <c r="G67" s="49" t="n"/>
    </row>
    <row r="68" ht="54" customHeight="1">
      <c r="A68" s="29" t="n"/>
      <c r="B68" s="29" t="n"/>
      <c r="C68" s="29" t="n"/>
      <c r="D68" s="29" t="n"/>
      <c r="E68" s="29" t="n"/>
      <c r="F68" s="29" t="n"/>
      <c r="G68" s="49" t="n"/>
    </row>
    <row r="69" ht="54" customHeight="1">
      <c r="A69" s="29" t="n"/>
      <c r="B69" s="29" t="n"/>
      <c r="C69" s="29" t="n"/>
      <c r="D69" s="29" t="n"/>
      <c r="E69" s="29" t="n"/>
      <c r="F69" s="29" t="n"/>
      <c r="G69" s="49" t="n"/>
    </row>
    <row r="70" ht="54" customHeight="1">
      <c r="A70" s="29" t="n"/>
      <c r="B70" s="29" t="n"/>
      <c r="C70" s="29" t="n"/>
      <c r="D70" s="29" t="n"/>
      <c r="E70" s="29" t="n"/>
      <c r="F70" s="29" t="n"/>
      <c r="G70" s="49" t="n"/>
    </row>
    <row r="71" ht="54" customHeight="1">
      <c r="A71" s="29" t="n"/>
      <c r="B71" s="29" t="n"/>
      <c r="C71" s="29" t="n"/>
      <c r="D71" s="29" t="n"/>
      <c r="E71" s="29" t="n"/>
      <c r="F71" s="29" t="n"/>
      <c r="G71" s="49" t="n"/>
    </row>
    <row r="72" ht="54" customHeight="1">
      <c r="A72" s="29" t="n"/>
      <c r="B72" s="29" t="n"/>
      <c r="C72" s="29" t="n"/>
      <c r="D72" s="29" t="n"/>
      <c r="E72" s="29" t="n"/>
      <c r="F72" s="29" t="n"/>
      <c r="G72" s="49" t="n"/>
    </row>
    <row r="73" ht="54" customHeight="1">
      <c r="A73" s="29" t="n"/>
      <c r="B73" s="29" t="n"/>
      <c r="C73" s="29" t="n"/>
      <c r="D73" s="29" t="n"/>
      <c r="E73" s="29" t="n"/>
      <c r="F73" s="29" t="n"/>
      <c r="G73" s="49" t="n"/>
    </row>
    <row r="74" ht="54" customHeight="1">
      <c r="A74" s="29" t="n"/>
      <c r="B74" s="29" t="n"/>
      <c r="C74" s="29" t="n"/>
      <c r="D74" s="29" t="n"/>
      <c r="E74" s="29" t="n"/>
      <c r="F74" s="29" t="n"/>
      <c r="G74" s="49" t="n"/>
    </row>
    <row r="75" ht="54" customHeight="1">
      <c r="A75" s="29" t="n"/>
      <c r="B75" s="29" t="n"/>
      <c r="C75" s="29" t="n"/>
      <c r="D75" s="29" t="n"/>
      <c r="E75" s="29" t="n"/>
      <c r="F75" s="29" t="n"/>
      <c r="G75" s="49" t="n"/>
    </row>
    <row r="76" ht="54" customHeight="1">
      <c r="A76" s="29" t="n"/>
      <c r="B76" s="29" t="n"/>
      <c r="C76" s="29" t="n"/>
      <c r="D76" s="29" t="n"/>
      <c r="E76" s="29" t="n"/>
      <c r="F76" s="29" t="n"/>
      <c r="G76" s="49" t="n"/>
    </row>
    <row r="77" ht="54" customHeight="1">
      <c r="A77" s="29" t="n"/>
      <c r="B77" s="29" t="n"/>
      <c r="C77" s="29" t="n"/>
      <c r="D77" s="29" t="n"/>
      <c r="E77" s="29" t="n"/>
      <c r="F77" s="29" t="n"/>
      <c r="G77" s="49" t="n"/>
    </row>
    <row r="78" ht="54" customHeight="1">
      <c r="A78" s="29" t="n"/>
      <c r="B78" s="29" t="n"/>
      <c r="C78" s="29" t="n"/>
      <c r="D78" s="29" t="n"/>
      <c r="E78" s="29" t="n"/>
      <c r="F78" s="29" t="n"/>
      <c r="G78" s="49" t="n"/>
    </row>
    <row r="79" ht="54" customHeight="1">
      <c r="A79" s="29" t="n"/>
      <c r="B79" s="29" t="n"/>
      <c r="C79" s="29" t="n"/>
      <c r="D79" s="29" t="n"/>
      <c r="E79" s="29" t="n"/>
      <c r="F79" s="29" t="n"/>
      <c r="G79" s="49" t="n"/>
    </row>
    <row r="80" ht="54" customHeight="1">
      <c r="A80" s="29" t="n"/>
      <c r="B80" s="29" t="n"/>
      <c r="C80" s="29" t="n"/>
      <c r="D80" s="29" t="n"/>
      <c r="E80" s="29" t="n"/>
      <c r="F80" s="29" t="n"/>
      <c r="G80" s="49" t="n"/>
    </row>
    <row r="81" ht="54" customHeight="1">
      <c r="A81" s="29" t="n"/>
      <c r="B81" s="29" t="n"/>
      <c r="C81" s="29" t="n"/>
      <c r="D81" s="29" t="n"/>
      <c r="E81" s="29" t="n"/>
      <c r="F81" s="29" t="n"/>
      <c r="G81" s="49" t="n"/>
    </row>
    <row r="82" ht="54" customHeight="1">
      <c r="A82" s="29" t="n"/>
      <c r="B82" s="29" t="n"/>
      <c r="C82" s="29" t="n"/>
      <c r="D82" s="29" t="n"/>
      <c r="E82" s="29" t="n"/>
      <c r="F82" s="29" t="n"/>
      <c r="G82" s="49" t="n"/>
    </row>
    <row r="83" ht="54" customHeight="1">
      <c r="A83" s="29" t="n"/>
      <c r="B83" s="29" t="n"/>
      <c r="C83" s="29" t="n"/>
      <c r="D83" s="29" t="n"/>
      <c r="E83" s="29" t="n"/>
      <c r="F83" s="29" t="n"/>
      <c r="G83" s="49" t="n"/>
    </row>
    <row r="84" ht="54" customHeight="1">
      <c r="A84" s="29" t="n"/>
      <c r="B84" s="29" t="n"/>
      <c r="C84" s="29" t="n"/>
      <c r="D84" s="29" t="n"/>
      <c r="E84" s="29" t="n"/>
      <c r="F84" s="29" t="n"/>
      <c r="G84" s="49" t="n"/>
    </row>
    <row r="85" ht="54" customHeight="1">
      <c r="A85" s="29" t="n"/>
      <c r="B85" s="29" t="n"/>
      <c r="C85" s="29" t="n"/>
      <c r="D85" s="29" t="n"/>
      <c r="E85" s="29" t="n"/>
      <c r="F85" s="29" t="n"/>
      <c r="G85" s="49" t="n"/>
    </row>
    <row r="86" ht="54" customHeight="1">
      <c r="A86" s="29" t="n"/>
      <c r="B86" s="29" t="n"/>
      <c r="C86" s="29" t="n"/>
      <c r="D86" s="29" t="n"/>
      <c r="E86" s="29" t="n"/>
      <c r="F86" s="29" t="n"/>
      <c r="G86" s="49" t="n"/>
    </row>
    <row r="87" ht="54" customHeight="1">
      <c r="A87" s="29" t="n"/>
      <c r="B87" s="29" t="n"/>
      <c r="C87" s="29" t="n"/>
      <c r="D87" s="29" t="n"/>
      <c r="E87" s="29" t="n"/>
      <c r="F87" s="29" t="n"/>
      <c r="G87" s="49" t="n"/>
    </row>
    <row r="88" ht="54" customHeight="1">
      <c r="A88" s="29" t="n"/>
      <c r="B88" s="29" t="n"/>
      <c r="C88" s="29" t="n"/>
      <c r="D88" s="29" t="n"/>
      <c r="E88" s="29" t="n"/>
      <c r="F88" s="29" t="n"/>
      <c r="G88" s="49" t="n"/>
    </row>
    <row r="89" ht="54" customHeight="1">
      <c r="A89" s="29" t="n"/>
      <c r="B89" s="29" t="n"/>
      <c r="C89" s="29" t="n"/>
      <c r="D89" s="29" t="n"/>
      <c r="E89" s="29" t="n"/>
      <c r="F89" s="29" t="n"/>
      <c r="G89" s="49" t="n"/>
    </row>
    <row r="90" ht="54" customHeight="1">
      <c r="A90" s="29" t="n"/>
      <c r="B90" s="29" t="n"/>
      <c r="C90" s="29" t="n"/>
      <c r="D90" s="29" t="n"/>
      <c r="E90" s="29" t="n"/>
      <c r="F90" s="29" t="n"/>
      <c r="G90" s="49" t="n"/>
    </row>
    <row r="91" ht="54" customHeight="1">
      <c r="A91" s="29" t="n"/>
      <c r="B91" s="29" t="n"/>
      <c r="C91" s="29" t="n"/>
      <c r="D91" s="29" t="n"/>
      <c r="E91" s="29" t="n"/>
      <c r="F91" s="29" t="n"/>
      <c r="G91" s="49" t="n"/>
    </row>
    <row r="92" ht="54" customHeight="1">
      <c r="A92" s="29" t="n"/>
      <c r="B92" s="29" t="n"/>
      <c r="C92" s="29" t="n"/>
      <c r="D92" s="29" t="n"/>
      <c r="E92" s="29" t="n"/>
      <c r="F92" s="29" t="n"/>
      <c r="G92" s="49" t="n"/>
    </row>
    <row r="93" ht="54" customHeight="1">
      <c r="A93" s="29" t="n"/>
      <c r="B93" s="29" t="n"/>
      <c r="C93" s="29" t="n"/>
      <c r="D93" s="29" t="n"/>
      <c r="E93" s="29" t="n"/>
      <c r="F93" s="29" t="n"/>
      <c r="G93" s="49" t="n"/>
    </row>
    <row r="94" ht="54" customHeight="1">
      <c r="A94" s="29" t="n"/>
      <c r="B94" s="29" t="n"/>
      <c r="C94" s="29" t="n"/>
      <c r="D94" s="29" t="n"/>
      <c r="E94" s="29" t="n"/>
      <c r="F94" s="29" t="n"/>
      <c r="G94" s="49" t="n"/>
    </row>
    <row r="95" ht="54" customHeight="1">
      <c r="A95" s="29" t="n"/>
      <c r="B95" s="29" t="n"/>
      <c r="C95" s="29" t="n"/>
      <c r="D95" s="29" t="n"/>
      <c r="E95" s="29" t="n"/>
      <c r="F95" s="29" t="n"/>
      <c r="G95" s="49" t="n"/>
    </row>
    <row r="96" ht="54" customHeight="1">
      <c r="A96" s="29" t="n"/>
      <c r="B96" s="29" t="n"/>
      <c r="C96" s="29" t="n"/>
      <c r="D96" s="29" t="n"/>
      <c r="E96" s="29" t="n"/>
      <c r="F96" s="29" t="n"/>
      <c r="G96" s="49" t="n"/>
    </row>
    <row r="97" ht="54" customHeight="1">
      <c r="A97" s="29" t="n"/>
      <c r="B97" s="29" t="n"/>
      <c r="C97" s="29" t="n"/>
      <c r="D97" s="29" t="n"/>
      <c r="E97" s="29" t="n"/>
      <c r="F97" s="29" t="n"/>
      <c r="G97" s="49" t="n"/>
    </row>
    <row r="98" ht="54" customHeight="1">
      <c r="A98" s="29" t="n"/>
      <c r="B98" s="29" t="n"/>
      <c r="C98" s="29" t="n"/>
      <c r="D98" s="29" t="n"/>
      <c r="E98" s="29" t="n"/>
      <c r="F98" s="29" t="n"/>
      <c r="G98" s="49" t="n"/>
    </row>
    <row r="99" ht="54" customHeight="1">
      <c r="A99" s="29" t="n"/>
      <c r="B99" s="29" t="n"/>
      <c r="C99" s="29" t="n"/>
      <c r="D99" s="29" t="n"/>
      <c r="E99" s="29" t="n"/>
      <c r="F99" s="29" t="n"/>
      <c r="G99" s="49" t="n"/>
    </row>
    <row r="100" ht="54" customHeight="1">
      <c r="A100" s="29" t="n"/>
      <c r="B100" s="29" t="n"/>
      <c r="C100" s="29" t="n"/>
      <c r="D100" s="29" t="n"/>
      <c r="E100" s="29" t="n"/>
      <c r="F100" s="29" t="n"/>
      <c r="G100" s="49" t="n"/>
    </row>
    <row r="101" ht="54" customHeight="1">
      <c r="A101" s="29" t="n"/>
      <c r="B101" s="29" t="n"/>
      <c r="C101" s="29" t="n"/>
      <c r="D101" s="29" t="n"/>
      <c r="E101" s="29" t="n"/>
      <c r="F101" s="29" t="n"/>
      <c r="G101" s="49" t="n"/>
    </row>
    <row r="102" ht="54" customHeight="1">
      <c r="A102" s="29" t="n"/>
      <c r="B102" s="29" t="n"/>
      <c r="C102" s="29" t="n"/>
      <c r="D102" s="29" t="n"/>
      <c r="E102" s="29" t="n"/>
      <c r="F102" s="29" t="n"/>
      <c r="G102" s="49" t="n"/>
    </row>
    <row r="103" ht="54" customHeight="1">
      <c r="A103" s="29" t="n"/>
      <c r="B103" s="29" t="n"/>
      <c r="C103" s="29" t="n"/>
      <c r="D103" s="29" t="n"/>
      <c r="E103" s="29" t="n"/>
      <c r="F103" s="29" t="n"/>
      <c r="G103" s="49" t="n"/>
    </row>
    <row r="104" ht="54" customHeight="1">
      <c r="A104" s="29" t="n"/>
      <c r="B104" s="29" t="n"/>
      <c r="C104" s="29" t="n"/>
      <c r="D104" s="29" t="n"/>
      <c r="E104" s="29" t="n"/>
      <c r="F104" s="29" t="n"/>
      <c r="G104" s="49" t="n"/>
    </row>
    <row r="105" ht="54" customHeight="1">
      <c r="A105" s="29" t="n"/>
      <c r="B105" s="29" t="n"/>
      <c r="C105" s="29" t="n"/>
      <c r="D105" s="29" t="n"/>
      <c r="E105" s="29" t="n"/>
      <c r="F105" s="29" t="n"/>
      <c r="G105" s="49" t="n"/>
    </row>
    <row r="106" ht="54" customHeight="1">
      <c r="A106" s="29" t="n"/>
      <c r="B106" s="29" t="n"/>
      <c r="C106" s="29" t="n"/>
      <c r="D106" s="29" t="n"/>
      <c r="E106" s="29" t="n"/>
      <c r="F106" s="29" t="n"/>
      <c r="G106" s="49" t="n"/>
    </row>
    <row r="107" ht="54" customHeight="1">
      <c r="A107" s="29" t="n"/>
      <c r="B107" s="29" t="n"/>
      <c r="C107" s="29" t="n"/>
      <c r="D107" s="29" t="n"/>
      <c r="E107" s="29" t="n"/>
      <c r="F107" s="29" t="n"/>
      <c r="G107" s="49" t="n"/>
    </row>
    <row r="108" ht="54" customHeight="1">
      <c r="A108" s="29" t="n"/>
      <c r="B108" s="29" t="n"/>
      <c r="C108" s="29" t="n"/>
      <c r="D108" s="29" t="n"/>
      <c r="E108" s="29" t="n"/>
      <c r="F108" s="29" t="n"/>
      <c r="G108" s="49" t="n"/>
    </row>
    <row r="109" ht="54" customHeight="1">
      <c r="A109" s="29" t="n"/>
      <c r="B109" s="29" t="n"/>
      <c r="C109" s="29" t="n"/>
      <c r="D109" s="29" t="n"/>
      <c r="E109" s="29" t="n"/>
      <c r="F109" s="29" t="n"/>
      <c r="G109" s="49" t="n"/>
    </row>
    <row r="110" ht="54" customHeight="1">
      <c r="A110" s="29" t="n"/>
      <c r="B110" s="29" t="n"/>
      <c r="C110" s="29" t="n"/>
      <c r="D110" s="29" t="n"/>
      <c r="E110" s="29" t="n"/>
      <c r="F110" s="29" t="n"/>
      <c r="G110" s="49" t="n"/>
    </row>
    <row r="111" ht="54" customHeight="1">
      <c r="A111" s="29" t="n"/>
      <c r="B111" s="29" t="n"/>
      <c r="C111" s="29" t="n"/>
      <c r="D111" s="29" t="n"/>
      <c r="E111" s="29" t="n"/>
      <c r="F111" s="29" t="n"/>
      <c r="G111" s="49" t="n"/>
    </row>
    <row r="112" ht="54" customHeight="1">
      <c r="A112" s="29" t="n"/>
      <c r="B112" s="29" t="n"/>
      <c r="C112" s="29" t="n"/>
      <c r="D112" s="29" t="n"/>
      <c r="E112" s="29" t="n"/>
      <c r="F112" s="29" t="n"/>
      <c r="G112" s="49" t="n"/>
    </row>
    <row r="113" ht="54" customHeight="1">
      <c r="A113" s="29" t="n"/>
      <c r="B113" s="29" t="n"/>
      <c r="C113" s="29" t="n"/>
      <c r="D113" s="29" t="n"/>
      <c r="E113" s="29" t="n"/>
      <c r="F113" s="29" t="n"/>
      <c r="G113" s="49" t="n"/>
    </row>
    <row r="114" ht="54" customHeight="1">
      <c r="A114" s="29" t="n"/>
      <c r="B114" s="29" t="n"/>
      <c r="C114" s="29" t="n"/>
      <c r="D114" s="29" t="n"/>
      <c r="E114" s="29" t="n"/>
      <c r="F114" s="29" t="n"/>
      <c r="G114" s="49" t="n"/>
    </row>
    <row r="115" ht="54" customHeight="1">
      <c r="A115" s="29" t="n"/>
      <c r="B115" s="29" t="n"/>
      <c r="C115" s="29" t="n"/>
      <c r="D115" s="29" t="n"/>
      <c r="E115" s="29" t="n"/>
      <c r="F115" s="29" t="n"/>
      <c r="G115" s="49" t="n"/>
    </row>
    <row r="116" ht="54" customHeight="1">
      <c r="A116" s="29" t="n"/>
      <c r="B116" s="29" t="n"/>
      <c r="C116" s="29" t="n"/>
      <c r="D116" s="29" t="n"/>
      <c r="E116" s="29" t="n"/>
      <c r="F116" s="29" t="n"/>
      <c r="G116" s="49" t="n"/>
    </row>
    <row r="117" ht="54" customHeight="1">
      <c r="A117" s="29" t="n"/>
      <c r="B117" s="29" t="n"/>
      <c r="C117" s="29" t="n"/>
      <c r="D117" s="29" t="n"/>
      <c r="E117" s="29" t="n"/>
      <c r="F117" s="29" t="n"/>
      <c r="G117" s="49" t="n"/>
    </row>
    <row r="118" ht="54" customHeight="1">
      <c r="A118" s="29" t="n"/>
      <c r="B118" s="29" t="n"/>
      <c r="C118" s="29" t="n"/>
      <c r="D118" s="29" t="n"/>
      <c r="E118" s="29" t="n"/>
      <c r="F118" s="29" t="n"/>
      <c r="G118" s="49" t="n"/>
    </row>
    <row r="119" ht="54" customHeight="1">
      <c r="A119" s="29" t="n"/>
      <c r="B119" s="29" t="n"/>
      <c r="C119" s="29" t="n"/>
      <c r="D119" s="29" t="n"/>
      <c r="E119" s="29" t="n"/>
      <c r="F119" s="29" t="n"/>
      <c r="G119" s="49" t="n"/>
    </row>
    <row r="120" ht="54" customHeight="1">
      <c r="A120" s="29" t="n"/>
      <c r="B120" s="29" t="n"/>
      <c r="C120" s="29" t="n"/>
      <c r="D120" s="29" t="n"/>
      <c r="E120" s="29" t="n"/>
      <c r="F120" s="29" t="n"/>
      <c r="G120" s="49" t="n"/>
    </row>
    <row r="121" ht="54" customHeight="1">
      <c r="A121" s="29" t="n"/>
      <c r="B121" s="29" t="n"/>
      <c r="C121" s="29" t="n"/>
      <c r="D121" s="29" t="n"/>
      <c r="E121" s="29" t="n"/>
      <c r="F121" s="29" t="n"/>
      <c r="G121" s="49" t="n"/>
    </row>
    <row r="122" ht="54" customHeight="1">
      <c r="A122" s="29" t="n"/>
      <c r="B122" s="29" t="n"/>
      <c r="C122" s="29" t="n"/>
      <c r="D122" s="29" t="n"/>
      <c r="E122" s="29" t="n"/>
      <c r="F122" s="29" t="n"/>
      <c r="G122" s="49" t="n"/>
    </row>
    <row r="123" ht="54" customHeight="1">
      <c r="A123" s="29" t="n"/>
      <c r="B123" s="29" t="n"/>
      <c r="C123" s="29" t="n"/>
      <c r="D123" s="29" t="n"/>
      <c r="E123" s="29" t="n"/>
      <c r="F123" s="29" t="n"/>
      <c r="G123" s="49" t="n"/>
    </row>
    <row r="124" ht="54" customHeight="1">
      <c r="A124" s="29" t="n"/>
      <c r="B124" s="29" t="n"/>
      <c r="C124" s="29" t="n"/>
      <c r="D124" s="29" t="n"/>
      <c r="E124" s="29" t="n"/>
      <c r="F124" s="29" t="n"/>
      <c r="G124" s="49" t="n"/>
    </row>
    <row r="125" ht="54" customHeight="1">
      <c r="A125" s="29" t="n"/>
      <c r="B125" s="29" t="n"/>
      <c r="C125" s="29" t="n"/>
      <c r="D125" s="29" t="n"/>
      <c r="E125" s="29" t="n"/>
      <c r="F125" s="29" t="n"/>
      <c r="G125" s="49" t="n"/>
    </row>
    <row r="126" ht="54" customHeight="1">
      <c r="A126" s="29" t="n"/>
      <c r="B126" s="29" t="n"/>
      <c r="C126" s="29" t="n"/>
      <c r="D126" s="29" t="n"/>
      <c r="E126" s="29" t="n"/>
      <c r="F126" s="29" t="n"/>
      <c r="G126" s="49" t="n"/>
    </row>
    <row r="127" ht="54" customHeight="1">
      <c r="A127" s="29" t="n"/>
      <c r="B127" s="29" t="n"/>
      <c r="C127" s="29" t="n"/>
      <c r="D127" s="29" t="n"/>
      <c r="E127" s="29" t="n"/>
      <c r="F127" s="29" t="n"/>
      <c r="G127" s="49" t="n"/>
    </row>
  </sheetData>
  <mergeCells count="1">
    <mergeCell ref="A3:G3"/>
  </mergeCells>
  <conditionalFormatting sqref="A8:A127">
    <cfRule type="expression" priority="1" dxfId="1">
      <formula>AND($A8&lt;&gt;"",ISBLANK(A8))</formula>
    </cfRule>
  </conditionalFormatting>
  <conditionalFormatting sqref="B8:B127">
    <cfRule type="expression" priority="2" dxfId="1">
      <formula>AND($A8&lt;&gt;"",ISBLANK(B8))</formula>
    </cfRule>
  </conditionalFormatting>
  <conditionalFormatting sqref="C8:C127">
    <cfRule type="expression" priority="3" dxfId="1">
      <formula>AND($A8&lt;&gt;"",ISBLANK(C8))</formula>
    </cfRule>
  </conditionalFormatting>
  <conditionalFormatting sqref="D8:D127">
    <cfRule type="expression" priority="4" dxfId="1">
      <formula>AND($A8&lt;&gt;"",ISBLANK(D8))</formula>
    </cfRule>
  </conditionalFormatting>
  <conditionalFormatting sqref="E8:E127">
    <cfRule type="expression" priority="5" dxfId="1">
      <formula>AND($A8&lt;&gt;"",ISBLANK(E8))</formula>
    </cfRule>
  </conditionalFormatting>
  <conditionalFormatting sqref="F8:F127">
    <cfRule type="expression" priority="6" dxfId="1">
      <formula>AND($A8&lt;&gt;"",ISBLANK(F8))</formula>
    </cfRule>
  </conditionalFormatting>
  <conditionalFormatting sqref="G8:G127">
    <cfRule type="expression" priority="7" dxfId="1">
      <formula>AND($A8&lt;&gt;"",ISBLANK(G8))</formula>
    </cfRule>
  </conditionalFormatting>
  <dataValidations count="1">
    <dataValidation sqref="E8:E12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G2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32" customWidth="1" min="4" max="4"/>
    <col width="28" customWidth="1" min="5" max="5"/>
    <col width="28" customWidth="1" min="6" max="6"/>
    <col width="58" customWidth="1" min="7" max="7"/>
  </cols>
  <sheetData>
    <row r="1" ht="30" customHeight="1">
      <c r="A1" s="2" t="n"/>
      <c r="B1" s="2" t="n"/>
      <c r="C1" s="2" t="n"/>
      <c r="D1" s="2" t="n"/>
      <c r="E1" s="2" t="n"/>
      <c r="F1" s="2" t="n"/>
      <c r="G1" s="2" t="n"/>
    </row>
    <row r="2" ht="30" customHeight="1">
      <c r="A2" s="19" t="inlineStr">
        <is>
          <t>Corteqs · Ek kart alanları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Detay kimliği</t>
        </is>
      </c>
      <c r="B6" s="25" t="inlineStr">
        <is>
          <t>Şehir kimliği</t>
        </is>
      </c>
      <c r="C6" s="25" t="inlineStr">
        <is>
          <t>İçerik kimliği</t>
        </is>
      </c>
      <c r="D6" s="25" t="inlineStr">
        <is>
          <t>Detay anahtarı</t>
        </is>
      </c>
      <c r="E6" s="25" t="inlineStr">
        <is>
          <t>Türkçe alan açıklaması</t>
        </is>
      </c>
      <c r="F6" s="25" t="inlineStr">
        <is>
          <t>Değer türü</t>
        </is>
      </c>
      <c r="G6" s="25" t="inlineStr">
        <is>
          <t>Alan değeri</t>
        </is>
      </c>
    </row>
    <row r="7" ht="32" customHeight="1">
      <c r="A7" s="28" t="inlineStr">
        <is>
          <t>detail_id</t>
        </is>
      </c>
      <c r="B7" s="28" t="inlineStr">
        <is>
          <t>city_id</t>
        </is>
      </c>
      <c r="C7" s="28" t="inlineStr">
        <is>
          <t>entry_id</t>
        </is>
      </c>
      <c r="D7" s="28" t="inlineStr">
        <is>
          <t>key</t>
        </is>
      </c>
      <c r="E7" s="28" t="inlineStr">
        <is>
          <t>label</t>
        </is>
      </c>
      <c r="F7" s="28" t="inlineStr">
        <is>
          <t>value_type</t>
        </is>
      </c>
      <c r="G7" s="28" t="inlineStr">
        <is>
          <t>value</t>
        </is>
      </c>
    </row>
    <row r="8" ht="54" customHeight="1">
      <c r="A8" s="29" t="n"/>
      <c r="B8" s="29" t="n"/>
      <c r="C8" s="29" t="n"/>
      <c r="D8" s="29" t="n"/>
      <c r="E8" s="29" t="n"/>
      <c r="F8" s="29" t="n"/>
      <c r="G8" s="29" t="n"/>
    </row>
    <row r="9" ht="54" customHeight="1">
      <c r="A9" s="29" t="n"/>
      <c r="B9" s="29" t="n"/>
      <c r="C9" s="29" t="n"/>
      <c r="D9" s="29" t="n"/>
      <c r="E9" s="29" t="n"/>
      <c r="F9" s="29" t="n"/>
      <c r="G9" s="29" t="n"/>
    </row>
    <row r="10" ht="54" customHeight="1">
      <c r="A10" s="29" t="n"/>
      <c r="B10" s="29" t="n"/>
      <c r="C10" s="29" t="n"/>
      <c r="D10" s="29" t="n"/>
      <c r="E10" s="29" t="n"/>
      <c r="F10" s="29" t="n"/>
      <c r="G10" s="29" t="n"/>
    </row>
    <row r="11" ht="54" customHeight="1">
      <c r="A11" s="29" t="n"/>
      <c r="B11" s="29" t="n"/>
      <c r="C11" s="29" t="n"/>
      <c r="D11" s="29" t="n"/>
      <c r="E11" s="29" t="n"/>
      <c r="F11" s="29" t="n"/>
      <c r="G11" s="29" t="n"/>
    </row>
    <row r="12" ht="54" customHeight="1">
      <c r="A12" s="29" t="n"/>
      <c r="B12" s="29" t="n"/>
      <c r="C12" s="29" t="n"/>
      <c r="D12" s="29" t="n"/>
      <c r="E12" s="29" t="n"/>
      <c r="F12" s="29" t="n"/>
      <c r="G12" s="29" t="n"/>
    </row>
    <row r="13" ht="54" customHeight="1">
      <c r="A13" s="29" t="n"/>
      <c r="B13" s="29" t="n"/>
      <c r="C13" s="29" t="n"/>
      <c r="D13" s="29" t="n"/>
      <c r="E13" s="29" t="n"/>
      <c r="F13" s="29" t="n"/>
      <c r="G13" s="29" t="n"/>
    </row>
    <row r="14" ht="54" customHeight="1">
      <c r="A14" s="29" t="n"/>
      <c r="B14" s="29" t="n"/>
      <c r="C14" s="29" t="n"/>
      <c r="D14" s="29" t="n"/>
      <c r="E14" s="29" t="n"/>
      <c r="F14" s="29" t="n"/>
      <c r="G14" s="29" t="n"/>
    </row>
    <row r="15" ht="54" customHeight="1">
      <c r="A15" s="29" t="n"/>
      <c r="B15" s="29" t="n"/>
      <c r="C15" s="29" t="n"/>
      <c r="D15" s="29" t="n"/>
      <c r="E15" s="29" t="n"/>
      <c r="F15" s="29" t="n"/>
      <c r="G15" s="29" t="n"/>
    </row>
    <row r="16" ht="54" customHeight="1">
      <c r="A16" s="29" t="n"/>
      <c r="B16" s="29" t="n"/>
      <c r="C16" s="29" t="n"/>
      <c r="D16" s="29" t="n"/>
      <c r="E16" s="29" t="n"/>
      <c r="F16" s="29" t="n"/>
      <c r="G16" s="29" t="n"/>
    </row>
    <row r="17" ht="54" customHeight="1">
      <c r="A17" s="29" t="n"/>
      <c r="B17" s="29" t="n"/>
      <c r="C17" s="29" t="n"/>
      <c r="D17" s="29" t="n"/>
      <c r="E17" s="29" t="n"/>
      <c r="F17" s="29" t="n"/>
      <c r="G17" s="29" t="n"/>
    </row>
    <row r="18" ht="54" customHeight="1">
      <c r="A18" s="29" t="n"/>
      <c r="B18" s="29" t="n"/>
      <c r="C18" s="29" t="n"/>
      <c r="D18" s="29" t="n"/>
      <c r="E18" s="29" t="n"/>
      <c r="F18" s="29" t="n"/>
      <c r="G18" s="29" t="n"/>
    </row>
    <row r="19" ht="54" customHeight="1">
      <c r="A19" s="29" t="n"/>
      <c r="B19" s="29" t="n"/>
      <c r="C19" s="29" t="n"/>
      <c r="D19" s="29" t="n"/>
      <c r="E19" s="29" t="n"/>
      <c r="F19" s="29" t="n"/>
      <c r="G19" s="29" t="n"/>
    </row>
    <row r="20" ht="54" customHeight="1">
      <c r="A20" s="29" t="n"/>
      <c r="B20" s="29" t="n"/>
      <c r="C20" s="29" t="n"/>
      <c r="D20" s="29" t="n"/>
      <c r="E20" s="29" t="n"/>
      <c r="F20" s="29" t="n"/>
      <c r="G20" s="29" t="n"/>
    </row>
    <row r="21" ht="54" customHeight="1">
      <c r="A21" s="29" t="n"/>
      <c r="B21" s="29" t="n"/>
      <c r="C21" s="29" t="n"/>
      <c r="D21" s="29" t="n"/>
      <c r="E21" s="29" t="n"/>
      <c r="F21" s="29" t="n"/>
      <c r="G21" s="29" t="n"/>
    </row>
    <row r="22" ht="54" customHeight="1">
      <c r="A22" s="29" t="n"/>
      <c r="B22" s="29" t="n"/>
      <c r="C22" s="29" t="n"/>
      <c r="D22" s="29" t="n"/>
      <c r="E22" s="29" t="n"/>
      <c r="F22" s="29" t="n"/>
      <c r="G22" s="29" t="n"/>
    </row>
    <row r="23" ht="54" customHeight="1">
      <c r="A23" s="29" t="n"/>
      <c r="B23" s="29" t="n"/>
      <c r="C23" s="29" t="n"/>
      <c r="D23" s="29" t="n"/>
      <c r="E23" s="29" t="n"/>
      <c r="F23" s="29" t="n"/>
      <c r="G23" s="29" t="n"/>
    </row>
    <row r="24" ht="54" customHeight="1">
      <c r="A24" s="29" t="n"/>
      <c r="B24" s="29" t="n"/>
      <c r="C24" s="29" t="n"/>
      <c r="D24" s="29" t="n"/>
      <c r="E24" s="29" t="n"/>
      <c r="F24" s="29" t="n"/>
      <c r="G24" s="29" t="n"/>
    </row>
    <row r="25" ht="54" customHeight="1">
      <c r="A25" s="29" t="n"/>
      <c r="B25" s="29" t="n"/>
      <c r="C25" s="29" t="n"/>
      <c r="D25" s="29" t="n"/>
      <c r="E25" s="29" t="n"/>
      <c r="F25" s="29" t="n"/>
      <c r="G25" s="29" t="n"/>
    </row>
    <row r="26" ht="54" customHeight="1">
      <c r="A26" s="29" t="n"/>
      <c r="B26" s="29" t="n"/>
      <c r="C26" s="29" t="n"/>
      <c r="D26" s="29" t="n"/>
      <c r="E26" s="29" t="n"/>
      <c r="F26" s="29" t="n"/>
      <c r="G26" s="29" t="n"/>
    </row>
    <row r="27" ht="54" customHeight="1">
      <c r="A27" s="29" t="n"/>
      <c r="B27" s="29" t="n"/>
      <c r="C27" s="29" t="n"/>
      <c r="D27" s="29" t="n"/>
      <c r="E27" s="29" t="n"/>
      <c r="F27" s="29" t="n"/>
      <c r="G27" s="29" t="n"/>
    </row>
    <row r="28" ht="54" customHeight="1">
      <c r="A28" s="29" t="n"/>
      <c r="B28" s="29" t="n"/>
      <c r="C28" s="29" t="n"/>
      <c r="D28" s="29" t="n"/>
      <c r="E28" s="29" t="n"/>
      <c r="F28" s="29" t="n"/>
      <c r="G28" s="29" t="n"/>
    </row>
    <row r="29" ht="54" customHeight="1">
      <c r="A29" s="29" t="n"/>
      <c r="B29" s="29" t="n"/>
      <c r="C29" s="29" t="n"/>
      <c r="D29" s="29" t="n"/>
      <c r="E29" s="29" t="n"/>
      <c r="F29" s="29" t="n"/>
      <c r="G29" s="29" t="n"/>
    </row>
    <row r="30" ht="54" customHeight="1">
      <c r="A30" s="29" t="n"/>
      <c r="B30" s="29" t="n"/>
      <c r="C30" s="29" t="n"/>
      <c r="D30" s="29" t="n"/>
      <c r="E30" s="29" t="n"/>
      <c r="F30" s="29" t="n"/>
      <c r="G30" s="29" t="n"/>
    </row>
    <row r="31" ht="54" customHeight="1">
      <c r="A31" s="29" t="n"/>
      <c r="B31" s="29" t="n"/>
      <c r="C31" s="29" t="n"/>
      <c r="D31" s="29" t="n"/>
      <c r="E31" s="29" t="n"/>
      <c r="F31" s="29" t="n"/>
      <c r="G31" s="29" t="n"/>
    </row>
    <row r="32" ht="54" customHeight="1">
      <c r="A32" s="29" t="n"/>
      <c r="B32" s="29" t="n"/>
      <c r="C32" s="29" t="n"/>
      <c r="D32" s="29" t="n"/>
      <c r="E32" s="29" t="n"/>
      <c r="F32" s="29" t="n"/>
      <c r="G32" s="29" t="n"/>
    </row>
    <row r="33" ht="54" customHeight="1">
      <c r="A33" s="29" t="n"/>
      <c r="B33" s="29" t="n"/>
      <c r="C33" s="29" t="n"/>
      <c r="D33" s="29" t="n"/>
      <c r="E33" s="29" t="n"/>
      <c r="F33" s="29" t="n"/>
      <c r="G33" s="29" t="n"/>
    </row>
    <row r="34" ht="54" customHeight="1">
      <c r="A34" s="29" t="n"/>
      <c r="B34" s="29" t="n"/>
      <c r="C34" s="29" t="n"/>
      <c r="D34" s="29" t="n"/>
      <c r="E34" s="29" t="n"/>
      <c r="F34" s="29" t="n"/>
      <c r="G34" s="29" t="n"/>
    </row>
    <row r="35" ht="54" customHeight="1">
      <c r="A35" s="29" t="n"/>
      <c r="B35" s="29" t="n"/>
      <c r="C35" s="29" t="n"/>
      <c r="D35" s="29" t="n"/>
      <c r="E35" s="29" t="n"/>
      <c r="F35" s="29" t="n"/>
      <c r="G35" s="29" t="n"/>
    </row>
    <row r="36" ht="54" customHeight="1">
      <c r="A36" s="29" t="n"/>
      <c r="B36" s="29" t="n"/>
      <c r="C36" s="29" t="n"/>
      <c r="D36" s="29" t="n"/>
      <c r="E36" s="29" t="n"/>
      <c r="F36" s="29" t="n"/>
      <c r="G36" s="29" t="n"/>
    </row>
    <row r="37" ht="54" customHeight="1">
      <c r="A37" s="29" t="n"/>
      <c r="B37" s="29" t="n"/>
      <c r="C37" s="29" t="n"/>
      <c r="D37" s="29" t="n"/>
      <c r="E37" s="29" t="n"/>
      <c r="F37" s="29" t="n"/>
      <c r="G37" s="29" t="n"/>
    </row>
    <row r="38" ht="54" customHeight="1">
      <c r="A38" s="29" t="n"/>
      <c r="B38" s="29" t="n"/>
      <c r="C38" s="29" t="n"/>
      <c r="D38" s="29" t="n"/>
      <c r="E38" s="29" t="n"/>
      <c r="F38" s="29" t="n"/>
      <c r="G38" s="29" t="n"/>
    </row>
    <row r="39" ht="54" customHeight="1">
      <c r="A39" s="29" t="n"/>
      <c r="B39" s="29" t="n"/>
      <c r="C39" s="29" t="n"/>
      <c r="D39" s="29" t="n"/>
      <c r="E39" s="29" t="n"/>
      <c r="F39" s="29" t="n"/>
      <c r="G39" s="29" t="n"/>
    </row>
    <row r="40" ht="54" customHeight="1">
      <c r="A40" s="29" t="n"/>
      <c r="B40" s="29" t="n"/>
      <c r="C40" s="29" t="n"/>
      <c r="D40" s="29" t="n"/>
      <c r="E40" s="29" t="n"/>
      <c r="F40" s="29" t="n"/>
      <c r="G40" s="29" t="n"/>
    </row>
    <row r="41" ht="54" customHeight="1">
      <c r="A41" s="29" t="n"/>
      <c r="B41" s="29" t="n"/>
      <c r="C41" s="29" t="n"/>
      <c r="D41" s="29" t="n"/>
      <c r="E41" s="29" t="n"/>
      <c r="F41" s="29" t="n"/>
      <c r="G41" s="29" t="n"/>
    </row>
    <row r="42" ht="54" customHeight="1">
      <c r="A42" s="29" t="n"/>
      <c r="B42" s="29" t="n"/>
      <c r="C42" s="29" t="n"/>
      <c r="D42" s="29" t="n"/>
      <c r="E42" s="29" t="n"/>
      <c r="F42" s="29" t="n"/>
      <c r="G42" s="29" t="n"/>
    </row>
    <row r="43" ht="54" customHeight="1">
      <c r="A43" s="29" t="n"/>
      <c r="B43" s="29" t="n"/>
      <c r="C43" s="29" t="n"/>
      <c r="D43" s="29" t="n"/>
      <c r="E43" s="29" t="n"/>
      <c r="F43" s="29" t="n"/>
      <c r="G43" s="29" t="n"/>
    </row>
    <row r="44" ht="54" customHeight="1">
      <c r="A44" s="29" t="n"/>
      <c r="B44" s="29" t="n"/>
      <c r="C44" s="29" t="n"/>
      <c r="D44" s="29" t="n"/>
      <c r="E44" s="29" t="n"/>
      <c r="F44" s="29" t="n"/>
      <c r="G44" s="29" t="n"/>
    </row>
    <row r="45" ht="54" customHeight="1">
      <c r="A45" s="29" t="n"/>
      <c r="B45" s="29" t="n"/>
      <c r="C45" s="29" t="n"/>
      <c r="D45" s="29" t="n"/>
      <c r="E45" s="29" t="n"/>
      <c r="F45" s="29" t="n"/>
      <c r="G45" s="29" t="n"/>
    </row>
    <row r="46" ht="54" customHeight="1">
      <c r="A46" s="29" t="n"/>
      <c r="B46" s="29" t="n"/>
      <c r="C46" s="29" t="n"/>
      <c r="D46" s="29" t="n"/>
      <c r="E46" s="29" t="n"/>
      <c r="F46" s="29" t="n"/>
      <c r="G46" s="29" t="n"/>
    </row>
    <row r="47" ht="54" customHeight="1">
      <c r="A47" s="29" t="n"/>
      <c r="B47" s="29" t="n"/>
      <c r="C47" s="29" t="n"/>
      <c r="D47" s="29" t="n"/>
      <c r="E47" s="29" t="n"/>
      <c r="F47" s="29" t="n"/>
      <c r="G47" s="29" t="n"/>
    </row>
    <row r="48" ht="54" customHeight="1">
      <c r="A48" s="29" t="n"/>
      <c r="B48" s="29" t="n"/>
      <c r="C48" s="29" t="n"/>
      <c r="D48" s="29" t="n"/>
      <c r="E48" s="29" t="n"/>
      <c r="F48" s="29" t="n"/>
      <c r="G48" s="29" t="n"/>
    </row>
    <row r="49" ht="54" customHeight="1">
      <c r="A49" s="29" t="n"/>
      <c r="B49" s="29" t="n"/>
      <c r="C49" s="29" t="n"/>
      <c r="D49" s="29" t="n"/>
      <c r="E49" s="29" t="n"/>
      <c r="F49" s="29" t="n"/>
      <c r="G49" s="29" t="n"/>
    </row>
    <row r="50" ht="54" customHeight="1">
      <c r="A50" s="29" t="n"/>
      <c r="B50" s="29" t="n"/>
      <c r="C50" s="29" t="n"/>
      <c r="D50" s="29" t="n"/>
      <c r="E50" s="29" t="n"/>
      <c r="F50" s="29" t="n"/>
      <c r="G50" s="29" t="n"/>
    </row>
    <row r="51" ht="54" customHeight="1">
      <c r="A51" s="29" t="n"/>
      <c r="B51" s="29" t="n"/>
      <c r="C51" s="29" t="n"/>
      <c r="D51" s="29" t="n"/>
      <c r="E51" s="29" t="n"/>
      <c r="F51" s="29" t="n"/>
      <c r="G51" s="29" t="n"/>
    </row>
    <row r="52" ht="54" customHeight="1">
      <c r="A52" s="29" t="n"/>
      <c r="B52" s="29" t="n"/>
      <c r="C52" s="29" t="n"/>
      <c r="D52" s="29" t="n"/>
      <c r="E52" s="29" t="n"/>
      <c r="F52" s="29" t="n"/>
      <c r="G52" s="29" t="n"/>
    </row>
    <row r="53" ht="54" customHeight="1">
      <c r="A53" s="29" t="n"/>
      <c r="B53" s="29" t="n"/>
      <c r="C53" s="29" t="n"/>
      <c r="D53" s="29" t="n"/>
      <c r="E53" s="29" t="n"/>
      <c r="F53" s="29" t="n"/>
      <c r="G53" s="29" t="n"/>
    </row>
    <row r="54" ht="54" customHeight="1">
      <c r="A54" s="29" t="n"/>
      <c r="B54" s="29" t="n"/>
      <c r="C54" s="29" t="n"/>
      <c r="D54" s="29" t="n"/>
      <c r="E54" s="29" t="n"/>
      <c r="F54" s="29" t="n"/>
      <c r="G54" s="29" t="n"/>
    </row>
    <row r="55" ht="54" customHeight="1">
      <c r="A55" s="29" t="n"/>
      <c r="B55" s="29" t="n"/>
      <c r="C55" s="29" t="n"/>
      <c r="D55" s="29" t="n"/>
      <c r="E55" s="29" t="n"/>
      <c r="F55" s="29" t="n"/>
      <c r="G55" s="29" t="n"/>
    </row>
    <row r="56" ht="54" customHeight="1">
      <c r="A56" s="29" t="n"/>
      <c r="B56" s="29" t="n"/>
      <c r="C56" s="29" t="n"/>
      <c r="D56" s="29" t="n"/>
      <c r="E56" s="29" t="n"/>
      <c r="F56" s="29" t="n"/>
      <c r="G56" s="29" t="n"/>
    </row>
    <row r="57" ht="54" customHeight="1">
      <c r="A57" s="29" t="n"/>
      <c r="B57" s="29" t="n"/>
      <c r="C57" s="29" t="n"/>
      <c r="D57" s="29" t="n"/>
      <c r="E57" s="29" t="n"/>
      <c r="F57" s="29" t="n"/>
      <c r="G57" s="29" t="n"/>
    </row>
    <row r="58" ht="54" customHeight="1">
      <c r="A58" s="29" t="n"/>
      <c r="B58" s="29" t="n"/>
      <c r="C58" s="29" t="n"/>
      <c r="D58" s="29" t="n"/>
      <c r="E58" s="29" t="n"/>
      <c r="F58" s="29" t="n"/>
      <c r="G58" s="29" t="n"/>
    </row>
    <row r="59" ht="54" customHeight="1">
      <c r="A59" s="29" t="n"/>
      <c r="B59" s="29" t="n"/>
      <c r="C59" s="29" t="n"/>
      <c r="D59" s="29" t="n"/>
      <c r="E59" s="29" t="n"/>
      <c r="F59" s="29" t="n"/>
      <c r="G59" s="29" t="n"/>
    </row>
    <row r="60" ht="54" customHeight="1">
      <c r="A60" s="29" t="n"/>
      <c r="B60" s="29" t="n"/>
      <c r="C60" s="29" t="n"/>
      <c r="D60" s="29" t="n"/>
      <c r="E60" s="29" t="n"/>
      <c r="F60" s="29" t="n"/>
      <c r="G60" s="29" t="n"/>
    </row>
    <row r="61" ht="54" customHeight="1">
      <c r="A61" s="29" t="n"/>
      <c r="B61" s="29" t="n"/>
      <c r="C61" s="29" t="n"/>
      <c r="D61" s="29" t="n"/>
      <c r="E61" s="29" t="n"/>
      <c r="F61" s="29" t="n"/>
      <c r="G61" s="29" t="n"/>
    </row>
    <row r="62" ht="54" customHeight="1">
      <c r="A62" s="29" t="n"/>
      <c r="B62" s="29" t="n"/>
      <c r="C62" s="29" t="n"/>
      <c r="D62" s="29" t="n"/>
      <c r="E62" s="29" t="n"/>
      <c r="F62" s="29" t="n"/>
      <c r="G62" s="29" t="n"/>
    </row>
    <row r="63" ht="54" customHeight="1">
      <c r="A63" s="29" t="n"/>
      <c r="B63" s="29" t="n"/>
      <c r="C63" s="29" t="n"/>
      <c r="D63" s="29" t="n"/>
      <c r="E63" s="29" t="n"/>
      <c r="F63" s="29" t="n"/>
      <c r="G63" s="29" t="n"/>
    </row>
    <row r="64" ht="54" customHeight="1">
      <c r="A64" s="29" t="n"/>
      <c r="B64" s="29" t="n"/>
      <c r="C64" s="29" t="n"/>
      <c r="D64" s="29" t="n"/>
      <c r="E64" s="29" t="n"/>
      <c r="F64" s="29" t="n"/>
      <c r="G64" s="29" t="n"/>
    </row>
    <row r="65" ht="54" customHeight="1">
      <c r="A65" s="29" t="n"/>
      <c r="B65" s="29" t="n"/>
      <c r="C65" s="29" t="n"/>
      <c r="D65" s="29" t="n"/>
      <c r="E65" s="29" t="n"/>
      <c r="F65" s="29" t="n"/>
      <c r="G65" s="29" t="n"/>
    </row>
    <row r="66" ht="54" customHeight="1">
      <c r="A66" s="29" t="n"/>
      <c r="B66" s="29" t="n"/>
      <c r="C66" s="29" t="n"/>
      <c r="D66" s="29" t="n"/>
      <c r="E66" s="29" t="n"/>
      <c r="F66" s="29" t="n"/>
      <c r="G66" s="29" t="n"/>
    </row>
    <row r="67" ht="54" customHeight="1">
      <c r="A67" s="29" t="n"/>
      <c r="B67" s="29" t="n"/>
      <c r="C67" s="29" t="n"/>
      <c r="D67" s="29" t="n"/>
      <c r="E67" s="29" t="n"/>
      <c r="F67" s="29" t="n"/>
      <c r="G67" s="29" t="n"/>
    </row>
    <row r="68" ht="54" customHeight="1">
      <c r="A68" s="29" t="n"/>
      <c r="B68" s="29" t="n"/>
      <c r="C68" s="29" t="n"/>
      <c r="D68" s="29" t="n"/>
      <c r="E68" s="29" t="n"/>
      <c r="F68" s="29" t="n"/>
      <c r="G68" s="29" t="n"/>
    </row>
    <row r="69" ht="54" customHeight="1">
      <c r="A69" s="29" t="n"/>
      <c r="B69" s="29" t="n"/>
      <c r="C69" s="29" t="n"/>
      <c r="D69" s="29" t="n"/>
      <c r="E69" s="29" t="n"/>
      <c r="F69" s="29" t="n"/>
      <c r="G69" s="29" t="n"/>
    </row>
    <row r="70" ht="54" customHeight="1">
      <c r="A70" s="29" t="n"/>
      <c r="B70" s="29" t="n"/>
      <c r="C70" s="29" t="n"/>
      <c r="D70" s="29" t="n"/>
      <c r="E70" s="29" t="n"/>
      <c r="F70" s="29" t="n"/>
      <c r="G70" s="29" t="n"/>
    </row>
    <row r="71" ht="54" customHeight="1">
      <c r="A71" s="29" t="n"/>
      <c r="B71" s="29" t="n"/>
      <c r="C71" s="29" t="n"/>
      <c r="D71" s="29" t="n"/>
      <c r="E71" s="29" t="n"/>
      <c r="F71" s="29" t="n"/>
      <c r="G71" s="29" t="n"/>
    </row>
    <row r="72" ht="54" customHeight="1">
      <c r="A72" s="29" t="n"/>
      <c r="B72" s="29" t="n"/>
      <c r="C72" s="29" t="n"/>
      <c r="D72" s="29" t="n"/>
      <c r="E72" s="29" t="n"/>
      <c r="F72" s="29" t="n"/>
      <c r="G72" s="29" t="n"/>
    </row>
    <row r="73" ht="54" customHeight="1">
      <c r="A73" s="29" t="n"/>
      <c r="B73" s="29" t="n"/>
      <c r="C73" s="29" t="n"/>
      <c r="D73" s="29" t="n"/>
      <c r="E73" s="29" t="n"/>
      <c r="F73" s="29" t="n"/>
      <c r="G73" s="29" t="n"/>
    </row>
    <row r="74" ht="54" customHeight="1">
      <c r="A74" s="29" t="n"/>
      <c r="B74" s="29" t="n"/>
      <c r="C74" s="29" t="n"/>
      <c r="D74" s="29" t="n"/>
      <c r="E74" s="29" t="n"/>
      <c r="F74" s="29" t="n"/>
      <c r="G74" s="29" t="n"/>
    </row>
    <row r="75" ht="54" customHeight="1">
      <c r="A75" s="29" t="n"/>
      <c r="B75" s="29" t="n"/>
      <c r="C75" s="29" t="n"/>
      <c r="D75" s="29" t="n"/>
      <c r="E75" s="29" t="n"/>
      <c r="F75" s="29" t="n"/>
      <c r="G75" s="29" t="n"/>
    </row>
    <row r="76" ht="54" customHeight="1">
      <c r="A76" s="29" t="n"/>
      <c r="B76" s="29" t="n"/>
      <c r="C76" s="29" t="n"/>
      <c r="D76" s="29" t="n"/>
      <c r="E76" s="29" t="n"/>
      <c r="F76" s="29" t="n"/>
      <c r="G76" s="29" t="n"/>
    </row>
    <row r="77" ht="54" customHeight="1">
      <c r="A77" s="29" t="n"/>
      <c r="B77" s="29" t="n"/>
      <c r="C77" s="29" t="n"/>
      <c r="D77" s="29" t="n"/>
      <c r="E77" s="29" t="n"/>
      <c r="F77" s="29" t="n"/>
      <c r="G77" s="29" t="n"/>
    </row>
    <row r="78" ht="54" customHeight="1">
      <c r="A78" s="29" t="n"/>
      <c r="B78" s="29" t="n"/>
      <c r="C78" s="29" t="n"/>
      <c r="D78" s="29" t="n"/>
      <c r="E78" s="29" t="n"/>
      <c r="F78" s="29" t="n"/>
      <c r="G78" s="29" t="n"/>
    </row>
    <row r="79" ht="54" customHeight="1">
      <c r="A79" s="29" t="n"/>
      <c r="B79" s="29" t="n"/>
      <c r="C79" s="29" t="n"/>
      <c r="D79" s="29" t="n"/>
      <c r="E79" s="29" t="n"/>
      <c r="F79" s="29" t="n"/>
      <c r="G79" s="29" t="n"/>
    </row>
    <row r="80" ht="54" customHeight="1">
      <c r="A80" s="29" t="n"/>
      <c r="B80" s="29" t="n"/>
      <c r="C80" s="29" t="n"/>
      <c r="D80" s="29" t="n"/>
      <c r="E80" s="29" t="n"/>
      <c r="F80" s="29" t="n"/>
      <c r="G80" s="29" t="n"/>
    </row>
    <row r="81" ht="54" customHeight="1">
      <c r="A81" s="29" t="n"/>
      <c r="B81" s="29" t="n"/>
      <c r="C81" s="29" t="n"/>
      <c r="D81" s="29" t="n"/>
      <c r="E81" s="29" t="n"/>
      <c r="F81" s="29" t="n"/>
      <c r="G81" s="29" t="n"/>
    </row>
    <row r="82" ht="54" customHeight="1">
      <c r="A82" s="29" t="n"/>
      <c r="B82" s="29" t="n"/>
      <c r="C82" s="29" t="n"/>
      <c r="D82" s="29" t="n"/>
      <c r="E82" s="29" t="n"/>
      <c r="F82" s="29" t="n"/>
      <c r="G82" s="29" t="n"/>
    </row>
    <row r="83" ht="54" customHeight="1">
      <c r="A83" s="29" t="n"/>
      <c r="B83" s="29" t="n"/>
      <c r="C83" s="29" t="n"/>
      <c r="D83" s="29" t="n"/>
      <c r="E83" s="29" t="n"/>
      <c r="F83" s="29" t="n"/>
      <c r="G83" s="29" t="n"/>
    </row>
    <row r="84" ht="54" customHeight="1">
      <c r="A84" s="29" t="n"/>
      <c r="B84" s="29" t="n"/>
      <c r="C84" s="29" t="n"/>
      <c r="D84" s="29" t="n"/>
      <c r="E84" s="29" t="n"/>
      <c r="F84" s="29" t="n"/>
      <c r="G84" s="29" t="n"/>
    </row>
    <row r="85" ht="54" customHeight="1">
      <c r="A85" s="29" t="n"/>
      <c r="B85" s="29" t="n"/>
      <c r="C85" s="29" t="n"/>
      <c r="D85" s="29" t="n"/>
      <c r="E85" s="29" t="n"/>
      <c r="F85" s="29" t="n"/>
      <c r="G85" s="29" t="n"/>
    </row>
    <row r="86" ht="54" customHeight="1">
      <c r="A86" s="29" t="n"/>
      <c r="B86" s="29" t="n"/>
      <c r="C86" s="29" t="n"/>
      <c r="D86" s="29" t="n"/>
      <c r="E86" s="29" t="n"/>
      <c r="F86" s="29" t="n"/>
      <c r="G86" s="29" t="n"/>
    </row>
    <row r="87" ht="54" customHeight="1">
      <c r="A87" s="29" t="n"/>
      <c r="B87" s="29" t="n"/>
      <c r="C87" s="29" t="n"/>
      <c r="D87" s="29" t="n"/>
      <c r="E87" s="29" t="n"/>
      <c r="F87" s="29" t="n"/>
      <c r="G87" s="29" t="n"/>
    </row>
    <row r="88" ht="54" customHeight="1">
      <c r="A88" s="29" t="n"/>
      <c r="B88" s="29" t="n"/>
      <c r="C88" s="29" t="n"/>
      <c r="D88" s="29" t="n"/>
      <c r="E88" s="29" t="n"/>
      <c r="F88" s="29" t="n"/>
      <c r="G88" s="29" t="n"/>
    </row>
    <row r="89" ht="54" customHeight="1">
      <c r="A89" s="29" t="n"/>
      <c r="B89" s="29" t="n"/>
      <c r="C89" s="29" t="n"/>
      <c r="D89" s="29" t="n"/>
      <c r="E89" s="29" t="n"/>
      <c r="F89" s="29" t="n"/>
      <c r="G89" s="29" t="n"/>
    </row>
    <row r="90" ht="54" customHeight="1">
      <c r="A90" s="29" t="n"/>
      <c r="B90" s="29" t="n"/>
      <c r="C90" s="29" t="n"/>
      <c r="D90" s="29" t="n"/>
      <c r="E90" s="29" t="n"/>
      <c r="F90" s="29" t="n"/>
      <c r="G90" s="29" t="n"/>
    </row>
    <row r="91" ht="54" customHeight="1">
      <c r="A91" s="29" t="n"/>
      <c r="B91" s="29" t="n"/>
      <c r="C91" s="29" t="n"/>
      <c r="D91" s="29" t="n"/>
      <c r="E91" s="29" t="n"/>
      <c r="F91" s="29" t="n"/>
      <c r="G91" s="29" t="n"/>
    </row>
    <row r="92" ht="54" customHeight="1">
      <c r="A92" s="29" t="n"/>
      <c r="B92" s="29" t="n"/>
      <c r="C92" s="29" t="n"/>
      <c r="D92" s="29" t="n"/>
      <c r="E92" s="29" t="n"/>
      <c r="F92" s="29" t="n"/>
      <c r="G92" s="29" t="n"/>
    </row>
    <row r="93" ht="54" customHeight="1">
      <c r="A93" s="29" t="n"/>
      <c r="B93" s="29" t="n"/>
      <c r="C93" s="29" t="n"/>
      <c r="D93" s="29" t="n"/>
      <c r="E93" s="29" t="n"/>
      <c r="F93" s="29" t="n"/>
      <c r="G93" s="29" t="n"/>
    </row>
    <row r="94" ht="54" customHeight="1">
      <c r="A94" s="29" t="n"/>
      <c r="B94" s="29" t="n"/>
      <c r="C94" s="29" t="n"/>
      <c r="D94" s="29" t="n"/>
      <c r="E94" s="29" t="n"/>
      <c r="F94" s="29" t="n"/>
      <c r="G94" s="29" t="n"/>
    </row>
    <row r="95" ht="54" customHeight="1">
      <c r="A95" s="29" t="n"/>
      <c r="B95" s="29" t="n"/>
      <c r="C95" s="29" t="n"/>
      <c r="D95" s="29" t="n"/>
      <c r="E95" s="29" t="n"/>
      <c r="F95" s="29" t="n"/>
      <c r="G95" s="29" t="n"/>
    </row>
    <row r="96" ht="54" customHeight="1">
      <c r="A96" s="29" t="n"/>
      <c r="B96" s="29" t="n"/>
      <c r="C96" s="29" t="n"/>
      <c r="D96" s="29" t="n"/>
      <c r="E96" s="29" t="n"/>
      <c r="F96" s="29" t="n"/>
      <c r="G96" s="29" t="n"/>
    </row>
    <row r="97" ht="54" customHeight="1">
      <c r="A97" s="29" t="n"/>
      <c r="B97" s="29" t="n"/>
      <c r="C97" s="29" t="n"/>
      <c r="D97" s="29" t="n"/>
      <c r="E97" s="29" t="n"/>
      <c r="F97" s="29" t="n"/>
      <c r="G97" s="29" t="n"/>
    </row>
    <row r="98" ht="54" customHeight="1">
      <c r="A98" s="29" t="n"/>
      <c r="B98" s="29" t="n"/>
      <c r="C98" s="29" t="n"/>
      <c r="D98" s="29" t="n"/>
      <c r="E98" s="29" t="n"/>
      <c r="F98" s="29" t="n"/>
      <c r="G98" s="29" t="n"/>
    </row>
    <row r="99" ht="54" customHeight="1">
      <c r="A99" s="29" t="n"/>
      <c r="B99" s="29" t="n"/>
      <c r="C99" s="29" t="n"/>
      <c r="D99" s="29" t="n"/>
      <c r="E99" s="29" t="n"/>
      <c r="F99" s="29" t="n"/>
      <c r="G99" s="29" t="n"/>
    </row>
    <row r="100" ht="54" customHeight="1">
      <c r="A100" s="29" t="n"/>
      <c r="B100" s="29" t="n"/>
      <c r="C100" s="29" t="n"/>
      <c r="D100" s="29" t="n"/>
      <c r="E100" s="29" t="n"/>
      <c r="F100" s="29" t="n"/>
      <c r="G100" s="29" t="n"/>
    </row>
    <row r="101" ht="54" customHeight="1">
      <c r="A101" s="29" t="n"/>
      <c r="B101" s="29" t="n"/>
      <c r="C101" s="29" t="n"/>
      <c r="D101" s="29" t="n"/>
      <c r="E101" s="29" t="n"/>
      <c r="F101" s="29" t="n"/>
      <c r="G101" s="29" t="n"/>
    </row>
    <row r="102" ht="54" customHeight="1">
      <c r="A102" s="29" t="n"/>
      <c r="B102" s="29" t="n"/>
      <c r="C102" s="29" t="n"/>
      <c r="D102" s="29" t="n"/>
      <c r="E102" s="29" t="n"/>
      <c r="F102" s="29" t="n"/>
      <c r="G102" s="29" t="n"/>
    </row>
    <row r="103" ht="54" customHeight="1">
      <c r="A103" s="29" t="n"/>
      <c r="B103" s="29" t="n"/>
      <c r="C103" s="29" t="n"/>
      <c r="D103" s="29" t="n"/>
      <c r="E103" s="29" t="n"/>
      <c r="F103" s="29" t="n"/>
      <c r="G103" s="29" t="n"/>
    </row>
    <row r="104" ht="54" customHeight="1">
      <c r="A104" s="29" t="n"/>
      <c r="B104" s="29" t="n"/>
      <c r="C104" s="29" t="n"/>
      <c r="D104" s="29" t="n"/>
      <c r="E104" s="29" t="n"/>
      <c r="F104" s="29" t="n"/>
      <c r="G104" s="29" t="n"/>
    </row>
    <row r="105" ht="54" customHeight="1">
      <c r="A105" s="29" t="n"/>
      <c r="B105" s="29" t="n"/>
      <c r="C105" s="29" t="n"/>
      <c r="D105" s="29" t="n"/>
      <c r="E105" s="29" t="n"/>
      <c r="F105" s="29" t="n"/>
      <c r="G105" s="29" t="n"/>
    </row>
    <row r="106" ht="54" customHeight="1">
      <c r="A106" s="29" t="n"/>
      <c r="B106" s="29" t="n"/>
      <c r="C106" s="29" t="n"/>
      <c r="D106" s="29" t="n"/>
      <c r="E106" s="29" t="n"/>
      <c r="F106" s="29" t="n"/>
      <c r="G106" s="29" t="n"/>
    </row>
    <row r="107" ht="54" customHeight="1">
      <c r="A107" s="29" t="n"/>
      <c r="B107" s="29" t="n"/>
      <c r="C107" s="29" t="n"/>
      <c r="D107" s="29" t="n"/>
      <c r="E107" s="29" t="n"/>
      <c r="F107" s="29" t="n"/>
      <c r="G107" s="29" t="n"/>
    </row>
    <row r="108" ht="54" customHeight="1">
      <c r="A108" s="29" t="n"/>
      <c r="B108" s="29" t="n"/>
      <c r="C108" s="29" t="n"/>
      <c r="D108" s="29" t="n"/>
      <c r="E108" s="29" t="n"/>
      <c r="F108" s="29" t="n"/>
      <c r="G108" s="29" t="n"/>
    </row>
    <row r="109" ht="54" customHeight="1">
      <c r="A109" s="29" t="n"/>
      <c r="B109" s="29" t="n"/>
      <c r="C109" s="29" t="n"/>
      <c r="D109" s="29" t="n"/>
      <c r="E109" s="29" t="n"/>
      <c r="F109" s="29" t="n"/>
      <c r="G109" s="29" t="n"/>
    </row>
    <row r="110" ht="54" customHeight="1">
      <c r="A110" s="29" t="n"/>
      <c r="B110" s="29" t="n"/>
      <c r="C110" s="29" t="n"/>
      <c r="D110" s="29" t="n"/>
      <c r="E110" s="29" t="n"/>
      <c r="F110" s="29" t="n"/>
      <c r="G110" s="29" t="n"/>
    </row>
    <row r="111" ht="54" customHeight="1">
      <c r="A111" s="29" t="n"/>
      <c r="B111" s="29" t="n"/>
      <c r="C111" s="29" t="n"/>
      <c r="D111" s="29" t="n"/>
      <c r="E111" s="29" t="n"/>
      <c r="F111" s="29" t="n"/>
      <c r="G111" s="29" t="n"/>
    </row>
    <row r="112" ht="54" customHeight="1">
      <c r="A112" s="29" t="n"/>
      <c r="B112" s="29" t="n"/>
      <c r="C112" s="29" t="n"/>
      <c r="D112" s="29" t="n"/>
      <c r="E112" s="29" t="n"/>
      <c r="F112" s="29" t="n"/>
      <c r="G112" s="29" t="n"/>
    </row>
    <row r="113" ht="54" customHeight="1">
      <c r="A113" s="29" t="n"/>
      <c r="B113" s="29" t="n"/>
      <c r="C113" s="29" t="n"/>
      <c r="D113" s="29" t="n"/>
      <c r="E113" s="29" t="n"/>
      <c r="F113" s="29" t="n"/>
      <c r="G113" s="29" t="n"/>
    </row>
    <row r="114" ht="54" customHeight="1">
      <c r="A114" s="29" t="n"/>
      <c r="B114" s="29" t="n"/>
      <c r="C114" s="29" t="n"/>
      <c r="D114" s="29" t="n"/>
      <c r="E114" s="29" t="n"/>
      <c r="F114" s="29" t="n"/>
      <c r="G114" s="29" t="n"/>
    </row>
    <row r="115" ht="54" customHeight="1">
      <c r="A115" s="29" t="n"/>
      <c r="B115" s="29" t="n"/>
      <c r="C115" s="29" t="n"/>
      <c r="D115" s="29" t="n"/>
      <c r="E115" s="29" t="n"/>
      <c r="F115" s="29" t="n"/>
      <c r="G115" s="29" t="n"/>
    </row>
    <row r="116" ht="54" customHeight="1">
      <c r="A116" s="29" t="n"/>
      <c r="B116" s="29" t="n"/>
      <c r="C116" s="29" t="n"/>
      <c r="D116" s="29" t="n"/>
      <c r="E116" s="29" t="n"/>
      <c r="F116" s="29" t="n"/>
      <c r="G116" s="29" t="n"/>
    </row>
    <row r="117" ht="54" customHeight="1">
      <c r="A117" s="29" t="n"/>
      <c r="B117" s="29" t="n"/>
      <c r="C117" s="29" t="n"/>
      <c r="D117" s="29" t="n"/>
      <c r="E117" s="29" t="n"/>
      <c r="F117" s="29" t="n"/>
      <c r="G117" s="29" t="n"/>
    </row>
    <row r="118" ht="54" customHeight="1">
      <c r="A118" s="29" t="n"/>
      <c r="B118" s="29" t="n"/>
      <c r="C118" s="29" t="n"/>
      <c r="D118" s="29" t="n"/>
      <c r="E118" s="29" t="n"/>
      <c r="F118" s="29" t="n"/>
      <c r="G118" s="29" t="n"/>
    </row>
    <row r="119" ht="54" customHeight="1">
      <c r="A119" s="29" t="n"/>
      <c r="B119" s="29" t="n"/>
      <c r="C119" s="29" t="n"/>
      <c r="D119" s="29" t="n"/>
      <c r="E119" s="29" t="n"/>
      <c r="F119" s="29" t="n"/>
      <c r="G119" s="29" t="n"/>
    </row>
    <row r="120" ht="54" customHeight="1">
      <c r="A120" s="29" t="n"/>
      <c r="B120" s="29" t="n"/>
      <c r="C120" s="29" t="n"/>
      <c r="D120" s="29" t="n"/>
      <c r="E120" s="29" t="n"/>
      <c r="F120" s="29" t="n"/>
      <c r="G120" s="29" t="n"/>
    </row>
    <row r="121" ht="54" customHeight="1">
      <c r="A121" s="29" t="n"/>
      <c r="B121" s="29" t="n"/>
      <c r="C121" s="29" t="n"/>
      <c r="D121" s="29" t="n"/>
      <c r="E121" s="29" t="n"/>
      <c r="F121" s="29" t="n"/>
      <c r="G121" s="29" t="n"/>
    </row>
    <row r="122" ht="54" customHeight="1">
      <c r="A122" s="29" t="n"/>
      <c r="B122" s="29" t="n"/>
      <c r="C122" s="29" t="n"/>
      <c r="D122" s="29" t="n"/>
      <c r="E122" s="29" t="n"/>
      <c r="F122" s="29" t="n"/>
      <c r="G122" s="29" t="n"/>
    </row>
    <row r="123" ht="54" customHeight="1">
      <c r="A123" s="29" t="n"/>
      <c r="B123" s="29" t="n"/>
      <c r="C123" s="29" t="n"/>
      <c r="D123" s="29" t="n"/>
      <c r="E123" s="29" t="n"/>
      <c r="F123" s="29" t="n"/>
      <c r="G123" s="29" t="n"/>
    </row>
    <row r="124" ht="54" customHeight="1">
      <c r="A124" s="29" t="n"/>
      <c r="B124" s="29" t="n"/>
      <c r="C124" s="29" t="n"/>
      <c r="D124" s="29" t="n"/>
      <c r="E124" s="29" t="n"/>
      <c r="F124" s="29" t="n"/>
      <c r="G124" s="29" t="n"/>
    </row>
    <row r="125" ht="54" customHeight="1">
      <c r="A125" s="29" t="n"/>
      <c r="B125" s="29" t="n"/>
      <c r="C125" s="29" t="n"/>
      <c r="D125" s="29" t="n"/>
      <c r="E125" s="29" t="n"/>
      <c r="F125" s="29" t="n"/>
      <c r="G125" s="29" t="n"/>
    </row>
    <row r="126" ht="54" customHeight="1">
      <c r="A126" s="29" t="n"/>
      <c r="B126" s="29" t="n"/>
      <c r="C126" s="29" t="n"/>
      <c r="D126" s="29" t="n"/>
      <c r="E126" s="29" t="n"/>
      <c r="F126" s="29" t="n"/>
      <c r="G126" s="29" t="n"/>
    </row>
    <row r="127" ht="54" customHeight="1">
      <c r="A127" s="29" t="n"/>
      <c r="B127" s="29" t="n"/>
      <c r="C127" s="29" t="n"/>
      <c r="D127" s="29" t="n"/>
      <c r="E127" s="29" t="n"/>
      <c r="F127" s="29" t="n"/>
      <c r="G127" s="29" t="n"/>
    </row>
    <row r="128" ht="54" customHeight="1">
      <c r="A128" s="29" t="n"/>
      <c r="B128" s="29" t="n"/>
      <c r="C128" s="29" t="n"/>
      <c r="D128" s="29" t="n"/>
      <c r="E128" s="29" t="n"/>
      <c r="F128" s="29" t="n"/>
      <c r="G128" s="29" t="n"/>
    </row>
    <row r="129" ht="54" customHeight="1">
      <c r="A129" s="29" t="n"/>
      <c r="B129" s="29" t="n"/>
      <c r="C129" s="29" t="n"/>
      <c r="D129" s="29" t="n"/>
      <c r="E129" s="29" t="n"/>
      <c r="F129" s="29" t="n"/>
      <c r="G129" s="29" t="n"/>
    </row>
    <row r="130" ht="54" customHeight="1">
      <c r="A130" s="29" t="n"/>
      <c r="B130" s="29" t="n"/>
      <c r="C130" s="29" t="n"/>
      <c r="D130" s="29" t="n"/>
      <c r="E130" s="29" t="n"/>
      <c r="F130" s="29" t="n"/>
      <c r="G130" s="29" t="n"/>
    </row>
    <row r="131" ht="54" customHeight="1">
      <c r="A131" s="29" t="n"/>
      <c r="B131" s="29" t="n"/>
      <c r="C131" s="29" t="n"/>
      <c r="D131" s="29" t="n"/>
      <c r="E131" s="29" t="n"/>
      <c r="F131" s="29" t="n"/>
      <c r="G131" s="29" t="n"/>
    </row>
    <row r="132" ht="54" customHeight="1">
      <c r="A132" s="29" t="n"/>
      <c r="B132" s="29" t="n"/>
      <c r="C132" s="29" t="n"/>
      <c r="D132" s="29" t="n"/>
      <c r="E132" s="29" t="n"/>
      <c r="F132" s="29" t="n"/>
      <c r="G132" s="29" t="n"/>
    </row>
    <row r="133" ht="54" customHeight="1">
      <c r="A133" s="29" t="n"/>
      <c r="B133" s="29" t="n"/>
      <c r="C133" s="29" t="n"/>
      <c r="D133" s="29" t="n"/>
      <c r="E133" s="29" t="n"/>
      <c r="F133" s="29" t="n"/>
      <c r="G133" s="29" t="n"/>
    </row>
    <row r="134" ht="54" customHeight="1">
      <c r="A134" s="29" t="n"/>
      <c r="B134" s="29" t="n"/>
      <c r="C134" s="29" t="n"/>
      <c r="D134" s="29" t="n"/>
      <c r="E134" s="29" t="n"/>
      <c r="F134" s="29" t="n"/>
      <c r="G134" s="29" t="n"/>
    </row>
    <row r="135" ht="54" customHeight="1">
      <c r="A135" s="29" t="n"/>
      <c r="B135" s="29" t="n"/>
      <c r="C135" s="29" t="n"/>
      <c r="D135" s="29" t="n"/>
      <c r="E135" s="29" t="n"/>
      <c r="F135" s="29" t="n"/>
      <c r="G135" s="29" t="n"/>
    </row>
    <row r="136" ht="54" customHeight="1">
      <c r="A136" s="29" t="n"/>
      <c r="B136" s="29" t="n"/>
      <c r="C136" s="29" t="n"/>
      <c r="D136" s="29" t="n"/>
      <c r="E136" s="29" t="n"/>
      <c r="F136" s="29" t="n"/>
      <c r="G136" s="29" t="n"/>
    </row>
    <row r="137" ht="54" customHeight="1">
      <c r="A137" s="29" t="n"/>
      <c r="B137" s="29" t="n"/>
      <c r="C137" s="29" t="n"/>
      <c r="D137" s="29" t="n"/>
      <c r="E137" s="29" t="n"/>
      <c r="F137" s="29" t="n"/>
      <c r="G137" s="29" t="n"/>
    </row>
    <row r="138" ht="54" customHeight="1">
      <c r="A138" s="29" t="n"/>
      <c r="B138" s="29" t="n"/>
      <c r="C138" s="29" t="n"/>
      <c r="D138" s="29" t="n"/>
      <c r="E138" s="29" t="n"/>
      <c r="F138" s="29" t="n"/>
      <c r="G138" s="29" t="n"/>
    </row>
    <row r="139" ht="54" customHeight="1">
      <c r="A139" s="29" t="n"/>
      <c r="B139" s="29" t="n"/>
      <c r="C139" s="29" t="n"/>
      <c r="D139" s="29" t="n"/>
      <c r="E139" s="29" t="n"/>
      <c r="F139" s="29" t="n"/>
      <c r="G139" s="29" t="n"/>
    </row>
    <row r="140" ht="54" customHeight="1">
      <c r="A140" s="29" t="n"/>
      <c r="B140" s="29" t="n"/>
      <c r="C140" s="29" t="n"/>
      <c r="D140" s="29" t="n"/>
      <c r="E140" s="29" t="n"/>
      <c r="F140" s="29" t="n"/>
      <c r="G140" s="29" t="n"/>
    </row>
    <row r="141" ht="54" customHeight="1">
      <c r="A141" s="29" t="n"/>
      <c r="B141" s="29" t="n"/>
      <c r="C141" s="29" t="n"/>
      <c r="D141" s="29" t="n"/>
      <c r="E141" s="29" t="n"/>
      <c r="F141" s="29" t="n"/>
      <c r="G141" s="29" t="n"/>
    </row>
    <row r="142" ht="54" customHeight="1">
      <c r="A142" s="29" t="n"/>
      <c r="B142" s="29" t="n"/>
      <c r="C142" s="29" t="n"/>
      <c r="D142" s="29" t="n"/>
      <c r="E142" s="29" t="n"/>
      <c r="F142" s="29" t="n"/>
      <c r="G142" s="29" t="n"/>
    </row>
    <row r="143" ht="54" customHeight="1">
      <c r="A143" s="29" t="n"/>
      <c r="B143" s="29" t="n"/>
      <c r="C143" s="29" t="n"/>
      <c r="D143" s="29" t="n"/>
      <c r="E143" s="29" t="n"/>
      <c r="F143" s="29" t="n"/>
      <c r="G143" s="29" t="n"/>
    </row>
    <row r="144" ht="54" customHeight="1">
      <c r="A144" s="29" t="n"/>
      <c r="B144" s="29" t="n"/>
      <c r="C144" s="29" t="n"/>
      <c r="D144" s="29" t="n"/>
      <c r="E144" s="29" t="n"/>
      <c r="F144" s="29" t="n"/>
      <c r="G144" s="29" t="n"/>
    </row>
    <row r="145" ht="54" customHeight="1">
      <c r="A145" s="29" t="n"/>
      <c r="B145" s="29" t="n"/>
      <c r="C145" s="29" t="n"/>
      <c r="D145" s="29" t="n"/>
      <c r="E145" s="29" t="n"/>
      <c r="F145" s="29" t="n"/>
      <c r="G145" s="29" t="n"/>
    </row>
    <row r="146" ht="54" customHeight="1">
      <c r="A146" s="29" t="n"/>
      <c r="B146" s="29" t="n"/>
      <c r="C146" s="29" t="n"/>
      <c r="D146" s="29" t="n"/>
      <c r="E146" s="29" t="n"/>
      <c r="F146" s="29" t="n"/>
      <c r="G146" s="29" t="n"/>
    </row>
    <row r="147" ht="54" customHeight="1">
      <c r="A147" s="29" t="n"/>
      <c r="B147" s="29" t="n"/>
      <c r="C147" s="29" t="n"/>
      <c r="D147" s="29" t="n"/>
      <c r="E147" s="29" t="n"/>
      <c r="F147" s="29" t="n"/>
      <c r="G147" s="29" t="n"/>
    </row>
    <row r="148" ht="54" customHeight="1">
      <c r="A148" s="29" t="n"/>
      <c r="B148" s="29" t="n"/>
      <c r="C148" s="29" t="n"/>
      <c r="D148" s="29" t="n"/>
      <c r="E148" s="29" t="n"/>
      <c r="F148" s="29" t="n"/>
      <c r="G148" s="29" t="n"/>
    </row>
    <row r="149" ht="54" customHeight="1">
      <c r="A149" s="29" t="n"/>
      <c r="B149" s="29" t="n"/>
      <c r="C149" s="29" t="n"/>
      <c r="D149" s="29" t="n"/>
      <c r="E149" s="29" t="n"/>
      <c r="F149" s="29" t="n"/>
      <c r="G149" s="29" t="n"/>
    </row>
    <row r="150" ht="54" customHeight="1">
      <c r="A150" s="29" t="n"/>
      <c r="B150" s="29" t="n"/>
      <c r="C150" s="29" t="n"/>
      <c r="D150" s="29" t="n"/>
      <c r="E150" s="29" t="n"/>
      <c r="F150" s="29" t="n"/>
      <c r="G150" s="29" t="n"/>
    </row>
    <row r="151" ht="54" customHeight="1">
      <c r="A151" s="29" t="n"/>
      <c r="B151" s="29" t="n"/>
      <c r="C151" s="29" t="n"/>
      <c r="D151" s="29" t="n"/>
      <c r="E151" s="29" t="n"/>
      <c r="F151" s="29" t="n"/>
      <c r="G151" s="29" t="n"/>
    </row>
    <row r="152" ht="54" customHeight="1">
      <c r="A152" s="29" t="n"/>
      <c r="B152" s="29" t="n"/>
      <c r="C152" s="29" t="n"/>
      <c r="D152" s="29" t="n"/>
      <c r="E152" s="29" t="n"/>
      <c r="F152" s="29" t="n"/>
      <c r="G152" s="29" t="n"/>
    </row>
    <row r="153" ht="54" customHeight="1">
      <c r="A153" s="29" t="n"/>
      <c r="B153" s="29" t="n"/>
      <c r="C153" s="29" t="n"/>
      <c r="D153" s="29" t="n"/>
      <c r="E153" s="29" t="n"/>
      <c r="F153" s="29" t="n"/>
      <c r="G153" s="29" t="n"/>
    </row>
    <row r="154" ht="54" customHeight="1">
      <c r="A154" s="29" t="n"/>
      <c r="B154" s="29" t="n"/>
      <c r="C154" s="29" t="n"/>
      <c r="D154" s="29" t="n"/>
      <c r="E154" s="29" t="n"/>
      <c r="F154" s="29" t="n"/>
      <c r="G154" s="29" t="n"/>
    </row>
    <row r="155" ht="54" customHeight="1">
      <c r="A155" s="29" t="n"/>
      <c r="B155" s="29" t="n"/>
      <c r="C155" s="29" t="n"/>
      <c r="D155" s="29" t="n"/>
      <c r="E155" s="29" t="n"/>
      <c r="F155" s="29" t="n"/>
      <c r="G155" s="29" t="n"/>
    </row>
    <row r="156" ht="54" customHeight="1">
      <c r="A156" s="29" t="n"/>
      <c r="B156" s="29" t="n"/>
      <c r="C156" s="29" t="n"/>
      <c r="D156" s="29" t="n"/>
      <c r="E156" s="29" t="n"/>
      <c r="F156" s="29" t="n"/>
      <c r="G156" s="29" t="n"/>
    </row>
    <row r="157" ht="54" customHeight="1">
      <c r="A157" s="29" t="n"/>
      <c r="B157" s="29" t="n"/>
      <c r="C157" s="29" t="n"/>
      <c r="D157" s="29" t="n"/>
      <c r="E157" s="29" t="n"/>
      <c r="F157" s="29" t="n"/>
      <c r="G157" s="29" t="n"/>
    </row>
    <row r="158" ht="54" customHeight="1">
      <c r="A158" s="29" t="n"/>
      <c r="B158" s="29" t="n"/>
      <c r="C158" s="29" t="n"/>
      <c r="D158" s="29" t="n"/>
      <c r="E158" s="29" t="n"/>
      <c r="F158" s="29" t="n"/>
      <c r="G158" s="29" t="n"/>
    </row>
    <row r="159" ht="54" customHeight="1">
      <c r="A159" s="29" t="n"/>
      <c r="B159" s="29" t="n"/>
      <c r="C159" s="29" t="n"/>
      <c r="D159" s="29" t="n"/>
      <c r="E159" s="29" t="n"/>
      <c r="F159" s="29" t="n"/>
      <c r="G159" s="29" t="n"/>
    </row>
    <row r="160" ht="54" customHeight="1">
      <c r="A160" s="29" t="n"/>
      <c r="B160" s="29" t="n"/>
      <c r="C160" s="29" t="n"/>
      <c r="D160" s="29" t="n"/>
      <c r="E160" s="29" t="n"/>
      <c r="F160" s="29" t="n"/>
      <c r="G160" s="29" t="n"/>
    </row>
    <row r="161" ht="54" customHeight="1">
      <c r="A161" s="29" t="n"/>
      <c r="B161" s="29" t="n"/>
      <c r="C161" s="29" t="n"/>
      <c r="D161" s="29" t="n"/>
      <c r="E161" s="29" t="n"/>
      <c r="F161" s="29" t="n"/>
      <c r="G161" s="29" t="n"/>
    </row>
    <row r="162" ht="54" customHeight="1">
      <c r="A162" s="29" t="n"/>
      <c r="B162" s="29" t="n"/>
      <c r="C162" s="29" t="n"/>
      <c r="D162" s="29" t="n"/>
      <c r="E162" s="29" t="n"/>
      <c r="F162" s="29" t="n"/>
      <c r="G162" s="29" t="n"/>
    </row>
    <row r="163" ht="54" customHeight="1">
      <c r="A163" s="29" t="n"/>
      <c r="B163" s="29" t="n"/>
      <c r="C163" s="29" t="n"/>
      <c r="D163" s="29" t="n"/>
      <c r="E163" s="29" t="n"/>
      <c r="F163" s="29" t="n"/>
      <c r="G163" s="29" t="n"/>
    </row>
    <row r="164" ht="54" customHeight="1">
      <c r="A164" s="29" t="n"/>
      <c r="B164" s="29" t="n"/>
      <c r="C164" s="29" t="n"/>
      <c r="D164" s="29" t="n"/>
      <c r="E164" s="29" t="n"/>
      <c r="F164" s="29" t="n"/>
      <c r="G164" s="29" t="n"/>
    </row>
    <row r="165" ht="54" customHeight="1">
      <c r="A165" s="29" t="n"/>
      <c r="B165" s="29" t="n"/>
      <c r="C165" s="29" t="n"/>
      <c r="D165" s="29" t="n"/>
      <c r="E165" s="29" t="n"/>
      <c r="F165" s="29" t="n"/>
      <c r="G165" s="29" t="n"/>
    </row>
    <row r="166" ht="54" customHeight="1">
      <c r="A166" s="29" t="n"/>
      <c r="B166" s="29" t="n"/>
      <c r="C166" s="29" t="n"/>
      <c r="D166" s="29" t="n"/>
      <c r="E166" s="29" t="n"/>
      <c r="F166" s="29" t="n"/>
      <c r="G166" s="29" t="n"/>
    </row>
    <row r="167" ht="54" customHeight="1">
      <c r="A167" s="29" t="n"/>
      <c r="B167" s="29" t="n"/>
      <c r="C167" s="29" t="n"/>
      <c r="D167" s="29" t="n"/>
      <c r="E167" s="29" t="n"/>
      <c r="F167" s="29" t="n"/>
      <c r="G167" s="29" t="n"/>
    </row>
    <row r="168" ht="54" customHeight="1">
      <c r="A168" s="29" t="n"/>
      <c r="B168" s="29" t="n"/>
      <c r="C168" s="29" t="n"/>
      <c r="D168" s="29" t="n"/>
      <c r="E168" s="29" t="n"/>
      <c r="F168" s="29" t="n"/>
      <c r="G168" s="29" t="n"/>
    </row>
    <row r="169" ht="54" customHeight="1">
      <c r="A169" s="29" t="n"/>
      <c r="B169" s="29" t="n"/>
      <c r="C169" s="29" t="n"/>
      <c r="D169" s="29" t="n"/>
      <c r="E169" s="29" t="n"/>
      <c r="F169" s="29" t="n"/>
      <c r="G169" s="29" t="n"/>
    </row>
    <row r="170" ht="54" customHeight="1">
      <c r="A170" s="29" t="n"/>
      <c r="B170" s="29" t="n"/>
      <c r="C170" s="29" t="n"/>
      <c r="D170" s="29" t="n"/>
      <c r="E170" s="29" t="n"/>
      <c r="F170" s="29" t="n"/>
      <c r="G170" s="29" t="n"/>
    </row>
    <row r="171" ht="54" customHeight="1">
      <c r="A171" s="29" t="n"/>
      <c r="B171" s="29" t="n"/>
      <c r="C171" s="29" t="n"/>
      <c r="D171" s="29" t="n"/>
      <c r="E171" s="29" t="n"/>
      <c r="F171" s="29" t="n"/>
      <c r="G171" s="29" t="n"/>
    </row>
    <row r="172" ht="54" customHeight="1">
      <c r="A172" s="29" t="n"/>
      <c r="B172" s="29" t="n"/>
      <c r="C172" s="29" t="n"/>
      <c r="D172" s="29" t="n"/>
      <c r="E172" s="29" t="n"/>
      <c r="F172" s="29" t="n"/>
      <c r="G172" s="29" t="n"/>
    </row>
    <row r="173" ht="54" customHeight="1">
      <c r="A173" s="29" t="n"/>
      <c r="B173" s="29" t="n"/>
      <c r="C173" s="29" t="n"/>
      <c r="D173" s="29" t="n"/>
      <c r="E173" s="29" t="n"/>
      <c r="F173" s="29" t="n"/>
      <c r="G173" s="29" t="n"/>
    </row>
    <row r="174" ht="54" customHeight="1">
      <c r="A174" s="29" t="n"/>
      <c r="B174" s="29" t="n"/>
      <c r="C174" s="29" t="n"/>
      <c r="D174" s="29" t="n"/>
      <c r="E174" s="29" t="n"/>
      <c r="F174" s="29" t="n"/>
      <c r="G174" s="29" t="n"/>
    </row>
    <row r="175" ht="54" customHeight="1">
      <c r="A175" s="29" t="n"/>
      <c r="B175" s="29" t="n"/>
      <c r="C175" s="29" t="n"/>
      <c r="D175" s="29" t="n"/>
      <c r="E175" s="29" t="n"/>
      <c r="F175" s="29" t="n"/>
      <c r="G175" s="29" t="n"/>
    </row>
    <row r="176" ht="54" customHeight="1">
      <c r="A176" s="29" t="n"/>
      <c r="B176" s="29" t="n"/>
      <c r="C176" s="29" t="n"/>
      <c r="D176" s="29" t="n"/>
      <c r="E176" s="29" t="n"/>
      <c r="F176" s="29" t="n"/>
      <c r="G176" s="29" t="n"/>
    </row>
    <row r="177" ht="54" customHeight="1">
      <c r="A177" s="29" t="n"/>
      <c r="B177" s="29" t="n"/>
      <c r="C177" s="29" t="n"/>
      <c r="D177" s="29" t="n"/>
      <c r="E177" s="29" t="n"/>
      <c r="F177" s="29" t="n"/>
      <c r="G177" s="29" t="n"/>
    </row>
    <row r="178" ht="54" customHeight="1">
      <c r="A178" s="29" t="n"/>
      <c r="B178" s="29" t="n"/>
      <c r="C178" s="29" t="n"/>
      <c r="D178" s="29" t="n"/>
      <c r="E178" s="29" t="n"/>
      <c r="F178" s="29" t="n"/>
      <c r="G178" s="29" t="n"/>
    </row>
    <row r="179" ht="54" customHeight="1">
      <c r="A179" s="29" t="n"/>
      <c r="B179" s="29" t="n"/>
      <c r="C179" s="29" t="n"/>
      <c r="D179" s="29" t="n"/>
      <c r="E179" s="29" t="n"/>
      <c r="F179" s="29" t="n"/>
      <c r="G179" s="29" t="n"/>
    </row>
    <row r="180" ht="54" customHeight="1">
      <c r="A180" s="29" t="n"/>
      <c r="B180" s="29" t="n"/>
      <c r="C180" s="29" t="n"/>
      <c r="D180" s="29" t="n"/>
      <c r="E180" s="29" t="n"/>
      <c r="F180" s="29" t="n"/>
      <c r="G180" s="29" t="n"/>
    </row>
    <row r="181" ht="54" customHeight="1">
      <c r="A181" s="29" t="n"/>
      <c r="B181" s="29" t="n"/>
      <c r="C181" s="29" t="n"/>
      <c r="D181" s="29" t="n"/>
      <c r="E181" s="29" t="n"/>
      <c r="F181" s="29" t="n"/>
      <c r="G181" s="29" t="n"/>
    </row>
    <row r="182" ht="54" customHeight="1">
      <c r="A182" s="29" t="n"/>
      <c r="B182" s="29" t="n"/>
      <c r="C182" s="29" t="n"/>
      <c r="D182" s="29" t="n"/>
      <c r="E182" s="29" t="n"/>
      <c r="F182" s="29" t="n"/>
      <c r="G182" s="29" t="n"/>
    </row>
    <row r="183" ht="54" customHeight="1">
      <c r="A183" s="29" t="n"/>
      <c r="B183" s="29" t="n"/>
      <c r="C183" s="29" t="n"/>
      <c r="D183" s="29" t="n"/>
      <c r="E183" s="29" t="n"/>
      <c r="F183" s="29" t="n"/>
      <c r="G183" s="29" t="n"/>
    </row>
    <row r="184" ht="54" customHeight="1">
      <c r="A184" s="29" t="n"/>
      <c r="B184" s="29" t="n"/>
      <c r="C184" s="29" t="n"/>
      <c r="D184" s="29" t="n"/>
      <c r="E184" s="29" t="n"/>
      <c r="F184" s="29" t="n"/>
      <c r="G184" s="29" t="n"/>
    </row>
    <row r="185" ht="54" customHeight="1">
      <c r="A185" s="29" t="n"/>
      <c r="B185" s="29" t="n"/>
      <c r="C185" s="29" t="n"/>
      <c r="D185" s="29" t="n"/>
      <c r="E185" s="29" t="n"/>
      <c r="F185" s="29" t="n"/>
      <c r="G185" s="29" t="n"/>
    </row>
    <row r="186" ht="54" customHeight="1">
      <c r="A186" s="29" t="n"/>
      <c r="B186" s="29" t="n"/>
      <c r="C186" s="29" t="n"/>
      <c r="D186" s="29" t="n"/>
      <c r="E186" s="29" t="n"/>
      <c r="F186" s="29" t="n"/>
      <c r="G186" s="29" t="n"/>
    </row>
    <row r="187" ht="54" customHeight="1">
      <c r="A187" s="29" t="n"/>
      <c r="B187" s="29" t="n"/>
      <c r="C187" s="29" t="n"/>
      <c r="D187" s="29" t="n"/>
      <c r="E187" s="29" t="n"/>
      <c r="F187" s="29" t="n"/>
      <c r="G187" s="29" t="n"/>
    </row>
    <row r="188" ht="54" customHeight="1">
      <c r="A188" s="29" t="n"/>
      <c r="B188" s="29" t="n"/>
      <c r="C188" s="29" t="n"/>
      <c r="D188" s="29" t="n"/>
      <c r="E188" s="29" t="n"/>
      <c r="F188" s="29" t="n"/>
      <c r="G188" s="29" t="n"/>
    </row>
    <row r="189" ht="54" customHeight="1">
      <c r="A189" s="29" t="n"/>
      <c r="B189" s="29" t="n"/>
      <c r="C189" s="29" t="n"/>
      <c r="D189" s="29" t="n"/>
      <c r="E189" s="29" t="n"/>
      <c r="F189" s="29" t="n"/>
      <c r="G189" s="29" t="n"/>
    </row>
    <row r="190" ht="54" customHeight="1">
      <c r="A190" s="29" t="n"/>
      <c r="B190" s="29" t="n"/>
      <c r="C190" s="29" t="n"/>
      <c r="D190" s="29" t="n"/>
      <c r="E190" s="29" t="n"/>
      <c r="F190" s="29" t="n"/>
      <c r="G190" s="29" t="n"/>
    </row>
    <row r="191" ht="54" customHeight="1">
      <c r="A191" s="29" t="n"/>
      <c r="B191" s="29" t="n"/>
      <c r="C191" s="29" t="n"/>
      <c r="D191" s="29" t="n"/>
      <c r="E191" s="29" t="n"/>
      <c r="F191" s="29" t="n"/>
      <c r="G191" s="29" t="n"/>
    </row>
    <row r="192" ht="54" customHeight="1">
      <c r="A192" s="29" t="n"/>
      <c r="B192" s="29" t="n"/>
      <c r="C192" s="29" t="n"/>
      <c r="D192" s="29" t="n"/>
      <c r="E192" s="29" t="n"/>
      <c r="F192" s="29" t="n"/>
      <c r="G192" s="29" t="n"/>
    </row>
    <row r="193" ht="54" customHeight="1">
      <c r="A193" s="29" t="n"/>
      <c r="B193" s="29" t="n"/>
      <c r="C193" s="29" t="n"/>
      <c r="D193" s="29" t="n"/>
      <c r="E193" s="29" t="n"/>
      <c r="F193" s="29" t="n"/>
      <c r="G193" s="29" t="n"/>
    </row>
    <row r="194" ht="54" customHeight="1">
      <c r="A194" s="29" t="n"/>
      <c r="B194" s="29" t="n"/>
      <c r="C194" s="29" t="n"/>
      <c r="D194" s="29" t="n"/>
      <c r="E194" s="29" t="n"/>
      <c r="F194" s="29" t="n"/>
      <c r="G194" s="29" t="n"/>
    </row>
    <row r="195" ht="54" customHeight="1">
      <c r="A195" s="29" t="n"/>
      <c r="B195" s="29" t="n"/>
      <c r="C195" s="29" t="n"/>
      <c r="D195" s="29" t="n"/>
      <c r="E195" s="29" t="n"/>
      <c r="F195" s="29" t="n"/>
      <c r="G195" s="29" t="n"/>
    </row>
    <row r="196" ht="54" customHeight="1">
      <c r="A196" s="29" t="n"/>
      <c r="B196" s="29" t="n"/>
      <c r="C196" s="29" t="n"/>
      <c r="D196" s="29" t="n"/>
      <c r="E196" s="29" t="n"/>
      <c r="F196" s="29" t="n"/>
      <c r="G196" s="29" t="n"/>
    </row>
    <row r="197" ht="54" customHeight="1">
      <c r="A197" s="29" t="n"/>
      <c r="B197" s="29" t="n"/>
      <c r="C197" s="29" t="n"/>
      <c r="D197" s="29" t="n"/>
      <c r="E197" s="29" t="n"/>
      <c r="F197" s="29" t="n"/>
      <c r="G197" s="29" t="n"/>
    </row>
    <row r="198" ht="54" customHeight="1">
      <c r="A198" s="29" t="n"/>
      <c r="B198" s="29" t="n"/>
      <c r="C198" s="29" t="n"/>
      <c r="D198" s="29" t="n"/>
      <c r="E198" s="29" t="n"/>
      <c r="F198" s="29" t="n"/>
      <c r="G198" s="29" t="n"/>
    </row>
    <row r="199" ht="54" customHeight="1">
      <c r="A199" s="29" t="n"/>
      <c r="B199" s="29" t="n"/>
      <c r="C199" s="29" t="n"/>
      <c r="D199" s="29" t="n"/>
      <c r="E199" s="29" t="n"/>
      <c r="F199" s="29" t="n"/>
      <c r="G199" s="29" t="n"/>
    </row>
    <row r="200" ht="54" customHeight="1">
      <c r="A200" s="29" t="n"/>
      <c r="B200" s="29" t="n"/>
      <c r="C200" s="29" t="n"/>
      <c r="D200" s="29" t="n"/>
      <c r="E200" s="29" t="n"/>
      <c r="F200" s="29" t="n"/>
      <c r="G200" s="29" t="n"/>
    </row>
    <row r="201" ht="54" customHeight="1">
      <c r="A201" s="29" t="n"/>
      <c r="B201" s="29" t="n"/>
      <c r="C201" s="29" t="n"/>
      <c r="D201" s="29" t="n"/>
      <c r="E201" s="29" t="n"/>
      <c r="F201" s="29" t="n"/>
      <c r="G201" s="29" t="n"/>
    </row>
    <row r="202" ht="54" customHeight="1">
      <c r="A202" s="29" t="n"/>
      <c r="B202" s="29" t="n"/>
      <c r="C202" s="29" t="n"/>
      <c r="D202" s="29" t="n"/>
      <c r="E202" s="29" t="n"/>
      <c r="F202" s="29" t="n"/>
      <c r="G202" s="29" t="n"/>
    </row>
    <row r="203" ht="54" customHeight="1">
      <c r="A203" s="29" t="n"/>
      <c r="B203" s="29" t="n"/>
      <c r="C203" s="29" t="n"/>
      <c r="D203" s="29" t="n"/>
      <c r="E203" s="29" t="n"/>
      <c r="F203" s="29" t="n"/>
      <c r="G203" s="29" t="n"/>
    </row>
    <row r="204" ht="54" customHeight="1">
      <c r="A204" s="29" t="n"/>
      <c r="B204" s="29" t="n"/>
      <c r="C204" s="29" t="n"/>
      <c r="D204" s="29" t="n"/>
      <c r="E204" s="29" t="n"/>
      <c r="F204" s="29" t="n"/>
      <c r="G204" s="29" t="n"/>
    </row>
    <row r="205" ht="54" customHeight="1">
      <c r="A205" s="29" t="n"/>
      <c r="B205" s="29" t="n"/>
      <c r="C205" s="29" t="n"/>
      <c r="D205" s="29" t="n"/>
      <c r="E205" s="29" t="n"/>
      <c r="F205" s="29" t="n"/>
      <c r="G205" s="29" t="n"/>
    </row>
    <row r="206" ht="54" customHeight="1">
      <c r="A206" s="29" t="n"/>
      <c r="B206" s="29" t="n"/>
      <c r="C206" s="29" t="n"/>
      <c r="D206" s="29" t="n"/>
      <c r="E206" s="29" t="n"/>
      <c r="F206" s="29" t="n"/>
      <c r="G206" s="29" t="n"/>
    </row>
    <row r="207" ht="54" customHeight="1">
      <c r="A207" s="29" t="n"/>
      <c r="B207" s="29" t="n"/>
      <c r="C207" s="29" t="n"/>
      <c r="D207" s="29" t="n"/>
      <c r="E207" s="29" t="n"/>
      <c r="F207" s="29" t="n"/>
      <c r="G207" s="29" t="n"/>
    </row>
  </sheetData>
  <mergeCells count="1">
    <mergeCell ref="A3:G3"/>
  </mergeCells>
  <conditionalFormatting sqref="A8:A207">
    <cfRule type="expression" priority="1" dxfId="1">
      <formula>AND($A8&lt;&gt;"",ISBLANK(A8))</formula>
    </cfRule>
  </conditionalFormatting>
  <conditionalFormatting sqref="B8:B207">
    <cfRule type="expression" priority="2" dxfId="1">
      <formula>AND($A8&lt;&gt;"",ISBLANK(B8))</formula>
    </cfRule>
  </conditionalFormatting>
  <conditionalFormatting sqref="C8:C207">
    <cfRule type="expression" priority="3" dxfId="1">
      <formula>AND($A8&lt;&gt;"",ISBLANK(C8))</formula>
    </cfRule>
  </conditionalFormatting>
  <conditionalFormatting sqref="D8:D207">
    <cfRule type="expression" priority="4" dxfId="1">
      <formula>AND($A8&lt;&gt;"",ISBLANK(D8))</formula>
    </cfRule>
  </conditionalFormatting>
  <conditionalFormatting sqref="E8:E207">
    <cfRule type="expression" priority="5" dxfId="1">
      <formula>AND($A8&lt;&gt;"",ISBLANK(E8))</formula>
    </cfRule>
  </conditionalFormatting>
  <conditionalFormatting sqref="F8:F207">
    <cfRule type="expression" priority="6" dxfId="1">
      <formula>AND($A8&lt;&gt;"",ISBLANK(F8))</formula>
    </cfRule>
  </conditionalFormatting>
  <conditionalFormatting sqref="G8:G207">
    <cfRule type="expression" priority="7" dxfId="1">
      <formula>AND($A8&lt;&gt;"",ISBLANK(G8))</formula>
    </cfRule>
  </conditionalFormatting>
  <dataValidations count="1">
    <dataValidation sqref="F8:F20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tabColor rgb="FFF66C4E"/>
    <outlinePr summaryBelow="1" summaryRight="1"/>
    <pageSetUpPr/>
  </sheetPr>
  <dimension ref="A1:O607"/>
  <sheetViews>
    <sheetView showGridLines="0" workbookViewId="0">
      <pane xSplit="1" ySplit="7" topLeftCell="B8" activePane="bottomRight" state="frozen"/>
      <selection activeCell="A1" sqref="A1"/>
    </sheetView>
  </sheetViews>
  <sheetFormatPr baseColWidth="8" defaultRowHeight="15"/>
  <cols>
    <col width="32" customWidth="1" min="1" max="1"/>
    <col width="48" customWidth="1" min="2" max="2"/>
    <col width="48" customWidth="1" min="3" max="3"/>
    <col width="55" customWidth="1" min="4" max="4"/>
    <col width="55" customWidth="1" min="5" max="5"/>
    <col width="24" customWidth="1" min="6" max="6"/>
    <col width="48" customWidth="1" min="7" max="7"/>
    <col width="40" customWidth="1" min="8" max="8"/>
    <col width="48" customWidth="1" min="9" max="9"/>
    <col width="40" customWidth="1" min="10" max="10"/>
    <col width="20" customWidth="1" min="11" max="11"/>
    <col width="20" customWidth="1" min="12" max="12"/>
    <col width="58" customWidth="1" min="13" max="13"/>
    <col width="30" customWidth="1" min="14" max="14"/>
    <col width="65" customWidth="1" min="15" max="15"/>
  </cols>
  <sheetData>
    <row r="1" ht="54" customHeight="1">
      <c r="A1" s="38" t="n"/>
      <c r="B1" s="38" t="n"/>
      <c r="C1" s="38" t="n"/>
      <c r="D1" s="38" t="n"/>
      <c r="E1" s="38" t="n"/>
      <c r="F1" s="38" t="n"/>
      <c r="G1" s="38" t="n"/>
      <c r="H1" s="38" t="n"/>
      <c r="I1" s="38" t="n"/>
      <c r="J1" s="38" t="n"/>
      <c r="K1" s="38" t="n"/>
      <c r="L1" s="38" t="n"/>
      <c r="M1" s="38" t="n"/>
      <c r="N1" s="38" t="n"/>
      <c r="O1" s="38" t="n"/>
    </row>
    <row r="2" ht="54" customHeight="1">
      <c r="A2" s="39" t="inlineStr">
        <is>
          <t>Corteqs · Fotoğrafın kaynak zinciri · v7</t>
        </is>
      </c>
      <c r="B2" s="38" t="n"/>
      <c r="C2" s="38" t="n"/>
      <c r="D2" s="38" t="n"/>
      <c r="E2" s="38" t="n"/>
      <c r="F2" s="38" t="n"/>
      <c r="G2" s="38" t="n"/>
      <c r="H2" s="38" t="n"/>
      <c r="I2" s="38" t="n"/>
      <c r="J2" s="38" t="n"/>
      <c r="K2" s="38" t="n"/>
      <c r="L2" s="38" t="n"/>
      <c r="M2" s="38" t="n"/>
      <c r="N2" s="38" t="n"/>
      <c r="O2" s="38" t="n"/>
    </row>
    <row r="3" ht="44" customHeight="1">
      <c r="A3" s="38" t="inlineStr">
        <is>
          <t>Her fotoğraf kimliği için bir kayıt. İsim, lisans ve kaynak sayfası Fotoğraflar sayfasında kalır. Bilinmeyen bağlantı veya tarih uydurulmaz.</t>
        </is>
      </c>
      <c r="G3" s="38" t="n"/>
      <c r="H3" s="38" t="n"/>
      <c r="I3" s="38" t="n"/>
      <c r="J3" s="38" t="n"/>
      <c r="K3" s="38" t="n"/>
      <c r="L3" s="38" t="n"/>
      <c r="M3" s="38" t="n"/>
      <c r="N3" s="38" t="n"/>
      <c r="O3" s="38" t="n"/>
    </row>
    <row r="4" ht="54" customHeight="1">
      <c r="A4" s="38" t="n"/>
      <c r="B4" s="38" t="n"/>
      <c r="C4" s="38" t="n"/>
      <c r="D4" s="38" t="n"/>
      <c r="E4" s="38" t="n"/>
      <c r="F4" s="38" t="n"/>
      <c r="G4" s="38" t="n"/>
      <c r="H4" s="38" t="n"/>
      <c r="I4" s="38" t="n"/>
      <c r="J4" s="38" t="n"/>
      <c r="K4" s="38" t="n"/>
      <c r="L4" s="38" t="n"/>
      <c r="M4" s="38" t="n"/>
      <c r="N4" s="38" t="n"/>
      <c r="O4" s="38" t="n"/>
    </row>
    <row r="5" ht="54" customHeight="1">
      <c r="A5" s="38" t="inlineStr">
        <is>
          <t>Zorunlu bağlantı</t>
        </is>
      </c>
      <c r="B5" s="38" t="inlineStr">
        <is>
          <t>Kanıt varsa doldurun</t>
        </is>
      </c>
      <c r="C5" s="38" t="inlineStr">
        <is>
          <t>Kanıt varsa doldurun</t>
        </is>
      </c>
      <c r="D5" s="38" t="inlineStr">
        <is>
          <t>Kanıt varsa doldurun</t>
        </is>
      </c>
      <c r="E5" s="38" t="inlineStr">
        <is>
          <t>Kanıt varsa doldurun</t>
        </is>
      </c>
      <c r="F5" s="38" t="inlineStr">
        <is>
          <t>Kanıt varsa doldurun</t>
        </is>
      </c>
      <c r="G5" s="38" t="inlineStr">
        <is>
          <t>Kanıt varsa doldurun</t>
        </is>
      </c>
      <c r="H5" s="38" t="inlineStr">
        <is>
          <t>Kanıt varsa doldurun</t>
        </is>
      </c>
      <c r="I5" s="38" t="inlineStr">
        <is>
          <t>Kanıt varsa doldurun</t>
        </is>
      </c>
      <c r="J5" s="38" t="inlineStr">
        <is>
          <t>Kanıt varsa doldurun</t>
        </is>
      </c>
      <c r="K5" s="38" t="inlineStr">
        <is>
          <t>Kanıt varsa doldurun</t>
        </is>
      </c>
      <c r="L5" s="38" t="inlineStr">
        <is>
          <t>Kanıt varsa doldurun</t>
        </is>
      </c>
      <c r="M5" s="38" t="inlineStr">
        <is>
          <t>Kanıt varsa doldurun</t>
        </is>
      </c>
      <c r="N5" s="38" t="inlineStr">
        <is>
          <t>Kanıt varsa doldurun</t>
        </is>
      </c>
      <c r="O5" s="38" t="inlineStr">
        <is>
          <t>Kanıt varsa doldurun</t>
        </is>
      </c>
    </row>
    <row r="6" ht="50" customHeight="1">
      <c r="A6" s="41" t="inlineStr">
        <is>
          <t>Fotoğraf kimliği</t>
        </is>
      </c>
      <c r="B6" s="41" t="inlineStr">
        <is>
          <t>Fotoğrafçı profil / portföy bağlantısı</t>
        </is>
      </c>
      <c r="C6" s="41" t="inlineStr">
        <is>
          <t>Görünür fotoğrafçı atıf bağlantısı</t>
        </is>
      </c>
      <c r="D6" s="41" t="inlineStr">
        <is>
          <t>Kaynakta özgün fotoğraf dosyası URL</t>
        </is>
      </c>
      <c r="E6" s="41" t="inlineStr">
        <is>
          <t>Fiilen indirilen dosyanın URL’si</t>
        </is>
      </c>
      <c r="F6" s="41" t="inlineStr">
        <is>
          <t>Kaydedilmiş indirme tarihi</t>
        </is>
      </c>
      <c r="G6" s="41" t="inlineStr">
        <is>
          <t>Korunan mevcut fotoğraf dosyası</t>
        </is>
      </c>
      <c r="H6" s="41" t="inlineStr">
        <is>
          <t>Korunan dosya SHA-256</t>
        </is>
      </c>
      <c r="I6" s="41" t="inlineStr">
        <is>
          <t>Hafif web kopyası (varsa)</t>
        </is>
      </c>
      <c r="J6" s="41" t="inlineStr">
        <is>
          <t>Web kopyası SHA-256</t>
        </is>
      </c>
      <c r="K6" s="41" t="inlineStr">
        <is>
          <t>Web genişliği (px)</t>
        </is>
      </c>
      <c r="L6" s="41" t="inlineStr">
        <is>
          <t>Web yüksekliği (px)</t>
        </is>
      </c>
      <c r="M6" s="41" t="inlineStr">
        <is>
          <t>Dönüştürme kaydı</t>
        </is>
      </c>
      <c r="N6" s="41" t="inlineStr">
        <is>
          <t>Kaynak zinciri kontrolü</t>
        </is>
      </c>
      <c r="O6" s="41" t="inlineStr">
        <is>
          <t>Açık nokta / kanıt açıklaması</t>
        </is>
      </c>
    </row>
    <row r="7" ht="32" customHeight="1">
      <c r="A7" s="43" t="inlineStr">
        <is>
          <t>photo_id</t>
        </is>
      </c>
      <c r="B7" s="43" t="inlineStr">
        <is>
          <t>author_url</t>
        </is>
      </c>
      <c r="C7" s="43" t="inlineStr">
        <is>
          <t>attribution_url</t>
        </is>
      </c>
      <c r="D7" s="43" t="inlineStr">
        <is>
          <t>original_file_url</t>
        </is>
      </c>
      <c r="E7" s="43" t="inlineStr">
        <is>
          <t>downloaded_file_url</t>
        </is>
      </c>
      <c r="F7" s="43" t="inlineStr">
        <is>
          <t>downloaded_on</t>
        </is>
      </c>
      <c r="G7" s="43" t="inlineStr">
        <is>
          <t>original_file</t>
        </is>
      </c>
      <c r="H7" s="43" t="inlineStr">
        <is>
          <t>original_sha256</t>
        </is>
      </c>
      <c r="I7" s="43" t="inlineStr">
        <is>
          <t>web_file</t>
        </is>
      </c>
      <c r="J7" s="43" t="inlineStr">
        <is>
          <t>web_sha256</t>
        </is>
      </c>
      <c r="K7" s="43" t="inlineStr">
        <is>
          <t>web_width</t>
        </is>
      </c>
      <c r="L7" s="43" t="inlineStr">
        <is>
          <t>web_height</t>
        </is>
      </c>
      <c r="M7" s="43" t="inlineStr">
        <is>
          <t>derivation</t>
        </is>
      </c>
      <c r="N7" s="43" t="inlineStr">
        <is>
          <t>provenance_status</t>
        </is>
      </c>
      <c r="O7" s="43" t="inlineStr">
        <is>
          <t>provenance_note</t>
        </is>
      </c>
    </row>
    <row r="8" ht="54" customHeight="1">
      <c r="A8" s="44" t="n"/>
      <c r="B8" s="44" t="n"/>
      <c r="C8" s="44" t="n"/>
      <c r="D8" s="44" t="n"/>
      <c r="E8" s="44" t="n"/>
      <c r="F8" s="44" t="n"/>
      <c r="G8" s="44" t="n"/>
      <c r="H8" s="44" t="n"/>
      <c r="I8" s="44" t="n"/>
      <c r="J8" s="44" t="n"/>
      <c r="K8" s="44" t="n"/>
      <c r="L8" s="44" t="n"/>
      <c r="M8" s="44" t="n"/>
      <c r="N8" s="44" t="n"/>
      <c r="O8" s="44" t="n"/>
    </row>
    <row r="9" ht="54" customHeight="1">
      <c r="A9" s="44" t="n"/>
      <c r="B9" s="44" t="n"/>
      <c r="C9" s="44" t="n"/>
      <c r="D9" s="44" t="n"/>
      <c r="E9" s="44" t="n"/>
      <c r="F9" s="44" t="n"/>
      <c r="G9" s="44" t="n"/>
      <c r="H9" s="44" t="n"/>
      <c r="I9" s="44" t="n"/>
      <c r="J9" s="44" t="n"/>
      <c r="K9" s="44" t="n"/>
      <c r="L9" s="44" t="n"/>
      <c r="M9" s="44" t="n"/>
      <c r="N9" s="44" t="n"/>
      <c r="O9" s="44" t="n"/>
    </row>
    <row r="10" ht="54" customHeight="1">
      <c r="A10" s="44" t="n"/>
      <c r="B10" s="44" t="n"/>
      <c r="C10" s="44" t="n"/>
      <c r="D10" s="44" t="n"/>
      <c r="E10" s="44" t="n"/>
      <c r="F10" s="44" t="n"/>
      <c r="G10" s="44" t="n"/>
      <c r="H10" s="44" t="n"/>
      <c r="I10" s="44" t="n"/>
      <c r="J10" s="44" t="n"/>
      <c r="K10" s="44" t="n"/>
      <c r="L10" s="44" t="n"/>
      <c r="M10" s="44" t="n"/>
      <c r="N10" s="44" t="n"/>
      <c r="O10" s="44" t="n"/>
    </row>
    <row r="11" ht="54" customHeight="1">
      <c r="A11" s="44" t="n"/>
      <c r="B11" s="44" t="n"/>
      <c r="C11" s="44" t="n"/>
      <c r="D11" s="44" t="n"/>
      <c r="E11" s="44" t="n"/>
      <c r="F11" s="44" t="n"/>
      <c r="G11" s="44" t="n"/>
      <c r="H11" s="44" t="n"/>
      <c r="I11" s="44" t="n"/>
      <c r="J11" s="44" t="n"/>
      <c r="K11" s="44" t="n"/>
      <c r="L11" s="44" t="n"/>
      <c r="M11" s="44" t="n"/>
      <c r="N11" s="44" t="n"/>
      <c r="O11" s="44" t="n"/>
    </row>
    <row r="12" ht="54" customHeight="1">
      <c r="A12" s="44" t="n"/>
      <c r="B12" s="44" t="n"/>
      <c r="C12" s="44" t="n"/>
      <c r="D12" s="44" t="n"/>
      <c r="E12" s="44" t="n"/>
      <c r="F12" s="44" t="n"/>
      <c r="G12" s="44" t="n"/>
      <c r="H12" s="44" t="n"/>
      <c r="I12" s="44" t="n"/>
      <c r="J12" s="44" t="n"/>
      <c r="K12" s="44" t="n"/>
      <c r="L12" s="44" t="n"/>
      <c r="M12" s="44" t="n"/>
      <c r="N12" s="44" t="n"/>
      <c r="O12" s="44" t="n"/>
    </row>
    <row r="13" ht="54" customHeight="1">
      <c r="A13" s="44" t="n"/>
      <c r="B13" s="44" t="n"/>
      <c r="C13" s="44" t="n"/>
      <c r="D13" s="44" t="n"/>
      <c r="E13" s="44" t="n"/>
      <c r="F13" s="44" t="n"/>
      <c r="G13" s="44" t="n"/>
      <c r="H13" s="44" t="n"/>
      <c r="I13" s="44" t="n"/>
      <c r="J13" s="44" t="n"/>
      <c r="K13" s="44" t="n"/>
      <c r="L13" s="44" t="n"/>
      <c r="M13" s="44" t="n"/>
      <c r="N13" s="44" t="n"/>
      <c r="O13" s="44" t="n"/>
    </row>
    <row r="14" ht="54" customHeight="1">
      <c r="A14" s="44" t="n"/>
      <c r="B14" s="44" t="n"/>
      <c r="C14" s="44" t="n"/>
      <c r="D14" s="44" t="n"/>
      <c r="E14" s="44" t="n"/>
      <c r="F14" s="44" t="n"/>
      <c r="G14" s="44" t="n"/>
      <c r="H14" s="44" t="n"/>
      <c r="I14" s="44" t="n"/>
      <c r="J14" s="44" t="n"/>
      <c r="K14" s="44" t="n"/>
      <c r="L14" s="44" t="n"/>
      <c r="M14" s="44" t="n"/>
      <c r="N14" s="44" t="n"/>
      <c r="O14" s="44" t="n"/>
    </row>
    <row r="15" ht="54" customHeight="1">
      <c r="A15" s="44" t="n"/>
      <c r="B15" s="44" t="n"/>
      <c r="C15" s="44" t="n"/>
      <c r="D15" s="44" t="n"/>
      <c r="E15" s="44" t="n"/>
      <c r="F15" s="44" t="n"/>
      <c r="G15" s="44" t="n"/>
      <c r="H15" s="44" t="n"/>
      <c r="I15" s="44" t="n"/>
      <c r="J15" s="44" t="n"/>
      <c r="K15" s="44" t="n"/>
      <c r="L15" s="44" t="n"/>
      <c r="M15" s="44" t="n"/>
      <c r="N15" s="44" t="n"/>
      <c r="O15" s="44" t="n"/>
    </row>
    <row r="16" ht="54" customHeight="1">
      <c r="A16" s="44" t="n"/>
      <c r="B16" s="44" t="n"/>
      <c r="C16" s="44" t="n"/>
      <c r="D16" s="44" t="n"/>
      <c r="E16" s="44" t="n"/>
      <c r="F16" s="44" t="n"/>
      <c r="G16" s="44" t="n"/>
      <c r="H16" s="44" t="n"/>
      <c r="I16" s="44" t="n"/>
      <c r="J16" s="44" t="n"/>
      <c r="K16" s="44" t="n"/>
      <c r="L16" s="44" t="n"/>
      <c r="M16" s="44" t="n"/>
      <c r="N16" s="44" t="n"/>
      <c r="O16" s="44" t="n"/>
    </row>
    <row r="17" ht="54" customHeight="1">
      <c r="A17" s="44" t="n"/>
      <c r="B17" s="44" t="n"/>
      <c r="C17" s="44" t="n"/>
      <c r="D17" s="44" t="n"/>
      <c r="E17" s="44" t="n"/>
      <c r="F17" s="44" t="n"/>
      <c r="G17" s="44" t="n"/>
      <c r="H17" s="44" t="n"/>
      <c r="I17" s="44" t="n"/>
      <c r="J17" s="44" t="n"/>
      <c r="K17" s="44" t="n"/>
      <c r="L17" s="44" t="n"/>
      <c r="M17" s="44" t="n"/>
      <c r="N17" s="44" t="n"/>
      <c r="O17" s="44" t="n"/>
    </row>
    <row r="18" ht="54" customHeight="1">
      <c r="A18" s="44" t="n"/>
      <c r="B18" s="44" t="n"/>
      <c r="C18" s="44" t="n"/>
      <c r="D18" s="44" t="n"/>
      <c r="E18" s="44" t="n"/>
      <c r="F18" s="44" t="n"/>
      <c r="G18" s="44" t="n"/>
      <c r="H18" s="44" t="n"/>
      <c r="I18" s="44" t="n"/>
      <c r="J18" s="44" t="n"/>
      <c r="K18" s="44" t="n"/>
      <c r="L18" s="44" t="n"/>
      <c r="M18" s="44" t="n"/>
      <c r="N18" s="44" t="n"/>
      <c r="O18" s="44" t="n"/>
    </row>
    <row r="19" ht="54" customHeight="1">
      <c r="A19" s="44" t="n"/>
      <c r="B19" s="44" t="n"/>
      <c r="C19" s="44" t="n"/>
      <c r="D19" s="44" t="n"/>
      <c r="E19" s="44" t="n"/>
      <c r="F19" s="44" t="n"/>
      <c r="G19" s="44" t="n"/>
      <c r="H19" s="44" t="n"/>
      <c r="I19" s="44" t="n"/>
      <c r="J19" s="44" t="n"/>
      <c r="K19" s="44" t="n"/>
      <c r="L19" s="44" t="n"/>
      <c r="M19" s="44" t="n"/>
      <c r="N19" s="44" t="n"/>
      <c r="O19" s="44" t="n"/>
    </row>
    <row r="20" ht="54" customHeight="1">
      <c r="A20" s="44" t="n"/>
      <c r="B20" s="44" t="n"/>
      <c r="C20" s="44" t="n"/>
      <c r="D20" s="44" t="n"/>
      <c r="E20" s="44" t="n"/>
      <c r="F20" s="44" t="n"/>
      <c r="G20" s="44" t="n"/>
      <c r="H20" s="44" t="n"/>
      <c r="I20" s="44" t="n"/>
      <c r="J20" s="44" t="n"/>
      <c r="K20" s="44" t="n"/>
      <c r="L20" s="44" t="n"/>
      <c r="M20" s="44" t="n"/>
      <c r="N20" s="44" t="n"/>
      <c r="O20" s="44" t="n"/>
    </row>
    <row r="21" ht="54" customHeight="1">
      <c r="A21" s="44" t="n"/>
      <c r="B21" s="44" t="n"/>
      <c r="C21" s="44" t="n"/>
      <c r="D21" s="44" t="n"/>
      <c r="E21" s="44" t="n"/>
      <c r="F21" s="44" t="n"/>
      <c r="G21" s="44" t="n"/>
      <c r="H21" s="44" t="n"/>
      <c r="I21" s="44" t="n"/>
      <c r="J21" s="44" t="n"/>
      <c r="K21" s="44" t="n"/>
      <c r="L21" s="44" t="n"/>
      <c r="M21" s="44" t="n"/>
      <c r="N21" s="44" t="n"/>
      <c r="O21" s="44" t="n"/>
    </row>
    <row r="22" ht="54" customHeight="1">
      <c r="A22" s="44" t="n"/>
      <c r="B22" s="44" t="n"/>
      <c r="C22" s="44" t="n"/>
      <c r="D22" s="44" t="n"/>
      <c r="E22" s="44" t="n"/>
      <c r="F22" s="44" t="n"/>
      <c r="G22" s="44" t="n"/>
      <c r="H22" s="44" t="n"/>
      <c r="I22" s="44" t="n"/>
      <c r="J22" s="44" t="n"/>
      <c r="K22" s="44" t="n"/>
      <c r="L22" s="44" t="n"/>
      <c r="M22" s="44" t="n"/>
      <c r="N22" s="44" t="n"/>
      <c r="O22" s="44" t="n"/>
    </row>
    <row r="23" ht="54" customHeight="1">
      <c r="A23" s="44" t="n"/>
      <c r="B23" s="44" t="n"/>
      <c r="C23" s="44" t="n"/>
      <c r="D23" s="44" t="n"/>
      <c r="E23" s="44" t="n"/>
      <c r="F23" s="44" t="n"/>
      <c r="G23" s="44" t="n"/>
      <c r="H23" s="44" t="n"/>
      <c r="I23" s="44" t="n"/>
      <c r="J23" s="44" t="n"/>
      <c r="K23" s="44" t="n"/>
      <c r="L23" s="44" t="n"/>
      <c r="M23" s="44" t="n"/>
      <c r="N23" s="44" t="n"/>
      <c r="O23" s="44" t="n"/>
    </row>
    <row r="24" ht="54" customHeight="1">
      <c r="A24" s="44" t="n"/>
      <c r="B24" s="44" t="n"/>
      <c r="C24" s="44" t="n"/>
      <c r="D24" s="44" t="n"/>
      <c r="E24" s="44" t="n"/>
      <c r="F24" s="44" t="n"/>
      <c r="G24" s="44" t="n"/>
      <c r="H24" s="44" t="n"/>
      <c r="I24" s="44" t="n"/>
      <c r="J24" s="44" t="n"/>
      <c r="K24" s="44" t="n"/>
      <c r="L24" s="44" t="n"/>
      <c r="M24" s="44" t="n"/>
      <c r="N24" s="44" t="n"/>
      <c r="O24" s="44" t="n"/>
    </row>
    <row r="25" ht="54" customHeight="1">
      <c r="A25" s="44" t="n"/>
      <c r="B25" s="44" t="n"/>
      <c r="C25" s="44" t="n"/>
      <c r="D25" s="44" t="n"/>
      <c r="E25" s="44" t="n"/>
      <c r="F25" s="44" t="n"/>
      <c r="G25" s="44" t="n"/>
      <c r="H25" s="44" t="n"/>
      <c r="I25" s="44" t="n"/>
      <c r="J25" s="44" t="n"/>
      <c r="K25" s="44" t="n"/>
      <c r="L25" s="44" t="n"/>
      <c r="M25" s="44" t="n"/>
      <c r="N25" s="44" t="n"/>
      <c r="O25" s="44" t="n"/>
    </row>
    <row r="26" ht="54" customHeight="1">
      <c r="A26" s="44" t="n"/>
      <c r="B26" s="44" t="n"/>
      <c r="C26" s="44" t="n"/>
      <c r="D26" s="44" t="n"/>
      <c r="E26" s="44" t="n"/>
      <c r="F26" s="44" t="n"/>
      <c r="G26" s="44" t="n"/>
      <c r="H26" s="44" t="n"/>
      <c r="I26" s="44" t="n"/>
      <c r="J26" s="44" t="n"/>
      <c r="K26" s="44" t="n"/>
      <c r="L26" s="44" t="n"/>
      <c r="M26" s="44" t="n"/>
      <c r="N26" s="44" t="n"/>
      <c r="O26" s="44" t="n"/>
    </row>
    <row r="27" ht="54" customHeight="1">
      <c r="A27" s="44" t="n"/>
      <c r="B27" s="44" t="n"/>
      <c r="C27" s="44" t="n"/>
      <c r="D27" s="44" t="n"/>
      <c r="E27" s="44" t="n"/>
      <c r="F27" s="44" t="n"/>
      <c r="G27" s="44" t="n"/>
      <c r="H27" s="44" t="n"/>
      <c r="I27" s="44" t="n"/>
      <c r="J27" s="44" t="n"/>
      <c r="K27" s="44" t="n"/>
      <c r="L27" s="44" t="n"/>
      <c r="M27" s="44" t="n"/>
      <c r="N27" s="44" t="n"/>
      <c r="O27" s="44" t="n"/>
    </row>
    <row r="28" ht="54" customHeight="1">
      <c r="A28" s="44" t="n"/>
      <c r="B28" s="44" t="n"/>
      <c r="C28" s="44" t="n"/>
      <c r="D28" s="44" t="n"/>
      <c r="E28" s="44" t="n"/>
      <c r="F28" s="44" t="n"/>
      <c r="G28" s="44" t="n"/>
      <c r="H28" s="44" t="n"/>
      <c r="I28" s="44" t="n"/>
      <c r="J28" s="44" t="n"/>
      <c r="K28" s="44" t="n"/>
      <c r="L28" s="44" t="n"/>
      <c r="M28" s="44" t="n"/>
      <c r="N28" s="44" t="n"/>
      <c r="O28" s="44" t="n"/>
    </row>
    <row r="29" ht="54" customHeight="1">
      <c r="A29" s="44" t="n"/>
      <c r="B29" s="44" t="n"/>
      <c r="C29" s="44" t="n"/>
      <c r="D29" s="44" t="n"/>
      <c r="E29" s="44" t="n"/>
      <c r="F29" s="44" t="n"/>
      <c r="G29" s="44" t="n"/>
      <c r="H29" s="44" t="n"/>
      <c r="I29" s="44" t="n"/>
      <c r="J29" s="44" t="n"/>
      <c r="K29" s="44" t="n"/>
      <c r="L29" s="44" t="n"/>
      <c r="M29" s="44" t="n"/>
      <c r="N29" s="44" t="n"/>
      <c r="O29" s="44" t="n"/>
    </row>
    <row r="30" ht="54" customHeight="1">
      <c r="A30" s="44" t="n"/>
      <c r="B30" s="44" t="n"/>
      <c r="C30" s="44" t="n"/>
      <c r="D30" s="44" t="n"/>
      <c r="E30" s="44" t="n"/>
      <c r="F30" s="44" t="n"/>
      <c r="G30" s="44" t="n"/>
      <c r="H30" s="44" t="n"/>
      <c r="I30" s="44" t="n"/>
      <c r="J30" s="44" t="n"/>
      <c r="K30" s="44" t="n"/>
      <c r="L30" s="44" t="n"/>
      <c r="M30" s="44" t="n"/>
      <c r="N30" s="44" t="n"/>
      <c r="O30" s="44" t="n"/>
    </row>
    <row r="31" ht="54" customHeight="1">
      <c r="A31" s="44" t="n"/>
      <c r="B31" s="44" t="n"/>
      <c r="C31" s="44" t="n"/>
      <c r="D31" s="44" t="n"/>
      <c r="E31" s="44" t="n"/>
      <c r="F31" s="44" t="n"/>
      <c r="G31" s="44" t="n"/>
      <c r="H31" s="44" t="n"/>
      <c r="I31" s="44" t="n"/>
      <c r="J31" s="44" t="n"/>
      <c r="K31" s="44" t="n"/>
      <c r="L31" s="44" t="n"/>
      <c r="M31" s="44" t="n"/>
      <c r="N31" s="44" t="n"/>
      <c r="O31" s="44" t="n"/>
    </row>
    <row r="32" ht="54" customHeight="1">
      <c r="A32" s="44" t="n"/>
      <c r="B32" s="44" t="n"/>
      <c r="C32" s="44" t="n"/>
      <c r="D32" s="44" t="n"/>
      <c r="E32" s="44" t="n"/>
      <c r="F32" s="44" t="n"/>
      <c r="G32" s="44" t="n"/>
      <c r="H32" s="44" t="n"/>
      <c r="I32" s="44" t="n"/>
      <c r="J32" s="44" t="n"/>
      <c r="K32" s="44" t="n"/>
      <c r="L32" s="44" t="n"/>
      <c r="M32" s="44" t="n"/>
      <c r="N32" s="44" t="n"/>
      <c r="O32" s="44" t="n"/>
    </row>
    <row r="33" ht="54" customHeight="1">
      <c r="A33" s="44" t="n"/>
      <c r="B33" s="44" t="n"/>
      <c r="C33" s="44" t="n"/>
      <c r="D33" s="44" t="n"/>
      <c r="E33" s="44" t="n"/>
      <c r="F33" s="44" t="n"/>
      <c r="G33" s="44" t="n"/>
      <c r="H33" s="44" t="n"/>
      <c r="I33" s="44" t="n"/>
      <c r="J33" s="44" t="n"/>
      <c r="K33" s="44" t="n"/>
      <c r="L33" s="44" t="n"/>
      <c r="M33" s="44" t="n"/>
      <c r="N33" s="44" t="n"/>
      <c r="O33" s="44" t="n"/>
    </row>
    <row r="34" ht="54" customHeight="1">
      <c r="A34" s="44" t="n"/>
      <c r="B34" s="44" t="n"/>
      <c r="C34" s="44" t="n"/>
      <c r="D34" s="44" t="n"/>
      <c r="E34" s="44" t="n"/>
      <c r="F34" s="44" t="n"/>
      <c r="G34" s="44" t="n"/>
      <c r="H34" s="44" t="n"/>
      <c r="I34" s="44" t="n"/>
      <c r="J34" s="44" t="n"/>
      <c r="K34" s="44" t="n"/>
      <c r="L34" s="44" t="n"/>
      <c r="M34" s="44" t="n"/>
      <c r="N34" s="44" t="n"/>
      <c r="O34" s="44" t="n"/>
    </row>
    <row r="35" ht="54" customHeight="1">
      <c r="A35" s="44" t="n"/>
      <c r="B35" s="44" t="n"/>
      <c r="C35" s="44" t="n"/>
      <c r="D35" s="44" t="n"/>
      <c r="E35" s="44" t="n"/>
      <c r="F35" s="44" t="n"/>
      <c r="G35" s="44" t="n"/>
      <c r="H35" s="44" t="n"/>
      <c r="I35" s="44" t="n"/>
      <c r="J35" s="44" t="n"/>
      <c r="K35" s="44" t="n"/>
      <c r="L35" s="44" t="n"/>
      <c r="M35" s="44" t="n"/>
      <c r="N35" s="44" t="n"/>
      <c r="O35" s="44" t="n"/>
    </row>
    <row r="36" ht="54" customHeight="1">
      <c r="A36" s="44" t="n"/>
      <c r="B36" s="44" t="n"/>
      <c r="C36" s="44" t="n"/>
      <c r="D36" s="44" t="n"/>
      <c r="E36" s="44" t="n"/>
      <c r="F36" s="44" t="n"/>
      <c r="G36" s="44" t="n"/>
      <c r="H36" s="44" t="n"/>
      <c r="I36" s="44" t="n"/>
      <c r="J36" s="44" t="n"/>
      <c r="K36" s="44" t="n"/>
      <c r="L36" s="44" t="n"/>
      <c r="M36" s="44" t="n"/>
      <c r="N36" s="44" t="n"/>
      <c r="O36" s="44" t="n"/>
    </row>
    <row r="37" ht="54" customHeight="1">
      <c r="A37" s="44" t="n"/>
      <c r="B37" s="44" t="n"/>
      <c r="C37" s="44" t="n"/>
      <c r="D37" s="44" t="n"/>
      <c r="E37" s="44" t="n"/>
      <c r="F37" s="44" t="n"/>
      <c r="G37" s="44" t="n"/>
      <c r="H37" s="44" t="n"/>
      <c r="I37" s="44" t="n"/>
      <c r="J37" s="44" t="n"/>
      <c r="K37" s="44" t="n"/>
      <c r="L37" s="44" t="n"/>
      <c r="M37" s="44" t="n"/>
      <c r="N37" s="44" t="n"/>
      <c r="O37" s="44" t="n"/>
    </row>
    <row r="38" ht="54" customHeight="1">
      <c r="A38" s="44" t="n"/>
      <c r="B38" s="44" t="n"/>
      <c r="C38" s="44" t="n"/>
      <c r="D38" s="44" t="n"/>
      <c r="E38" s="44" t="n"/>
      <c r="F38" s="44" t="n"/>
      <c r="G38" s="44" t="n"/>
      <c r="H38" s="44" t="n"/>
      <c r="I38" s="44" t="n"/>
      <c r="J38" s="44" t="n"/>
      <c r="K38" s="44" t="n"/>
      <c r="L38" s="44" t="n"/>
      <c r="M38" s="44" t="n"/>
      <c r="N38" s="44" t="n"/>
      <c r="O38" s="44" t="n"/>
    </row>
    <row r="39" ht="54" customHeight="1">
      <c r="A39" s="44" t="n"/>
      <c r="B39" s="44" t="n"/>
      <c r="C39" s="44" t="n"/>
      <c r="D39" s="44" t="n"/>
      <c r="E39" s="44" t="n"/>
      <c r="F39" s="44" t="n"/>
      <c r="G39" s="44" t="n"/>
      <c r="H39" s="44" t="n"/>
      <c r="I39" s="44" t="n"/>
      <c r="J39" s="44" t="n"/>
      <c r="K39" s="44" t="n"/>
      <c r="L39" s="44" t="n"/>
      <c r="M39" s="44" t="n"/>
      <c r="N39" s="44" t="n"/>
      <c r="O39" s="44" t="n"/>
    </row>
    <row r="40" ht="54" customHeight="1">
      <c r="A40" s="44" t="n"/>
      <c r="B40" s="44" t="n"/>
      <c r="C40" s="44" t="n"/>
      <c r="D40" s="44" t="n"/>
      <c r="E40" s="44" t="n"/>
      <c r="F40" s="44" t="n"/>
      <c r="G40" s="44" t="n"/>
      <c r="H40" s="44" t="n"/>
      <c r="I40" s="44" t="n"/>
      <c r="J40" s="44" t="n"/>
      <c r="K40" s="44" t="n"/>
      <c r="L40" s="44" t="n"/>
      <c r="M40" s="44" t="n"/>
      <c r="N40" s="44" t="n"/>
      <c r="O40" s="44" t="n"/>
    </row>
    <row r="41" ht="54" customHeight="1">
      <c r="A41" s="44" t="n"/>
      <c r="B41" s="44" t="n"/>
      <c r="C41" s="44" t="n"/>
      <c r="D41" s="44" t="n"/>
      <c r="E41" s="44" t="n"/>
      <c r="F41" s="44" t="n"/>
      <c r="G41" s="44" t="n"/>
      <c r="H41" s="44" t="n"/>
      <c r="I41" s="44" t="n"/>
      <c r="J41" s="44" t="n"/>
      <c r="K41" s="44" t="n"/>
      <c r="L41" s="44" t="n"/>
      <c r="M41" s="44" t="n"/>
      <c r="N41" s="44" t="n"/>
      <c r="O41" s="44" t="n"/>
    </row>
    <row r="42" ht="54" customHeight="1">
      <c r="A42" s="44" t="n"/>
      <c r="B42" s="44" t="n"/>
      <c r="C42" s="44" t="n"/>
      <c r="D42" s="44" t="n"/>
      <c r="E42" s="44" t="n"/>
      <c r="F42" s="44" t="n"/>
      <c r="G42" s="44" t="n"/>
      <c r="H42" s="44" t="n"/>
      <c r="I42" s="44" t="n"/>
      <c r="J42" s="44" t="n"/>
      <c r="K42" s="44" t="n"/>
      <c r="L42" s="44" t="n"/>
      <c r="M42" s="44" t="n"/>
      <c r="N42" s="44" t="n"/>
      <c r="O42" s="44" t="n"/>
    </row>
    <row r="43" ht="54" customHeight="1">
      <c r="A43" s="44" t="n"/>
      <c r="B43" s="44" t="n"/>
      <c r="C43" s="44" t="n"/>
      <c r="D43" s="44" t="n"/>
      <c r="E43" s="44" t="n"/>
      <c r="F43" s="44" t="n"/>
      <c r="G43" s="44" t="n"/>
      <c r="H43" s="44" t="n"/>
      <c r="I43" s="44" t="n"/>
      <c r="J43" s="44" t="n"/>
      <c r="K43" s="44" t="n"/>
      <c r="L43" s="44" t="n"/>
      <c r="M43" s="44" t="n"/>
      <c r="N43" s="44" t="n"/>
      <c r="O43" s="44" t="n"/>
    </row>
    <row r="44" ht="54" customHeight="1">
      <c r="A44" s="44" t="n"/>
      <c r="B44" s="44" t="n"/>
      <c r="C44" s="44" t="n"/>
      <c r="D44" s="44" t="n"/>
      <c r="E44" s="44" t="n"/>
      <c r="F44" s="44" t="n"/>
      <c r="G44" s="44" t="n"/>
      <c r="H44" s="44" t="n"/>
      <c r="I44" s="44" t="n"/>
      <c r="J44" s="44" t="n"/>
      <c r="K44" s="44" t="n"/>
      <c r="L44" s="44" t="n"/>
      <c r="M44" s="44" t="n"/>
      <c r="N44" s="44" t="n"/>
      <c r="O44" s="44" t="n"/>
    </row>
    <row r="45" ht="54" customHeight="1">
      <c r="A45" s="44" t="n"/>
      <c r="B45" s="44" t="n"/>
      <c r="C45" s="44" t="n"/>
      <c r="D45" s="44" t="n"/>
      <c r="E45" s="44" t="n"/>
      <c r="F45" s="44" t="n"/>
      <c r="G45" s="44" t="n"/>
      <c r="H45" s="44" t="n"/>
      <c r="I45" s="44" t="n"/>
      <c r="J45" s="44" t="n"/>
      <c r="K45" s="44" t="n"/>
      <c r="L45" s="44" t="n"/>
      <c r="M45" s="44" t="n"/>
      <c r="N45" s="44" t="n"/>
      <c r="O45" s="44" t="n"/>
    </row>
    <row r="46" ht="54" customHeight="1">
      <c r="A46" s="44" t="n"/>
      <c r="B46" s="44" t="n"/>
      <c r="C46" s="44" t="n"/>
      <c r="D46" s="44" t="n"/>
      <c r="E46" s="44" t="n"/>
      <c r="F46" s="44" t="n"/>
      <c r="G46" s="44" t="n"/>
      <c r="H46" s="44" t="n"/>
      <c r="I46" s="44" t="n"/>
      <c r="J46" s="44" t="n"/>
      <c r="K46" s="44" t="n"/>
      <c r="L46" s="44" t="n"/>
      <c r="M46" s="44" t="n"/>
      <c r="N46" s="44" t="n"/>
      <c r="O46" s="44" t="n"/>
    </row>
    <row r="47" ht="54" customHeight="1">
      <c r="A47" s="44" t="n"/>
      <c r="B47" s="44" t="n"/>
      <c r="C47" s="44" t="n"/>
      <c r="D47" s="44" t="n"/>
      <c r="E47" s="44" t="n"/>
      <c r="F47" s="44" t="n"/>
      <c r="G47" s="44" t="n"/>
      <c r="H47" s="44" t="n"/>
      <c r="I47" s="44" t="n"/>
      <c r="J47" s="44" t="n"/>
      <c r="K47" s="44" t="n"/>
      <c r="L47" s="44" t="n"/>
      <c r="M47" s="44" t="n"/>
      <c r="N47" s="44" t="n"/>
      <c r="O47" s="44" t="n"/>
    </row>
    <row r="48" ht="54" customHeight="1">
      <c r="A48" s="44" t="n"/>
      <c r="B48" s="44" t="n"/>
      <c r="C48" s="44" t="n"/>
      <c r="D48" s="44" t="n"/>
      <c r="E48" s="44" t="n"/>
      <c r="F48" s="44" t="n"/>
      <c r="G48" s="44" t="n"/>
      <c r="H48" s="44" t="n"/>
      <c r="I48" s="44" t="n"/>
      <c r="J48" s="44" t="n"/>
      <c r="K48" s="44" t="n"/>
      <c r="L48" s="44" t="n"/>
      <c r="M48" s="44" t="n"/>
      <c r="N48" s="44" t="n"/>
      <c r="O48" s="44" t="n"/>
    </row>
    <row r="49" ht="54" customHeight="1">
      <c r="A49" s="44" t="n"/>
      <c r="B49" s="44" t="n"/>
      <c r="C49" s="44" t="n"/>
      <c r="D49" s="44" t="n"/>
      <c r="E49" s="44" t="n"/>
      <c r="F49" s="44" t="n"/>
      <c r="G49" s="44" t="n"/>
      <c r="H49" s="44" t="n"/>
      <c r="I49" s="44" t="n"/>
      <c r="J49" s="44" t="n"/>
      <c r="K49" s="44" t="n"/>
      <c r="L49" s="44" t="n"/>
      <c r="M49" s="44" t="n"/>
      <c r="N49" s="44" t="n"/>
      <c r="O49" s="44" t="n"/>
    </row>
    <row r="50" ht="54" customHeight="1">
      <c r="A50" s="44" t="n"/>
      <c r="B50" s="44" t="n"/>
      <c r="C50" s="44" t="n"/>
      <c r="D50" s="44" t="n"/>
      <c r="E50" s="44" t="n"/>
      <c r="F50" s="44" t="n"/>
      <c r="G50" s="44" t="n"/>
      <c r="H50" s="44" t="n"/>
      <c r="I50" s="44" t="n"/>
      <c r="J50" s="44" t="n"/>
      <c r="K50" s="44" t="n"/>
      <c r="L50" s="44" t="n"/>
      <c r="M50" s="44" t="n"/>
      <c r="N50" s="44" t="n"/>
      <c r="O50" s="44" t="n"/>
    </row>
    <row r="51" ht="54" customHeight="1">
      <c r="A51" s="44" t="n"/>
      <c r="B51" s="44" t="n"/>
      <c r="C51" s="44" t="n"/>
      <c r="D51" s="44" t="n"/>
      <c r="E51" s="44" t="n"/>
      <c r="F51" s="44" t="n"/>
      <c r="G51" s="44" t="n"/>
      <c r="H51" s="44" t="n"/>
      <c r="I51" s="44" t="n"/>
      <c r="J51" s="44" t="n"/>
      <c r="K51" s="44" t="n"/>
      <c r="L51" s="44" t="n"/>
      <c r="M51" s="44" t="n"/>
      <c r="N51" s="44" t="n"/>
      <c r="O51" s="44" t="n"/>
    </row>
    <row r="52" ht="54" customHeight="1">
      <c r="A52" s="44" t="n"/>
      <c r="B52" s="44" t="n"/>
      <c r="C52" s="44" t="n"/>
      <c r="D52" s="44" t="n"/>
      <c r="E52" s="44" t="n"/>
      <c r="F52" s="44" t="n"/>
      <c r="G52" s="44" t="n"/>
      <c r="H52" s="44" t="n"/>
      <c r="I52" s="44" t="n"/>
      <c r="J52" s="44" t="n"/>
      <c r="K52" s="44" t="n"/>
      <c r="L52" s="44" t="n"/>
      <c r="M52" s="44" t="n"/>
      <c r="N52" s="44" t="n"/>
      <c r="O52" s="44" t="n"/>
    </row>
    <row r="53" ht="54" customHeight="1">
      <c r="A53" s="44" t="n"/>
      <c r="B53" s="44" t="n"/>
      <c r="C53" s="44" t="n"/>
      <c r="D53" s="44" t="n"/>
      <c r="E53" s="44" t="n"/>
      <c r="F53" s="44" t="n"/>
      <c r="G53" s="44" t="n"/>
      <c r="H53" s="44" t="n"/>
      <c r="I53" s="44" t="n"/>
      <c r="J53" s="44" t="n"/>
      <c r="K53" s="44" t="n"/>
      <c r="L53" s="44" t="n"/>
      <c r="M53" s="44" t="n"/>
      <c r="N53" s="44" t="n"/>
      <c r="O53" s="44" t="n"/>
    </row>
    <row r="54" ht="54" customHeight="1">
      <c r="A54" s="44" t="n"/>
      <c r="B54" s="44" t="n"/>
      <c r="C54" s="44" t="n"/>
      <c r="D54" s="44" t="n"/>
      <c r="E54" s="44" t="n"/>
      <c r="F54" s="44" t="n"/>
      <c r="G54" s="44" t="n"/>
      <c r="H54" s="44" t="n"/>
      <c r="I54" s="44" t="n"/>
      <c r="J54" s="44" t="n"/>
      <c r="K54" s="44" t="n"/>
      <c r="L54" s="44" t="n"/>
      <c r="M54" s="44" t="n"/>
      <c r="N54" s="44" t="n"/>
      <c r="O54" s="44" t="n"/>
    </row>
    <row r="55" ht="54" customHeight="1">
      <c r="A55" s="44" t="n"/>
      <c r="B55" s="44" t="n"/>
      <c r="C55" s="44" t="n"/>
      <c r="D55" s="44" t="n"/>
      <c r="E55" s="44" t="n"/>
      <c r="F55" s="44" t="n"/>
      <c r="G55" s="44" t="n"/>
      <c r="H55" s="44" t="n"/>
      <c r="I55" s="44" t="n"/>
      <c r="J55" s="44" t="n"/>
      <c r="K55" s="44" t="n"/>
      <c r="L55" s="44" t="n"/>
      <c r="M55" s="44" t="n"/>
      <c r="N55" s="44" t="n"/>
      <c r="O55" s="44" t="n"/>
    </row>
    <row r="56" ht="54" customHeight="1">
      <c r="A56" s="44" t="n"/>
      <c r="B56" s="44" t="n"/>
      <c r="C56" s="44" t="n"/>
      <c r="D56" s="44" t="n"/>
      <c r="E56" s="44" t="n"/>
      <c r="F56" s="44" t="n"/>
      <c r="G56" s="44" t="n"/>
      <c r="H56" s="44" t="n"/>
      <c r="I56" s="44" t="n"/>
      <c r="J56" s="44" t="n"/>
      <c r="K56" s="44" t="n"/>
      <c r="L56" s="44" t="n"/>
      <c r="M56" s="44" t="n"/>
      <c r="N56" s="44" t="n"/>
      <c r="O56" s="44" t="n"/>
    </row>
    <row r="57" ht="54" customHeight="1">
      <c r="A57" s="44" t="n"/>
      <c r="B57" s="44" t="n"/>
      <c r="C57" s="44" t="n"/>
      <c r="D57" s="44" t="n"/>
      <c r="E57" s="44" t="n"/>
      <c r="F57" s="44" t="n"/>
      <c r="G57" s="44" t="n"/>
      <c r="H57" s="44" t="n"/>
      <c r="I57" s="44" t="n"/>
      <c r="J57" s="44" t="n"/>
      <c r="K57" s="44" t="n"/>
      <c r="L57" s="44" t="n"/>
      <c r="M57" s="44" t="n"/>
      <c r="N57" s="44" t="n"/>
      <c r="O57" s="44" t="n"/>
    </row>
    <row r="58" ht="54" customHeight="1">
      <c r="A58" s="44" t="n"/>
      <c r="B58" s="44" t="n"/>
      <c r="C58" s="44" t="n"/>
      <c r="D58" s="44" t="n"/>
      <c r="E58" s="44" t="n"/>
      <c r="F58" s="44" t="n"/>
      <c r="G58" s="44" t="n"/>
      <c r="H58" s="44" t="n"/>
      <c r="I58" s="44" t="n"/>
      <c r="J58" s="44" t="n"/>
      <c r="K58" s="44" t="n"/>
      <c r="L58" s="44" t="n"/>
      <c r="M58" s="44" t="n"/>
      <c r="N58" s="44" t="n"/>
      <c r="O58" s="44" t="n"/>
    </row>
    <row r="59" ht="54" customHeight="1">
      <c r="A59" s="44" t="n"/>
      <c r="B59" s="44" t="n"/>
      <c r="C59" s="44" t="n"/>
      <c r="D59" s="44" t="n"/>
      <c r="E59" s="44" t="n"/>
      <c r="F59" s="44" t="n"/>
      <c r="G59" s="44" t="n"/>
      <c r="H59" s="44" t="n"/>
      <c r="I59" s="44" t="n"/>
      <c r="J59" s="44" t="n"/>
      <c r="K59" s="44" t="n"/>
      <c r="L59" s="44" t="n"/>
      <c r="M59" s="44" t="n"/>
      <c r="N59" s="44" t="n"/>
      <c r="O59" s="44" t="n"/>
    </row>
    <row r="60" ht="54" customHeight="1">
      <c r="A60" s="44" t="n"/>
      <c r="B60" s="44" t="n"/>
      <c r="C60" s="44" t="n"/>
      <c r="D60" s="44" t="n"/>
      <c r="E60" s="44" t="n"/>
      <c r="F60" s="44" t="n"/>
      <c r="G60" s="44" t="n"/>
      <c r="H60" s="44" t="n"/>
      <c r="I60" s="44" t="n"/>
      <c r="J60" s="44" t="n"/>
      <c r="K60" s="44" t="n"/>
      <c r="L60" s="44" t="n"/>
      <c r="M60" s="44" t="n"/>
      <c r="N60" s="44" t="n"/>
      <c r="O60" s="44" t="n"/>
    </row>
    <row r="61" ht="54" customHeight="1">
      <c r="A61" s="44" t="n"/>
      <c r="B61" s="44" t="n"/>
      <c r="C61" s="44" t="n"/>
      <c r="D61" s="44" t="n"/>
      <c r="E61" s="44" t="n"/>
      <c r="F61" s="44" t="n"/>
      <c r="G61" s="44" t="n"/>
      <c r="H61" s="44" t="n"/>
      <c r="I61" s="44" t="n"/>
      <c r="J61" s="44" t="n"/>
      <c r="K61" s="44" t="n"/>
      <c r="L61" s="44" t="n"/>
      <c r="M61" s="44" t="n"/>
      <c r="N61" s="44" t="n"/>
      <c r="O61" s="44" t="n"/>
    </row>
    <row r="62" ht="54" customHeight="1">
      <c r="A62" s="44" t="n"/>
      <c r="B62" s="44" t="n"/>
      <c r="C62" s="44" t="n"/>
      <c r="D62" s="44" t="n"/>
      <c r="E62" s="44" t="n"/>
      <c r="F62" s="44" t="n"/>
      <c r="G62" s="44" t="n"/>
      <c r="H62" s="44" t="n"/>
      <c r="I62" s="44" t="n"/>
      <c r="J62" s="44" t="n"/>
      <c r="K62" s="44" t="n"/>
      <c r="L62" s="44" t="n"/>
      <c r="M62" s="44" t="n"/>
      <c r="N62" s="44" t="n"/>
      <c r="O62" s="44" t="n"/>
    </row>
    <row r="63" ht="54" customHeight="1">
      <c r="A63" s="44" t="n"/>
      <c r="B63" s="44" t="n"/>
      <c r="C63" s="44" t="n"/>
      <c r="D63" s="44" t="n"/>
      <c r="E63" s="44" t="n"/>
      <c r="F63" s="44" t="n"/>
      <c r="G63" s="44" t="n"/>
      <c r="H63" s="44" t="n"/>
      <c r="I63" s="44" t="n"/>
      <c r="J63" s="44" t="n"/>
      <c r="K63" s="44" t="n"/>
      <c r="L63" s="44" t="n"/>
      <c r="M63" s="44" t="n"/>
      <c r="N63" s="44" t="n"/>
      <c r="O63" s="44" t="n"/>
    </row>
    <row r="64" ht="54" customHeight="1">
      <c r="A64" s="44" t="n"/>
      <c r="B64" s="44" t="n"/>
      <c r="C64" s="44" t="n"/>
      <c r="D64" s="44" t="n"/>
      <c r="E64" s="44" t="n"/>
      <c r="F64" s="44" t="n"/>
      <c r="G64" s="44" t="n"/>
      <c r="H64" s="44" t="n"/>
      <c r="I64" s="44" t="n"/>
      <c r="J64" s="44" t="n"/>
      <c r="K64" s="44" t="n"/>
      <c r="L64" s="44" t="n"/>
      <c r="M64" s="44" t="n"/>
      <c r="N64" s="44" t="n"/>
      <c r="O64" s="44" t="n"/>
    </row>
    <row r="65" ht="54" customHeight="1">
      <c r="A65" s="44" t="n"/>
      <c r="B65" s="44" t="n"/>
      <c r="C65" s="44" t="n"/>
      <c r="D65" s="44" t="n"/>
      <c r="E65" s="44" t="n"/>
      <c r="F65" s="44" t="n"/>
      <c r="G65" s="44" t="n"/>
      <c r="H65" s="44" t="n"/>
      <c r="I65" s="44" t="n"/>
      <c r="J65" s="44" t="n"/>
      <c r="K65" s="44" t="n"/>
      <c r="L65" s="44" t="n"/>
      <c r="M65" s="44" t="n"/>
      <c r="N65" s="44" t="n"/>
      <c r="O65" s="44" t="n"/>
    </row>
    <row r="66" ht="54" customHeight="1">
      <c r="A66" s="44" t="n"/>
      <c r="B66" s="44" t="n"/>
      <c r="C66" s="44" t="n"/>
      <c r="D66" s="44" t="n"/>
      <c r="E66" s="44" t="n"/>
      <c r="F66" s="44" t="n"/>
      <c r="G66" s="44" t="n"/>
      <c r="H66" s="44" t="n"/>
      <c r="I66" s="44" t="n"/>
      <c r="J66" s="44" t="n"/>
      <c r="K66" s="44" t="n"/>
      <c r="L66" s="44" t="n"/>
      <c r="M66" s="44" t="n"/>
      <c r="N66" s="44" t="n"/>
      <c r="O66" s="44" t="n"/>
    </row>
    <row r="67" ht="54" customHeight="1">
      <c r="A67" s="44" t="n"/>
      <c r="B67" s="44" t="n"/>
      <c r="C67" s="44" t="n"/>
      <c r="D67" s="44" t="n"/>
      <c r="E67" s="44" t="n"/>
      <c r="F67" s="44" t="n"/>
      <c r="G67" s="44" t="n"/>
      <c r="H67" s="44" t="n"/>
      <c r="I67" s="44" t="n"/>
      <c r="J67" s="44" t="n"/>
      <c r="K67" s="44" t="n"/>
      <c r="L67" s="44" t="n"/>
      <c r="M67" s="44" t="n"/>
      <c r="N67" s="44" t="n"/>
      <c r="O67" s="44" t="n"/>
    </row>
    <row r="68" ht="54" customHeight="1">
      <c r="A68" s="44" t="n"/>
      <c r="B68" s="44" t="n"/>
      <c r="C68" s="44" t="n"/>
      <c r="D68" s="44" t="n"/>
      <c r="E68" s="44" t="n"/>
      <c r="F68" s="44" t="n"/>
      <c r="G68" s="44" t="n"/>
      <c r="H68" s="44" t="n"/>
      <c r="I68" s="44" t="n"/>
      <c r="J68" s="44" t="n"/>
      <c r="K68" s="44" t="n"/>
      <c r="L68" s="44" t="n"/>
      <c r="M68" s="44" t="n"/>
      <c r="N68" s="44" t="n"/>
      <c r="O68" s="44" t="n"/>
    </row>
    <row r="69" ht="54" customHeight="1">
      <c r="A69" s="44" t="n"/>
      <c r="B69" s="44" t="n"/>
      <c r="C69" s="44" t="n"/>
      <c r="D69" s="44" t="n"/>
      <c r="E69" s="44" t="n"/>
      <c r="F69" s="44" t="n"/>
      <c r="G69" s="44" t="n"/>
      <c r="H69" s="44" t="n"/>
      <c r="I69" s="44" t="n"/>
      <c r="J69" s="44" t="n"/>
      <c r="K69" s="44" t="n"/>
      <c r="L69" s="44" t="n"/>
      <c r="M69" s="44" t="n"/>
      <c r="N69" s="44" t="n"/>
      <c r="O69" s="44" t="n"/>
    </row>
    <row r="70" ht="54" customHeight="1">
      <c r="A70" s="44" t="n"/>
      <c r="B70" s="44" t="n"/>
      <c r="C70" s="44" t="n"/>
      <c r="D70" s="44" t="n"/>
      <c r="E70" s="44" t="n"/>
      <c r="F70" s="44" t="n"/>
      <c r="G70" s="44" t="n"/>
      <c r="H70" s="44" t="n"/>
      <c r="I70" s="44" t="n"/>
      <c r="J70" s="44" t="n"/>
      <c r="K70" s="44" t="n"/>
      <c r="L70" s="44" t="n"/>
      <c r="M70" s="44" t="n"/>
      <c r="N70" s="44" t="n"/>
      <c r="O70" s="44" t="n"/>
    </row>
    <row r="71" ht="54" customHeight="1">
      <c r="A71" s="44" t="n"/>
      <c r="B71" s="44" t="n"/>
      <c r="C71" s="44" t="n"/>
      <c r="D71" s="44" t="n"/>
      <c r="E71" s="44" t="n"/>
      <c r="F71" s="44" t="n"/>
      <c r="G71" s="44" t="n"/>
      <c r="H71" s="44" t="n"/>
      <c r="I71" s="44" t="n"/>
      <c r="J71" s="44" t="n"/>
      <c r="K71" s="44" t="n"/>
      <c r="L71" s="44" t="n"/>
      <c r="M71" s="44" t="n"/>
      <c r="N71" s="44" t="n"/>
      <c r="O71" s="44" t="n"/>
    </row>
    <row r="72" ht="54" customHeight="1">
      <c r="A72" s="44" t="n"/>
      <c r="B72" s="44" t="n"/>
      <c r="C72" s="44" t="n"/>
      <c r="D72" s="44" t="n"/>
      <c r="E72" s="44" t="n"/>
      <c r="F72" s="44" t="n"/>
      <c r="G72" s="44" t="n"/>
      <c r="H72" s="44" t="n"/>
      <c r="I72" s="44" t="n"/>
      <c r="J72" s="44" t="n"/>
      <c r="K72" s="44" t="n"/>
      <c r="L72" s="44" t="n"/>
      <c r="M72" s="44" t="n"/>
      <c r="N72" s="44" t="n"/>
      <c r="O72" s="44" t="n"/>
    </row>
    <row r="73" ht="54" customHeight="1">
      <c r="A73" s="44" t="n"/>
      <c r="B73" s="44" t="n"/>
      <c r="C73" s="44" t="n"/>
      <c r="D73" s="44" t="n"/>
      <c r="E73" s="44" t="n"/>
      <c r="F73" s="44" t="n"/>
      <c r="G73" s="44" t="n"/>
      <c r="H73" s="44" t="n"/>
      <c r="I73" s="44" t="n"/>
      <c r="J73" s="44" t="n"/>
      <c r="K73" s="44" t="n"/>
      <c r="L73" s="44" t="n"/>
      <c r="M73" s="44" t="n"/>
      <c r="N73" s="44" t="n"/>
      <c r="O73" s="44" t="n"/>
    </row>
    <row r="74" ht="54" customHeight="1">
      <c r="A74" s="44" t="n"/>
      <c r="B74" s="44" t="n"/>
      <c r="C74" s="44" t="n"/>
      <c r="D74" s="44" t="n"/>
      <c r="E74" s="44" t="n"/>
      <c r="F74" s="44" t="n"/>
      <c r="G74" s="44" t="n"/>
      <c r="H74" s="44" t="n"/>
      <c r="I74" s="44" t="n"/>
      <c r="J74" s="44" t="n"/>
      <c r="K74" s="44" t="n"/>
      <c r="L74" s="44" t="n"/>
      <c r="M74" s="44" t="n"/>
      <c r="N74" s="44" t="n"/>
      <c r="O74" s="44" t="n"/>
    </row>
    <row r="75" ht="54" customHeight="1">
      <c r="A75" s="44" t="n"/>
      <c r="B75" s="44" t="n"/>
      <c r="C75" s="44" t="n"/>
      <c r="D75" s="44" t="n"/>
      <c r="E75" s="44" t="n"/>
      <c r="F75" s="44" t="n"/>
      <c r="G75" s="44" t="n"/>
      <c r="H75" s="44" t="n"/>
      <c r="I75" s="44" t="n"/>
      <c r="J75" s="44" t="n"/>
      <c r="K75" s="44" t="n"/>
      <c r="L75" s="44" t="n"/>
      <c r="M75" s="44" t="n"/>
      <c r="N75" s="44" t="n"/>
      <c r="O75" s="44" t="n"/>
    </row>
    <row r="76" ht="54" customHeight="1">
      <c r="A76" s="44" t="n"/>
      <c r="B76" s="44" t="n"/>
      <c r="C76" s="44" t="n"/>
      <c r="D76" s="44" t="n"/>
      <c r="E76" s="44" t="n"/>
      <c r="F76" s="44" t="n"/>
      <c r="G76" s="44" t="n"/>
      <c r="H76" s="44" t="n"/>
      <c r="I76" s="44" t="n"/>
      <c r="J76" s="44" t="n"/>
      <c r="K76" s="44" t="n"/>
      <c r="L76" s="44" t="n"/>
      <c r="M76" s="44" t="n"/>
      <c r="N76" s="44" t="n"/>
      <c r="O76" s="44" t="n"/>
    </row>
    <row r="77" ht="54" customHeight="1">
      <c r="A77" s="44" t="n"/>
      <c r="B77" s="44" t="n"/>
      <c r="C77" s="44" t="n"/>
      <c r="D77" s="44" t="n"/>
      <c r="E77" s="44" t="n"/>
      <c r="F77" s="44" t="n"/>
      <c r="G77" s="44" t="n"/>
      <c r="H77" s="44" t="n"/>
      <c r="I77" s="44" t="n"/>
      <c r="J77" s="44" t="n"/>
      <c r="K77" s="44" t="n"/>
      <c r="L77" s="44" t="n"/>
      <c r="M77" s="44" t="n"/>
      <c r="N77" s="44" t="n"/>
      <c r="O77" s="44" t="n"/>
    </row>
    <row r="78" ht="54" customHeight="1">
      <c r="A78" s="44" t="n"/>
      <c r="B78" s="44" t="n"/>
      <c r="C78" s="44" t="n"/>
      <c r="D78" s="44" t="n"/>
      <c r="E78" s="44" t="n"/>
      <c r="F78" s="44" t="n"/>
      <c r="G78" s="44" t="n"/>
      <c r="H78" s="44" t="n"/>
      <c r="I78" s="44" t="n"/>
      <c r="J78" s="44" t="n"/>
      <c r="K78" s="44" t="n"/>
      <c r="L78" s="44" t="n"/>
      <c r="M78" s="44" t="n"/>
      <c r="N78" s="44" t="n"/>
      <c r="O78" s="44" t="n"/>
    </row>
    <row r="79" ht="54" customHeight="1">
      <c r="A79" s="44" t="n"/>
      <c r="B79" s="44" t="n"/>
      <c r="C79" s="44" t="n"/>
      <c r="D79" s="44" t="n"/>
      <c r="E79" s="44" t="n"/>
      <c r="F79" s="44" t="n"/>
      <c r="G79" s="44" t="n"/>
      <c r="H79" s="44" t="n"/>
      <c r="I79" s="44" t="n"/>
      <c r="J79" s="44" t="n"/>
      <c r="K79" s="44" t="n"/>
      <c r="L79" s="44" t="n"/>
      <c r="M79" s="44" t="n"/>
      <c r="N79" s="44" t="n"/>
      <c r="O79" s="44" t="n"/>
    </row>
    <row r="80" ht="54" customHeight="1">
      <c r="A80" s="44" t="n"/>
      <c r="B80" s="44" t="n"/>
      <c r="C80" s="44" t="n"/>
      <c r="D80" s="44" t="n"/>
      <c r="E80" s="44" t="n"/>
      <c r="F80" s="44" t="n"/>
      <c r="G80" s="44" t="n"/>
      <c r="H80" s="44" t="n"/>
      <c r="I80" s="44" t="n"/>
      <c r="J80" s="44" t="n"/>
      <c r="K80" s="44" t="n"/>
      <c r="L80" s="44" t="n"/>
      <c r="M80" s="44" t="n"/>
      <c r="N80" s="44" t="n"/>
      <c r="O80" s="44" t="n"/>
    </row>
    <row r="81" ht="54" customHeight="1">
      <c r="A81" s="44" t="n"/>
      <c r="B81" s="44" t="n"/>
      <c r="C81" s="44" t="n"/>
      <c r="D81" s="44" t="n"/>
      <c r="E81" s="44" t="n"/>
      <c r="F81" s="44" t="n"/>
      <c r="G81" s="44" t="n"/>
      <c r="H81" s="44" t="n"/>
      <c r="I81" s="44" t="n"/>
      <c r="J81" s="44" t="n"/>
      <c r="K81" s="44" t="n"/>
      <c r="L81" s="44" t="n"/>
      <c r="M81" s="44" t="n"/>
      <c r="N81" s="44" t="n"/>
      <c r="O81" s="44" t="n"/>
    </row>
    <row r="82" ht="54" customHeight="1">
      <c r="A82" s="44" t="n"/>
      <c r="B82" s="44" t="n"/>
      <c r="C82" s="44" t="n"/>
      <c r="D82" s="44" t="n"/>
      <c r="E82" s="44" t="n"/>
      <c r="F82" s="44" t="n"/>
      <c r="G82" s="44" t="n"/>
      <c r="H82" s="44" t="n"/>
      <c r="I82" s="44" t="n"/>
      <c r="J82" s="44" t="n"/>
      <c r="K82" s="44" t="n"/>
      <c r="L82" s="44" t="n"/>
      <c r="M82" s="44" t="n"/>
      <c r="N82" s="44" t="n"/>
      <c r="O82" s="44" t="n"/>
    </row>
    <row r="83" ht="54" customHeight="1">
      <c r="A83" s="44" t="n"/>
      <c r="B83" s="44" t="n"/>
      <c r="C83" s="44" t="n"/>
      <c r="D83" s="44" t="n"/>
      <c r="E83" s="44" t="n"/>
      <c r="F83" s="44" t="n"/>
      <c r="G83" s="44" t="n"/>
      <c r="H83" s="44" t="n"/>
      <c r="I83" s="44" t="n"/>
      <c r="J83" s="44" t="n"/>
      <c r="K83" s="44" t="n"/>
      <c r="L83" s="44" t="n"/>
      <c r="M83" s="44" t="n"/>
      <c r="N83" s="44" t="n"/>
      <c r="O83" s="44" t="n"/>
    </row>
    <row r="84" ht="54" customHeight="1">
      <c r="A84" s="44" t="n"/>
      <c r="B84" s="44" t="n"/>
      <c r="C84" s="44" t="n"/>
      <c r="D84" s="44" t="n"/>
      <c r="E84" s="44" t="n"/>
      <c r="F84" s="44" t="n"/>
      <c r="G84" s="44" t="n"/>
      <c r="H84" s="44" t="n"/>
      <c r="I84" s="44" t="n"/>
      <c r="J84" s="44" t="n"/>
      <c r="K84" s="44" t="n"/>
      <c r="L84" s="44" t="n"/>
      <c r="M84" s="44" t="n"/>
      <c r="N84" s="44" t="n"/>
      <c r="O84" s="44" t="n"/>
    </row>
    <row r="85" ht="54" customHeight="1">
      <c r="A85" s="44" t="n"/>
      <c r="B85" s="44" t="n"/>
      <c r="C85" s="44" t="n"/>
      <c r="D85" s="44" t="n"/>
      <c r="E85" s="44" t="n"/>
      <c r="F85" s="44" t="n"/>
      <c r="G85" s="44" t="n"/>
      <c r="H85" s="44" t="n"/>
      <c r="I85" s="44" t="n"/>
      <c r="J85" s="44" t="n"/>
      <c r="K85" s="44" t="n"/>
      <c r="L85" s="44" t="n"/>
      <c r="M85" s="44" t="n"/>
      <c r="N85" s="44" t="n"/>
      <c r="O85" s="44" t="n"/>
    </row>
    <row r="86" ht="54" customHeight="1">
      <c r="A86" s="44" t="n"/>
      <c r="B86" s="44" t="n"/>
      <c r="C86" s="44" t="n"/>
      <c r="D86" s="44" t="n"/>
      <c r="E86" s="44" t="n"/>
      <c r="F86" s="44" t="n"/>
      <c r="G86" s="44" t="n"/>
      <c r="H86" s="44" t="n"/>
      <c r="I86" s="44" t="n"/>
      <c r="J86" s="44" t="n"/>
      <c r="K86" s="44" t="n"/>
      <c r="L86" s="44" t="n"/>
      <c r="M86" s="44" t="n"/>
      <c r="N86" s="44" t="n"/>
      <c r="O86" s="44" t="n"/>
    </row>
    <row r="87" ht="54" customHeight="1">
      <c r="A87" s="44" t="n"/>
      <c r="B87" s="44" t="n"/>
      <c r="C87" s="44" t="n"/>
      <c r="D87" s="44" t="n"/>
      <c r="E87" s="44" t="n"/>
      <c r="F87" s="44" t="n"/>
      <c r="G87" s="44" t="n"/>
      <c r="H87" s="44" t="n"/>
      <c r="I87" s="44" t="n"/>
      <c r="J87" s="44" t="n"/>
      <c r="K87" s="44" t="n"/>
      <c r="L87" s="44" t="n"/>
      <c r="M87" s="44" t="n"/>
      <c r="N87" s="44" t="n"/>
      <c r="O87" s="44" t="n"/>
    </row>
    <row r="88" ht="54" customHeight="1">
      <c r="A88" s="44" t="n"/>
      <c r="B88" s="44" t="n"/>
      <c r="C88" s="44" t="n"/>
      <c r="D88" s="44" t="n"/>
      <c r="E88" s="44" t="n"/>
      <c r="F88" s="44" t="n"/>
      <c r="G88" s="44" t="n"/>
      <c r="H88" s="44" t="n"/>
      <c r="I88" s="44" t="n"/>
      <c r="J88" s="44" t="n"/>
      <c r="K88" s="44" t="n"/>
      <c r="L88" s="44" t="n"/>
      <c r="M88" s="44" t="n"/>
      <c r="N88" s="44" t="n"/>
      <c r="O88" s="44" t="n"/>
    </row>
    <row r="89" ht="54" customHeight="1">
      <c r="A89" s="44" t="n"/>
      <c r="B89" s="44" t="n"/>
      <c r="C89" s="44" t="n"/>
      <c r="D89" s="44" t="n"/>
      <c r="E89" s="44" t="n"/>
      <c r="F89" s="44" t="n"/>
      <c r="G89" s="44" t="n"/>
      <c r="H89" s="44" t="n"/>
      <c r="I89" s="44" t="n"/>
      <c r="J89" s="44" t="n"/>
      <c r="K89" s="44" t="n"/>
      <c r="L89" s="44" t="n"/>
      <c r="M89" s="44" t="n"/>
      <c r="N89" s="44" t="n"/>
      <c r="O89" s="44" t="n"/>
    </row>
    <row r="90" ht="54" customHeight="1">
      <c r="A90" s="44" t="n"/>
      <c r="B90" s="44" t="n"/>
      <c r="C90" s="44" t="n"/>
      <c r="D90" s="44" t="n"/>
      <c r="E90" s="44" t="n"/>
      <c r="F90" s="44" t="n"/>
      <c r="G90" s="44" t="n"/>
      <c r="H90" s="44" t="n"/>
      <c r="I90" s="44" t="n"/>
      <c r="J90" s="44" t="n"/>
      <c r="K90" s="44" t="n"/>
      <c r="L90" s="44" t="n"/>
      <c r="M90" s="44" t="n"/>
      <c r="N90" s="44" t="n"/>
      <c r="O90" s="44" t="n"/>
    </row>
    <row r="91" ht="54" customHeight="1">
      <c r="A91" s="44" t="n"/>
      <c r="B91" s="44" t="n"/>
      <c r="C91" s="44" t="n"/>
      <c r="D91" s="44" t="n"/>
      <c r="E91" s="44" t="n"/>
      <c r="F91" s="44" t="n"/>
      <c r="G91" s="44" t="n"/>
      <c r="H91" s="44" t="n"/>
      <c r="I91" s="44" t="n"/>
      <c r="J91" s="44" t="n"/>
      <c r="K91" s="44" t="n"/>
      <c r="L91" s="44" t="n"/>
      <c r="M91" s="44" t="n"/>
      <c r="N91" s="44" t="n"/>
      <c r="O91" s="44" t="n"/>
    </row>
    <row r="92" ht="54" customHeight="1">
      <c r="A92" s="44" t="n"/>
      <c r="B92" s="44" t="n"/>
      <c r="C92" s="44" t="n"/>
      <c r="D92" s="44" t="n"/>
      <c r="E92" s="44" t="n"/>
      <c r="F92" s="44" t="n"/>
      <c r="G92" s="44" t="n"/>
      <c r="H92" s="44" t="n"/>
      <c r="I92" s="44" t="n"/>
      <c r="J92" s="44" t="n"/>
      <c r="K92" s="44" t="n"/>
      <c r="L92" s="44" t="n"/>
      <c r="M92" s="44" t="n"/>
      <c r="N92" s="44" t="n"/>
      <c r="O92" s="44" t="n"/>
    </row>
    <row r="93" ht="54" customHeight="1">
      <c r="A93" s="44" t="n"/>
      <c r="B93" s="44" t="n"/>
      <c r="C93" s="44" t="n"/>
      <c r="D93" s="44" t="n"/>
      <c r="E93" s="44" t="n"/>
      <c r="F93" s="44" t="n"/>
      <c r="G93" s="44" t="n"/>
      <c r="H93" s="44" t="n"/>
      <c r="I93" s="44" t="n"/>
      <c r="J93" s="44" t="n"/>
      <c r="K93" s="44" t="n"/>
      <c r="L93" s="44" t="n"/>
      <c r="M93" s="44" t="n"/>
      <c r="N93" s="44" t="n"/>
      <c r="O93" s="44" t="n"/>
    </row>
    <row r="94" ht="54" customHeight="1">
      <c r="A94" s="44" t="n"/>
      <c r="B94" s="44" t="n"/>
      <c r="C94" s="44" t="n"/>
      <c r="D94" s="44" t="n"/>
      <c r="E94" s="44" t="n"/>
      <c r="F94" s="44" t="n"/>
      <c r="G94" s="44" t="n"/>
      <c r="H94" s="44" t="n"/>
      <c r="I94" s="44" t="n"/>
      <c r="J94" s="44" t="n"/>
      <c r="K94" s="44" t="n"/>
      <c r="L94" s="44" t="n"/>
      <c r="M94" s="44" t="n"/>
      <c r="N94" s="44" t="n"/>
      <c r="O94" s="44" t="n"/>
    </row>
    <row r="95" ht="54" customHeight="1">
      <c r="A95" s="44" t="n"/>
      <c r="B95" s="44" t="n"/>
      <c r="C95" s="44" t="n"/>
      <c r="D95" s="44" t="n"/>
      <c r="E95" s="44" t="n"/>
      <c r="F95" s="44" t="n"/>
      <c r="G95" s="44" t="n"/>
      <c r="H95" s="44" t="n"/>
      <c r="I95" s="44" t="n"/>
      <c r="J95" s="44" t="n"/>
      <c r="K95" s="44" t="n"/>
      <c r="L95" s="44" t="n"/>
      <c r="M95" s="44" t="n"/>
      <c r="N95" s="44" t="n"/>
      <c r="O95" s="44" t="n"/>
    </row>
    <row r="96" ht="54" customHeight="1">
      <c r="A96" s="44" t="n"/>
      <c r="B96" s="44" t="n"/>
      <c r="C96" s="44" t="n"/>
      <c r="D96" s="44" t="n"/>
      <c r="E96" s="44" t="n"/>
      <c r="F96" s="44" t="n"/>
      <c r="G96" s="44" t="n"/>
      <c r="H96" s="44" t="n"/>
      <c r="I96" s="44" t="n"/>
      <c r="J96" s="44" t="n"/>
      <c r="K96" s="44" t="n"/>
      <c r="L96" s="44" t="n"/>
      <c r="M96" s="44" t="n"/>
      <c r="N96" s="44" t="n"/>
      <c r="O96" s="44" t="n"/>
    </row>
    <row r="97" ht="54" customHeight="1">
      <c r="A97" s="44" t="n"/>
      <c r="B97" s="44" t="n"/>
      <c r="C97" s="44" t="n"/>
      <c r="D97" s="44" t="n"/>
      <c r="E97" s="44" t="n"/>
      <c r="F97" s="44" t="n"/>
      <c r="G97" s="44" t="n"/>
      <c r="H97" s="44" t="n"/>
      <c r="I97" s="44" t="n"/>
      <c r="J97" s="44" t="n"/>
      <c r="K97" s="44" t="n"/>
      <c r="L97" s="44" t="n"/>
      <c r="M97" s="44" t="n"/>
      <c r="N97" s="44" t="n"/>
      <c r="O97" s="44" t="n"/>
    </row>
    <row r="98" ht="54" customHeight="1">
      <c r="A98" s="44" t="n"/>
      <c r="B98" s="44" t="n"/>
      <c r="C98" s="44" t="n"/>
      <c r="D98" s="44" t="n"/>
      <c r="E98" s="44" t="n"/>
      <c r="F98" s="44" t="n"/>
      <c r="G98" s="44" t="n"/>
      <c r="H98" s="44" t="n"/>
      <c r="I98" s="44" t="n"/>
      <c r="J98" s="44" t="n"/>
      <c r="K98" s="44" t="n"/>
      <c r="L98" s="44" t="n"/>
      <c r="M98" s="44" t="n"/>
      <c r="N98" s="44" t="n"/>
      <c r="O98" s="44" t="n"/>
    </row>
    <row r="99" ht="54" customHeight="1">
      <c r="A99" s="44" t="n"/>
      <c r="B99" s="44" t="n"/>
      <c r="C99" s="44" t="n"/>
      <c r="D99" s="44" t="n"/>
      <c r="E99" s="44" t="n"/>
      <c r="F99" s="44" t="n"/>
      <c r="G99" s="44" t="n"/>
      <c r="H99" s="44" t="n"/>
      <c r="I99" s="44" t="n"/>
      <c r="J99" s="44" t="n"/>
      <c r="K99" s="44" t="n"/>
      <c r="L99" s="44" t="n"/>
      <c r="M99" s="44" t="n"/>
      <c r="N99" s="44" t="n"/>
      <c r="O99" s="44" t="n"/>
    </row>
    <row r="100" ht="54" customHeight="1">
      <c r="A100" s="44" t="n"/>
      <c r="B100" s="44" t="n"/>
      <c r="C100" s="44" t="n"/>
      <c r="D100" s="44" t="n"/>
      <c r="E100" s="44" t="n"/>
      <c r="F100" s="44" t="n"/>
      <c r="G100" s="44" t="n"/>
      <c r="H100" s="44" t="n"/>
      <c r="I100" s="44" t="n"/>
      <c r="J100" s="44" t="n"/>
      <c r="K100" s="44" t="n"/>
      <c r="L100" s="44" t="n"/>
      <c r="M100" s="44" t="n"/>
      <c r="N100" s="44" t="n"/>
      <c r="O100" s="44" t="n"/>
    </row>
    <row r="101" ht="54" customHeight="1">
      <c r="A101" s="44" t="n"/>
      <c r="B101" s="44" t="n"/>
      <c r="C101" s="44" t="n"/>
      <c r="D101" s="44" t="n"/>
      <c r="E101" s="44" t="n"/>
      <c r="F101" s="44" t="n"/>
      <c r="G101" s="44" t="n"/>
      <c r="H101" s="44" t="n"/>
      <c r="I101" s="44" t="n"/>
      <c r="J101" s="44" t="n"/>
      <c r="K101" s="44" t="n"/>
      <c r="L101" s="44" t="n"/>
      <c r="M101" s="44" t="n"/>
      <c r="N101" s="44" t="n"/>
      <c r="O101" s="44" t="n"/>
    </row>
    <row r="102" ht="54" customHeight="1">
      <c r="A102" s="44" t="n"/>
      <c r="B102" s="44" t="n"/>
      <c r="C102" s="44" t="n"/>
      <c r="D102" s="44" t="n"/>
      <c r="E102" s="44" t="n"/>
      <c r="F102" s="44" t="n"/>
      <c r="G102" s="44" t="n"/>
      <c r="H102" s="44" t="n"/>
      <c r="I102" s="44" t="n"/>
      <c r="J102" s="44" t="n"/>
      <c r="K102" s="44" t="n"/>
      <c r="L102" s="44" t="n"/>
      <c r="M102" s="44" t="n"/>
      <c r="N102" s="44" t="n"/>
      <c r="O102" s="44" t="n"/>
    </row>
    <row r="103" ht="54" customHeight="1">
      <c r="A103" s="44" t="n"/>
      <c r="B103" s="44" t="n"/>
      <c r="C103" s="44" t="n"/>
      <c r="D103" s="44" t="n"/>
      <c r="E103" s="44" t="n"/>
      <c r="F103" s="44" t="n"/>
      <c r="G103" s="44" t="n"/>
      <c r="H103" s="44" t="n"/>
      <c r="I103" s="44" t="n"/>
      <c r="J103" s="44" t="n"/>
      <c r="K103" s="44" t="n"/>
      <c r="L103" s="44" t="n"/>
      <c r="M103" s="44" t="n"/>
      <c r="N103" s="44" t="n"/>
      <c r="O103" s="44" t="n"/>
    </row>
    <row r="104" ht="54" customHeight="1">
      <c r="A104" s="44" t="n"/>
      <c r="B104" s="44" t="n"/>
      <c r="C104" s="44" t="n"/>
      <c r="D104" s="44" t="n"/>
      <c r="E104" s="44" t="n"/>
      <c r="F104" s="44" t="n"/>
      <c r="G104" s="44" t="n"/>
      <c r="H104" s="44" t="n"/>
      <c r="I104" s="44" t="n"/>
      <c r="J104" s="44" t="n"/>
      <c r="K104" s="44" t="n"/>
      <c r="L104" s="44" t="n"/>
      <c r="M104" s="44" t="n"/>
      <c r="N104" s="44" t="n"/>
      <c r="O104" s="44" t="n"/>
    </row>
    <row r="105" ht="54" customHeight="1">
      <c r="A105" s="44" t="n"/>
      <c r="B105" s="44" t="n"/>
      <c r="C105" s="44" t="n"/>
      <c r="D105" s="44" t="n"/>
      <c r="E105" s="44" t="n"/>
      <c r="F105" s="44" t="n"/>
      <c r="G105" s="44" t="n"/>
      <c r="H105" s="44" t="n"/>
      <c r="I105" s="44" t="n"/>
      <c r="J105" s="44" t="n"/>
      <c r="K105" s="44" t="n"/>
      <c r="L105" s="44" t="n"/>
      <c r="M105" s="44" t="n"/>
      <c r="N105" s="44" t="n"/>
      <c r="O105" s="44" t="n"/>
    </row>
    <row r="106" ht="54" customHeight="1">
      <c r="A106" s="44" t="n"/>
      <c r="B106" s="44" t="n"/>
      <c r="C106" s="44" t="n"/>
      <c r="D106" s="44" t="n"/>
      <c r="E106" s="44" t="n"/>
      <c r="F106" s="44" t="n"/>
      <c r="G106" s="44" t="n"/>
      <c r="H106" s="44" t="n"/>
      <c r="I106" s="44" t="n"/>
      <c r="J106" s="44" t="n"/>
      <c r="K106" s="44" t="n"/>
      <c r="L106" s="44" t="n"/>
      <c r="M106" s="44" t="n"/>
      <c r="N106" s="44" t="n"/>
      <c r="O106" s="44" t="n"/>
    </row>
    <row r="107" ht="54" customHeight="1">
      <c r="A107" s="44" t="n"/>
      <c r="B107" s="44" t="n"/>
      <c r="C107" s="44" t="n"/>
      <c r="D107" s="44" t="n"/>
      <c r="E107" s="44" t="n"/>
      <c r="F107" s="44" t="n"/>
      <c r="G107" s="44" t="n"/>
      <c r="H107" s="44" t="n"/>
      <c r="I107" s="44" t="n"/>
      <c r="J107" s="44" t="n"/>
      <c r="K107" s="44" t="n"/>
      <c r="L107" s="44" t="n"/>
      <c r="M107" s="44" t="n"/>
      <c r="N107" s="44" t="n"/>
      <c r="O107" s="44" t="n"/>
    </row>
    <row r="108" ht="54" customHeight="1">
      <c r="A108" s="44" t="n"/>
      <c r="B108" s="44" t="n"/>
      <c r="C108" s="44" t="n"/>
      <c r="D108" s="44" t="n"/>
      <c r="E108" s="44" t="n"/>
      <c r="F108" s="44" t="n"/>
      <c r="G108" s="44" t="n"/>
      <c r="H108" s="44" t="n"/>
      <c r="I108" s="44" t="n"/>
      <c r="J108" s="44" t="n"/>
      <c r="K108" s="44" t="n"/>
      <c r="L108" s="44" t="n"/>
      <c r="M108" s="44" t="n"/>
      <c r="N108" s="44" t="n"/>
      <c r="O108" s="44" t="n"/>
    </row>
    <row r="109" ht="54" customHeight="1">
      <c r="A109" s="44" t="n"/>
      <c r="B109" s="44" t="n"/>
      <c r="C109" s="44" t="n"/>
      <c r="D109" s="44" t="n"/>
      <c r="E109" s="44" t="n"/>
      <c r="F109" s="44" t="n"/>
      <c r="G109" s="44" t="n"/>
      <c r="H109" s="44" t="n"/>
      <c r="I109" s="44" t="n"/>
      <c r="J109" s="44" t="n"/>
      <c r="K109" s="44" t="n"/>
      <c r="L109" s="44" t="n"/>
      <c r="M109" s="44" t="n"/>
      <c r="N109" s="44" t="n"/>
      <c r="O109" s="44" t="n"/>
    </row>
    <row r="110" ht="54" customHeight="1">
      <c r="A110" s="44" t="n"/>
      <c r="B110" s="44" t="n"/>
      <c r="C110" s="44" t="n"/>
      <c r="D110" s="44" t="n"/>
      <c r="E110" s="44" t="n"/>
      <c r="F110" s="44" t="n"/>
      <c r="G110" s="44" t="n"/>
      <c r="H110" s="44" t="n"/>
      <c r="I110" s="44" t="n"/>
      <c r="J110" s="44" t="n"/>
      <c r="K110" s="44" t="n"/>
      <c r="L110" s="44" t="n"/>
      <c r="M110" s="44" t="n"/>
      <c r="N110" s="44" t="n"/>
      <c r="O110" s="44" t="n"/>
    </row>
    <row r="111" ht="54" customHeight="1">
      <c r="A111" s="44" t="n"/>
      <c r="B111" s="44" t="n"/>
      <c r="C111" s="44" t="n"/>
      <c r="D111" s="44" t="n"/>
      <c r="E111" s="44" t="n"/>
      <c r="F111" s="44" t="n"/>
      <c r="G111" s="44" t="n"/>
      <c r="H111" s="44" t="n"/>
      <c r="I111" s="44" t="n"/>
      <c r="J111" s="44" t="n"/>
      <c r="K111" s="44" t="n"/>
      <c r="L111" s="44" t="n"/>
      <c r="M111" s="44" t="n"/>
      <c r="N111" s="44" t="n"/>
      <c r="O111" s="44" t="n"/>
    </row>
    <row r="112" ht="54" customHeight="1">
      <c r="A112" s="44" t="n"/>
      <c r="B112" s="44" t="n"/>
      <c r="C112" s="44" t="n"/>
      <c r="D112" s="44" t="n"/>
      <c r="E112" s="44" t="n"/>
      <c r="F112" s="44" t="n"/>
      <c r="G112" s="44" t="n"/>
      <c r="H112" s="44" t="n"/>
      <c r="I112" s="44" t="n"/>
      <c r="J112" s="44" t="n"/>
      <c r="K112" s="44" t="n"/>
      <c r="L112" s="44" t="n"/>
      <c r="M112" s="44" t="n"/>
      <c r="N112" s="44" t="n"/>
      <c r="O112" s="44" t="n"/>
    </row>
    <row r="113" ht="54" customHeight="1">
      <c r="A113" s="44" t="n"/>
      <c r="B113" s="44" t="n"/>
      <c r="C113" s="44" t="n"/>
      <c r="D113" s="44" t="n"/>
      <c r="E113" s="44" t="n"/>
      <c r="F113" s="44" t="n"/>
      <c r="G113" s="44" t="n"/>
      <c r="H113" s="44" t="n"/>
      <c r="I113" s="44" t="n"/>
      <c r="J113" s="44" t="n"/>
      <c r="K113" s="44" t="n"/>
      <c r="L113" s="44" t="n"/>
      <c r="M113" s="44" t="n"/>
      <c r="N113" s="44" t="n"/>
      <c r="O113" s="44" t="n"/>
    </row>
    <row r="114" ht="54" customHeight="1">
      <c r="A114" s="44" t="n"/>
      <c r="B114" s="44" t="n"/>
      <c r="C114" s="44" t="n"/>
      <c r="D114" s="44" t="n"/>
      <c r="E114" s="44" t="n"/>
      <c r="F114" s="44" t="n"/>
      <c r="G114" s="44" t="n"/>
      <c r="H114" s="44" t="n"/>
      <c r="I114" s="44" t="n"/>
      <c r="J114" s="44" t="n"/>
      <c r="K114" s="44" t="n"/>
      <c r="L114" s="44" t="n"/>
      <c r="M114" s="44" t="n"/>
      <c r="N114" s="44" t="n"/>
      <c r="O114" s="44" t="n"/>
    </row>
    <row r="115" ht="54" customHeight="1">
      <c r="A115" s="44" t="n"/>
      <c r="B115" s="44" t="n"/>
      <c r="C115" s="44" t="n"/>
      <c r="D115" s="44" t="n"/>
      <c r="E115" s="44" t="n"/>
      <c r="F115" s="44" t="n"/>
      <c r="G115" s="44" t="n"/>
      <c r="H115" s="44" t="n"/>
      <c r="I115" s="44" t="n"/>
      <c r="J115" s="44" t="n"/>
      <c r="K115" s="44" t="n"/>
      <c r="L115" s="44" t="n"/>
      <c r="M115" s="44" t="n"/>
      <c r="N115" s="44" t="n"/>
      <c r="O115" s="44" t="n"/>
    </row>
    <row r="116" ht="54" customHeight="1">
      <c r="A116" s="44" t="n"/>
      <c r="B116" s="44" t="n"/>
      <c r="C116" s="44" t="n"/>
      <c r="D116" s="44" t="n"/>
      <c r="E116" s="44" t="n"/>
      <c r="F116" s="44" t="n"/>
      <c r="G116" s="44" t="n"/>
      <c r="H116" s="44" t="n"/>
      <c r="I116" s="44" t="n"/>
      <c r="J116" s="44" t="n"/>
      <c r="K116" s="44" t="n"/>
      <c r="L116" s="44" t="n"/>
      <c r="M116" s="44" t="n"/>
      <c r="N116" s="44" t="n"/>
      <c r="O116" s="44" t="n"/>
    </row>
    <row r="117" ht="54" customHeight="1">
      <c r="A117" s="44" t="n"/>
      <c r="B117" s="44" t="n"/>
      <c r="C117" s="44" t="n"/>
      <c r="D117" s="44" t="n"/>
      <c r="E117" s="44" t="n"/>
      <c r="F117" s="44" t="n"/>
      <c r="G117" s="44" t="n"/>
      <c r="H117" s="44" t="n"/>
      <c r="I117" s="44" t="n"/>
      <c r="J117" s="44" t="n"/>
      <c r="K117" s="44" t="n"/>
      <c r="L117" s="44" t="n"/>
      <c r="M117" s="44" t="n"/>
      <c r="N117" s="44" t="n"/>
      <c r="O117" s="44" t="n"/>
    </row>
    <row r="118" ht="54" customHeight="1">
      <c r="A118" s="44" t="n"/>
      <c r="B118" s="44" t="n"/>
      <c r="C118" s="44" t="n"/>
      <c r="D118" s="44" t="n"/>
      <c r="E118" s="44" t="n"/>
      <c r="F118" s="44" t="n"/>
      <c r="G118" s="44" t="n"/>
      <c r="H118" s="44" t="n"/>
      <c r="I118" s="44" t="n"/>
      <c r="J118" s="44" t="n"/>
      <c r="K118" s="44" t="n"/>
      <c r="L118" s="44" t="n"/>
      <c r="M118" s="44" t="n"/>
      <c r="N118" s="44" t="n"/>
      <c r="O118" s="44" t="n"/>
    </row>
    <row r="119" ht="54" customHeight="1">
      <c r="A119" s="44" t="n"/>
      <c r="B119" s="44" t="n"/>
      <c r="C119" s="44" t="n"/>
      <c r="D119" s="44" t="n"/>
      <c r="E119" s="44" t="n"/>
      <c r="F119" s="44" t="n"/>
      <c r="G119" s="44" t="n"/>
      <c r="H119" s="44" t="n"/>
      <c r="I119" s="44" t="n"/>
      <c r="J119" s="44" t="n"/>
      <c r="K119" s="44" t="n"/>
      <c r="L119" s="44" t="n"/>
      <c r="M119" s="44" t="n"/>
      <c r="N119" s="44" t="n"/>
      <c r="O119" s="44" t="n"/>
    </row>
    <row r="120" ht="54" customHeight="1">
      <c r="A120" s="44" t="n"/>
      <c r="B120" s="44" t="n"/>
      <c r="C120" s="44" t="n"/>
      <c r="D120" s="44" t="n"/>
      <c r="E120" s="44" t="n"/>
      <c r="F120" s="44" t="n"/>
      <c r="G120" s="44" t="n"/>
      <c r="H120" s="44" t="n"/>
      <c r="I120" s="44" t="n"/>
      <c r="J120" s="44" t="n"/>
      <c r="K120" s="44" t="n"/>
      <c r="L120" s="44" t="n"/>
      <c r="M120" s="44" t="n"/>
      <c r="N120" s="44" t="n"/>
      <c r="O120" s="44" t="n"/>
    </row>
    <row r="121" ht="54" customHeight="1">
      <c r="A121" s="44" t="n"/>
      <c r="B121" s="44" t="n"/>
      <c r="C121" s="44" t="n"/>
      <c r="D121" s="44" t="n"/>
      <c r="E121" s="44" t="n"/>
      <c r="F121" s="44" t="n"/>
      <c r="G121" s="44" t="n"/>
      <c r="H121" s="44" t="n"/>
      <c r="I121" s="44" t="n"/>
      <c r="J121" s="44" t="n"/>
      <c r="K121" s="44" t="n"/>
      <c r="L121" s="44" t="n"/>
      <c r="M121" s="44" t="n"/>
      <c r="N121" s="44" t="n"/>
      <c r="O121" s="44" t="n"/>
    </row>
    <row r="122" ht="54" customHeight="1">
      <c r="A122" s="44" t="n"/>
      <c r="B122" s="44" t="n"/>
      <c r="C122" s="44" t="n"/>
      <c r="D122" s="44" t="n"/>
      <c r="E122" s="44" t="n"/>
      <c r="F122" s="44" t="n"/>
      <c r="G122" s="44" t="n"/>
      <c r="H122" s="44" t="n"/>
      <c r="I122" s="44" t="n"/>
      <c r="J122" s="44" t="n"/>
      <c r="K122" s="44" t="n"/>
      <c r="L122" s="44" t="n"/>
      <c r="M122" s="44" t="n"/>
      <c r="N122" s="44" t="n"/>
      <c r="O122" s="44" t="n"/>
    </row>
    <row r="123" ht="54" customHeight="1">
      <c r="A123" s="44" t="n"/>
      <c r="B123" s="44" t="n"/>
      <c r="C123" s="44" t="n"/>
      <c r="D123" s="44" t="n"/>
      <c r="E123" s="44" t="n"/>
      <c r="F123" s="44" t="n"/>
      <c r="G123" s="44" t="n"/>
      <c r="H123" s="44" t="n"/>
      <c r="I123" s="44" t="n"/>
      <c r="J123" s="44" t="n"/>
      <c r="K123" s="44" t="n"/>
      <c r="L123" s="44" t="n"/>
      <c r="M123" s="44" t="n"/>
      <c r="N123" s="44" t="n"/>
      <c r="O123" s="44" t="n"/>
    </row>
    <row r="124" ht="54" customHeight="1">
      <c r="A124" s="44" t="n"/>
      <c r="B124" s="44" t="n"/>
      <c r="C124" s="44" t="n"/>
      <c r="D124" s="44" t="n"/>
      <c r="E124" s="44" t="n"/>
      <c r="F124" s="44" t="n"/>
      <c r="G124" s="44" t="n"/>
      <c r="H124" s="44" t="n"/>
      <c r="I124" s="44" t="n"/>
      <c r="J124" s="44" t="n"/>
      <c r="K124" s="44" t="n"/>
      <c r="L124" s="44" t="n"/>
      <c r="M124" s="44" t="n"/>
      <c r="N124" s="44" t="n"/>
      <c r="O124" s="44" t="n"/>
    </row>
    <row r="125" ht="54" customHeight="1">
      <c r="A125" s="44" t="n"/>
      <c r="B125" s="44" t="n"/>
      <c r="C125" s="44" t="n"/>
      <c r="D125" s="44" t="n"/>
      <c r="E125" s="44" t="n"/>
      <c r="F125" s="44" t="n"/>
      <c r="G125" s="44" t="n"/>
      <c r="H125" s="44" t="n"/>
      <c r="I125" s="44" t="n"/>
      <c r="J125" s="44" t="n"/>
      <c r="K125" s="44" t="n"/>
      <c r="L125" s="44" t="n"/>
      <c r="M125" s="44" t="n"/>
      <c r="N125" s="44" t="n"/>
      <c r="O125" s="44" t="n"/>
    </row>
    <row r="126" ht="54" customHeight="1">
      <c r="A126" s="44" t="n"/>
      <c r="B126" s="44" t="n"/>
      <c r="C126" s="44" t="n"/>
      <c r="D126" s="44" t="n"/>
      <c r="E126" s="44" t="n"/>
      <c r="F126" s="44" t="n"/>
      <c r="G126" s="44" t="n"/>
      <c r="H126" s="44" t="n"/>
      <c r="I126" s="44" t="n"/>
      <c r="J126" s="44" t="n"/>
      <c r="K126" s="44" t="n"/>
      <c r="L126" s="44" t="n"/>
      <c r="M126" s="44" t="n"/>
      <c r="N126" s="44" t="n"/>
      <c r="O126" s="44" t="n"/>
    </row>
    <row r="127" ht="54" customHeight="1">
      <c r="A127" s="44" t="n"/>
      <c r="B127" s="44" t="n"/>
      <c r="C127" s="44" t="n"/>
      <c r="D127" s="44" t="n"/>
      <c r="E127" s="44" t="n"/>
      <c r="F127" s="44" t="n"/>
      <c r="G127" s="44" t="n"/>
      <c r="H127" s="44" t="n"/>
      <c r="I127" s="44" t="n"/>
      <c r="J127" s="44" t="n"/>
      <c r="K127" s="44" t="n"/>
      <c r="L127" s="44" t="n"/>
      <c r="M127" s="44" t="n"/>
      <c r="N127" s="44" t="n"/>
      <c r="O127" s="44" t="n"/>
    </row>
    <row r="128" ht="54" customHeight="1">
      <c r="A128" s="44" t="n"/>
      <c r="B128" s="44" t="n"/>
      <c r="C128" s="44" t="n"/>
      <c r="D128" s="44" t="n"/>
      <c r="E128" s="44" t="n"/>
      <c r="F128" s="44" t="n"/>
      <c r="G128" s="44" t="n"/>
      <c r="H128" s="44" t="n"/>
      <c r="I128" s="44" t="n"/>
      <c r="J128" s="44" t="n"/>
      <c r="K128" s="44" t="n"/>
      <c r="L128" s="44" t="n"/>
      <c r="M128" s="44" t="n"/>
      <c r="N128" s="44" t="n"/>
      <c r="O128" s="44" t="n"/>
    </row>
    <row r="129" ht="54" customHeight="1">
      <c r="A129" s="44" t="n"/>
      <c r="B129" s="44" t="n"/>
      <c r="C129" s="44" t="n"/>
      <c r="D129" s="44" t="n"/>
      <c r="E129" s="44" t="n"/>
      <c r="F129" s="44" t="n"/>
      <c r="G129" s="44" t="n"/>
      <c r="H129" s="44" t="n"/>
      <c r="I129" s="44" t="n"/>
      <c r="J129" s="44" t="n"/>
      <c r="K129" s="44" t="n"/>
      <c r="L129" s="44" t="n"/>
      <c r="M129" s="44" t="n"/>
      <c r="N129" s="44" t="n"/>
      <c r="O129" s="44" t="n"/>
    </row>
    <row r="130" ht="54" customHeight="1">
      <c r="A130" s="44" t="n"/>
      <c r="B130" s="44" t="n"/>
      <c r="C130" s="44" t="n"/>
      <c r="D130" s="44" t="n"/>
      <c r="E130" s="44" t="n"/>
      <c r="F130" s="44" t="n"/>
      <c r="G130" s="44" t="n"/>
      <c r="H130" s="44" t="n"/>
      <c r="I130" s="44" t="n"/>
      <c r="J130" s="44" t="n"/>
      <c r="K130" s="44" t="n"/>
      <c r="L130" s="44" t="n"/>
      <c r="M130" s="44" t="n"/>
      <c r="N130" s="44" t="n"/>
      <c r="O130" s="44" t="n"/>
    </row>
    <row r="131" ht="54" customHeight="1">
      <c r="A131" s="44" t="n"/>
      <c r="B131" s="44" t="n"/>
      <c r="C131" s="44" t="n"/>
      <c r="D131" s="44" t="n"/>
      <c r="E131" s="44" t="n"/>
      <c r="F131" s="44" t="n"/>
      <c r="G131" s="44" t="n"/>
      <c r="H131" s="44" t="n"/>
      <c r="I131" s="44" t="n"/>
      <c r="J131" s="44" t="n"/>
      <c r="K131" s="44" t="n"/>
      <c r="L131" s="44" t="n"/>
      <c r="M131" s="44" t="n"/>
      <c r="N131" s="44" t="n"/>
      <c r="O131" s="44" t="n"/>
    </row>
    <row r="132" ht="54" customHeight="1">
      <c r="A132" s="44" t="n"/>
      <c r="B132" s="44" t="n"/>
      <c r="C132" s="44" t="n"/>
      <c r="D132" s="44" t="n"/>
      <c r="E132" s="44" t="n"/>
      <c r="F132" s="44" t="n"/>
      <c r="G132" s="44" t="n"/>
      <c r="H132" s="44" t="n"/>
      <c r="I132" s="44" t="n"/>
      <c r="J132" s="44" t="n"/>
      <c r="K132" s="44" t="n"/>
      <c r="L132" s="44" t="n"/>
      <c r="M132" s="44" t="n"/>
      <c r="N132" s="44" t="n"/>
      <c r="O132" s="44" t="n"/>
    </row>
    <row r="133" ht="54" customHeight="1">
      <c r="A133" s="44" t="n"/>
      <c r="B133" s="44" t="n"/>
      <c r="C133" s="44" t="n"/>
      <c r="D133" s="44" t="n"/>
      <c r="E133" s="44" t="n"/>
      <c r="F133" s="44" t="n"/>
      <c r="G133" s="44" t="n"/>
      <c r="H133" s="44" t="n"/>
      <c r="I133" s="44" t="n"/>
      <c r="J133" s="44" t="n"/>
      <c r="K133" s="44" t="n"/>
      <c r="L133" s="44" t="n"/>
      <c r="M133" s="44" t="n"/>
      <c r="N133" s="44" t="n"/>
      <c r="O133" s="44" t="n"/>
    </row>
    <row r="134" ht="54" customHeight="1">
      <c r="A134" s="44" t="n"/>
      <c r="B134" s="44" t="n"/>
      <c r="C134" s="44" t="n"/>
      <c r="D134" s="44" t="n"/>
      <c r="E134" s="44" t="n"/>
      <c r="F134" s="44" t="n"/>
      <c r="G134" s="44" t="n"/>
      <c r="H134" s="44" t="n"/>
      <c r="I134" s="44" t="n"/>
      <c r="J134" s="44" t="n"/>
      <c r="K134" s="44" t="n"/>
      <c r="L134" s="44" t="n"/>
      <c r="M134" s="44" t="n"/>
      <c r="N134" s="44" t="n"/>
      <c r="O134" s="44" t="n"/>
    </row>
    <row r="135" ht="54" customHeight="1">
      <c r="A135" s="44" t="n"/>
      <c r="B135" s="44" t="n"/>
      <c r="C135" s="44" t="n"/>
      <c r="D135" s="44" t="n"/>
      <c r="E135" s="44" t="n"/>
      <c r="F135" s="44" t="n"/>
      <c r="G135" s="44" t="n"/>
      <c r="H135" s="44" t="n"/>
      <c r="I135" s="44" t="n"/>
      <c r="J135" s="44" t="n"/>
      <c r="K135" s="44" t="n"/>
      <c r="L135" s="44" t="n"/>
      <c r="M135" s="44" t="n"/>
      <c r="N135" s="44" t="n"/>
      <c r="O135" s="44" t="n"/>
    </row>
    <row r="136" ht="54" customHeight="1">
      <c r="A136" s="44" t="n"/>
      <c r="B136" s="44" t="n"/>
      <c r="C136" s="44" t="n"/>
      <c r="D136" s="44" t="n"/>
      <c r="E136" s="44" t="n"/>
      <c r="F136" s="44" t="n"/>
      <c r="G136" s="44" t="n"/>
      <c r="H136" s="44" t="n"/>
      <c r="I136" s="44" t="n"/>
      <c r="J136" s="44" t="n"/>
      <c r="K136" s="44" t="n"/>
      <c r="L136" s="44" t="n"/>
      <c r="M136" s="44" t="n"/>
      <c r="N136" s="44" t="n"/>
      <c r="O136" s="44" t="n"/>
    </row>
    <row r="137" ht="54" customHeight="1">
      <c r="A137" s="44" t="n"/>
      <c r="B137" s="44" t="n"/>
      <c r="C137" s="44" t="n"/>
      <c r="D137" s="44" t="n"/>
      <c r="E137" s="44" t="n"/>
      <c r="F137" s="44" t="n"/>
      <c r="G137" s="44" t="n"/>
      <c r="H137" s="44" t="n"/>
      <c r="I137" s="44" t="n"/>
      <c r="J137" s="44" t="n"/>
      <c r="K137" s="44" t="n"/>
      <c r="L137" s="44" t="n"/>
      <c r="M137" s="44" t="n"/>
      <c r="N137" s="44" t="n"/>
      <c r="O137" s="44" t="n"/>
    </row>
    <row r="138" ht="54" customHeight="1">
      <c r="A138" s="44" t="n"/>
      <c r="B138" s="44" t="n"/>
      <c r="C138" s="44" t="n"/>
      <c r="D138" s="44" t="n"/>
      <c r="E138" s="44" t="n"/>
      <c r="F138" s="44" t="n"/>
      <c r="G138" s="44" t="n"/>
      <c r="H138" s="44" t="n"/>
      <c r="I138" s="44" t="n"/>
      <c r="J138" s="44" t="n"/>
      <c r="K138" s="44" t="n"/>
      <c r="L138" s="44" t="n"/>
      <c r="M138" s="44" t="n"/>
      <c r="N138" s="44" t="n"/>
      <c r="O138" s="44" t="n"/>
    </row>
    <row r="139" ht="54" customHeight="1">
      <c r="A139" s="44" t="n"/>
      <c r="B139" s="44" t="n"/>
      <c r="C139" s="44" t="n"/>
      <c r="D139" s="44" t="n"/>
      <c r="E139" s="44" t="n"/>
      <c r="F139" s="44" t="n"/>
      <c r="G139" s="44" t="n"/>
      <c r="H139" s="44" t="n"/>
      <c r="I139" s="44" t="n"/>
      <c r="J139" s="44" t="n"/>
      <c r="K139" s="44" t="n"/>
      <c r="L139" s="44" t="n"/>
      <c r="M139" s="44" t="n"/>
      <c r="N139" s="44" t="n"/>
      <c r="O139" s="44" t="n"/>
    </row>
    <row r="140" ht="54" customHeight="1">
      <c r="A140" s="44" t="n"/>
      <c r="B140" s="44" t="n"/>
      <c r="C140" s="44" t="n"/>
      <c r="D140" s="44" t="n"/>
      <c r="E140" s="44" t="n"/>
      <c r="F140" s="44" t="n"/>
      <c r="G140" s="44" t="n"/>
      <c r="H140" s="44" t="n"/>
      <c r="I140" s="44" t="n"/>
      <c r="J140" s="44" t="n"/>
      <c r="K140" s="44" t="n"/>
      <c r="L140" s="44" t="n"/>
      <c r="M140" s="44" t="n"/>
      <c r="N140" s="44" t="n"/>
      <c r="O140" s="44" t="n"/>
    </row>
    <row r="141" ht="54" customHeight="1">
      <c r="A141" s="44" t="n"/>
      <c r="B141" s="44" t="n"/>
      <c r="C141" s="44" t="n"/>
      <c r="D141" s="44" t="n"/>
      <c r="E141" s="44" t="n"/>
      <c r="F141" s="44" t="n"/>
      <c r="G141" s="44" t="n"/>
      <c r="H141" s="44" t="n"/>
      <c r="I141" s="44" t="n"/>
      <c r="J141" s="44" t="n"/>
      <c r="K141" s="44" t="n"/>
      <c r="L141" s="44" t="n"/>
      <c r="M141" s="44" t="n"/>
      <c r="N141" s="44" t="n"/>
      <c r="O141" s="44" t="n"/>
    </row>
    <row r="142" ht="54" customHeight="1">
      <c r="A142" s="44" t="n"/>
      <c r="B142" s="44" t="n"/>
      <c r="C142" s="44" t="n"/>
      <c r="D142" s="44" t="n"/>
      <c r="E142" s="44" t="n"/>
      <c r="F142" s="44" t="n"/>
      <c r="G142" s="44" t="n"/>
      <c r="H142" s="44" t="n"/>
      <c r="I142" s="44" t="n"/>
      <c r="J142" s="44" t="n"/>
      <c r="K142" s="44" t="n"/>
      <c r="L142" s="44" t="n"/>
      <c r="M142" s="44" t="n"/>
      <c r="N142" s="44" t="n"/>
      <c r="O142" s="44" t="n"/>
    </row>
    <row r="143" ht="54" customHeight="1">
      <c r="A143" s="44" t="n"/>
      <c r="B143" s="44" t="n"/>
      <c r="C143" s="44" t="n"/>
      <c r="D143" s="44" t="n"/>
      <c r="E143" s="44" t="n"/>
      <c r="F143" s="44" t="n"/>
      <c r="G143" s="44" t="n"/>
      <c r="H143" s="44" t="n"/>
      <c r="I143" s="44" t="n"/>
      <c r="J143" s="44" t="n"/>
      <c r="K143" s="44" t="n"/>
      <c r="L143" s="44" t="n"/>
      <c r="M143" s="44" t="n"/>
      <c r="N143" s="44" t="n"/>
      <c r="O143" s="44" t="n"/>
    </row>
    <row r="144" ht="54" customHeight="1">
      <c r="A144" s="44" t="n"/>
      <c r="B144" s="44" t="n"/>
      <c r="C144" s="44" t="n"/>
      <c r="D144" s="44" t="n"/>
      <c r="E144" s="44" t="n"/>
      <c r="F144" s="44" t="n"/>
      <c r="G144" s="44" t="n"/>
      <c r="H144" s="44" t="n"/>
      <c r="I144" s="44" t="n"/>
      <c r="J144" s="44" t="n"/>
      <c r="K144" s="44" t="n"/>
      <c r="L144" s="44" t="n"/>
      <c r="M144" s="44" t="n"/>
      <c r="N144" s="44" t="n"/>
      <c r="O144" s="44" t="n"/>
    </row>
    <row r="145" ht="54" customHeight="1">
      <c r="A145" s="44" t="n"/>
      <c r="B145" s="44" t="n"/>
      <c r="C145" s="44" t="n"/>
      <c r="D145" s="44" t="n"/>
      <c r="E145" s="44" t="n"/>
      <c r="F145" s="44" t="n"/>
      <c r="G145" s="44" t="n"/>
      <c r="H145" s="44" t="n"/>
      <c r="I145" s="44" t="n"/>
      <c r="J145" s="44" t="n"/>
      <c r="K145" s="44" t="n"/>
      <c r="L145" s="44" t="n"/>
      <c r="M145" s="44" t="n"/>
      <c r="N145" s="44" t="n"/>
      <c r="O145" s="44" t="n"/>
    </row>
    <row r="146" ht="54" customHeight="1">
      <c r="A146" s="44" t="n"/>
      <c r="B146" s="44" t="n"/>
      <c r="C146" s="44" t="n"/>
      <c r="D146" s="44" t="n"/>
      <c r="E146" s="44" t="n"/>
      <c r="F146" s="44" t="n"/>
      <c r="G146" s="44" t="n"/>
      <c r="H146" s="44" t="n"/>
      <c r="I146" s="44" t="n"/>
      <c r="J146" s="44" t="n"/>
      <c r="K146" s="44" t="n"/>
      <c r="L146" s="44" t="n"/>
      <c r="M146" s="44" t="n"/>
      <c r="N146" s="44" t="n"/>
      <c r="O146" s="44" t="n"/>
    </row>
    <row r="147" ht="54" customHeight="1">
      <c r="A147" s="44" t="n"/>
      <c r="B147" s="44" t="n"/>
      <c r="C147" s="44" t="n"/>
      <c r="D147" s="44" t="n"/>
      <c r="E147" s="44" t="n"/>
      <c r="F147" s="44" t="n"/>
      <c r="G147" s="44" t="n"/>
      <c r="H147" s="44" t="n"/>
      <c r="I147" s="44" t="n"/>
      <c r="J147" s="44" t="n"/>
      <c r="K147" s="44" t="n"/>
      <c r="L147" s="44" t="n"/>
      <c r="M147" s="44" t="n"/>
      <c r="N147" s="44" t="n"/>
      <c r="O147" s="44" t="n"/>
    </row>
    <row r="148" ht="54" customHeight="1">
      <c r="A148" s="44" t="n"/>
      <c r="B148" s="44" t="n"/>
      <c r="C148" s="44" t="n"/>
      <c r="D148" s="44" t="n"/>
      <c r="E148" s="44" t="n"/>
      <c r="F148" s="44" t="n"/>
      <c r="G148" s="44" t="n"/>
      <c r="H148" s="44" t="n"/>
      <c r="I148" s="44" t="n"/>
      <c r="J148" s="44" t="n"/>
      <c r="K148" s="44" t="n"/>
      <c r="L148" s="44" t="n"/>
      <c r="M148" s="44" t="n"/>
      <c r="N148" s="44" t="n"/>
      <c r="O148" s="44" t="n"/>
    </row>
    <row r="149" ht="54" customHeight="1">
      <c r="A149" s="44" t="n"/>
      <c r="B149" s="44" t="n"/>
      <c r="C149" s="44" t="n"/>
      <c r="D149" s="44" t="n"/>
      <c r="E149" s="44" t="n"/>
      <c r="F149" s="44" t="n"/>
      <c r="G149" s="44" t="n"/>
      <c r="H149" s="44" t="n"/>
      <c r="I149" s="44" t="n"/>
      <c r="J149" s="44" t="n"/>
      <c r="K149" s="44" t="n"/>
      <c r="L149" s="44" t="n"/>
      <c r="M149" s="44" t="n"/>
      <c r="N149" s="44" t="n"/>
      <c r="O149" s="44" t="n"/>
    </row>
    <row r="150" ht="54" customHeight="1">
      <c r="A150" s="44" t="n"/>
      <c r="B150" s="44" t="n"/>
      <c r="C150" s="44" t="n"/>
      <c r="D150" s="44" t="n"/>
      <c r="E150" s="44" t="n"/>
      <c r="F150" s="44" t="n"/>
      <c r="G150" s="44" t="n"/>
      <c r="H150" s="44" t="n"/>
      <c r="I150" s="44" t="n"/>
      <c r="J150" s="44" t="n"/>
      <c r="K150" s="44" t="n"/>
      <c r="L150" s="44" t="n"/>
      <c r="M150" s="44" t="n"/>
      <c r="N150" s="44" t="n"/>
      <c r="O150" s="44" t="n"/>
    </row>
    <row r="151" ht="54" customHeight="1">
      <c r="A151" s="44" t="n"/>
      <c r="B151" s="44" t="n"/>
      <c r="C151" s="44" t="n"/>
      <c r="D151" s="44" t="n"/>
      <c r="E151" s="44" t="n"/>
      <c r="F151" s="44" t="n"/>
      <c r="G151" s="44" t="n"/>
      <c r="H151" s="44" t="n"/>
      <c r="I151" s="44" t="n"/>
      <c r="J151" s="44" t="n"/>
      <c r="K151" s="44" t="n"/>
      <c r="L151" s="44" t="n"/>
      <c r="M151" s="44" t="n"/>
      <c r="N151" s="44" t="n"/>
      <c r="O151" s="44" t="n"/>
    </row>
    <row r="152" ht="54" customHeight="1">
      <c r="A152" s="44" t="n"/>
      <c r="B152" s="44" t="n"/>
      <c r="C152" s="44" t="n"/>
      <c r="D152" s="44" t="n"/>
      <c r="E152" s="44" t="n"/>
      <c r="F152" s="44" t="n"/>
      <c r="G152" s="44" t="n"/>
      <c r="H152" s="44" t="n"/>
      <c r="I152" s="44" t="n"/>
      <c r="J152" s="44" t="n"/>
      <c r="K152" s="44" t="n"/>
      <c r="L152" s="44" t="n"/>
      <c r="M152" s="44" t="n"/>
      <c r="N152" s="44" t="n"/>
      <c r="O152" s="44" t="n"/>
    </row>
    <row r="153" ht="54" customHeight="1">
      <c r="A153" s="44" t="n"/>
      <c r="B153" s="44" t="n"/>
      <c r="C153" s="44" t="n"/>
      <c r="D153" s="44" t="n"/>
      <c r="E153" s="44" t="n"/>
      <c r="F153" s="44" t="n"/>
      <c r="G153" s="44" t="n"/>
      <c r="H153" s="44" t="n"/>
      <c r="I153" s="44" t="n"/>
      <c r="J153" s="44" t="n"/>
      <c r="K153" s="44" t="n"/>
      <c r="L153" s="44" t="n"/>
      <c r="M153" s="44" t="n"/>
      <c r="N153" s="44" t="n"/>
      <c r="O153" s="44" t="n"/>
    </row>
    <row r="154" ht="54" customHeight="1">
      <c r="A154" s="44" t="n"/>
      <c r="B154" s="44" t="n"/>
      <c r="C154" s="44" t="n"/>
      <c r="D154" s="44" t="n"/>
      <c r="E154" s="44" t="n"/>
      <c r="F154" s="44" t="n"/>
      <c r="G154" s="44" t="n"/>
      <c r="H154" s="44" t="n"/>
      <c r="I154" s="44" t="n"/>
      <c r="J154" s="44" t="n"/>
      <c r="K154" s="44" t="n"/>
      <c r="L154" s="44" t="n"/>
      <c r="M154" s="44" t="n"/>
      <c r="N154" s="44" t="n"/>
      <c r="O154" s="44" t="n"/>
    </row>
    <row r="155" ht="54" customHeight="1">
      <c r="A155" s="44" t="n"/>
      <c r="B155" s="44" t="n"/>
      <c r="C155" s="44" t="n"/>
      <c r="D155" s="44" t="n"/>
      <c r="E155" s="44" t="n"/>
      <c r="F155" s="44" t="n"/>
      <c r="G155" s="44" t="n"/>
      <c r="H155" s="44" t="n"/>
      <c r="I155" s="44" t="n"/>
      <c r="J155" s="44" t="n"/>
      <c r="K155" s="44" t="n"/>
      <c r="L155" s="44" t="n"/>
      <c r="M155" s="44" t="n"/>
      <c r="N155" s="44" t="n"/>
      <c r="O155" s="44" t="n"/>
    </row>
    <row r="156" ht="54" customHeight="1">
      <c r="A156" s="44" t="n"/>
      <c r="B156" s="44" t="n"/>
      <c r="C156" s="44" t="n"/>
      <c r="D156" s="44" t="n"/>
      <c r="E156" s="44" t="n"/>
      <c r="F156" s="44" t="n"/>
      <c r="G156" s="44" t="n"/>
      <c r="H156" s="44" t="n"/>
      <c r="I156" s="44" t="n"/>
      <c r="J156" s="44" t="n"/>
      <c r="K156" s="44" t="n"/>
      <c r="L156" s="44" t="n"/>
      <c r="M156" s="44" t="n"/>
      <c r="N156" s="44" t="n"/>
      <c r="O156" s="44" t="n"/>
    </row>
    <row r="157" ht="54" customHeight="1">
      <c r="A157" s="44" t="n"/>
      <c r="B157" s="44" t="n"/>
      <c r="C157" s="44" t="n"/>
      <c r="D157" s="44" t="n"/>
      <c r="E157" s="44" t="n"/>
      <c r="F157" s="44" t="n"/>
      <c r="G157" s="44" t="n"/>
      <c r="H157" s="44" t="n"/>
      <c r="I157" s="44" t="n"/>
      <c r="J157" s="44" t="n"/>
      <c r="K157" s="44" t="n"/>
      <c r="L157" s="44" t="n"/>
      <c r="M157" s="44" t="n"/>
      <c r="N157" s="44" t="n"/>
      <c r="O157" s="44" t="n"/>
    </row>
    <row r="158" ht="54" customHeight="1">
      <c r="A158" s="44" t="n"/>
      <c r="B158" s="44" t="n"/>
      <c r="C158" s="44" t="n"/>
      <c r="D158" s="44" t="n"/>
      <c r="E158" s="44" t="n"/>
      <c r="F158" s="44" t="n"/>
      <c r="G158" s="44" t="n"/>
      <c r="H158" s="44" t="n"/>
      <c r="I158" s="44" t="n"/>
      <c r="J158" s="44" t="n"/>
      <c r="K158" s="44" t="n"/>
      <c r="L158" s="44" t="n"/>
      <c r="M158" s="44" t="n"/>
      <c r="N158" s="44" t="n"/>
      <c r="O158" s="44" t="n"/>
    </row>
    <row r="159" ht="54" customHeight="1">
      <c r="A159" s="44" t="n"/>
      <c r="B159" s="44" t="n"/>
      <c r="C159" s="44" t="n"/>
      <c r="D159" s="44" t="n"/>
      <c r="E159" s="44" t="n"/>
      <c r="F159" s="44" t="n"/>
      <c r="G159" s="44" t="n"/>
      <c r="H159" s="44" t="n"/>
      <c r="I159" s="44" t="n"/>
      <c r="J159" s="44" t="n"/>
      <c r="K159" s="44" t="n"/>
      <c r="L159" s="44" t="n"/>
      <c r="M159" s="44" t="n"/>
      <c r="N159" s="44" t="n"/>
      <c r="O159" s="44" t="n"/>
    </row>
    <row r="160" ht="54" customHeight="1">
      <c r="A160" s="44" t="n"/>
      <c r="B160" s="44" t="n"/>
      <c r="C160" s="44" t="n"/>
      <c r="D160" s="44" t="n"/>
      <c r="E160" s="44" t="n"/>
      <c r="F160" s="44" t="n"/>
      <c r="G160" s="44" t="n"/>
      <c r="H160" s="44" t="n"/>
      <c r="I160" s="44" t="n"/>
      <c r="J160" s="44" t="n"/>
      <c r="K160" s="44" t="n"/>
      <c r="L160" s="44" t="n"/>
      <c r="M160" s="44" t="n"/>
      <c r="N160" s="44" t="n"/>
      <c r="O160" s="44" t="n"/>
    </row>
    <row r="161" ht="54" customHeight="1">
      <c r="A161" s="44" t="n"/>
      <c r="B161" s="44" t="n"/>
      <c r="C161" s="44" t="n"/>
      <c r="D161" s="44" t="n"/>
      <c r="E161" s="44" t="n"/>
      <c r="F161" s="44" t="n"/>
      <c r="G161" s="44" t="n"/>
      <c r="H161" s="44" t="n"/>
      <c r="I161" s="44" t="n"/>
      <c r="J161" s="44" t="n"/>
      <c r="K161" s="44" t="n"/>
      <c r="L161" s="44" t="n"/>
      <c r="M161" s="44" t="n"/>
      <c r="N161" s="44" t="n"/>
      <c r="O161" s="44" t="n"/>
    </row>
    <row r="162" ht="54" customHeight="1">
      <c r="A162" s="44" t="n"/>
      <c r="B162" s="44" t="n"/>
      <c r="C162" s="44" t="n"/>
      <c r="D162" s="44" t="n"/>
      <c r="E162" s="44" t="n"/>
      <c r="F162" s="44" t="n"/>
      <c r="G162" s="44" t="n"/>
      <c r="H162" s="44" t="n"/>
      <c r="I162" s="44" t="n"/>
      <c r="J162" s="44" t="n"/>
      <c r="K162" s="44" t="n"/>
      <c r="L162" s="44" t="n"/>
      <c r="M162" s="44" t="n"/>
      <c r="N162" s="44" t="n"/>
      <c r="O162" s="44" t="n"/>
    </row>
    <row r="163" ht="54" customHeight="1">
      <c r="A163" s="44" t="n"/>
      <c r="B163" s="44" t="n"/>
      <c r="C163" s="44" t="n"/>
      <c r="D163" s="44" t="n"/>
      <c r="E163" s="44" t="n"/>
      <c r="F163" s="44" t="n"/>
      <c r="G163" s="44" t="n"/>
      <c r="H163" s="44" t="n"/>
      <c r="I163" s="44" t="n"/>
      <c r="J163" s="44" t="n"/>
      <c r="K163" s="44" t="n"/>
      <c r="L163" s="44" t="n"/>
      <c r="M163" s="44" t="n"/>
      <c r="N163" s="44" t="n"/>
      <c r="O163" s="44" t="n"/>
    </row>
    <row r="164" ht="54" customHeight="1">
      <c r="A164" s="44" t="n"/>
      <c r="B164" s="44" t="n"/>
      <c r="C164" s="44" t="n"/>
      <c r="D164" s="44" t="n"/>
      <c r="E164" s="44" t="n"/>
      <c r="F164" s="44" t="n"/>
      <c r="G164" s="44" t="n"/>
      <c r="H164" s="44" t="n"/>
      <c r="I164" s="44" t="n"/>
      <c r="J164" s="44" t="n"/>
      <c r="K164" s="44" t="n"/>
      <c r="L164" s="44" t="n"/>
      <c r="M164" s="44" t="n"/>
      <c r="N164" s="44" t="n"/>
      <c r="O164" s="44" t="n"/>
    </row>
    <row r="165" ht="54" customHeight="1">
      <c r="A165" s="44" t="n"/>
      <c r="B165" s="44" t="n"/>
      <c r="C165" s="44" t="n"/>
      <c r="D165" s="44" t="n"/>
      <c r="E165" s="44" t="n"/>
      <c r="F165" s="44" t="n"/>
      <c r="G165" s="44" t="n"/>
      <c r="H165" s="44" t="n"/>
      <c r="I165" s="44" t="n"/>
      <c r="J165" s="44" t="n"/>
      <c r="K165" s="44" t="n"/>
      <c r="L165" s="44" t="n"/>
      <c r="M165" s="44" t="n"/>
      <c r="N165" s="44" t="n"/>
      <c r="O165" s="44" t="n"/>
    </row>
    <row r="166" ht="54" customHeight="1">
      <c r="A166" s="44" t="n"/>
      <c r="B166" s="44" t="n"/>
      <c r="C166" s="44" t="n"/>
      <c r="D166" s="44" t="n"/>
      <c r="E166" s="44" t="n"/>
      <c r="F166" s="44" t="n"/>
      <c r="G166" s="44" t="n"/>
      <c r="H166" s="44" t="n"/>
      <c r="I166" s="44" t="n"/>
      <c r="J166" s="44" t="n"/>
      <c r="K166" s="44" t="n"/>
      <c r="L166" s="44" t="n"/>
      <c r="M166" s="44" t="n"/>
      <c r="N166" s="44" t="n"/>
      <c r="O166" s="44" t="n"/>
    </row>
    <row r="167" ht="54" customHeight="1">
      <c r="A167" s="44" t="n"/>
      <c r="B167" s="44" t="n"/>
      <c r="C167" s="44" t="n"/>
      <c r="D167" s="44" t="n"/>
      <c r="E167" s="44" t="n"/>
      <c r="F167" s="44" t="n"/>
      <c r="G167" s="44" t="n"/>
      <c r="H167" s="44" t="n"/>
      <c r="I167" s="44" t="n"/>
      <c r="J167" s="44" t="n"/>
      <c r="K167" s="44" t="n"/>
      <c r="L167" s="44" t="n"/>
      <c r="M167" s="44" t="n"/>
      <c r="N167" s="44" t="n"/>
      <c r="O167" s="44" t="n"/>
    </row>
    <row r="168" ht="54" customHeight="1">
      <c r="A168" s="44" t="n"/>
      <c r="B168" s="44" t="n"/>
      <c r="C168" s="44" t="n"/>
      <c r="D168" s="44" t="n"/>
      <c r="E168" s="44" t="n"/>
      <c r="F168" s="44" t="n"/>
      <c r="G168" s="44" t="n"/>
      <c r="H168" s="44" t="n"/>
      <c r="I168" s="44" t="n"/>
      <c r="J168" s="44" t="n"/>
      <c r="K168" s="44" t="n"/>
      <c r="L168" s="44" t="n"/>
      <c r="M168" s="44" t="n"/>
      <c r="N168" s="44" t="n"/>
      <c r="O168" s="44" t="n"/>
    </row>
    <row r="169" ht="54" customHeight="1">
      <c r="A169" s="44" t="n"/>
      <c r="B169" s="44" t="n"/>
      <c r="C169" s="44" t="n"/>
      <c r="D169" s="44" t="n"/>
      <c r="E169" s="44" t="n"/>
      <c r="F169" s="44" t="n"/>
      <c r="G169" s="44" t="n"/>
      <c r="H169" s="44" t="n"/>
      <c r="I169" s="44" t="n"/>
      <c r="J169" s="44" t="n"/>
      <c r="K169" s="44" t="n"/>
      <c r="L169" s="44" t="n"/>
      <c r="M169" s="44" t="n"/>
      <c r="N169" s="44" t="n"/>
      <c r="O169" s="44" t="n"/>
    </row>
    <row r="170" ht="54" customHeight="1">
      <c r="A170" s="44" t="n"/>
      <c r="B170" s="44" t="n"/>
      <c r="C170" s="44" t="n"/>
      <c r="D170" s="44" t="n"/>
      <c r="E170" s="44" t="n"/>
      <c r="F170" s="44" t="n"/>
      <c r="G170" s="44" t="n"/>
      <c r="H170" s="44" t="n"/>
      <c r="I170" s="44" t="n"/>
      <c r="J170" s="44" t="n"/>
      <c r="K170" s="44" t="n"/>
      <c r="L170" s="44" t="n"/>
      <c r="M170" s="44" t="n"/>
      <c r="N170" s="44" t="n"/>
      <c r="O170" s="44" t="n"/>
    </row>
    <row r="171" ht="54" customHeight="1">
      <c r="A171" s="44" t="n"/>
      <c r="B171" s="44" t="n"/>
      <c r="C171" s="44" t="n"/>
      <c r="D171" s="44" t="n"/>
      <c r="E171" s="44" t="n"/>
      <c r="F171" s="44" t="n"/>
      <c r="G171" s="44" t="n"/>
      <c r="H171" s="44" t="n"/>
      <c r="I171" s="44" t="n"/>
      <c r="J171" s="44" t="n"/>
      <c r="K171" s="44" t="n"/>
      <c r="L171" s="44" t="n"/>
      <c r="M171" s="44" t="n"/>
      <c r="N171" s="44" t="n"/>
      <c r="O171" s="44" t="n"/>
    </row>
    <row r="172" ht="54" customHeight="1">
      <c r="A172" s="44" t="n"/>
      <c r="B172" s="44" t="n"/>
      <c r="C172" s="44" t="n"/>
      <c r="D172" s="44" t="n"/>
      <c r="E172" s="44" t="n"/>
      <c r="F172" s="44" t="n"/>
      <c r="G172" s="44" t="n"/>
      <c r="H172" s="44" t="n"/>
      <c r="I172" s="44" t="n"/>
      <c r="J172" s="44" t="n"/>
      <c r="K172" s="44" t="n"/>
      <c r="L172" s="44" t="n"/>
      <c r="M172" s="44" t="n"/>
      <c r="N172" s="44" t="n"/>
      <c r="O172" s="44" t="n"/>
    </row>
    <row r="173" ht="54" customHeight="1">
      <c r="A173" s="44" t="n"/>
      <c r="B173" s="44" t="n"/>
      <c r="C173" s="44" t="n"/>
      <c r="D173" s="44" t="n"/>
      <c r="E173" s="44" t="n"/>
      <c r="F173" s="44" t="n"/>
      <c r="G173" s="44" t="n"/>
      <c r="H173" s="44" t="n"/>
      <c r="I173" s="44" t="n"/>
      <c r="J173" s="44" t="n"/>
      <c r="K173" s="44" t="n"/>
      <c r="L173" s="44" t="n"/>
      <c r="M173" s="44" t="n"/>
      <c r="N173" s="44" t="n"/>
      <c r="O173" s="44" t="n"/>
    </row>
    <row r="174" ht="54" customHeight="1">
      <c r="A174" s="44" t="n"/>
      <c r="B174" s="44" t="n"/>
      <c r="C174" s="44" t="n"/>
      <c r="D174" s="44" t="n"/>
      <c r="E174" s="44" t="n"/>
      <c r="F174" s="44" t="n"/>
      <c r="G174" s="44" t="n"/>
      <c r="H174" s="44" t="n"/>
      <c r="I174" s="44" t="n"/>
      <c r="J174" s="44" t="n"/>
      <c r="K174" s="44" t="n"/>
      <c r="L174" s="44" t="n"/>
      <c r="M174" s="44" t="n"/>
      <c r="N174" s="44" t="n"/>
      <c r="O174" s="44" t="n"/>
    </row>
    <row r="175" ht="54" customHeight="1">
      <c r="A175" s="44" t="n"/>
      <c r="B175" s="44" t="n"/>
      <c r="C175" s="44" t="n"/>
      <c r="D175" s="44" t="n"/>
      <c r="E175" s="44" t="n"/>
      <c r="F175" s="44" t="n"/>
      <c r="G175" s="44" t="n"/>
      <c r="H175" s="44" t="n"/>
      <c r="I175" s="44" t="n"/>
      <c r="J175" s="44" t="n"/>
      <c r="K175" s="44" t="n"/>
      <c r="L175" s="44" t="n"/>
      <c r="M175" s="44" t="n"/>
      <c r="N175" s="44" t="n"/>
      <c r="O175" s="44" t="n"/>
    </row>
    <row r="176" ht="54" customHeight="1">
      <c r="A176" s="44" t="n"/>
      <c r="B176" s="44" t="n"/>
      <c r="C176" s="44" t="n"/>
      <c r="D176" s="44" t="n"/>
      <c r="E176" s="44" t="n"/>
      <c r="F176" s="44" t="n"/>
      <c r="G176" s="44" t="n"/>
      <c r="H176" s="44" t="n"/>
      <c r="I176" s="44" t="n"/>
      <c r="J176" s="44" t="n"/>
      <c r="K176" s="44" t="n"/>
      <c r="L176" s="44" t="n"/>
      <c r="M176" s="44" t="n"/>
      <c r="N176" s="44" t="n"/>
      <c r="O176" s="44" t="n"/>
    </row>
    <row r="177" ht="54" customHeight="1">
      <c r="A177" s="44" t="n"/>
      <c r="B177" s="44" t="n"/>
      <c r="C177" s="44" t="n"/>
      <c r="D177" s="44" t="n"/>
      <c r="E177" s="44" t="n"/>
      <c r="F177" s="44" t="n"/>
      <c r="G177" s="44" t="n"/>
      <c r="H177" s="44" t="n"/>
      <c r="I177" s="44" t="n"/>
      <c r="J177" s="44" t="n"/>
      <c r="K177" s="44" t="n"/>
      <c r="L177" s="44" t="n"/>
      <c r="M177" s="44" t="n"/>
      <c r="N177" s="44" t="n"/>
      <c r="O177" s="44" t="n"/>
    </row>
    <row r="178" ht="54" customHeight="1">
      <c r="A178" s="44" t="n"/>
      <c r="B178" s="44" t="n"/>
      <c r="C178" s="44" t="n"/>
      <c r="D178" s="44" t="n"/>
      <c r="E178" s="44" t="n"/>
      <c r="F178" s="44" t="n"/>
      <c r="G178" s="44" t="n"/>
      <c r="H178" s="44" t="n"/>
      <c r="I178" s="44" t="n"/>
      <c r="J178" s="44" t="n"/>
      <c r="K178" s="44" t="n"/>
      <c r="L178" s="44" t="n"/>
      <c r="M178" s="44" t="n"/>
      <c r="N178" s="44" t="n"/>
      <c r="O178" s="44" t="n"/>
    </row>
    <row r="179" ht="54" customHeight="1">
      <c r="A179" s="44" t="n"/>
      <c r="B179" s="44" t="n"/>
      <c r="C179" s="44" t="n"/>
      <c r="D179" s="44" t="n"/>
      <c r="E179" s="44" t="n"/>
      <c r="F179" s="44" t="n"/>
      <c r="G179" s="44" t="n"/>
      <c r="H179" s="44" t="n"/>
      <c r="I179" s="44" t="n"/>
      <c r="J179" s="44" t="n"/>
      <c r="K179" s="44" t="n"/>
      <c r="L179" s="44" t="n"/>
      <c r="M179" s="44" t="n"/>
      <c r="N179" s="44" t="n"/>
      <c r="O179" s="44" t="n"/>
    </row>
    <row r="180" ht="54" customHeight="1">
      <c r="A180" s="44" t="n"/>
      <c r="B180" s="44" t="n"/>
      <c r="C180" s="44" t="n"/>
      <c r="D180" s="44" t="n"/>
      <c r="E180" s="44" t="n"/>
      <c r="F180" s="44" t="n"/>
      <c r="G180" s="44" t="n"/>
      <c r="H180" s="44" t="n"/>
      <c r="I180" s="44" t="n"/>
      <c r="J180" s="44" t="n"/>
      <c r="K180" s="44" t="n"/>
      <c r="L180" s="44" t="n"/>
      <c r="M180" s="44" t="n"/>
      <c r="N180" s="44" t="n"/>
      <c r="O180" s="44" t="n"/>
    </row>
    <row r="181" ht="54" customHeight="1">
      <c r="A181" s="44" t="n"/>
      <c r="B181" s="44" t="n"/>
      <c r="C181" s="44" t="n"/>
      <c r="D181" s="44" t="n"/>
      <c r="E181" s="44" t="n"/>
      <c r="F181" s="44" t="n"/>
      <c r="G181" s="44" t="n"/>
      <c r="H181" s="44" t="n"/>
      <c r="I181" s="44" t="n"/>
      <c r="J181" s="44" t="n"/>
      <c r="K181" s="44" t="n"/>
      <c r="L181" s="44" t="n"/>
      <c r="M181" s="44" t="n"/>
      <c r="N181" s="44" t="n"/>
      <c r="O181" s="44" t="n"/>
    </row>
    <row r="182" ht="54" customHeight="1">
      <c r="A182" s="44" t="n"/>
      <c r="B182" s="44" t="n"/>
      <c r="C182" s="44" t="n"/>
      <c r="D182" s="44" t="n"/>
      <c r="E182" s="44" t="n"/>
      <c r="F182" s="44" t="n"/>
      <c r="G182" s="44" t="n"/>
      <c r="H182" s="44" t="n"/>
      <c r="I182" s="44" t="n"/>
      <c r="J182" s="44" t="n"/>
      <c r="K182" s="44" t="n"/>
      <c r="L182" s="44" t="n"/>
      <c r="M182" s="44" t="n"/>
      <c r="N182" s="44" t="n"/>
      <c r="O182" s="44" t="n"/>
    </row>
    <row r="183" ht="54" customHeight="1">
      <c r="A183" s="44" t="n"/>
      <c r="B183" s="44" t="n"/>
      <c r="C183" s="44" t="n"/>
      <c r="D183" s="44" t="n"/>
      <c r="E183" s="44" t="n"/>
      <c r="F183" s="44" t="n"/>
      <c r="G183" s="44" t="n"/>
      <c r="H183" s="44" t="n"/>
      <c r="I183" s="44" t="n"/>
      <c r="J183" s="44" t="n"/>
      <c r="K183" s="44" t="n"/>
      <c r="L183" s="44" t="n"/>
      <c r="M183" s="44" t="n"/>
      <c r="N183" s="44" t="n"/>
      <c r="O183" s="44" t="n"/>
    </row>
    <row r="184" ht="54" customHeight="1">
      <c r="A184" s="44" t="n"/>
      <c r="B184" s="44" t="n"/>
      <c r="C184" s="44" t="n"/>
      <c r="D184" s="44" t="n"/>
      <c r="E184" s="44" t="n"/>
      <c r="F184" s="44" t="n"/>
      <c r="G184" s="44" t="n"/>
      <c r="H184" s="44" t="n"/>
      <c r="I184" s="44" t="n"/>
      <c r="J184" s="44" t="n"/>
      <c r="K184" s="44" t="n"/>
      <c r="L184" s="44" t="n"/>
      <c r="M184" s="44" t="n"/>
      <c r="N184" s="44" t="n"/>
      <c r="O184" s="44" t="n"/>
    </row>
    <row r="185" ht="54" customHeight="1">
      <c r="A185" s="44" t="n"/>
      <c r="B185" s="44" t="n"/>
      <c r="C185" s="44" t="n"/>
      <c r="D185" s="44" t="n"/>
      <c r="E185" s="44" t="n"/>
      <c r="F185" s="44" t="n"/>
      <c r="G185" s="44" t="n"/>
      <c r="H185" s="44" t="n"/>
      <c r="I185" s="44" t="n"/>
      <c r="J185" s="44" t="n"/>
      <c r="K185" s="44" t="n"/>
      <c r="L185" s="44" t="n"/>
      <c r="M185" s="44" t="n"/>
      <c r="N185" s="44" t="n"/>
      <c r="O185" s="44" t="n"/>
    </row>
    <row r="186" ht="54" customHeight="1">
      <c r="A186" s="44" t="n"/>
      <c r="B186" s="44" t="n"/>
      <c r="C186" s="44" t="n"/>
      <c r="D186" s="44" t="n"/>
      <c r="E186" s="44" t="n"/>
      <c r="F186" s="44" t="n"/>
      <c r="G186" s="44" t="n"/>
      <c r="H186" s="44" t="n"/>
      <c r="I186" s="44" t="n"/>
      <c r="J186" s="44" t="n"/>
      <c r="K186" s="44" t="n"/>
      <c r="L186" s="44" t="n"/>
      <c r="M186" s="44" t="n"/>
      <c r="N186" s="44" t="n"/>
      <c r="O186" s="44" t="n"/>
    </row>
    <row r="187" ht="54" customHeight="1">
      <c r="A187" s="44" t="n"/>
      <c r="B187" s="44" t="n"/>
      <c r="C187" s="44" t="n"/>
      <c r="D187" s="44" t="n"/>
      <c r="E187" s="44" t="n"/>
      <c r="F187" s="44" t="n"/>
      <c r="G187" s="44" t="n"/>
      <c r="H187" s="44" t="n"/>
      <c r="I187" s="44" t="n"/>
      <c r="J187" s="44" t="n"/>
      <c r="K187" s="44" t="n"/>
      <c r="L187" s="44" t="n"/>
      <c r="M187" s="44" t="n"/>
      <c r="N187" s="44" t="n"/>
      <c r="O187" s="44" t="n"/>
    </row>
    <row r="188" ht="54" customHeight="1">
      <c r="A188" s="44" t="n"/>
      <c r="B188" s="44" t="n"/>
      <c r="C188" s="44" t="n"/>
      <c r="D188" s="44" t="n"/>
      <c r="E188" s="44" t="n"/>
      <c r="F188" s="44" t="n"/>
      <c r="G188" s="44" t="n"/>
      <c r="H188" s="44" t="n"/>
      <c r="I188" s="44" t="n"/>
      <c r="J188" s="44" t="n"/>
      <c r="K188" s="44" t="n"/>
      <c r="L188" s="44" t="n"/>
      <c r="M188" s="44" t="n"/>
      <c r="N188" s="44" t="n"/>
      <c r="O188" s="44" t="n"/>
    </row>
    <row r="189" ht="54" customHeight="1">
      <c r="A189" s="44" t="n"/>
      <c r="B189" s="44" t="n"/>
      <c r="C189" s="44" t="n"/>
      <c r="D189" s="44" t="n"/>
      <c r="E189" s="44" t="n"/>
      <c r="F189" s="44" t="n"/>
      <c r="G189" s="44" t="n"/>
      <c r="H189" s="44" t="n"/>
      <c r="I189" s="44" t="n"/>
      <c r="J189" s="44" t="n"/>
      <c r="K189" s="44" t="n"/>
      <c r="L189" s="44" t="n"/>
      <c r="M189" s="44" t="n"/>
      <c r="N189" s="44" t="n"/>
      <c r="O189" s="44" t="n"/>
    </row>
    <row r="190" ht="54" customHeight="1">
      <c r="A190" s="44" t="n"/>
      <c r="B190" s="44" t="n"/>
      <c r="C190" s="44" t="n"/>
      <c r="D190" s="44" t="n"/>
      <c r="E190" s="44" t="n"/>
      <c r="F190" s="44" t="n"/>
      <c r="G190" s="44" t="n"/>
      <c r="H190" s="44" t="n"/>
      <c r="I190" s="44" t="n"/>
      <c r="J190" s="44" t="n"/>
      <c r="K190" s="44" t="n"/>
      <c r="L190" s="44" t="n"/>
      <c r="M190" s="44" t="n"/>
      <c r="N190" s="44" t="n"/>
      <c r="O190" s="44" t="n"/>
    </row>
    <row r="191" ht="54" customHeight="1">
      <c r="A191" s="44" t="n"/>
      <c r="B191" s="44" t="n"/>
      <c r="C191" s="44" t="n"/>
      <c r="D191" s="44" t="n"/>
      <c r="E191" s="44" t="n"/>
      <c r="F191" s="44" t="n"/>
      <c r="G191" s="44" t="n"/>
      <c r="H191" s="44" t="n"/>
      <c r="I191" s="44" t="n"/>
      <c r="J191" s="44" t="n"/>
      <c r="K191" s="44" t="n"/>
      <c r="L191" s="44" t="n"/>
      <c r="M191" s="44" t="n"/>
      <c r="N191" s="44" t="n"/>
      <c r="O191" s="44" t="n"/>
    </row>
    <row r="192" ht="54" customHeight="1">
      <c r="A192" s="44" t="n"/>
      <c r="B192" s="44" t="n"/>
      <c r="C192" s="44" t="n"/>
      <c r="D192" s="44" t="n"/>
      <c r="E192" s="44" t="n"/>
      <c r="F192" s="44" t="n"/>
      <c r="G192" s="44" t="n"/>
      <c r="H192" s="44" t="n"/>
      <c r="I192" s="44" t="n"/>
      <c r="J192" s="44" t="n"/>
      <c r="K192" s="44" t="n"/>
      <c r="L192" s="44" t="n"/>
      <c r="M192" s="44" t="n"/>
      <c r="N192" s="44" t="n"/>
      <c r="O192" s="44" t="n"/>
    </row>
    <row r="193" ht="54" customHeight="1">
      <c r="A193" s="44" t="n"/>
      <c r="B193" s="44" t="n"/>
      <c r="C193" s="44" t="n"/>
      <c r="D193" s="44" t="n"/>
      <c r="E193" s="44" t="n"/>
      <c r="F193" s="44" t="n"/>
      <c r="G193" s="44" t="n"/>
      <c r="H193" s="44" t="n"/>
      <c r="I193" s="44" t="n"/>
      <c r="J193" s="44" t="n"/>
      <c r="K193" s="44" t="n"/>
      <c r="L193" s="44" t="n"/>
      <c r="M193" s="44" t="n"/>
      <c r="N193" s="44" t="n"/>
      <c r="O193" s="44" t="n"/>
    </row>
    <row r="194" ht="54" customHeight="1">
      <c r="A194" s="44" t="n"/>
      <c r="B194" s="44" t="n"/>
      <c r="C194" s="44" t="n"/>
      <c r="D194" s="44" t="n"/>
      <c r="E194" s="44" t="n"/>
      <c r="F194" s="44" t="n"/>
      <c r="G194" s="44" t="n"/>
      <c r="H194" s="44" t="n"/>
      <c r="I194" s="44" t="n"/>
      <c r="J194" s="44" t="n"/>
      <c r="K194" s="44" t="n"/>
      <c r="L194" s="44" t="n"/>
      <c r="M194" s="44" t="n"/>
      <c r="N194" s="44" t="n"/>
      <c r="O194" s="44" t="n"/>
    </row>
    <row r="195" ht="54" customHeight="1">
      <c r="A195" s="44" t="n"/>
      <c r="B195" s="44" t="n"/>
      <c r="C195" s="44" t="n"/>
      <c r="D195" s="44" t="n"/>
      <c r="E195" s="44" t="n"/>
      <c r="F195" s="44" t="n"/>
      <c r="G195" s="44" t="n"/>
      <c r="H195" s="44" t="n"/>
      <c r="I195" s="44" t="n"/>
      <c r="J195" s="44" t="n"/>
      <c r="K195" s="44" t="n"/>
      <c r="L195" s="44" t="n"/>
      <c r="M195" s="44" t="n"/>
      <c r="N195" s="44" t="n"/>
      <c r="O195" s="44" t="n"/>
    </row>
    <row r="196" ht="54" customHeight="1">
      <c r="A196" s="44" t="n"/>
      <c r="B196" s="44" t="n"/>
      <c r="C196" s="44" t="n"/>
      <c r="D196" s="44" t="n"/>
      <c r="E196" s="44" t="n"/>
      <c r="F196" s="44" t="n"/>
      <c r="G196" s="44" t="n"/>
      <c r="H196" s="44" t="n"/>
      <c r="I196" s="44" t="n"/>
      <c r="J196" s="44" t="n"/>
      <c r="K196" s="44" t="n"/>
      <c r="L196" s="44" t="n"/>
      <c r="M196" s="44" t="n"/>
      <c r="N196" s="44" t="n"/>
      <c r="O196" s="44" t="n"/>
    </row>
    <row r="197" ht="54" customHeight="1">
      <c r="A197" s="44" t="n"/>
      <c r="B197" s="44" t="n"/>
      <c r="C197" s="44" t="n"/>
      <c r="D197" s="44" t="n"/>
      <c r="E197" s="44" t="n"/>
      <c r="F197" s="44" t="n"/>
      <c r="G197" s="44" t="n"/>
      <c r="H197" s="44" t="n"/>
      <c r="I197" s="44" t="n"/>
      <c r="J197" s="44" t="n"/>
      <c r="K197" s="44" t="n"/>
      <c r="L197" s="44" t="n"/>
      <c r="M197" s="44" t="n"/>
      <c r="N197" s="44" t="n"/>
      <c r="O197" s="44" t="n"/>
    </row>
    <row r="198" ht="54" customHeight="1">
      <c r="A198" s="44" t="n"/>
      <c r="B198" s="44" t="n"/>
      <c r="C198" s="44" t="n"/>
      <c r="D198" s="44" t="n"/>
      <c r="E198" s="44" t="n"/>
      <c r="F198" s="44" t="n"/>
      <c r="G198" s="44" t="n"/>
      <c r="H198" s="44" t="n"/>
      <c r="I198" s="44" t="n"/>
      <c r="J198" s="44" t="n"/>
      <c r="K198" s="44" t="n"/>
      <c r="L198" s="44" t="n"/>
      <c r="M198" s="44" t="n"/>
      <c r="N198" s="44" t="n"/>
      <c r="O198" s="44" t="n"/>
    </row>
    <row r="199" ht="54" customHeight="1">
      <c r="A199" s="44" t="n"/>
      <c r="B199" s="44" t="n"/>
      <c r="C199" s="44" t="n"/>
      <c r="D199" s="44" t="n"/>
      <c r="E199" s="44" t="n"/>
      <c r="F199" s="44" t="n"/>
      <c r="G199" s="44" t="n"/>
      <c r="H199" s="44" t="n"/>
      <c r="I199" s="44" t="n"/>
      <c r="J199" s="44" t="n"/>
      <c r="K199" s="44" t="n"/>
      <c r="L199" s="44" t="n"/>
      <c r="M199" s="44" t="n"/>
      <c r="N199" s="44" t="n"/>
      <c r="O199" s="44" t="n"/>
    </row>
    <row r="200" ht="54" customHeight="1">
      <c r="A200" s="44" t="n"/>
      <c r="B200" s="44" t="n"/>
      <c r="C200" s="44" t="n"/>
      <c r="D200" s="44" t="n"/>
      <c r="E200" s="44" t="n"/>
      <c r="F200" s="44" t="n"/>
      <c r="G200" s="44" t="n"/>
      <c r="H200" s="44" t="n"/>
      <c r="I200" s="44" t="n"/>
      <c r="J200" s="44" t="n"/>
      <c r="K200" s="44" t="n"/>
      <c r="L200" s="44" t="n"/>
      <c r="M200" s="44" t="n"/>
      <c r="N200" s="44" t="n"/>
      <c r="O200" s="44" t="n"/>
    </row>
    <row r="201" ht="54" customHeight="1">
      <c r="A201" s="44" t="n"/>
      <c r="B201" s="44" t="n"/>
      <c r="C201" s="44" t="n"/>
      <c r="D201" s="44" t="n"/>
      <c r="E201" s="44" t="n"/>
      <c r="F201" s="44" t="n"/>
      <c r="G201" s="44" t="n"/>
      <c r="H201" s="44" t="n"/>
      <c r="I201" s="44" t="n"/>
      <c r="J201" s="44" t="n"/>
      <c r="K201" s="44" t="n"/>
      <c r="L201" s="44" t="n"/>
      <c r="M201" s="44" t="n"/>
      <c r="N201" s="44" t="n"/>
      <c r="O201" s="44" t="n"/>
    </row>
    <row r="202" ht="54" customHeight="1">
      <c r="A202" s="44" t="n"/>
      <c r="B202" s="44" t="n"/>
      <c r="C202" s="44" t="n"/>
      <c r="D202" s="44" t="n"/>
      <c r="E202" s="44" t="n"/>
      <c r="F202" s="44" t="n"/>
      <c r="G202" s="44" t="n"/>
      <c r="H202" s="44" t="n"/>
      <c r="I202" s="44" t="n"/>
      <c r="J202" s="44" t="n"/>
      <c r="K202" s="44" t="n"/>
      <c r="L202" s="44" t="n"/>
      <c r="M202" s="44" t="n"/>
      <c r="N202" s="44" t="n"/>
      <c r="O202" s="44" t="n"/>
    </row>
    <row r="203" ht="54" customHeight="1">
      <c r="A203" s="44" t="n"/>
      <c r="B203" s="44" t="n"/>
      <c r="C203" s="44" t="n"/>
      <c r="D203" s="44" t="n"/>
      <c r="E203" s="44" t="n"/>
      <c r="F203" s="44" t="n"/>
      <c r="G203" s="44" t="n"/>
      <c r="H203" s="44" t="n"/>
      <c r="I203" s="44" t="n"/>
      <c r="J203" s="44" t="n"/>
      <c r="K203" s="44" t="n"/>
      <c r="L203" s="44" t="n"/>
      <c r="M203" s="44" t="n"/>
      <c r="N203" s="44" t="n"/>
      <c r="O203" s="44" t="n"/>
    </row>
    <row r="204" ht="54" customHeight="1">
      <c r="A204" s="44" t="n"/>
      <c r="B204" s="44" t="n"/>
      <c r="C204" s="44" t="n"/>
      <c r="D204" s="44" t="n"/>
      <c r="E204" s="44" t="n"/>
      <c r="F204" s="44" t="n"/>
      <c r="G204" s="44" t="n"/>
      <c r="H204" s="44" t="n"/>
      <c r="I204" s="44" t="n"/>
      <c r="J204" s="44" t="n"/>
      <c r="K204" s="44" t="n"/>
      <c r="L204" s="44" t="n"/>
      <c r="M204" s="44" t="n"/>
      <c r="N204" s="44" t="n"/>
      <c r="O204" s="44" t="n"/>
    </row>
    <row r="205" ht="54" customHeight="1">
      <c r="A205" s="44" t="n"/>
      <c r="B205" s="44" t="n"/>
      <c r="C205" s="44" t="n"/>
      <c r="D205" s="44" t="n"/>
      <c r="E205" s="44" t="n"/>
      <c r="F205" s="44" t="n"/>
      <c r="G205" s="44" t="n"/>
      <c r="H205" s="44" t="n"/>
      <c r="I205" s="44" t="n"/>
      <c r="J205" s="44" t="n"/>
      <c r="K205" s="44" t="n"/>
      <c r="L205" s="44" t="n"/>
      <c r="M205" s="44" t="n"/>
      <c r="N205" s="44" t="n"/>
      <c r="O205" s="44" t="n"/>
    </row>
    <row r="206" ht="54" customHeight="1">
      <c r="A206" s="44" t="n"/>
      <c r="B206" s="44" t="n"/>
      <c r="C206" s="44" t="n"/>
      <c r="D206" s="44" t="n"/>
      <c r="E206" s="44" t="n"/>
      <c r="F206" s="44" t="n"/>
      <c r="G206" s="44" t="n"/>
      <c r="H206" s="44" t="n"/>
      <c r="I206" s="44" t="n"/>
      <c r="J206" s="44" t="n"/>
      <c r="K206" s="44" t="n"/>
      <c r="L206" s="44" t="n"/>
      <c r="M206" s="44" t="n"/>
      <c r="N206" s="44" t="n"/>
      <c r="O206" s="44" t="n"/>
    </row>
    <row r="207" ht="54" customHeight="1">
      <c r="A207" s="44" t="n"/>
      <c r="B207" s="44" t="n"/>
      <c r="C207" s="44" t="n"/>
      <c r="D207" s="44" t="n"/>
      <c r="E207" s="44" t="n"/>
      <c r="F207" s="44" t="n"/>
      <c r="G207" s="44" t="n"/>
      <c r="H207" s="44" t="n"/>
      <c r="I207" s="44" t="n"/>
      <c r="J207" s="44" t="n"/>
      <c r="K207" s="44" t="n"/>
      <c r="L207" s="44" t="n"/>
      <c r="M207" s="44" t="n"/>
      <c r="N207" s="44" t="n"/>
      <c r="O207" s="44" t="n"/>
    </row>
    <row r="208" ht="54" customHeight="1">
      <c r="A208" s="44" t="n"/>
      <c r="B208" s="44" t="n"/>
      <c r="C208" s="44" t="n"/>
      <c r="D208" s="44" t="n"/>
      <c r="E208" s="44" t="n"/>
      <c r="F208" s="44" t="n"/>
      <c r="G208" s="44" t="n"/>
      <c r="H208" s="44" t="n"/>
      <c r="I208" s="44" t="n"/>
      <c r="J208" s="44" t="n"/>
      <c r="K208" s="44" t="n"/>
      <c r="L208" s="44" t="n"/>
      <c r="M208" s="44" t="n"/>
      <c r="N208" s="44" t="n"/>
      <c r="O208" s="44" t="n"/>
    </row>
    <row r="209" ht="54" customHeight="1">
      <c r="A209" s="44" t="n"/>
      <c r="B209" s="44" t="n"/>
      <c r="C209" s="44" t="n"/>
      <c r="D209" s="44" t="n"/>
      <c r="E209" s="44" t="n"/>
      <c r="F209" s="44" t="n"/>
      <c r="G209" s="44" t="n"/>
      <c r="H209" s="44" t="n"/>
      <c r="I209" s="44" t="n"/>
      <c r="J209" s="44" t="n"/>
      <c r="K209" s="44" t="n"/>
      <c r="L209" s="44" t="n"/>
      <c r="M209" s="44" t="n"/>
      <c r="N209" s="44" t="n"/>
      <c r="O209" s="44" t="n"/>
    </row>
    <row r="210" ht="54" customHeight="1">
      <c r="A210" s="44" t="n"/>
      <c r="B210" s="44" t="n"/>
      <c r="C210" s="44" t="n"/>
      <c r="D210" s="44" t="n"/>
      <c r="E210" s="44" t="n"/>
      <c r="F210" s="44" t="n"/>
      <c r="G210" s="44" t="n"/>
      <c r="H210" s="44" t="n"/>
      <c r="I210" s="44" t="n"/>
      <c r="J210" s="44" t="n"/>
      <c r="K210" s="44" t="n"/>
      <c r="L210" s="44" t="n"/>
      <c r="M210" s="44" t="n"/>
      <c r="N210" s="44" t="n"/>
      <c r="O210" s="44" t="n"/>
    </row>
    <row r="211" ht="54" customHeight="1">
      <c r="A211" s="44" t="n"/>
      <c r="B211" s="44" t="n"/>
      <c r="C211" s="44" t="n"/>
      <c r="D211" s="44" t="n"/>
      <c r="E211" s="44" t="n"/>
      <c r="F211" s="44" t="n"/>
      <c r="G211" s="44" t="n"/>
      <c r="H211" s="44" t="n"/>
      <c r="I211" s="44" t="n"/>
      <c r="J211" s="44" t="n"/>
      <c r="K211" s="44" t="n"/>
      <c r="L211" s="44" t="n"/>
      <c r="M211" s="44" t="n"/>
      <c r="N211" s="44" t="n"/>
      <c r="O211" s="44" t="n"/>
    </row>
    <row r="212" ht="54" customHeight="1">
      <c r="A212" s="44" t="n"/>
      <c r="B212" s="44" t="n"/>
      <c r="C212" s="44" t="n"/>
      <c r="D212" s="44" t="n"/>
      <c r="E212" s="44" t="n"/>
      <c r="F212" s="44" t="n"/>
      <c r="G212" s="44" t="n"/>
      <c r="H212" s="44" t="n"/>
      <c r="I212" s="44" t="n"/>
      <c r="J212" s="44" t="n"/>
      <c r="K212" s="44" t="n"/>
      <c r="L212" s="44" t="n"/>
      <c r="M212" s="44" t="n"/>
      <c r="N212" s="44" t="n"/>
      <c r="O212" s="44" t="n"/>
    </row>
    <row r="213" ht="54" customHeight="1">
      <c r="A213" s="44" t="n"/>
      <c r="B213" s="44" t="n"/>
      <c r="C213" s="44" t="n"/>
      <c r="D213" s="44" t="n"/>
      <c r="E213" s="44" t="n"/>
      <c r="F213" s="44" t="n"/>
      <c r="G213" s="44" t="n"/>
      <c r="H213" s="44" t="n"/>
      <c r="I213" s="44" t="n"/>
      <c r="J213" s="44" t="n"/>
      <c r="K213" s="44" t="n"/>
      <c r="L213" s="44" t="n"/>
      <c r="M213" s="44" t="n"/>
      <c r="N213" s="44" t="n"/>
      <c r="O213" s="44" t="n"/>
    </row>
    <row r="214" ht="54" customHeight="1">
      <c r="A214" s="44" t="n"/>
      <c r="B214" s="44" t="n"/>
      <c r="C214" s="44" t="n"/>
      <c r="D214" s="44" t="n"/>
      <c r="E214" s="44" t="n"/>
      <c r="F214" s="44" t="n"/>
      <c r="G214" s="44" t="n"/>
      <c r="H214" s="44" t="n"/>
      <c r="I214" s="44" t="n"/>
      <c r="J214" s="44" t="n"/>
      <c r="K214" s="44" t="n"/>
      <c r="L214" s="44" t="n"/>
      <c r="M214" s="44" t="n"/>
      <c r="N214" s="44" t="n"/>
      <c r="O214" s="44" t="n"/>
    </row>
    <row r="215" ht="54" customHeight="1">
      <c r="A215" s="44" t="n"/>
      <c r="B215" s="44" t="n"/>
      <c r="C215" s="44" t="n"/>
      <c r="D215" s="44" t="n"/>
      <c r="E215" s="44" t="n"/>
      <c r="F215" s="44" t="n"/>
      <c r="G215" s="44" t="n"/>
      <c r="H215" s="44" t="n"/>
      <c r="I215" s="44" t="n"/>
      <c r="J215" s="44" t="n"/>
      <c r="K215" s="44" t="n"/>
      <c r="L215" s="44" t="n"/>
      <c r="M215" s="44" t="n"/>
      <c r="N215" s="44" t="n"/>
      <c r="O215" s="44" t="n"/>
    </row>
    <row r="216" ht="54" customHeight="1">
      <c r="A216" s="44" t="n"/>
      <c r="B216" s="44" t="n"/>
      <c r="C216" s="44" t="n"/>
      <c r="D216" s="44" t="n"/>
      <c r="E216" s="44" t="n"/>
      <c r="F216" s="44" t="n"/>
      <c r="G216" s="44" t="n"/>
      <c r="H216" s="44" t="n"/>
      <c r="I216" s="44" t="n"/>
      <c r="J216" s="44" t="n"/>
      <c r="K216" s="44" t="n"/>
      <c r="L216" s="44" t="n"/>
      <c r="M216" s="44" t="n"/>
      <c r="N216" s="44" t="n"/>
      <c r="O216" s="44" t="n"/>
    </row>
    <row r="217" ht="54" customHeight="1">
      <c r="A217" s="44" t="n"/>
      <c r="B217" s="44" t="n"/>
      <c r="C217" s="44" t="n"/>
      <c r="D217" s="44" t="n"/>
      <c r="E217" s="44" t="n"/>
      <c r="F217" s="44" t="n"/>
      <c r="G217" s="44" t="n"/>
      <c r="H217" s="44" t="n"/>
      <c r="I217" s="44" t="n"/>
      <c r="J217" s="44" t="n"/>
      <c r="K217" s="44" t="n"/>
      <c r="L217" s="44" t="n"/>
      <c r="M217" s="44" t="n"/>
      <c r="N217" s="44" t="n"/>
      <c r="O217" s="44" t="n"/>
    </row>
    <row r="218" ht="54" customHeight="1">
      <c r="A218" s="44" t="n"/>
      <c r="B218" s="44" t="n"/>
      <c r="C218" s="44" t="n"/>
      <c r="D218" s="44" t="n"/>
      <c r="E218" s="44" t="n"/>
      <c r="F218" s="44" t="n"/>
      <c r="G218" s="44" t="n"/>
      <c r="H218" s="44" t="n"/>
      <c r="I218" s="44" t="n"/>
      <c r="J218" s="44" t="n"/>
      <c r="K218" s="44" t="n"/>
      <c r="L218" s="44" t="n"/>
      <c r="M218" s="44" t="n"/>
      <c r="N218" s="44" t="n"/>
      <c r="O218" s="44" t="n"/>
    </row>
    <row r="219" ht="54" customHeight="1">
      <c r="A219" s="44" t="n"/>
      <c r="B219" s="44" t="n"/>
      <c r="C219" s="44" t="n"/>
      <c r="D219" s="44" t="n"/>
      <c r="E219" s="44" t="n"/>
      <c r="F219" s="44" t="n"/>
      <c r="G219" s="44" t="n"/>
      <c r="H219" s="44" t="n"/>
      <c r="I219" s="44" t="n"/>
      <c r="J219" s="44" t="n"/>
      <c r="K219" s="44" t="n"/>
      <c r="L219" s="44" t="n"/>
      <c r="M219" s="44" t="n"/>
      <c r="N219" s="44" t="n"/>
      <c r="O219" s="44" t="n"/>
    </row>
    <row r="220" ht="54" customHeight="1">
      <c r="A220" s="44" t="n"/>
      <c r="B220" s="44" t="n"/>
      <c r="C220" s="44" t="n"/>
      <c r="D220" s="44" t="n"/>
      <c r="E220" s="44" t="n"/>
      <c r="F220" s="44" t="n"/>
      <c r="G220" s="44" t="n"/>
      <c r="H220" s="44" t="n"/>
      <c r="I220" s="44" t="n"/>
      <c r="J220" s="44" t="n"/>
      <c r="K220" s="44" t="n"/>
      <c r="L220" s="44" t="n"/>
      <c r="M220" s="44" t="n"/>
      <c r="N220" s="44" t="n"/>
      <c r="O220" s="44" t="n"/>
    </row>
    <row r="221" ht="54" customHeight="1">
      <c r="A221" s="44" t="n"/>
      <c r="B221" s="44" t="n"/>
      <c r="C221" s="44" t="n"/>
      <c r="D221" s="44" t="n"/>
      <c r="E221" s="44" t="n"/>
      <c r="F221" s="44" t="n"/>
      <c r="G221" s="44" t="n"/>
      <c r="H221" s="44" t="n"/>
      <c r="I221" s="44" t="n"/>
      <c r="J221" s="44" t="n"/>
      <c r="K221" s="44" t="n"/>
      <c r="L221" s="44" t="n"/>
      <c r="M221" s="44" t="n"/>
      <c r="N221" s="44" t="n"/>
      <c r="O221" s="44" t="n"/>
    </row>
    <row r="222" ht="54" customHeight="1">
      <c r="A222" s="44" t="n"/>
      <c r="B222" s="44" t="n"/>
      <c r="C222" s="44" t="n"/>
      <c r="D222" s="44" t="n"/>
      <c r="E222" s="44" t="n"/>
      <c r="F222" s="44" t="n"/>
      <c r="G222" s="44" t="n"/>
      <c r="H222" s="44" t="n"/>
      <c r="I222" s="44" t="n"/>
      <c r="J222" s="44" t="n"/>
      <c r="K222" s="44" t="n"/>
      <c r="L222" s="44" t="n"/>
      <c r="M222" s="44" t="n"/>
      <c r="N222" s="44" t="n"/>
      <c r="O222" s="44" t="n"/>
    </row>
    <row r="223" ht="54" customHeight="1">
      <c r="A223" s="44" t="n"/>
      <c r="B223" s="44" t="n"/>
      <c r="C223" s="44" t="n"/>
      <c r="D223" s="44" t="n"/>
      <c r="E223" s="44" t="n"/>
      <c r="F223" s="44" t="n"/>
      <c r="G223" s="44" t="n"/>
      <c r="H223" s="44" t="n"/>
      <c r="I223" s="44" t="n"/>
      <c r="J223" s="44" t="n"/>
      <c r="K223" s="44" t="n"/>
      <c r="L223" s="44" t="n"/>
      <c r="M223" s="44" t="n"/>
      <c r="N223" s="44" t="n"/>
      <c r="O223" s="44" t="n"/>
    </row>
    <row r="224" ht="54" customHeight="1">
      <c r="A224" s="44" t="n"/>
      <c r="B224" s="44" t="n"/>
      <c r="C224" s="44" t="n"/>
      <c r="D224" s="44" t="n"/>
      <c r="E224" s="44" t="n"/>
      <c r="F224" s="44" t="n"/>
      <c r="G224" s="44" t="n"/>
      <c r="H224" s="44" t="n"/>
      <c r="I224" s="44" t="n"/>
      <c r="J224" s="44" t="n"/>
      <c r="K224" s="44" t="n"/>
      <c r="L224" s="44" t="n"/>
      <c r="M224" s="44" t="n"/>
      <c r="N224" s="44" t="n"/>
      <c r="O224" s="44" t="n"/>
    </row>
    <row r="225" ht="54" customHeight="1">
      <c r="A225" s="44" t="n"/>
      <c r="B225" s="44" t="n"/>
      <c r="C225" s="44" t="n"/>
      <c r="D225" s="44" t="n"/>
      <c r="E225" s="44" t="n"/>
      <c r="F225" s="44" t="n"/>
      <c r="G225" s="44" t="n"/>
      <c r="H225" s="44" t="n"/>
      <c r="I225" s="44" t="n"/>
      <c r="J225" s="44" t="n"/>
      <c r="K225" s="44" t="n"/>
      <c r="L225" s="44" t="n"/>
      <c r="M225" s="44" t="n"/>
      <c r="N225" s="44" t="n"/>
      <c r="O225" s="44" t="n"/>
    </row>
    <row r="226" ht="54" customHeight="1">
      <c r="A226" s="44" t="n"/>
      <c r="B226" s="44" t="n"/>
      <c r="C226" s="44" t="n"/>
      <c r="D226" s="44" t="n"/>
      <c r="E226" s="44" t="n"/>
      <c r="F226" s="44" t="n"/>
      <c r="G226" s="44" t="n"/>
      <c r="H226" s="44" t="n"/>
      <c r="I226" s="44" t="n"/>
      <c r="J226" s="44" t="n"/>
      <c r="K226" s="44" t="n"/>
      <c r="L226" s="44" t="n"/>
      <c r="M226" s="44" t="n"/>
      <c r="N226" s="44" t="n"/>
      <c r="O226" s="44" t="n"/>
    </row>
    <row r="227" ht="54" customHeight="1">
      <c r="A227" s="44" t="n"/>
      <c r="B227" s="44" t="n"/>
      <c r="C227" s="44" t="n"/>
      <c r="D227" s="44" t="n"/>
      <c r="E227" s="44" t="n"/>
      <c r="F227" s="44" t="n"/>
      <c r="G227" s="44" t="n"/>
      <c r="H227" s="44" t="n"/>
      <c r="I227" s="44" t="n"/>
      <c r="J227" s="44" t="n"/>
      <c r="K227" s="44" t="n"/>
      <c r="L227" s="44" t="n"/>
      <c r="M227" s="44" t="n"/>
      <c r="N227" s="44" t="n"/>
      <c r="O227" s="44" t="n"/>
    </row>
    <row r="228" ht="54" customHeight="1">
      <c r="A228" s="44" t="n"/>
      <c r="B228" s="44" t="n"/>
      <c r="C228" s="44" t="n"/>
      <c r="D228" s="44" t="n"/>
      <c r="E228" s="44" t="n"/>
      <c r="F228" s="44" t="n"/>
      <c r="G228" s="44" t="n"/>
      <c r="H228" s="44" t="n"/>
      <c r="I228" s="44" t="n"/>
      <c r="J228" s="44" t="n"/>
      <c r="K228" s="44" t="n"/>
      <c r="L228" s="44" t="n"/>
      <c r="M228" s="44" t="n"/>
      <c r="N228" s="44" t="n"/>
      <c r="O228" s="44" t="n"/>
    </row>
    <row r="229" ht="54" customHeight="1">
      <c r="A229" s="44" t="n"/>
      <c r="B229" s="44" t="n"/>
      <c r="C229" s="44" t="n"/>
      <c r="D229" s="44" t="n"/>
      <c r="E229" s="44" t="n"/>
      <c r="F229" s="44" t="n"/>
      <c r="G229" s="44" t="n"/>
      <c r="H229" s="44" t="n"/>
      <c r="I229" s="44" t="n"/>
      <c r="J229" s="44" t="n"/>
      <c r="K229" s="44" t="n"/>
      <c r="L229" s="44" t="n"/>
      <c r="M229" s="44" t="n"/>
      <c r="N229" s="44" t="n"/>
      <c r="O229" s="44" t="n"/>
    </row>
    <row r="230" ht="54" customHeight="1">
      <c r="A230" s="44" t="n"/>
      <c r="B230" s="44" t="n"/>
      <c r="C230" s="44" t="n"/>
      <c r="D230" s="44" t="n"/>
      <c r="E230" s="44" t="n"/>
      <c r="F230" s="44" t="n"/>
      <c r="G230" s="44" t="n"/>
      <c r="H230" s="44" t="n"/>
      <c r="I230" s="44" t="n"/>
      <c r="J230" s="44" t="n"/>
      <c r="K230" s="44" t="n"/>
      <c r="L230" s="44" t="n"/>
      <c r="M230" s="44" t="n"/>
      <c r="N230" s="44" t="n"/>
      <c r="O230" s="44" t="n"/>
    </row>
    <row r="231" ht="54" customHeight="1">
      <c r="A231" s="44" t="n"/>
      <c r="B231" s="44" t="n"/>
      <c r="C231" s="44" t="n"/>
      <c r="D231" s="44" t="n"/>
      <c r="E231" s="44" t="n"/>
      <c r="F231" s="44" t="n"/>
      <c r="G231" s="44" t="n"/>
      <c r="H231" s="44" t="n"/>
      <c r="I231" s="44" t="n"/>
      <c r="J231" s="44" t="n"/>
      <c r="K231" s="44" t="n"/>
      <c r="L231" s="44" t="n"/>
      <c r="M231" s="44" t="n"/>
      <c r="N231" s="44" t="n"/>
      <c r="O231" s="44" t="n"/>
    </row>
    <row r="232" ht="54" customHeight="1">
      <c r="A232" s="44" t="n"/>
      <c r="B232" s="44" t="n"/>
      <c r="C232" s="44" t="n"/>
      <c r="D232" s="44" t="n"/>
      <c r="E232" s="44" t="n"/>
      <c r="F232" s="44" t="n"/>
      <c r="G232" s="44" t="n"/>
      <c r="H232" s="44" t="n"/>
      <c r="I232" s="44" t="n"/>
      <c r="J232" s="44" t="n"/>
      <c r="K232" s="44" t="n"/>
      <c r="L232" s="44" t="n"/>
      <c r="M232" s="44" t="n"/>
      <c r="N232" s="44" t="n"/>
      <c r="O232" s="44" t="n"/>
    </row>
    <row r="233" ht="54" customHeight="1">
      <c r="A233" s="44" t="n"/>
      <c r="B233" s="44" t="n"/>
      <c r="C233" s="44" t="n"/>
      <c r="D233" s="44" t="n"/>
      <c r="E233" s="44" t="n"/>
      <c r="F233" s="44" t="n"/>
      <c r="G233" s="44" t="n"/>
      <c r="H233" s="44" t="n"/>
      <c r="I233" s="44" t="n"/>
      <c r="J233" s="44" t="n"/>
      <c r="K233" s="44" t="n"/>
      <c r="L233" s="44" t="n"/>
      <c r="M233" s="44" t="n"/>
      <c r="N233" s="44" t="n"/>
      <c r="O233" s="44" t="n"/>
    </row>
    <row r="234" ht="54" customHeight="1">
      <c r="A234" s="44" t="n"/>
      <c r="B234" s="44" t="n"/>
      <c r="C234" s="44" t="n"/>
      <c r="D234" s="44" t="n"/>
      <c r="E234" s="44" t="n"/>
      <c r="F234" s="44" t="n"/>
      <c r="G234" s="44" t="n"/>
      <c r="H234" s="44" t="n"/>
      <c r="I234" s="44" t="n"/>
      <c r="J234" s="44" t="n"/>
      <c r="K234" s="44" t="n"/>
      <c r="L234" s="44" t="n"/>
      <c r="M234" s="44" t="n"/>
      <c r="N234" s="44" t="n"/>
      <c r="O234" s="44" t="n"/>
    </row>
    <row r="235" ht="54" customHeight="1">
      <c r="A235" s="44" t="n"/>
      <c r="B235" s="44" t="n"/>
      <c r="C235" s="44" t="n"/>
      <c r="D235" s="44" t="n"/>
      <c r="E235" s="44" t="n"/>
      <c r="F235" s="44" t="n"/>
      <c r="G235" s="44" t="n"/>
      <c r="H235" s="44" t="n"/>
      <c r="I235" s="44" t="n"/>
      <c r="J235" s="44" t="n"/>
      <c r="K235" s="44" t="n"/>
      <c r="L235" s="44" t="n"/>
      <c r="M235" s="44" t="n"/>
      <c r="N235" s="44" t="n"/>
      <c r="O235" s="44" t="n"/>
    </row>
    <row r="236" ht="54" customHeight="1">
      <c r="A236" s="44" t="n"/>
      <c r="B236" s="44" t="n"/>
      <c r="C236" s="44" t="n"/>
      <c r="D236" s="44" t="n"/>
      <c r="E236" s="44" t="n"/>
      <c r="F236" s="44" t="n"/>
      <c r="G236" s="44" t="n"/>
      <c r="H236" s="44" t="n"/>
      <c r="I236" s="44" t="n"/>
      <c r="J236" s="44" t="n"/>
      <c r="K236" s="44" t="n"/>
      <c r="L236" s="44" t="n"/>
      <c r="M236" s="44" t="n"/>
      <c r="N236" s="44" t="n"/>
      <c r="O236" s="44" t="n"/>
    </row>
    <row r="237" ht="54" customHeight="1">
      <c r="A237" s="44" t="n"/>
      <c r="B237" s="44" t="n"/>
      <c r="C237" s="44" t="n"/>
      <c r="D237" s="44" t="n"/>
      <c r="E237" s="44" t="n"/>
      <c r="F237" s="44" t="n"/>
      <c r="G237" s="44" t="n"/>
      <c r="H237" s="44" t="n"/>
      <c r="I237" s="44" t="n"/>
      <c r="J237" s="44" t="n"/>
      <c r="K237" s="44" t="n"/>
      <c r="L237" s="44" t="n"/>
      <c r="M237" s="44" t="n"/>
      <c r="N237" s="44" t="n"/>
      <c r="O237" s="44" t="n"/>
    </row>
    <row r="238" ht="54" customHeight="1">
      <c r="A238" s="44" t="n"/>
      <c r="B238" s="44" t="n"/>
      <c r="C238" s="44" t="n"/>
      <c r="D238" s="44" t="n"/>
      <c r="E238" s="44" t="n"/>
      <c r="F238" s="44" t="n"/>
      <c r="G238" s="44" t="n"/>
      <c r="H238" s="44" t="n"/>
      <c r="I238" s="44" t="n"/>
      <c r="J238" s="44" t="n"/>
      <c r="K238" s="44" t="n"/>
      <c r="L238" s="44" t="n"/>
      <c r="M238" s="44" t="n"/>
      <c r="N238" s="44" t="n"/>
      <c r="O238" s="44" t="n"/>
    </row>
    <row r="239" ht="54" customHeight="1">
      <c r="A239" s="44" t="n"/>
      <c r="B239" s="44" t="n"/>
      <c r="C239" s="44" t="n"/>
      <c r="D239" s="44" t="n"/>
      <c r="E239" s="44" t="n"/>
      <c r="F239" s="44" t="n"/>
      <c r="G239" s="44" t="n"/>
      <c r="H239" s="44" t="n"/>
      <c r="I239" s="44" t="n"/>
      <c r="J239" s="44" t="n"/>
      <c r="K239" s="44" t="n"/>
      <c r="L239" s="44" t="n"/>
      <c r="M239" s="44" t="n"/>
      <c r="N239" s="44" t="n"/>
      <c r="O239" s="44" t="n"/>
    </row>
    <row r="240" ht="54" customHeight="1">
      <c r="A240" s="44" t="n"/>
      <c r="B240" s="44" t="n"/>
      <c r="C240" s="44" t="n"/>
      <c r="D240" s="44" t="n"/>
      <c r="E240" s="44" t="n"/>
      <c r="F240" s="44" t="n"/>
      <c r="G240" s="44" t="n"/>
      <c r="H240" s="44" t="n"/>
      <c r="I240" s="44" t="n"/>
      <c r="J240" s="44" t="n"/>
      <c r="K240" s="44" t="n"/>
      <c r="L240" s="44" t="n"/>
      <c r="M240" s="44" t="n"/>
      <c r="N240" s="44" t="n"/>
      <c r="O240" s="44" t="n"/>
    </row>
    <row r="241" ht="54" customHeight="1">
      <c r="A241" s="44" t="n"/>
      <c r="B241" s="44" t="n"/>
      <c r="C241" s="44" t="n"/>
      <c r="D241" s="44" t="n"/>
      <c r="E241" s="44" t="n"/>
      <c r="F241" s="44" t="n"/>
      <c r="G241" s="44" t="n"/>
      <c r="H241" s="44" t="n"/>
      <c r="I241" s="44" t="n"/>
      <c r="J241" s="44" t="n"/>
      <c r="K241" s="44" t="n"/>
      <c r="L241" s="44" t="n"/>
      <c r="M241" s="44" t="n"/>
      <c r="N241" s="44" t="n"/>
      <c r="O241" s="44" t="n"/>
    </row>
    <row r="242" ht="54" customHeight="1">
      <c r="A242" s="44" t="n"/>
      <c r="B242" s="44" t="n"/>
      <c r="C242" s="44" t="n"/>
      <c r="D242" s="44" t="n"/>
      <c r="E242" s="44" t="n"/>
      <c r="F242" s="44" t="n"/>
      <c r="G242" s="44" t="n"/>
      <c r="H242" s="44" t="n"/>
      <c r="I242" s="44" t="n"/>
      <c r="J242" s="44" t="n"/>
      <c r="K242" s="44" t="n"/>
      <c r="L242" s="44" t="n"/>
      <c r="M242" s="44" t="n"/>
      <c r="N242" s="44" t="n"/>
      <c r="O242" s="44" t="n"/>
    </row>
    <row r="243" ht="54" customHeight="1">
      <c r="A243" s="44" t="n"/>
      <c r="B243" s="44" t="n"/>
      <c r="C243" s="44" t="n"/>
      <c r="D243" s="44" t="n"/>
      <c r="E243" s="44" t="n"/>
      <c r="F243" s="44" t="n"/>
      <c r="G243" s="44" t="n"/>
      <c r="H243" s="44" t="n"/>
      <c r="I243" s="44" t="n"/>
      <c r="J243" s="44" t="n"/>
      <c r="K243" s="44" t="n"/>
      <c r="L243" s="44" t="n"/>
      <c r="M243" s="44" t="n"/>
      <c r="N243" s="44" t="n"/>
      <c r="O243" s="44" t="n"/>
    </row>
    <row r="244" ht="54" customHeight="1">
      <c r="A244" s="44" t="n"/>
      <c r="B244" s="44" t="n"/>
      <c r="C244" s="44" t="n"/>
      <c r="D244" s="44" t="n"/>
      <c r="E244" s="44" t="n"/>
      <c r="F244" s="44" t="n"/>
      <c r="G244" s="44" t="n"/>
      <c r="H244" s="44" t="n"/>
      <c r="I244" s="44" t="n"/>
      <c r="J244" s="44" t="n"/>
      <c r="K244" s="44" t="n"/>
      <c r="L244" s="44" t="n"/>
      <c r="M244" s="44" t="n"/>
      <c r="N244" s="44" t="n"/>
      <c r="O244" s="44" t="n"/>
    </row>
    <row r="245" ht="54" customHeight="1">
      <c r="A245" s="44" t="n"/>
      <c r="B245" s="44" t="n"/>
      <c r="C245" s="44" t="n"/>
      <c r="D245" s="44" t="n"/>
      <c r="E245" s="44" t="n"/>
      <c r="F245" s="44" t="n"/>
      <c r="G245" s="44" t="n"/>
      <c r="H245" s="44" t="n"/>
      <c r="I245" s="44" t="n"/>
      <c r="J245" s="44" t="n"/>
      <c r="K245" s="44" t="n"/>
      <c r="L245" s="44" t="n"/>
      <c r="M245" s="44" t="n"/>
      <c r="N245" s="44" t="n"/>
      <c r="O245" s="44" t="n"/>
    </row>
    <row r="246" ht="54" customHeight="1">
      <c r="A246" s="44" t="n"/>
      <c r="B246" s="44" t="n"/>
      <c r="C246" s="44" t="n"/>
      <c r="D246" s="44" t="n"/>
      <c r="E246" s="44" t="n"/>
      <c r="F246" s="44" t="n"/>
      <c r="G246" s="44" t="n"/>
      <c r="H246" s="44" t="n"/>
      <c r="I246" s="44" t="n"/>
      <c r="J246" s="44" t="n"/>
      <c r="K246" s="44" t="n"/>
      <c r="L246" s="44" t="n"/>
      <c r="M246" s="44" t="n"/>
      <c r="N246" s="44" t="n"/>
      <c r="O246" s="44" t="n"/>
    </row>
    <row r="247" ht="54" customHeight="1">
      <c r="A247" s="44" t="n"/>
      <c r="B247" s="44" t="n"/>
      <c r="C247" s="44" t="n"/>
      <c r="D247" s="44" t="n"/>
      <c r="E247" s="44" t="n"/>
      <c r="F247" s="44" t="n"/>
      <c r="G247" s="44" t="n"/>
      <c r="H247" s="44" t="n"/>
      <c r="I247" s="44" t="n"/>
      <c r="J247" s="44" t="n"/>
      <c r="K247" s="44" t="n"/>
      <c r="L247" s="44" t="n"/>
      <c r="M247" s="44" t="n"/>
      <c r="N247" s="44" t="n"/>
      <c r="O247" s="44" t="n"/>
    </row>
    <row r="248" ht="54" customHeight="1">
      <c r="A248" s="44" t="n"/>
      <c r="B248" s="44" t="n"/>
      <c r="C248" s="44" t="n"/>
      <c r="D248" s="44" t="n"/>
      <c r="E248" s="44" t="n"/>
      <c r="F248" s="44" t="n"/>
      <c r="G248" s="44" t="n"/>
      <c r="H248" s="44" t="n"/>
      <c r="I248" s="44" t="n"/>
      <c r="J248" s="44" t="n"/>
      <c r="K248" s="44" t="n"/>
      <c r="L248" s="44" t="n"/>
      <c r="M248" s="44" t="n"/>
      <c r="N248" s="44" t="n"/>
      <c r="O248" s="44" t="n"/>
    </row>
    <row r="249" ht="54" customHeight="1">
      <c r="A249" s="44" t="n"/>
      <c r="B249" s="44" t="n"/>
      <c r="C249" s="44" t="n"/>
      <c r="D249" s="44" t="n"/>
      <c r="E249" s="44" t="n"/>
      <c r="F249" s="44" t="n"/>
      <c r="G249" s="44" t="n"/>
      <c r="H249" s="44" t="n"/>
      <c r="I249" s="44" t="n"/>
      <c r="J249" s="44" t="n"/>
      <c r="K249" s="44" t="n"/>
      <c r="L249" s="44" t="n"/>
      <c r="M249" s="44" t="n"/>
      <c r="N249" s="44" t="n"/>
      <c r="O249" s="44" t="n"/>
    </row>
    <row r="250" ht="54" customHeight="1">
      <c r="A250" s="44" t="n"/>
      <c r="B250" s="44" t="n"/>
      <c r="C250" s="44" t="n"/>
      <c r="D250" s="44" t="n"/>
      <c r="E250" s="44" t="n"/>
      <c r="F250" s="44" t="n"/>
      <c r="G250" s="44" t="n"/>
      <c r="H250" s="44" t="n"/>
      <c r="I250" s="44" t="n"/>
      <c r="J250" s="44" t="n"/>
      <c r="K250" s="44" t="n"/>
      <c r="L250" s="44" t="n"/>
      <c r="M250" s="44" t="n"/>
      <c r="N250" s="44" t="n"/>
      <c r="O250" s="44" t="n"/>
    </row>
    <row r="251" ht="54" customHeight="1">
      <c r="A251" s="44" t="n"/>
      <c r="B251" s="44" t="n"/>
      <c r="C251" s="44" t="n"/>
      <c r="D251" s="44" t="n"/>
      <c r="E251" s="44" t="n"/>
      <c r="F251" s="44" t="n"/>
      <c r="G251" s="44" t="n"/>
      <c r="H251" s="44" t="n"/>
      <c r="I251" s="44" t="n"/>
      <c r="J251" s="44" t="n"/>
      <c r="K251" s="44" t="n"/>
      <c r="L251" s="44" t="n"/>
      <c r="M251" s="44" t="n"/>
      <c r="N251" s="44" t="n"/>
      <c r="O251" s="44" t="n"/>
    </row>
    <row r="252" ht="54" customHeight="1">
      <c r="A252" s="44" t="n"/>
      <c r="B252" s="44" t="n"/>
      <c r="C252" s="44" t="n"/>
      <c r="D252" s="44" t="n"/>
      <c r="E252" s="44" t="n"/>
      <c r="F252" s="44" t="n"/>
      <c r="G252" s="44" t="n"/>
      <c r="H252" s="44" t="n"/>
      <c r="I252" s="44" t="n"/>
      <c r="J252" s="44" t="n"/>
      <c r="K252" s="44" t="n"/>
      <c r="L252" s="44" t="n"/>
      <c r="M252" s="44" t="n"/>
      <c r="N252" s="44" t="n"/>
      <c r="O252" s="44" t="n"/>
    </row>
    <row r="253" ht="54" customHeight="1">
      <c r="A253" s="44" t="n"/>
      <c r="B253" s="44" t="n"/>
      <c r="C253" s="44" t="n"/>
      <c r="D253" s="44" t="n"/>
      <c r="E253" s="44" t="n"/>
      <c r="F253" s="44" t="n"/>
      <c r="G253" s="44" t="n"/>
      <c r="H253" s="44" t="n"/>
      <c r="I253" s="44" t="n"/>
      <c r="J253" s="44" t="n"/>
      <c r="K253" s="44" t="n"/>
      <c r="L253" s="44" t="n"/>
      <c r="M253" s="44" t="n"/>
      <c r="N253" s="44" t="n"/>
      <c r="O253" s="44" t="n"/>
    </row>
    <row r="254" ht="54" customHeight="1">
      <c r="A254" s="44" t="n"/>
      <c r="B254" s="44" t="n"/>
      <c r="C254" s="44" t="n"/>
      <c r="D254" s="44" t="n"/>
      <c r="E254" s="44" t="n"/>
      <c r="F254" s="44" t="n"/>
      <c r="G254" s="44" t="n"/>
      <c r="H254" s="44" t="n"/>
      <c r="I254" s="44" t="n"/>
      <c r="J254" s="44" t="n"/>
      <c r="K254" s="44" t="n"/>
      <c r="L254" s="44" t="n"/>
      <c r="M254" s="44" t="n"/>
      <c r="N254" s="44" t="n"/>
      <c r="O254" s="44" t="n"/>
    </row>
    <row r="255" ht="54" customHeight="1">
      <c r="A255" s="44" t="n"/>
      <c r="B255" s="44" t="n"/>
      <c r="C255" s="44" t="n"/>
      <c r="D255" s="44" t="n"/>
      <c r="E255" s="44" t="n"/>
      <c r="F255" s="44" t="n"/>
      <c r="G255" s="44" t="n"/>
      <c r="H255" s="44" t="n"/>
      <c r="I255" s="44" t="n"/>
      <c r="J255" s="44" t="n"/>
      <c r="K255" s="44" t="n"/>
      <c r="L255" s="44" t="n"/>
      <c r="M255" s="44" t="n"/>
      <c r="N255" s="44" t="n"/>
      <c r="O255" s="44" t="n"/>
    </row>
    <row r="256" ht="54" customHeight="1">
      <c r="A256" s="44" t="n"/>
      <c r="B256" s="44" t="n"/>
      <c r="C256" s="44" t="n"/>
      <c r="D256" s="44" t="n"/>
      <c r="E256" s="44" t="n"/>
      <c r="F256" s="44" t="n"/>
      <c r="G256" s="44" t="n"/>
      <c r="H256" s="44" t="n"/>
      <c r="I256" s="44" t="n"/>
      <c r="J256" s="44" t="n"/>
      <c r="K256" s="44" t="n"/>
      <c r="L256" s="44" t="n"/>
      <c r="M256" s="44" t="n"/>
      <c r="N256" s="44" t="n"/>
      <c r="O256" s="44" t="n"/>
    </row>
    <row r="257" ht="54" customHeight="1">
      <c r="A257" s="44" t="n"/>
      <c r="B257" s="44" t="n"/>
      <c r="C257" s="44" t="n"/>
      <c r="D257" s="44" t="n"/>
      <c r="E257" s="44" t="n"/>
      <c r="F257" s="44" t="n"/>
      <c r="G257" s="44" t="n"/>
      <c r="H257" s="44" t="n"/>
      <c r="I257" s="44" t="n"/>
      <c r="J257" s="44" t="n"/>
      <c r="K257" s="44" t="n"/>
      <c r="L257" s="44" t="n"/>
      <c r="M257" s="44" t="n"/>
      <c r="N257" s="44" t="n"/>
      <c r="O257" s="44" t="n"/>
    </row>
    <row r="258" ht="54" customHeight="1">
      <c r="A258" s="44" t="n"/>
      <c r="B258" s="44" t="n"/>
      <c r="C258" s="44" t="n"/>
      <c r="D258" s="44" t="n"/>
      <c r="E258" s="44" t="n"/>
      <c r="F258" s="44" t="n"/>
      <c r="G258" s="44" t="n"/>
      <c r="H258" s="44" t="n"/>
      <c r="I258" s="44" t="n"/>
      <c r="J258" s="44" t="n"/>
      <c r="K258" s="44" t="n"/>
      <c r="L258" s="44" t="n"/>
      <c r="M258" s="44" t="n"/>
      <c r="N258" s="44" t="n"/>
      <c r="O258" s="44" t="n"/>
    </row>
    <row r="259" ht="54" customHeight="1">
      <c r="A259" s="44" t="n"/>
      <c r="B259" s="44" t="n"/>
      <c r="C259" s="44" t="n"/>
      <c r="D259" s="44" t="n"/>
      <c r="E259" s="44" t="n"/>
      <c r="F259" s="44" t="n"/>
      <c r="G259" s="44" t="n"/>
      <c r="H259" s="44" t="n"/>
      <c r="I259" s="44" t="n"/>
      <c r="J259" s="44" t="n"/>
      <c r="K259" s="44" t="n"/>
      <c r="L259" s="44" t="n"/>
      <c r="M259" s="44" t="n"/>
      <c r="N259" s="44" t="n"/>
      <c r="O259" s="44" t="n"/>
    </row>
    <row r="260" ht="54" customHeight="1">
      <c r="A260" s="44" t="n"/>
      <c r="B260" s="44" t="n"/>
      <c r="C260" s="44" t="n"/>
      <c r="D260" s="44" t="n"/>
      <c r="E260" s="44" t="n"/>
      <c r="F260" s="44" t="n"/>
      <c r="G260" s="44" t="n"/>
      <c r="H260" s="44" t="n"/>
      <c r="I260" s="44" t="n"/>
      <c r="J260" s="44" t="n"/>
      <c r="K260" s="44" t="n"/>
      <c r="L260" s="44" t="n"/>
      <c r="M260" s="44" t="n"/>
      <c r="N260" s="44" t="n"/>
      <c r="O260" s="44" t="n"/>
    </row>
    <row r="261" ht="54" customHeight="1">
      <c r="A261" s="44" t="n"/>
      <c r="B261" s="44" t="n"/>
      <c r="C261" s="44" t="n"/>
      <c r="D261" s="44" t="n"/>
      <c r="E261" s="44" t="n"/>
      <c r="F261" s="44" t="n"/>
      <c r="G261" s="44" t="n"/>
      <c r="H261" s="44" t="n"/>
      <c r="I261" s="44" t="n"/>
      <c r="J261" s="44" t="n"/>
      <c r="K261" s="44" t="n"/>
      <c r="L261" s="44" t="n"/>
      <c r="M261" s="44" t="n"/>
      <c r="N261" s="44" t="n"/>
      <c r="O261" s="44" t="n"/>
    </row>
    <row r="262" ht="54" customHeight="1">
      <c r="A262" s="44" t="n"/>
      <c r="B262" s="44" t="n"/>
      <c r="C262" s="44" t="n"/>
      <c r="D262" s="44" t="n"/>
      <c r="E262" s="44" t="n"/>
      <c r="F262" s="44" t="n"/>
      <c r="G262" s="44" t="n"/>
      <c r="H262" s="44" t="n"/>
      <c r="I262" s="44" t="n"/>
      <c r="J262" s="44" t="n"/>
      <c r="K262" s="44" t="n"/>
      <c r="L262" s="44" t="n"/>
      <c r="M262" s="44" t="n"/>
      <c r="N262" s="44" t="n"/>
      <c r="O262" s="44" t="n"/>
    </row>
    <row r="263" ht="54" customHeight="1">
      <c r="A263" s="44" t="n"/>
      <c r="B263" s="44" t="n"/>
      <c r="C263" s="44" t="n"/>
      <c r="D263" s="44" t="n"/>
      <c r="E263" s="44" t="n"/>
      <c r="F263" s="44" t="n"/>
      <c r="G263" s="44" t="n"/>
      <c r="H263" s="44" t="n"/>
      <c r="I263" s="44" t="n"/>
      <c r="J263" s="44" t="n"/>
      <c r="K263" s="44" t="n"/>
      <c r="L263" s="44" t="n"/>
      <c r="M263" s="44" t="n"/>
      <c r="N263" s="44" t="n"/>
      <c r="O263" s="44" t="n"/>
    </row>
    <row r="264" ht="54" customHeight="1">
      <c r="A264" s="44" t="n"/>
      <c r="B264" s="44" t="n"/>
      <c r="C264" s="44" t="n"/>
      <c r="D264" s="44" t="n"/>
      <c r="E264" s="44" t="n"/>
      <c r="F264" s="44" t="n"/>
      <c r="G264" s="44" t="n"/>
      <c r="H264" s="44" t="n"/>
      <c r="I264" s="44" t="n"/>
      <c r="J264" s="44" t="n"/>
      <c r="K264" s="44" t="n"/>
      <c r="L264" s="44" t="n"/>
      <c r="M264" s="44" t="n"/>
      <c r="N264" s="44" t="n"/>
      <c r="O264" s="44" t="n"/>
    </row>
    <row r="265" ht="54" customHeight="1">
      <c r="A265" s="44" t="n"/>
      <c r="B265" s="44" t="n"/>
      <c r="C265" s="44" t="n"/>
      <c r="D265" s="44" t="n"/>
      <c r="E265" s="44" t="n"/>
      <c r="F265" s="44" t="n"/>
      <c r="G265" s="44" t="n"/>
      <c r="H265" s="44" t="n"/>
      <c r="I265" s="44" t="n"/>
      <c r="J265" s="44" t="n"/>
      <c r="K265" s="44" t="n"/>
      <c r="L265" s="44" t="n"/>
      <c r="M265" s="44" t="n"/>
      <c r="N265" s="44" t="n"/>
      <c r="O265" s="44" t="n"/>
    </row>
    <row r="266" ht="54" customHeight="1">
      <c r="A266" s="44" t="n"/>
      <c r="B266" s="44" t="n"/>
      <c r="C266" s="44" t="n"/>
      <c r="D266" s="44" t="n"/>
      <c r="E266" s="44" t="n"/>
      <c r="F266" s="44" t="n"/>
      <c r="G266" s="44" t="n"/>
      <c r="H266" s="44" t="n"/>
      <c r="I266" s="44" t="n"/>
      <c r="J266" s="44" t="n"/>
      <c r="K266" s="44" t="n"/>
      <c r="L266" s="44" t="n"/>
      <c r="M266" s="44" t="n"/>
      <c r="N266" s="44" t="n"/>
      <c r="O266" s="44" t="n"/>
    </row>
    <row r="267" ht="54" customHeight="1">
      <c r="A267" s="44" t="n"/>
      <c r="B267" s="44" t="n"/>
      <c r="C267" s="44" t="n"/>
      <c r="D267" s="44" t="n"/>
      <c r="E267" s="44" t="n"/>
      <c r="F267" s="44" t="n"/>
      <c r="G267" s="44" t="n"/>
      <c r="H267" s="44" t="n"/>
      <c r="I267" s="44" t="n"/>
      <c r="J267" s="44" t="n"/>
      <c r="K267" s="44" t="n"/>
      <c r="L267" s="44" t="n"/>
      <c r="M267" s="44" t="n"/>
      <c r="N267" s="44" t="n"/>
      <c r="O267" s="44" t="n"/>
    </row>
    <row r="268" ht="54" customHeight="1">
      <c r="A268" s="44" t="n"/>
      <c r="B268" s="44" t="n"/>
      <c r="C268" s="44" t="n"/>
      <c r="D268" s="44" t="n"/>
      <c r="E268" s="44" t="n"/>
      <c r="F268" s="44" t="n"/>
      <c r="G268" s="44" t="n"/>
      <c r="H268" s="44" t="n"/>
      <c r="I268" s="44" t="n"/>
      <c r="J268" s="44" t="n"/>
      <c r="K268" s="44" t="n"/>
      <c r="L268" s="44" t="n"/>
      <c r="M268" s="44" t="n"/>
      <c r="N268" s="44" t="n"/>
      <c r="O268" s="44" t="n"/>
    </row>
    <row r="269" ht="54" customHeight="1">
      <c r="A269" s="44" t="n"/>
      <c r="B269" s="44" t="n"/>
      <c r="C269" s="44" t="n"/>
      <c r="D269" s="44" t="n"/>
      <c r="E269" s="44" t="n"/>
      <c r="F269" s="44" t="n"/>
      <c r="G269" s="44" t="n"/>
      <c r="H269" s="44" t="n"/>
      <c r="I269" s="44" t="n"/>
      <c r="J269" s="44" t="n"/>
      <c r="K269" s="44" t="n"/>
      <c r="L269" s="44" t="n"/>
      <c r="M269" s="44" t="n"/>
      <c r="N269" s="44" t="n"/>
      <c r="O269" s="44" t="n"/>
    </row>
    <row r="270" ht="54" customHeight="1">
      <c r="A270" s="44" t="n"/>
      <c r="B270" s="44" t="n"/>
      <c r="C270" s="44" t="n"/>
      <c r="D270" s="44" t="n"/>
      <c r="E270" s="44" t="n"/>
      <c r="F270" s="44" t="n"/>
      <c r="G270" s="44" t="n"/>
      <c r="H270" s="44" t="n"/>
      <c r="I270" s="44" t="n"/>
      <c r="J270" s="44" t="n"/>
      <c r="K270" s="44" t="n"/>
      <c r="L270" s="44" t="n"/>
      <c r="M270" s="44" t="n"/>
      <c r="N270" s="44" t="n"/>
      <c r="O270" s="44" t="n"/>
    </row>
    <row r="271" ht="54" customHeight="1">
      <c r="A271" s="44" t="n"/>
      <c r="B271" s="44" t="n"/>
      <c r="C271" s="44" t="n"/>
      <c r="D271" s="44" t="n"/>
      <c r="E271" s="44" t="n"/>
      <c r="F271" s="44" t="n"/>
      <c r="G271" s="44" t="n"/>
      <c r="H271" s="44" t="n"/>
      <c r="I271" s="44" t="n"/>
      <c r="J271" s="44" t="n"/>
      <c r="K271" s="44" t="n"/>
      <c r="L271" s="44" t="n"/>
      <c r="M271" s="44" t="n"/>
      <c r="N271" s="44" t="n"/>
      <c r="O271" s="44" t="n"/>
    </row>
    <row r="272" ht="54" customHeight="1">
      <c r="A272" s="44" t="n"/>
      <c r="B272" s="44" t="n"/>
      <c r="C272" s="44" t="n"/>
      <c r="D272" s="44" t="n"/>
      <c r="E272" s="44" t="n"/>
      <c r="F272" s="44" t="n"/>
      <c r="G272" s="44" t="n"/>
      <c r="H272" s="44" t="n"/>
      <c r="I272" s="44" t="n"/>
      <c r="J272" s="44" t="n"/>
      <c r="K272" s="44" t="n"/>
      <c r="L272" s="44" t="n"/>
      <c r="M272" s="44" t="n"/>
      <c r="N272" s="44" t="n"/>
      <c r="O272" s="44" t="n"/>
    </row>
    <row r="273" ht="54" customHeight="1">
      <c r="A273" s="44" t="n"/>
      <c r="B273" s="44" t="n"/>
      <c r="C273" s="44" t="n"/>
      <c r="D273" s="44" t="n"/>
      <c r="E273" s="44" t="n"/>
      <c r="F273" s="44" t="n"/>
      <c r="G273" s="44" t="n"/>
      <c r="H273" s="44" t="n"/>
      <c r="I273" s="44" t="n"/>
      <c r="J273" s="44" t="n"/>
      <c r="K273" s="44" t="n"/>
      <c r="L273" s="44" t="n"/>
      <c r="M273" s="44" t="n"/>
      <c r="N273" s="44" t="n"/>
      <c r="O273" s="44" t="n"/>
    </row>
    <row r="274" ht="54" customHeight="1">
      <c r="A274" s="44" t="n"/>
      <c r="B274" s="44" t="n"/>
      <c r="C274" s="44" t="n"/>
      <c r="D274" s="44" t="n"/>
      <c r="E274" s="44" t="n"/>
      <c r="F274" s="44" t="n"/>
      <c r="G274" s="44" t="n"/>
      <c r="H274" s="44" t="n"/>
      <c r="I274" s="44" t="n"/>
      <c r="J274" s="44" t="n"/>
      <c r="K274" s="44" t="n"/>
      <c r="L274" s="44" t="n"/>
      <c r="M274" s="44" t="n"/>
      <c r="N274" s="44" t="n"/>
      <c r="O274" s="44" t="n"/>
    </row>
    <row r="275" ht="54" customHeight="1">
      <c r="A275" s="44" t="n"/>
      <c r="B275" s="44" t="n"/>
      <c r="C275" s="44" t="n"/>
      <c r="D275" s="44" t="n"/>
      <c r="E275" s="44" t="n"/>
      <c r="F275" s="44" t="n"/>
      <c r="G275" s="44" t="n"/>
      <c r="H275" s="44" t="n"/>
      <c r="I275" s="44" t="n"/>
      <c r="J275" s="44" t="n"/>
      <c r="K275" s="44" t="n"/>
      <c r="L275" s="44" t="n"/>
      <c r="M275" s="44" t="n"/>
      <c r="N275" s="44" t="n"/>
      <c r="O275" s="44" t="n"/>
    </row>
    <row r="276" ht="54" customHeight="1">
      <c r="A276" s="44" t="n"/>
      <c r="B276" s="44" t="n"/>
      <c r="C276" s="44" t="n"/>
      <c r="D276" s="44" t="n"/>
      <c r="E276" s="44" t="n"/>
      <c r="F276" s="44" t="n"/>
      <c r="G276" s="44" t="n"/>
      <c r="H276" s="44" t="n"/>
      <c r="I276" s="44" t="n"/>
      <c r="J276" s="44" t="n"/>
      <c r="K276" s="44" t="n"/>
      <c r="L276" s="44" t="n"/>
      <c r="M276" s="44" t="n"/>
      <c r="N276" s="44" t="n"/>
      <c r="O276" s="44" t="n"/>
    </row>
    <row r="277" ht="54" customHeight="1">
      <c r="A277" s="44" t="n"/>
      <c r="B277" s="44" t="n"/>
      <c r="C277" s="44" t="n"/>
      <c r="D277" s="44" t="n"/>
      <c r="E277" s="44" t="n"/>
      <c r="F277" s="44" t="n"/>
      <c r="G277" s="44" t="n"/>
      <c r="H277" s="44" t="n"/>
      <c r="I277" s="44" t="n"/>
      <c r="J277" s="44" t="n"/>
      <c r="K277" s="44" t="n"/>
      <c r="L277" s="44" t="n"/>
      <c r="M277" s="44" t="n"/>
      <c r="N277" s="44" t="n"/>
      <c r="O277" s="44" t="n"/>
    </row>
    <row r="278" ht="54" customHeight="1">
      <c r="A278" s="44" t="n"/>
      <c r="B278" s="44" t="n"/>
      <c r="C278" s="44" t="n"/>
      <c r="D278" s="44" t="n"/>
      <c r="E278" s="44" t="n"/>
      <c r="F278" s="44" t="n"/>
      <c r="G278" s="44" t="n"/>
      <c r="H278" s="44" t="n"/>
      <c r="I278" s="44" t="n"/>
      <c r="J278" s="44" t="n"/>
      <c r="K278" s="44" t="n"/>
      <c r="L278" s="44" t="n"/>
      <c r="M278" s="44" t="n"/>
      <c r="N278" s="44" t="n"/>
      <c r="O278" s="44" t="n"/>
    </row>
    <row r="279" ht="54" customHeight="1">
      <c r="A279" s="44" t="n"/>
      <c r="B279" s="44" t="n"/>
      <c r="C279" s="44" t="n"/>
      <c r="D279" s="44" t="n"/>
      <c r="E279" s="44" t="n"/>
      <c r="F279" s="44" t="n"/>
      <c r="G279" s="44" t="n"/>
      <c r="H279" s="44" t="n"/>
      <c r="I279" s="44" t="n"/>
      <c r="J279" s="44" t="n"/>
      <c r="K279" s="44" t="n"/>
      <c r="L279" s="44" t="n"/>
      <c r="M279" s="44" t="n"/>
      <c r="N279" s="44" t="n"/>
      <c r="O279" s="44" t="n"/>
    </row>
    <row r="280" ht="54" customHeight="1">
      <c r="A280" s="44" t="n"/>
      <c r="B280" s="44" t="n"/>
      <c r="C280" s="44" t="n"/>
      <c r="D280" s="44" t="n"/>
      <c r="E280" s="44" t="n"/>
      <c r="F280" s="44" t="n"/>
      <c r="G280" s="44" t="n"/>
      <c r="H280" s="44" t="n"/>
      <c r="I280" s="44" t="n"/>
      <c r="J280" s="44" t="n"/>
      <c r="K280" s="44" t="n"/>
      <c r="L280" s="44" t="n"/>
      <c r="M280" s="44" t="n"/>
      <c r="N280" s="44" t="n"/>
      <c r="O280" s="44" t="n"/>
    </row>
    <row r="281" ht="54" customHeight="1">
      <c r="A281" s="44" t="n"/>
      <c r="B281" s="44" t="n"/>
      <c r="C281" s="44" t="n"/>
      <c r="D281" s="44" t="n"/>
      <c r="E281" s="44" t="n"/>
      <c r="F281" s="44" t="n"/>
      <c r="G281" s="44" t="n"/>
      <c r="H281" s="44" t="n"/>
      <c r="I281" s="44" t="n"/>
      <c r="J281" s="44" t="n"/>
      <c r="K281" s="44" t="n"/>
      <c r="L281" s="44" t="n"/>
      <c r="M281" s="44" t="n"/>
      <c r="N281" s="44" t="n"/>
      <c r="O281" s="44" t="n"/>
    </row>
    <row r="282" ht="54" customHeight="1">
      <c r="A282" s="44" t="n"/>
      <c r="B282" s="44" t="n"/>
      <c r="C282" s="44" t="n"/>
      <c r="D282" s="44" t="n"/>
      <c r="E282" s="44" t="n"/>
      <c r="F282" s="44" t="n"/>
      <c r="G282" s="44" t="n"/>
      <c r="H282" s="44" t="n"/>
      <c r="I282" s="44" t="n"/>
      <c r="J282" s="44" t="n"/>
      <c r="K282" s="44" t="n"/>
      <c r="L282" s="44" t="n"/>
      <c r="M282" s="44" t="n"/>
      <c r="N282" s="44" t="n"/>
      <c r="O282" s="44" t="n"/>
    </row>
    <row r="283" ht="54" customHeight="1">
      <c r="A283" s="44" t="n"/>
      <c r="B283" s="44" t="n"/>
      <c r="C283" s="44" t="n"/>
      <c r="D283" s="44" t="n"/>
      <c r="E283" s="44" t="n"/>
      <c r="F283" s="44" t="n"/>
      <c r="G283" s="44" t="n"/>
      <c r="H283" s="44" t="n"/>
      <c r="I283" s="44" t="n"/>
      <c r="J283" s="44" t="n"/>
      <c r="K283" s="44" t="n"/>
      <c r="L283" s="44" t="n"/>
      <c r="M283" s="44" t="n"/>
      <c r="N283" s="44" t="n"/>
      <c r="O283" s="44" t="n"/>
    </row>
    <row r="284" ht="54" customHeight="1">
      <c r="A284" s="44" t="n"/>
      <c r="B284" s="44" t="n"/>
      <c r="C284" s="44" t="n"/>
      <c r="D284" s="44" t="n"/>
      <c r="E284" s="44" t="n"/>
      <c r="F284" s="44" t="n"/>
      <c r="G284" s="44" t="n"/>
      <c r="H284" s="44" t="n"/>
      <c r="I284" s="44" t="n"/>
      <c r="J284" s="44" t="n"/>
      <c r="K284" s="44" t="n"/>
      <c r="L284" s="44" t="n"/>
      <c r="M284" s="44" t="n"/>
      <c r="N284" s="44" t="n"/>
      <c r="O284" s="44" t="n"/>
    </row>
    <row r="285" ht="54" customHeight="1">
      <c r="A285" s="44" t="n"/>
      <c r="B285" s="44" t="n"/>
      <c r="C285" s="44" t="n"/>
      <c r="D285" s="44" t="n"/>
      <c r="E285" s="44" t="n"/>
      <c r="F285" s="44" t="n"/>
      <c r="G285" s="44" t="n"/>
      <c r="H285" s="44" t="n"/>
      <c r="I285" s="44" t="n"/>
      <c r="J285" s="44" t="n"/>
      <c r="K285" s="44" t="n"/>
      <c r="L285" s="44" t="n"/>
      <c r="M285" s="44" t="n"/>
      <c r="N285" s="44" t="n"/>
      <c r="O285" s="44" t="n"/>
    </row>
    <row r="286" ht="54" customHeight="1">
      <c r="A286" s="44" t="n"/>
      <c r="B286" s="44" t="n"/>
      <c r="C286" s="44" t="n"/>
      <c r="D286" s="44" t="n"/>
      <c r="E286" s="44" t="n"/>
      <c r="F286" s="44" t="n"/>
      <c r="G286" s="44" t="n"/>
      <c r="H286" s="44" t="n"/>
      <c r="I286" s="44" t="n"/>
      <c r="J286" s="44" t="n"/>
      <c r="K286" s="44" t="n"/>
      <c r="L286" s="44" t="n"/>
      <c r="M286" s="44" t="n"/>
      <c r="N286" s="44" t="n"/>
      <c r="O286" s="44" t="n"/>
    </row>
    <row r="287" ht="54" customHeight="1">
      <c r="A287" s="44" t="n"/>
      <c r="B287" s="44" t="n"/>
      <c r="C287" s="44" t="n"/>
      <c r="D287" s="44" t="n"/>
      <c r="E287" s="44" t="n"/>
      <c r="F287" s="44" t="n"/>
      <c r="G287" s="44" t="n"/>
      <c r="H287" s="44" t="n"/>
      <c r="I287" s="44" t="n"/>
      <c r="J287" s="44" t="n"/>
      <c r="K287" s="44" t="n"/>
      <c r="L287" s="44" t="n"/>
      <c r="M287" s="44" t="n"/>
      <c r="N287" s="44" t="n"/>
      <c r="O287" s="44" t="n"/>
    </row>
    <row r="288" ht="54" customHeight="1">
      <c r="A288" s="44" t="n"/>
      <c r="B288" s="44" t="n"/>
      <c r="C288" s="44" t="n"/>
      <c r="D288" s="44" t="n"/>
      <c r="E288" s="44" t="n"/>
      <c r="F288" s="44" t="n"/>
      <c r="G288" s="44" t="n"/>
      <c r="H288" s="44" t="n"/>
      <c r="I288" s="44" t="n"/>
      <c r="J288" s="44" t="n"/>
      <c r="K288" s="44" t="n"/>
      <c r="L288" s="44" t="n"/>
      <c r="M288" s="44" t="n"/>
      <c r="N288" s="44" t="n"/>
      <c r="O288" s="44" t="n"/>
    </row>
    <row r="289" ht="54" customHeight="1">
      <c r="A289" s="44" t="n"/>
      <c r="B289" s="44" t="n"/>
      <c r="C289" s="44" t="n"/>
      <c r="D289" s="44" t="n"/>
      <c r="E289" s="44" t="n"/>
      <c r="F289" s="44" t="n"/>
      <c r="G289" s="44" t="n"/>
      <c r="H289" s="44" t="n"/>
      <c r="I289" s="44" t="n"/>
      <c r="J289" s="44" t="n"/>
      <c r="K289" s="44" t="n"/>
      <c r="L289" s="44" t="n"/>
      <c r="M289" s="44" t="n"/>
      <c r="N289" s="44" t="n"/>
      <c r="O289" s="44" t="n"/>
    </row>
    <row r="290" ht="54" customHeight="1">
      <c r="A290" s="44" t="n"/>
      <c r="B290" s="44" t="n"/>
      <c r="C290" s="44" t="n"/>
      <c r="D290" s="44" t="n"/>
      <c r="E290" s="44" t="n"/>
      <c r="F290" s="44" t="n"/>
      <c r="G290" s="44" t="n"/>
      <c r="H290" s="44" t="n"/>
      <c r="I290" s="44" t="n"/>
      <c r="J290" s="44" t="n"/>
      <c r="K290" s="44" t="n"/>
      <c r="L290" s="44" t="n"/>
      <c r="M290" s="44" t="n"/>
      <c r="N290" s="44" t="n"/>
      <c r="O290" s="44" t="n"/>
    </row>
    <row r="291" ht="54" customHeight="1">
      <c r="A291" s="44" t="n"/>
      <c r="B291" s="44" t="n"/>
      <c r="C291" s="44" t="n"/>
      <c r="D291" s="44" t="n"/>
      <c r="E291" s="44" t="n"/>
      <c r="F291" s="44" t="n"/>
      <c r="G291" s="44" t="n"/>
      <c r="H291" s="44" t="n"/>
      <c r="I291" s="44" t="n"/>
      <c r="J291" s="44" t="n"/>
      <c r="K291" s="44" t="n"/>
      <c r="L291" s="44" t="n"/>
      <c r="M291" s="44" t="n"/>
      <c r="N291" s="44" t="n"/>
      <c r="O291" s="44" t="n"/>
    </row>
    <row r="292" ht="54" customHeight="1">
      <c r="A292" s="44" t="n"/>
      <c r="B292" s="44" t="n"/>
      <c r="C292" s="44" t="n"/>
      <c r="D292" s="44" t="n"/>
      <c r="E292" s="44" t="n"/>
      <c r="F292" s="44" t="n"/>
      <c r="G292" s="44" t="n"/>
      <c r="H292" s="44" t="n"/>
      <c r="I292" s="44" t="n"/>
      <c r="J292" s="44" t="n"/>
      <c r="K292" s="44" t="n"/>
      <c r="L292" s="44" t="n"/>
      <c r="M292" s="44" t="n"/>
      <c r="N292" s="44" t="n"/>
      <c r="O292" s="44" t="n"/>
    </row>
    <row r="293" ht="54" customHeight="1">
      <c r="A293" s="44" t="n"/>
      <c r="B293" s="44" t="n"/>
      <c r="C293" s="44" t="n"/>
      <c r="D293" s="44" t="n"/>
      <c r="E293" s="44" t="n"/>
      <c r="F293" s="44" t="n"/>
      <c r="G293" s="44" t="n"/>
      <c r="H293" s="44" t="n"/>
      <c r="I293" s="44" t="n"/>
      <c r="J293" s="44" t="n"/>
      <c r="K293" s="44" t="n"/>
      <c r="L293" s="44" t="n"/>
      <c r="M293" s="44" t="n"/>
      <c r="N293" s="44" t="n"/>
      <c r="O293" s="44" t="n"/>
    </row>
    <row r="294" ht="54" customHeight="1">
      <c r="A294" s="44" t="n"/>
      <c r="B294" s="44" t="n"/>
      <c r="C294" s="44" t="n"/>
      <c r="D294" s="44" t="n"/>
      <c r="E294" s="44" t="n"/>
      <c r="F294" s="44" t="n"/>
      <c r="G294" s="44" t="n"/>
      <c r="H294" s="44" t="n"/>
      <c r="I294" s="44" t="n"/>
      <c r="J294" s="44" t="n"/>
      <c r="K294" s="44" t="n"/>
      <c r="L294" s="44" t="n"/>
      <c r="M294" s="44" t="n"/>
      <c r="N294" s="44" t="n"/>
      <c r="O294" s="44" t="n"/>
    </row>
    <row r="295" ht="54" customHeight="1">
      <c r="A295" s="44" t="n"/>
      <c r="B295" s="44" t="n"/>
      <c r="C295" s="44" t="n"/>
      <c r="D295" s="44" t="n"/>
      <c r="E295" s="44" t="n"/>
      <c r="F295" s="44" t="n"/>
      <c r="G295" s="44" t="n"/>
      <c r="H295" s="44" t="n"/>
      <c r="I295" s="44" t="n"/>
      <c r="J295" s="44" t="n"/>
      <c r="K295" s="44" t="n"/>
      <c r="L295" s="44" t="n"/>
      <c r="M295" s="44" t="n"/>
      <c r="N295" s="44" t="n"/>
      <c r="O295" s="44" t="n"/>
    </row>
    <row r="296" ht="54" customHeight="1">
      <c r="A296" s="44" t="n"/>
      <c r="B296" s="44" t="n"/>
      <c r="C296" s="44" t="n"/>
      <c r="D296" s="44" t="n"/>
      <c r="E296" s="44" t="n"/>
      <c r="F296" s="44" t="n"/>
      <c r="G296" s="44" t="n"/>
      <c r="H296" s="44" t="n"/>
      <c r="I296" s="44" t="n"/>
      <c r="J296" s="44" t="n"/>
      <c r="K296" s="44" t="n"/>
      <c r="L296" s="44" t="n"/>
      <c r="M296" s="44" t="n"/>
      <c r="N296" s="44" t="n"/>
      <c r="O296" s="44" t="n"/>
    </row>
    <row r="297" ht="54" customHeight="1">
      <c r="A297" s="44" t="n"/>
      <c r="B297" s="44" t="n"/>
      <c r="C297" s="44" t="n"/>
      <c r="D297" s="44" t="n"/>
      <c r="E297" s="44" t="n"/>
      <c r="F297" s="44" t="n"/>
      <c r="G297" s="44" t="n"/>
      <c r="H297" s="44" t="n"/>
      <c r="I297" s="44" t="n"/>
      <c r="J297" s="44" t="n"/>
      <c r="K297" s="44" t="n"/>
      <c r="L297" s="44" t="n"/>
      <c r="M297" s="44" t="n"/>
      <c r="N297" s="44" t="n"/>
      <c r="O297" s="44" t="n"/>
    </row>
    <row r="298" ht="54" customHeight="1">
      <c r="A298" s="44" t="n"/>
      <c r="B298" s="44" t="n"/>
      <c r="C298" s="44" t="n"/>
      <c r="D298" s="44" t="n"/>
      <c r="E298" s="44" t="n"/>
      <c r="F298" s="44" t="n"/>
      <c r="G298" s="44" t="n"/>
      <c r="H298" s="44" t="n"/>
      <c r="I298" s="44" t="n"/>
      <c r="J298" s="44" t="n"/>
      <c r="K298" s="44" t="n"/>
      <c r="L298" s="44" t="n"/>
      <c r="M298" s="44" t="n"/>
      <c r="N298" s="44" t="n"/>
      <c r="O298" s="44" t="n"/>
    </row>
    <row r="299" ht="54" customHeight="1">
      <c r="A299" s="44" t="n"/>
      <c r="B299" s="44" t="n"/>
      <c r="C299" s="44" t="n"/>
      <c r="D299" s="44" t="n"/>
      <c r="E299" s="44" t="n"/>
      <c r="F299" s="44" t="n"/>
      <c r="G299" s="44" t="n"/>
      <c r="H299" s="44" t="n"/>
      <c r="I299" s="44" t="n"/>
      <c r="J299" s="44" t="n"/>
      <c r="K299" s="44" t="n"/>
      <c r="L299" s="44" t="n"/>
      <c r="M299" s="44" t="n"/>
      <c r="N299" s="44" t="n"/>
      <c r="O299" s="44" t="n"/>
    </row>
    <row r="300" ht="54" customHeight="1">
      <c r="A300" s="44" t="n"/>
      <c r="B300" s="44" t="n"/>
      <c r="C300" s="44" t="n"/>
      <c r="D300" s="44" t="n"/>
      <c r="E300" s="44" t="n"/>
      <c r="F300" s="44" t="n"/>
      <c r="G300" s="44" t="n"/>
      <c r="H300" s="44" t="n"/>
      <c r="I300" s="44" t="n"/>
      <c r="J300" s="44" t="n"/>
      <c r="K300" s="44" t="n"/>
      <c r="L300" s="44" t="n"/>
      <c r="M300" s="44" t="n"/>
      <c r="N300" s="44" t="n"/>
      <c r="O300" s="44" t="n"/>
    </row>
    <row r="301" ht="54" customHeight="1">
      <c r="A301" s="44" t="n"/>
      <c r="B301" s="44" t="n"/>
      <c r="C301" s="44" t="n"/>
      <c r="D301" s="44" t="n"/>
      <c r="E301" s="44" t="n"/>
      <c r="F301" s="44" t="n"/>
      <c r="G301" s="44" t="n"/>
      <c r="H301" s="44" t="n"/>
      <c r="I301" s="44" t="n"/>
      <c r="J301" s="44" t="n"/>
      <c r="K301" s="44" t="n"/>
      <c r="L301" s="44" t="n"/>
      <c r="M301" s="44" t="n"/>
      <c r="N301" s="44" t="n"/>
      <c r="O301" s="44" t="n"/>
    </row>
    <row r="302" ht="54" customHeight="1">
      <c r="A302" s="44" t="n"/>
      <c r="B302" s="44" t="n"/>
      <c r="C302" s="44" t="n"/>
      <c r="D302" s="44" t="n"/>
      <c r="E302" s="44" t="n"/>
      <c r="F302" s="44" t="n"/>
      <c r="G302" s="44" t="n"/>
      <c r="H302" s="44" t="n"/>
      <c r="I302" s="44" t="n"/>
      <c r="J302" s="44" t="n"/>
      <c r="K302" s="44" t="n"/>
      <c r="L302" s="44" t="n"/>
      <c r="M302" s="44" t="n"/>
      <c r="N302" s="44" t="n"/>
      <c r="O302" s="44" t="n"/>
    </row>
    <row r="303" ht="54" customHeight="1">
      <c r="A303" s="44" t="n"/>
      <c r="B303" s="44" t="n"/>
      <c r="C303" s="44" t="n"/>
      <c r="D303" s="44" t="n"/>
      <c r="E303" s="44" t="n"/>
      <c r="F303" s="44" t="n"/>
      <c r="G303" s="44" t="n"/>
      <c r="H303" s="44" t="n"/>
      <c r="I303" s="44" t="n"/>
      <c r="J303" s="44" t="n"/>
      <c r="K303" s="44" t="n"/>
      <c r="L303" s="44" t="n"/>
      <c r="M303" s="44" t="n"/>
      <c r="N303" s="44" t="n"/>
      <c r="O303" s="44" t="n"/>
    </row>
    <row r="304" ht="54" customHeight="1">
      <c r="A304" s="44" t="n"/>
      <c r="B304" s="44" t="n"/>
      <c r="C304" s="44" t="n"/>
      <c r="D304" s="44" t="n"/>
      <c r="E304" s="44" t="n"/>
      <c r="F304" s="44" t="n"/>
      <c r="G304" s="44" t="n"/>
      <c r="H304" s="44" t="n"/>
      <c r="I304" s="44" t="n"/>
      <c r="J304" s="44" t="n"/>
      <c r="K304" s="44" t="n"/>
      <c r="L304" s="44" t="n"/>
      <c r="M304" s="44" t="n"/>
      <c r="N304" s="44" t="n"/>
      <c r="O304" s="44" t="n"/>
    </row>
    <row r="305" ht="54" customHeight="1">
      <c r="A305" s="44" t="n"/>
      <c r="B305" s="44" t="n"/>
      <c r="C305" s="44" t="n"/>
      <c r="D305" s="44" t="n"/>
      <c r="E305" s="44" t="n"/>
      <c r="F305" s="44" t="n"/>
      <c r="G305" s="44" t="n"/>
      <c r="H305" s="44" t="n"/>
      <c r="I305" s="44" t="n"/>
      <c r="J305" s="44" t="n"/>
      <c r="K305" s="44" t="n"/>
      <c r="L305" s="44" t="n"/>
      <c r="M305" s="44" t="n"/>
      <c r="N305" s="44" t="n"/>
      <c r="O305" s="44" t="n"/>
    </row>
    <row r="306" ht="54" customHeight="1">
      <c r="A306" s="44" t="n"/>
      <c r="B306" s="44" t="n"/>
      <c r="C306" s="44" t="n"/>
      <c r="D306" s="44" t="n"/>
      <c r="E306" s="44" t="n"/>
      <c r="F306" s="44" t="n"/>
      <c r="G306" s="44" t="n"/>
      <c r="H306" s="44" t="n"/>
      <c r="I306" s="44" t="n"/>
      <c r="J306" s="44" t="n"/>
      <c r="K306" s="44" t="n"/>
      <c r="L306" s="44" t="n"/>
      <c r="M306" s="44" t="n"/>
      <c r="N306" s="44" t="n"/>
      <c r="O306" s="44" t="n"/>
    </row>
    <row r="307" ht="54" customHeight="1">
      <c r="A307" s="44" t="n"/>
      <c r="B307" s="44" t="n"/>
      <c r="C307" s="44" t="n"/>
      <c r="D307" s="44" t="n"/>
      <c r="E307" s="44" t="n"/>
      <c r="F307" s="44" t="n"/>
      <c r="G307" s="44" t="n"/>
      <c r="H307" s="44" t="n"/>
      <c r="I307" s="44" t="n"/>
      <c r="J307" s="44" t="n"/>
      <c r="K307" s="44" t="n"/>
      <c r="L307" s="44" t="n"/>
      <c r="M307" s="44" t="n"/>
      <c r="N307" s="44" t="n"/>
      <c r="O307" s="44" t="n"/>
    </row>
    <row r="308" ht="54" customHeight="1">
      <c r="A308" s="44" t="n"/>
      <c r="B308" s="44" t="n"/>
      <c r="C308" s="44" t="n"/>
      <c r="D308" s="44" t="n"/>
      <c r="E308" s="44" t="n"/>
      <c r="F308" s="44" t="n"/>
      <c r="G308" s="44" t="n"/>
      <c r="H308" s="44" t="n"/>
      <c r="I308" s="44" t="n"/>
      <c r="J308" s="44" t="n"/>
      <c r="K308" s="44" t="n"/>
      <c r="L308" s="44" t="n"/>
      <c r="M308" s="44" t="n"/>
      <c r="N308" s="44" t="n"/>
      <c r="O308" s="44" t="n"/>
    </row>
    <row r="309" ht="54" customHeight="1">
      <c r="A309" s="44" t="n"/>
      <c r="B309" s="44" t="n"/>
      <c r="C309" s="44" t="n"/>
      <c r="D309" s="44" t="n"/>
      <c r="E309" s="44" t="n"/>
      <c r="F309" s="44" t="n"/>
      <c r="G309" s="44" t="n"/>
      <c r="H309" s="44" t="n"/>
      <c r="I309" s="44" t="n"/>
      <c r="J309" s="44" t="n"/>
      <c r="K309" s="44" t="n"/>
      <c r="L309" s="44" t="n"/>
      <c r="M309" s="44" t="n"/>
      <c r="N309" s="44" t="n"/>
      <c r="O309" s="44" t="n"/>
    </row>
    <row r="310" ht="54" customHeight="1">
      <c r="A310" s="44" t="n"/>
      <c r="B310" s="44" t="n"/>
      <c r="C310" s="44" t="n"/>
      <c r="D310" s="44" t="n"/>
      <c r="E310" s="44" t="n"/>
      <c r="F310" s="44" t="n"/>
      <c r="G310" s="44" t="n"/>
      <c r="H310" s="44" t="n"/>
      <c r="I310" s="44" t="n"/>
      <c r="J310" s="44" t="n"/>
      <c r="K310" s="44" t="n"/>
      <c r="L310" s="44" t="n"/>
      <c r="M310" s="44" t="n"/>
      <c r="N310" s="44" t="n"/>
      <c r="O310" s="44" t="n"/>
    </row>
    <row r="311" ht="54" customHeight="1">
      <c r="A311" s="44" t="n"/>
      <c r="B311" s="44" t="n"/>
      <c r="C311" s="44" t="n"/>
      <c r="D311" s="44" t="n"/>
      <c r="E311" s="44" t="n"/>
      <c r="F311" s="44" t="n"/>
      <c r="G311" s="44" t="n"/>
      <c r="H311" s="44" t="n"/>
      <c r="I311" s="44" t="n"/>
      <c r="J311" s="44" t="n"/>
      <c r="K311" s="44" t="n"/>
      <c r="L311" s="44" t="n"/>
      <c r="M311" s="44" t="n"/>
      <c r="N311" s="44" t="n"/>
      <c r="O311" s="44" t="n"/>
    </row>
    <row r="312" ht="54" customHeight="1">
      <c r="A312" s="44" t="n"/>
      <c r="B312" s="44" t="n"/>
      <c r="C312" s="44" t="n"/>
      <c r="D312" s="44" t="n"/>
      <c r="E312" s="44" t="n"/>
      <c r="F312" s="44" t="n"/>
      <c r="G312" s="44" t="n"/>
      <c r="H312" s="44" t="n"/>
      <c r="I312" s="44" t="n"/>
      <c r="J312" s="44" t="n"/>
      <c r="K312" s="44" t="n"/>
      <c r="L312" s="44" t="n"/>
      <c r="M312" s="44" t="n"/>
      <c r="N312" s="44" t="n"/>
      <c r="O312" s="44" t="n"/>
    </row>
    <row r="313" ht="54" customHeight="1">
      <c r="A313" s="44" t="n"/>
      <c r="B313" s="44" t="n"/>
      <c r="C313" s="44" t="n"/>
      <c r="D313" s="44" t="n"/>
      <c r="E313" s="44" t="n"/>
      <c r="F313" s="44" t="n"/>
      <c r="G313" s="44" t="n"/>
      <c r="H313" s="44" t="n"/>
      <c r="I313" s="44" t="n"/>
      <c r="J313" s="44" t="n"/>
      <c r="K313" s="44" t="n"/>
      <c r="L313" s="44" t="n"/>
      <c r="M313" s="44" t="n"/>
      <c r="N313" s="44" t="n"/>
      <c r="O313" s="44" t="n"/>
    </row>
    <row r="314" ht="54" customHeight="1">
      <c r="A314" s="44" t="n"/>
      <c r="B314" s="44" t="n"/>
      <c r="C314" s="44" t="n"/>
      <c r="D314" s="44" t="n"/>
      <c r="E314" s="44" t="n"/>
      <c r="F314" s="44" t="n"/>
      <c r="G314" s="44" t="n"/>
      <c r="H314" s="44" t="n"/>
      <c r="I314" s="44" t="n"/>
      <c r="J314" s="44" t="n"/>
      <c r="K314" s="44" t="n"/>
      <c r="L314" s="44" t="n"/>
      <c r="M314" s="44" t="n"/>
      <c r="N314" s="44" t="n"/>
      <c r="O314" s="44" t="n"/>
    </row>
    <row r="315" ht="54" customHeight="1">
      <c r="A315" s="44" t="n"/>
      <c r="B315" s="44" t="n"/>
      <c r="C315" s="44" t="n"/>
      <c r="D315" s="44" t="n"/>
      <c r="E315" s="44" t="n"/>
      <c r="F315" s="44" t="n"/>
      <c r="G315" s="44" t="n"/>
      <c r="H315" s="44" t="n"/>
      <c r="I315" s="44" t="n"/>
      <c r="J315" s="44" t="n"/>
      <c r="K315" s="44" t="n"/>
      <c r="L315" s="44" t="n"/>
      <c r="M315" s="44" t="n"/>
      <c r="N315" s="44" t="n"/>
      <c r="O315" s="44" t="n"/>
    </row>
    <row r="316" ht="54" customHeight="1">
      <c r="A316" s="44" t="n"/>
      <c r="B316" s="44" t="n"/>
      <c r="C316" s="44" t="n"/>
      <c r="D316" s="44" t="n"/>
      <c r="E316" s="44" t="n"/>
      <c r="F316" s="44" t="n"/>
      <c r="G316" s="44" t="n"/>
      <c r="H316" s="44" t="n"/>
      <c r="I316" s="44" t="n"/>
      <c r="J316" s="44" t="n"/>
      <c r="K316" s="44" t="n"/>
      <c r="L316" s="44" t="n"/>
      <c r="M316" s="44" t="n"/>
      <c r="N316" s="44" t="n"/>
      <c r="O316" s="44" t="n"/>
    </row>
    <row r="317" ht="54" customHeight="1">
      <c r="A317" s="44" t="n"/>
      <c r="B317" s="44" t="n"/>
      <c r="C317" s="44" t="n"/>
      <c r="D317" s="44" t="n"/>
      <c r="E317" s="44" t="n"/>
      <c r="F317" s="44" t="n"/>
      <c r="G317" s="44" t="n"/>
      <c r="H317" s="44" t="n"/>
      <c r="I317" s="44" t="n"/>
      <c r="J317" s="44" t="n"/>
      <c r="K317" s="44" t="n"/>
      <c r="L317" s="44" t="n"/>
      <c r="M317" s="44" t="n"/>
      <c r="N317" s="44" t="n"/>
      <c r="O317" s="44" t="n"/>
    </row>
    <row r="318" ht="54" customHeight="1">
      <c r="A318" s="44" t="n"/>
      <c r="B318" s="44" t="n"/>
      <c r="C318" s="44" t="n"/>
      <c r="D318" s="44" t="n"/>
      <c r="E318" s="44" t="n"/>
      <c r="F318" s="44" t="n"/>
      <c r="G318" s="44" t="n"/>
      <c r="H318" s="44" t="n"/>
      <c r="I318" s="44" t="n"/>
      <c r="J318" s="44" t="n"/>
      <c r="K318" s="44" t="n"/>
      <c r="L318" s="44" t="n"/>
      <c r="M318" s="44" t="n"/>
      <c r="N318" s="44" t="n"/>
      <c r="O318" s="44" t="n"/>
    </row>
    <row r="319" ht="54" customHeight="1">
      <c r="A319" s="44" t="n"/>
      <c r="B319" s="44" t="n"/>
      <c r="C319" s="44" t="n"/>
      <c r="D319" s="44" t="n"/>
      <c r="E319" s="44" t="n"/>
      <c r="F319" s="44" t="n"/>
      <c r="G319" s="44" t="n"/>
      <c r="H319" s="44" t="n"/>
      <c r="I319" s="44" t="n"/>
      <c r="J319" s="44" t="n"/>
      <c r="K319" s="44" t="n"/>
      <c r="L319" s="44" t="n"/>
      <c r="M319" s="44" t="n"/>
      <c r="N319" s="44" t="n"/>
      <c r="O319" s="44" t="n"/>
    </row>
    <row r="320" ht="54" customHeight="1">
      <c r="A320" s="44" t="n"/>
      <c r="B320" s="44" t="n"/>
      <c r="C320" s="44" t="n"/>
      <c r="D320" s="44" t="n"/>
      <c r="E320" s="44" t="n"/>
      <c r="F320" s="44" t="n"/>
      <c r="G320" s="44" t="n"/>
      <c r="H320" s="44" t="n"/>
      <c r="I320" s="44" t="n"/>
      <c r="J320" s="44" t="n"/>
      <c r="K320" s="44" t="n"/>
      <c r="L320" s="44" t="n"/>
      <c r="M320" s="44" t="n"/>
      <c r="N320" s="44" t="n"/>
      <c r="O320" s="44" t="n"/>
    </row>
    <row r="321" ht="54" customHeight="1">
      <c r="A321" s="44" t="n"/>
      <c r="B321" s="44" t="n"/>
      <c r="C321" s="44" t="n"/>
      <c r="D321" s="44" t="n"/>
      <c r="E321" s="44" t="n"/>
      <c r="F321" s="44" t="n"/>
      <c r="G321" s="44" t="n"/>
      <c r="H321" s="44" t="n"/>
      <c r="I321" s="44" t="n"/>
      <c r="J321" s="44" t="n"/>
      <c r="K321" s="44" t="n"/>
      <c r="L321" s="44" t="n"/>
      <c r="M321" s="44" t="n"/>
      <c r="N321" s="44" t="n"/>
      <c r="O321" s="44" t="n"/>
    </row>
    <row r="322" ht="54" customHeight="1">
      <c r="A322" s="44" t="n"/>
      <c r="B322" s="44" t="n"/>
      <c r="C322" s="44" t="n"/>
      <c r="D322" s="44" t="n"/>
      <c r="E322" s="44" t="n"/>
      <c r="F322" s="44" t="n"/>
      <c r="G322" s="44" t="n"/>
      <c r="H322" s="44" t="n"/>
      <c r="I322" s="44" t="n"/>
      <c r="J322" s="44" t="n"/>
      <c r="K322" s="44" t="n"/>
      <c r="L322" s="44" t="n"/>
      <c r="M322" s="44" t="n"/>
      <c r="N322" s="44" t="n"/>
      <c r="O322" s="44" t="n"/>
    </row>
    <row r="323" ht="54" customHeight="1">
      <c r="A323" s="44" t="n"/>
      <c r="B323" s="44" t="n"/>
      <c r="C323" s="44" t="n"/>
      <c r="D323" s="44" t="n"/>
      <c r="E323" s="44" t="n"/>
      <c r="F323" s="44" t="n"/>
      <c r="G323" s="44" t="n"/>
      <c r="H323" s="44" t="n"/>
      <c r="I323" s="44" t="n"/>
      <c r="J323" s="44" t="n"/>
      <c r="K323" s="44" t="n"/>
      <c r="L323" s="44" t="n"/>
      <c r="M323" s="44" t="n"/>
      <c r="N323" s="44" t="n"/>
      <c r="O323" s="44" t="n"/>
    </row>
    <row r="324" ht="54" customHeight="1">
      <c r="A324" s="44" t="n"/>
      <c r="B324" s="44" t="n"/>
      <c r="C324" s="44" t="n"/>
      <c r="D324" s="44" t="n"/>
      <c r="E324" s="44" t="n"/>
      <c r="F324" s="44" t="n"/>
      <c r="G324" s="44" t="n"/>
      <c r="H324" s="44" t="n"/>
      <c r="I324" s="44" t="n"/>
      <c r="J324" s="44" t="n"/>
      <c r="K324" s="44" t="n"/>
      <c r="L324" s="44" t="n"/>
      <c r="M324" s="44" t="n"/>
      <c r="N324" s="44" t="n"/>
      <c r="O324" s="44" t="n"/>
    </row>
    <row r="325" ht="54" customHeight="1">
      <c r="A325" s="44" t="n"/>
      <c r="B325" s="44" t="n"/>
      <c r="C325" s="44" t="n"/>
      <c r="D325" s="44" t="n"/>
      <c r="E325" s="44" t="n"/>
      <c r="F325" s="44" t="n"/>
      <c r="G325" s="44" t="n"/>
      <c r="H325" s="44" t="n"/>
      <c r="I325" s="44" t="n"/>
      <c r="J325" s="44" t="n"/>
      <c r="K325" s="44" t="n"/>
      <c r="L325" s="44" t="n"/>
      <c r="M325" s="44" t="n"/>
      <c r="N325" s="44" t="n"/>
      <c r="O325" s="44" t="n"/>
    </row>
    <row r="326" ht="54" customHeight="1">
      <c r="A326" s="44" t="n"/>
      <c r="B326" s="44" t="n"/>
      <c r="C326" s="44" t="n"/>
      <c r="D326" s="44" t="n"/>
      <c r="E326" s="44" t="n"/>
      <c r="F326" s="44" t="n"/>
      <c r="G326" s="44" t="n"/>
      <c r="H326" s="44" t="n"/>
      <c r="I326" s="44" t="n"/>
      <c r="J326" s="44" t="n"/>
      <c r="K326" s="44" t="n"/>
      <c r="L326" s="44" t="n"/>
      <c r="M326" s="44" t="n"/>
      <c r="N326" s="44" t="n"/>
      <c r="O326" s="44" t="n"/>
    </row>
    <row r="327" ht="54" customHeight="1">
      <c r="A327" s="44" t="n"/>
      <c r="B327" s="44" t="n"/>
      <c r="C327" s="44" t="n"/>
      <c r="D327" s="44" t="n"/>
      <c r="E327" s="44" t="n"/>
      <c r="F327" s="44" t="n"/>
      <c r="G327" s="44" t="n"/>
      <c r="H327" s="44" t="n"/>
      <c r="I327" s="44" t="n"/>
      <c r="J327" s="44" t="n"/>
      <c r="K327" s="44" t="n"/>
      <c r="L327" s="44" t="n"/>
      <c r="M327" s="44" t="n"/>
      <c r="N327" s="44" t="n"/>
      <c r="O327" s="44" t="n"/>
    </row>
    <row r="328" ht="54" customHeight="1">
      <c r="A328" s="44" t="n"/>
      <c r="B328" s="44" t="n"/>
      <c r="C328" s="44" t="n"/>
      <c r="D328" s="44" t="n"/>
      <c r="E328" s="44" t="n"/>
      <c r="F328" s="44" t="n"/>
      <c r="G328" s="44" t="n"/>
      <c r="H328" s="44" t="n"/>
      <c r="I328" s="44" t="n"/>
      <c r="J328" s="44" t="n"/>
      <c r="K328" s="44" t="n"/>
      <c r="L328" s="44" t="n"/>
      <c r="M328" s="44" t="n"/>
      <c r="N328" s="44" t="n"/>
      <c r="O328" s="44" t="n"/>
    </row>
    <row r="329" ht="54" customHeight="1">
      <c r="A329" s="44" t="n"/>
      <c r="B329" s="44" t="n"/>
      <c r="C329" s="44" t="n"/>
      <c r="D329" s="44" t="n"/>
      <c r="E329" s="44" t="n"/>
      <c r="F329" s="44" t="n"/>
      <c r="G329" s="44" t="n"/>
      <c r="H329" s="44" t="n"/>
      <c r="I329" s="44" t="n"/>
      <c r="J329" s="44" t="n"/>
      <c r="K329" s="44" t="n"/>
      <c r="L329" s="44" t="n"/>
      <c r="M329" s="44" t="n"/>
      <c r="N329" s="44" t="n"/>
      <c r="O329" s="44" t="n"/>
    </row>
    <row r="330" ht="54" customHeight="1">
      <c r="A330" s="44" t="n"/>
      <c r="B330" s="44" t="n"/>
      <c r="C330" s="44" t="n"/>
      <c r="D330" s="44" t="n"/>
      <c r="E330" s="44" t="n"/>
      <c r="F330" s="44" t="n"/>
      <c r="G330" s="44" t="n"/>
      <c r="H330" s="44" t="n"/>
      <c r="I330" s="44" t="n"/>
      <c r="J330" s="44" t="n"/>
      <c r="K330" s="44" t="n"/>
      <c r="L330" s="44" t="n"/>
      <c r="M330" s="44" t="n"/>
      <c r="N330" s="44" t="n"/>
      <c r="O330" s="44" t="n"/>
    </row>
    <row r="331" ht="54" customHeight="1">
      <c r="A331" s="44" t="n"/>
      <c r="B331" s="44" t="n"/>
      <c r="C331" s="44" t="n"/>
      <c r="D331" s="44" t="n"/>
      <c r="E331" s="44" t="n"/>
      <c r="F331" s="44" t="n"/>
      <c r="G331" s="44" t="n"/>
      <c r="H331" s="44" t="n"/>
      <c r="I331" s="44" t="n"/>
      <c r="J331" s="44" t="n"/>
      <c r="K331" s="44" t="n"/>
      <c r="L331" s="44" t="n"/>
      <c r="M331" s="44" t="n"/>
      <c r="N331" s="44" t="n"/>
      <c r="O331" s="44" t="n"/>
    </row>
    <row r="332" ht="54" customHeight="1">
      <c r="A332" s="44" t="n"/>
      <c r="B332" s="44" t="n"/>
      <c r="C332" s="44" t="n"/>
      <c r="D332" s="44" t="n"/>
      <c r="E332" s="44" t="n"/>
      <c r="F332" s="44" t="n"/>
      <c r="G332" s="44" t="n"/>
      <c r="H332" s="44" t="n"/>
      <c r="I332" s="44" t="n"/>
      <c r="J332" s="44" t="n"/>
      <c r="K332" s="44" t="n"/>
      <c r="L332" s="44" t="n"/>
      <c r="M332" s="44" t="n"/>
      <c r="N332" s="44" t="n"/>
      <c r="O332" s="44" t="n"/>
    </row>
    <row r="333" ht="54" customHeight="1">
      <c r="A333" s="44" t="n"/>
      <c r="B333" s="44" t="n"/>
      <c r="C333" s="44" t="n"/>
      <c r="D333" s="44" t="n"/>
      <c r="E333" s="44" t="n"/>
      <c r="F333" s="44" t="n"/>
      <c r="G333" s="44" t="n"/>
      <c r="H333" s="44" t="n"/>
      <c r="I333" s="44" t="n"/>
      <c r="J333" s="44" t="n"/>
      <c r="K333" s="44" t="n"/>
      <c r="L333" s="44" t="n"/>
      <c r="M333" s="44" t="n"/>
      <c r="N333" s="44" t="n"/>
      <c r="O333" s="44" t="n"/>
    </row>
    <row r="334" ht="54" customHeight="1">
      <c r="A334" s="44" t="n"/>
      <c r="B334" s="44" t="n"/>
      <c r="C334" s="44" t="n"/>
      <c r="D334" s="44" t="n"/>
      <c r="E334" s="44" t="n"/>
      <c r="F334" s="44" t="n"/>
      <c r="G334" s="44" t="n"/>
      <c r="H334" s="44" t="n"/>
      <c r="I334" s="44" t="n"/>
      <c r="J334" s="44" t="n"/>
      <c r="K334" s="44" t="n"/>
      <c r="L334" s="44" t="n"/>
      <c r="M334" s="44" t="n"/>
      <c r="N334" s="44" t="n"/>
      <c r="O334" s="44" t="n"/>
    </row>
    <row r="335" ht="54" customHeight="1">
      <c r="A335" s="44" t="n"/>
      <c r="B335" s="44" t="n"/>
      <c r="C335" s="44" t="n"/>
      <c r="D335" s="44" t="n"/>
      <c r="E335" s="44" t="n"/>
      <c r="F335" s="44" t="n"/>
      <c r="G335" s="44" t="n"/>
      <c r="H335" s="44" t="n"/>
      <c r="I335" s="44" t="n"/>
      <c r="J335" s="44" t="n"/>
      <c r="K335" s="44" t="n"/>
      <c r="L335" s="44" t="n"/>
      <c r="M335" s="44" t="n"/>
      <c r="N335" s="44" t="n"/>
      <c r="O335" s="44" t="n"/>
    </row>
    <row r="336" ht="54" customHeight="1">
      <c r="A336" s="44" t="n"/>
      <c r="B336" s="44" t="n"/>
      <c r="C336" s="44" t="n"/>
      <c r="D336" s="44" t="n"/>
      <c r="E336" s="44" t="n"/>
      <c r="F336" s="44" t="n"/>
      <c r="G336" s="44" t="n"/>
      <c r="H336" s="44" t="n"/>
      <c r="I336" s="44" t="n"/>
      <c r="J336" s="44" t="n"/>
      <c r="K336" s="44" t="n"/>
      <c r="L336" s="44" t="n"/>
      <c r="M336" s="44" t="n"/>
      <c r="N336" s="44" t="n"/>
      <c r="O336" s="44" t="n"/>
    </row>
    <row r="337" ht="54" customHeight="1">
      <c r="A337" s="44" t="n"/>
      <c r="B337" s="44" t="n"/>
      <c r="C337" s="44" t="n"/>
      <c r="D337" s="44" t="n"/>
      <c r="E337" s="44" t="n"/>
      <c r="F337" s="44" t="n"/>
      <c r="G337" s="44" t="n"/>
      <c r="H337" s="44" t="n"/>
      <c r="I337" s="44" t="n"/>
      <c r="J337" s="44" t="n"/>
      <c r="K337" s="44" t="n"/>
      <c r="L337" s="44" t="n"/>
      <c r="M337" s="44" t="n"/>
      <c r="N337" s="44" t="n"/>
      <c r="O337" s="44" t="n"/>
    </row>
    <row r="338" ht="54" customHeight="1">
      <c r="A338" s="44" t="n"/>
      <c r="B338" s="44" t="n"/>
      <c r="C338" s="44" t="n"/>
      <c r="D338" s="44" t="n"/>
      <c r="E338" s="44" t="n"/>
      <c r="F338" s="44" t="n"/>
      <c r="G338" s="44" t="n"/>
      <c r="H338" s="44" t="n"/>
      <c r="I338" s="44" t="n"/>
      <c r="J338" s="44" t="n"/>
      <c r="K338" s="44" t="n"/>
      <c r="L338" s="44" t="n"/>
      <c r="M338" s="44" t="n"/>
      <c r="N338" s="44" t="n"/>
      <c r="O338" s="44" t="n"/>
    </row>
    <row r="339" ht="54" customHeight="1">
      <c r="A339" s="44" t="n"/>
      <c r="B339" s="44" t="n"/>
      <c r="C339" s="44" t="n"/>
      <c r="D339" s="44" t="n"/>
      <c r="E339" s="44" t="n"/>
      <c r="F339" s="44" t="n"/>
      <c r="G339" s="44" t="n"/>
      <c r="H339" s="44" t="n"/>
      <c r="I339" s="44" t="n"/>
      <c r="J339" s="44" t="n"/>
      <c r="K339" s="44" t="n"/>
      <c r="L339" s="44" t="n"/>
      <c r="M339" s="44" t="n"/>
      <c r="N339" s="44" t="n"/>
      <c r="O339" s="44" t="n"/>
    </row>
    <row r="340" ht="54" customHeight="1">
      <c r="A340" s="44" t="n"/>
      <c r="B340" s="44" t="n"/>
      <c r="C340" s="44" t="n"/>
      <c r="D340" s="44" t="n"/>
      <c r="E340" s="44" t="n"/>
      <c r="F340" s="44" t="n"/>
      <c r="G340" s="44" t="n"/>
      <c r="H340" s="44" t="n"/>
      <c r="I340" s="44" t="n"/>
      <c r="J340" s="44" t="n"/>
      <c r="K340" s="44" t="n"/>
      <c r="L340" s="44" t="n"/>
      <c r="M340" s="44" t="n"/>
      <c r="N340" s="44" t="n"/>
      <c r="O340" s="44" t="n"/>
    </row>
    <row r="341" ht="54" customHeight="1">
      <c r="A341" s="44" t="n"/>
      <c r="B341" s="44" t="n"/>
      <c r="C341" s="44" t="n"/>
      <c r="D341" s="44" t="n"/>
      <c r="E341" s="44" t="n"/>
      <c r="F341" s="44" t="n"/>
      <c r="G341" s="44" t="n"/>
      <c r="H341" s="44" t="n"/>
      <c r="I341" s="44" t="n"/>
      <c r="J341" s="44" t="n"/>
      <c r="K341" s="44" t="n"/>
      <c r="L341" s="44" t="n"/>
      <c r="M341" s="44" t="n"/>
      <c r="N341" s="44" t="n"/>
      <c r="O341" s="44" t="n"/>
    </row>
    <row r="342" ht="54" customHeight="1">
      <c r="A342" s="44" t="n"/>
      <c r="B342" s="44" t="n"/>
      <c r="C342" s="44" t="n"/>
      <c r="D342" s="44" t="n"/>
      <c r="E342" s="44" t="n"/>
      <c r="F342" s="44" t="n"/>
      <c r="G342" s="44" t="n"/>
      <c r="H342" s="44" t="n"/>
      <c r="I342" s="44" t="n"/>
      <c r="J342" s="44" t="n"/>
      <c r="K342" s="44" t="n"/>
      <c r="L342" s="44" t="n"/>
      <c r="M342" s="44" t="n"/>
      <c r="N342" s="44" t="n"/>
      <c r="O342" s="44" t="n"/>
    </row>
    <row r="343" ht="54" customHeight="1">
      <c r="A343" s="44" t="n"/>
      <c r="B343" s="44" t="n"/>
      <c r="C343" s="44" t="n"/>
      <c r="D343" s="44" t="n"/>
      <c r="E343" s="44" t="n"/>
      <c r="F343" s="44" t="n"/>
      <c r="G343" s="44" t="n"/>
      <c r="H343" s="44" t="n"/>
      <c r="I343" s="44" t="n"/>
      <c r="J343" s="44" t="n"/>
      <c r="K343" s="44" t="n"/>
      <c r="L343" s="44" t="n"/>
      <c r="M343" s="44" t="n"/>
      <c r="N343" s="44" t="n"/>
      <c r="O343" s="44" t="n"/>
    </row>
    <row r="344" ht="54" customHeight="1">
      <c r="A344" s="44" t="n"/>
      <c r="B344" s="44" t="n"/>
      <c r="C344" s="44" t="n"/>
      <c r="D344" s="44" t="n"/>
      <c r="E344" s="44" t="n"/>
      <c r="F344" s="44" t="n"/>
      <c r="G344" s="44" t="n"/>
      <c r="H344" s="44" t="n"/>
      <c r="I344" s="44" t="n"/>
      <c r="J344" s="44" t="n"/>
      <c r="K344" s="44" t="n"/>
      <c r="L344" s="44" t="n"/>
      <c r="M344" s="44" t="n"/>
      <c r="N344" s="44" t="n"/>
      <c r="O344" s="44" t="n"/>
    </row>
    <row r="345" ht="54" customHeight="1">
      <c r="A345" s="44" t="n"/>
      <c r="B345" s="44" t="n"/>
      <c r="C345" s="44" t="n"/>
      <c r="D345" s="44" t="n"/>
      <c r="E345" s="44" t="n"/>
      <c r="F345" s="44" t="n"/>
      <c r="G345" s="44" t="n"/>
      <c r="H345" s="44" t="n"/>
      <c r="I345" s="44" t="n"/>
      <c r="J345" s="44" t="n"/>
      <c r="K345" s="44" t="n"/>
      <c r="L345" s="44" t="n"/>
      <c r="M345" s="44" t="n"/>
      <c r="N345" s="44" t="n"/>
      <c r="O345" s="44" t="n"/>
    </row>
    <row r="346" ht="54" customHeight="1">
      <c r="A346" s="44" t="n"/>
      <c r="B346" s="44" t="n"/>
      <c r="C346" s="44" t="n"/>
      <c r="D346" s="44" t="n"/>
      <c r="E346" s="44" t="n"/>
      <c r="F346" s="44" t="n"/>
      <c r="G346" s="44" t="n"/>
      <c r="H346" s="44" t="n"/>
      <c r="I346" s="44" t="n"/>
      <c r="J346" s="44" t="n"/>
      <c r="K346" s="44" t="n"/>
      <c r="L346" s="44" t="n"/>
      <c r="M346" s="44" t="n"/>
      <c r="N346" s="44" t="n"/>
      <c r="O346" s="44" t="n"/>
    </row>
    <row r="347" ht="54" customHeight="1">
      <c r="A347" s="44" t="n"/>
      <c r="B347" s="44" t="n"/>
      <c r="C347" s="44" t="n"/>
      <c r="D347" s="44" t="n"/>
      <c r="E347" s="44" t="n"/>
      <c r="F347" s="44" t="n"/>
      <c r="G347" s="44" t="n"/>
      <c r="H347" s="44" t="n"/>
      <c r="I347" s="44" t="n"/>
      <c r="J347" s="44" t="n"/>
      <c r="K347" s="44" t="n"/>
      <c r="L347" s="44" t="n"/>
      <c r="M347" s="44" t="n"/>
      <c r="N347" s="44" t="n"/>
      <c r="O347" s="44" t="n"/>
    </row>
    <row r="348" ht="54" customHeight="1">
      <c r="A348" s="44" t="n"/>
      <c r="B348" s="44" t="n"/>
      <c r="C348" s="44" t="n"/>
      <c r="D348" s="44" t="n"/>
      <c r="E348" s="44" t="n"/>
      <c r="F348" s="44" t="n"/>
      <c r="G348" s="44" t="n"/>
      <c r="H348" s="44" t="n"/>
      <c r="I348" s="44" t="n"/>
      <c r="J348" s="44" t="n"/>
      <c r="K348" s="44" t="n"/>
      <c r="L348" s="44" t="n"/>
      <c r="M348" s="44" t="n"/>
      <c r="N348" s="44" t="n"/>
      <c r="O348" s="44" t="n"/>
    </row>
    <row r="349" ht="54" customHeight="1">
      <c r="A349" s="44" t="n"/>
      <c r="B349" s="44" t="n"/>
      <c r="C349" s="44" t="n"/>
      <c r="D349" s="44" t="n"/>
      <c r="E349" s="44" t="n"/>
      <c r="F349" s="44" t="n"/>
      <c r="G349" s="44" t="n"/>
      <c r="H349" s="44" t="n"/>
      <c r="I349" s="44" t="n"/>
      <c r="J349" s="44" t="n"/>
      <c r="K349" s="44" t="n"/>
      <c r="L349" s="44" t="n"/>
      <c r="M349" s="44" t="n"/>
      <c r="N349" s="44" t="n"/>
      <c r="O349" s="44" t="n"/>
    </row>
    <row r="350" ht="54" customHeight="1">
      <c r="A350" s="44" t="n"/>
      <c r="B350" s="44" t="n"/>
      <c r="C350" s="44" t="n"/>
      <c r="D350" s="44" t="n"/>
      <c r="E350" s="44" t="n"/>
      <c r="F350" s="44" t="n"/>
      <c r="G350" s="44" t="n"/>
      <c r="H350" s="44" t="n"/>
      <c r="I350" s="44" t="n"/>
      <c r="J350" s="44" t="n"/>
      <c r="K350" s="44" t="n"/>
      <c r="L350" s="44" t="n"/>
      <c r="M350" s="44" t="n"/>
      <c r="N350" s="44" t="n"/>
      <c r="O350" s="44" t="n"/>
    </row>
    <row r="351" ht="54" customHeight="1">
      <c r="A351" s="44" t="n"/>
      <c r="B351" s="44" t="n"/>
      <c r="C351" s="44" t="n"/>
      <c r="D351" s="44" t="n"/>
      <c r="E351" s="44" t="n"/>
      <c r="F351" s="44" t="n"/>
      <c r="G351" s="44" t="n"/>
      <c r="H351" s="44" t="n"/>
      <c r="I351" s="44" t="n"/>
      <c r="J351" s="44" t="n"/>
      <c r="K351" s="44" t="n"/>
      <c r="L351" s="44" t="n"/>
      <c r="M351" s="44" t="n"/>
      <c r="N351" s="44" t="n"/>
      <c r="O351" s="44" t="n"/>
    </row>
    <row r="352" ht="54" customHeight="1">
      <c r="A352" s="44" t="n"/>
      <c r="B352" s="44" t="n"/>
      <c r="C352" s="44" t="n"/>
      <c r="D352" s="44" t="n"/>
      <c r="E352" s="44" t="n"/>
      <c r="F352" s="44" t="n"/>
      <c r="G352" s="44" t="n"/>
      <c r="H352" s="44" t="n"/>
      <c r="I352" s="44" t="n"/>
      <c r="J352" s="44" t="n"/>
      <c r="K352" s="44" t="n"/>
      <c r="L352" s="44" t="n"/>
      <c r="M352" s="44" t="n"/>
      <c r="N352" s="44" t="n"/>
      <c r="O352" s="44" t="n"/>
    </row>
    <row r="353" ht="54" customHeight="1">
      <c r="A353" s="44" t="n"/>
      <c r="B353" s="44" t="n"/>
      <c r="C353" s="44" t="n"/>
      <c r="D353" s="44" t="n"/>
      <c r="E353" s="44" t="n"/>
      <c r="F353" s="44" t="n"/>
      <c r="G353" s="44" t="n"/>
      <c r="H353" s="44" t="n"/>
      <c r="I353" s="44" t="n"/>
      <c r="J353" s="44" t="n"/>
      <c r="K353" s="44" t="n"/>
      <c r="L353" s="44" t="n"/>
      <c r="M353" s="44" t="n"/>
      <c r="N353" s="44" t="n"/>
      <c r="O353" s="44" t="n"/>
    </row>
    <row r="354" ht="54" customHeight="1">
      <c r="A354" s="44" t="n"/>
      <c r="B354" s="44" t="n"/>
      <c r="C354" s="44" t="n"/>
      <c r="D354" s="44" t="n"/>
      <c r="E354" s="44" t="n"/>
      <c r="F354" s="44" t="n"/>
      <c r="G354" s="44" t="n"/>
      <c r="H354" s="44" t="n"/>
      <c r="I354" s="44" t="n"/>
      <c r="J354" s="44" t="n"/>
      <c r="K354" s="44" t="n"/>
      <c r="L354" s="44" t="n"/>
      <c r="M354" s="44" t="n"/>
      <c r="N354" s="44" t="n"/>
      <c r="O354" s="44" t="n"/>
    </row>
    <row r="355" ht="54" customHeight="1">
      <c r="A355" s="44" t="n"/>
      <c r="B355" s="44" t="n"/>
      <c r="C355" s="44" t="n"/>
      <c r="D355" s="44" t="n"/>
      <c r="E355" s="44" t="n"/>
      <c r="F355" s="44" t="n"/>
      <c r="G355" s="44" t="n"/>
      <c r="H355" s="44" t="n"/>
      <c r="I355" s="44" t="n"/>
      <c r="J355" s="44" t="n"/>
      <c r="K355" s="44" t="n"/>
      <c r="L355" s="44" t="n"/>
      <c r="M355" s="44" t="n"/>
      <c r="N355" s="44" t="n"/>
      <c r="O355" s="44" t="n"/>
    </row>
    <row r="356" ht="54" customHeight="1">
      <c r="A356" s="44" t="n"/>
      <c r="B356" s="44" t="n"/>
      <c r="C356" s="44" t="n"/>
      <c r="D356" s="44" t="n"/>
      <c r="E356" s="44" t="n"/>
      <c r="F356" s="44" t="n"/>
      <c r="G356" s="44" t="n"/>
      <c r="H356" s="44" t="n"/>
      <c r="I356" s="44" t="n"/>
      <c r="J356" s="44" t="n"/>
      <c r="K356" s="44" t="n"/>
      <c r="L356" s="44" t="n"/>
      <c r="M356" s="44" t="n"/>
      <c r="N356" s="44" t="n"/>
      <c r="O356" s="44" t="n"/>
    </row>
    <row r="357" ht="54" customHeight="1">
      <c r="A357" s="44" t="n"/>
      <c r="B357" s="44" t="n"/>
      <c r="C357" s="44" t="n"/>
      <c r="D357" s="44" t="n"/>
      <c r="E357" s="44" t="n"/>
      <c r="F357" s="44" t="n"/>
      <c r="G357" s="44" t="n"/>
      <c r="H357" s="44" t="n"/>
      <c r="I357" s="44" t="n"/>
      <c r="J357" s="44" t="n"/>
      <c r="K357" s="44" t="n"/>
      <c r="L357" s="44" t="n"/>
      <c r="M357" s="44" t="n"/>
      <c r="N357" s="44" t="n"/>
      <c r="O357" s="44" t="n"/>
    </row>
    <row r="358" ht="54" customHeight="1">
      <c r="A358" s="44" t="n"/>
      <c r="B358" s="44" t="n"/>
      <c r="C358" s="44" t="n"/>
      <c r="D358" s="44" t="n"/>
      <c r="E358" s="44" t="n"/>
      <c r="F358" s="44" t="n"/>
      <c r="G358" s="44" t="n"/>
      <c r="H358" s="44" t="n"/>
      <c r="I358" s="44" t="n"/>
      <c r="J358" s="44" t="n"/>
      <c r="K358" s="44" t="n"/>
      <c r="L358" s="44" t="n"/>
      <c r="M358" s="44" t="n"/>
      <c r="N358" s="44" t="n"/>
      <c r="O358" s="44" t="n"/>
    </row>
    <row r="359" ht="54" customHeight="1">
      <c r="A359" s="44" t="n"/>
      <c r="B359" s="44" t="n"/>
      <c r="C359" s="44" t="n"/>
      <c r="D359" s="44" t="n"/>
      <c r="E359" s="44" t="n"/>
      <c r="F359" s="44" t="n"/>
      <c r="G359" s="44" t="n"/>
      <c r="H359" s="44" t="n"/>
      <c r="I359" s="44" t="n"/>
      <c r="J359" s="44" t="n"/>
      <c r="K359" s="44" t="n"/>
      <c r="L359" s="44" t="n"/>
      <c r="M359" s="44" t="n"/>
      <c r="N359" s="44" t="n"/>
      <c r="O359" s="44" t="n"/>
    </row>
    <row r="360" ht="54" customHeight="1">
      <c r="A360" s="44" t="n"/>
      <c r="B360" s="44" t="n"/>
      <c r="C360" s="44" t="n"/>
      <c r="D360" s="44" t="n"/>
      <c r="E360" s="44" t="n"/>
      <c r="F360" s="44" t="n"/>
      <c r="G360" s="44" t="n"/>
      <c r="H360" s="44" t="n"/>
      <c r="I360" s="44" t="n"/>
      <c r="J360" s="44" t="n"/>
      <c r="K360" s="44" t="n"/>
      <c r="L360" s="44" t="n"/>
      <c r="M360" s="44" t="n"/>
      <c r="N360" s="44" t="n"/>
      <c r="O360" s="44" t="n"/>
    </row>
    <row r="361" ht="54" customHeight="1">
      <c r="A361" s="44" t="n"/>
      <c r="B361" s="44" t="n"/>
      <c r="C361" s="44" t="n"/>
      <c r="D361" s="44" t="n"/>
      <c r="E361" s="44" t="n"/>
      <c r="F361" s="44" t="n"/>
      <c r="G361" s="44" t="n"/>
      <c r="H361" s="44" t="n"/>
      <c r="I361" s="44" t="n"/>
      <c r="J361" s="44" t="n"/>
      <c r="K361" s="44" t="n"/>
      <c r="L361" s="44" t="n"/>
      <c r="M361" s="44" t="n"/>
      <c r="N361" s="44" t="n"/>
      <c r="O361" s="44" t="n"/>
    </row>
    <row r="362" ht="54" customHeight="1">
      <c r="A362" s="44" t="n"/>
      <c r="B362" s="44" t="n"/>
      <c r="C362" s="44" t="n"/>
      <c r="D362" s="44" t="n"/>
      <c r="E362" s="44" t="n"/>
      <c r="F362" s="44" t="n"/>
      <c r="G362" s="44" t="n"/>
      <c r="H362" s="44" t="n"/>
      <c r="I362" s="44" t="n"/>
      <c r="J362" s="44" t="n"/>
      <c r="K362" s="44" t="n"/>
      <c r="L362" s="44" t="n"/>
      <c r="M362" s="44" t="n"/>
      <c r="N362" s="44" t="n"/>
      <c r="O362" s="44" t="n"/>
    </row>
    <row r="363" ht="54" customHeight="1">
      <c r="A363" s="44" t="n"/>
      <c r="B363" s="44" t="n"/>
      <c r="C363" s="44" t="n"/>
      <c r="D363" s="44" t="n"/>
      <c r="E363" s="44" t="n"/>
      <c r="F363" s="44" t="n"/>
      <c r="G363" s="44" t="n"/>
      <c r="H363" s="44" t="n"/>
      <c r="I363" s="44" t="n"/>
      <c r="J363" s="44" t="n"/>
      <c r="K363" s="44" t="n"/>
      <c r="L363" s="44" t="n"/>
      <c r="M363" s="44" t="n"/>
      <c r="N363" s="44" t="n"/>
      <c r="O363" s="44" t="n"/>
    </row>
    <row r="364" ht="54" customHeight="1">
      <c r="A364" s="44" t="n"/>
      <c r="B364" s="44" t="n"/>
      <c r="C364" s="44" t="n"/>
      <c r="D364" s="44" t="n"/>
      <c r="E364" s="44" t="n"/>
      <c r="F364" s="44" t="n"/>
      <c r="G364" s="44" t="n"/>
      <c r="H364" s="44" t="n"/>
      <c r="I364" s="44" t="n"/>
      <c r="J364" s="44" t="n"/>
      <c r="K364" s="44" t="n"/>
      <c r="L364" s="44" t="n"/>
      <c r="M364" s="44" t="n"/>
      <c r="N364" s="44" t="n"/>
      <c r="O364" s="44" t="n"/>
    </row>
    <row r="365" ht="54" customHeight="1">
      <c r="A365" s="44" t="n"/>
      <c r="B365" s="44" t="n"/>
      <c r="C365" s="44" t="n"/>
      <c r="D365" s="44" t="n"/>
      <c r="E365" s="44" t="n"/>
      <c r="F365" s="44" t="n"/>
      <c r="G365" s="44" t="n"/>
      <c r="H365" s="44" t="n"/>
      <c r="I365" s="44" t="n"/>
      <c r="J365" s="44" t="n"/>
      <c r="K365" s="44" t="n"/>
      <c r="L365" s="44" t="n"/>
      <c r="M365" s="44" t="n"/>
      <c r="N365" s="44" t="n"/>
      <c r="O365" s="44" t="n"/>
    </row>
    <row r="366" ht="54" customHeight="1">
      <c r="A366" s="44" t="n"/>
      <c r="B366" s="44" t="n"/>
      <c r="C366" s="44" t="n"/>
      <c r="D366" s="44" t="n"/>
      <c r="E366" s="44" t="n"/>
      <c r="F366" s="44" t="n"/>
      <c r="G366" s="44" t="n"/>
      <c r="H366" s="44" t="n"/>
      <c r="I366" s="44" t="n"/>
      <c r="J366" s="44" t="n"/>
      <c r="K366" s="44" t="n"/>
      <c r="L366" s="44" t="n"/>
      <c r="M366" s="44" t="n"/>
      <c r="N366" s="44" t="n"/>
      <c r="O366" s="44" t="n"/>
    </row>
    <row r="367" ht="54" customHeight="1">
      <c r="A367" s="44" t="n"/>
      <c r="B367" s="44" t="n"/>
      <c r="C367" s="44" t="n"/>
      <c r="D367" s="44" t="n"/>
      <c r="E367" s="44" t="n"/>
      <c r="F367" s="44" t="n"/>
      <c r="G367" s="44" t="n"/>
      <c r="H367" s="44" t="n"/>
      <c r="I367" s="44" t="n"/>
      <c r="J367" s="44" t="n"/>
      <c r="K367" s="44" t="n"/>
      <c r="L367" s="44" t="n"/>
      <c r="M367" s="44" t="n"/>
      <c r="N367" s="44" t="n"/>
      <c r="O367" s="44" t="n"/>
    </row>
    <row r="368" ht="54" customHeight="1">
      <c r="A368" s="44" t="n"/>
      <c r="B368" s="44" t="n"/>
      <c r="C368" s="44" t="n"/>
      <c r="D368" s="44" t="n"/>
      <c r="E368" s="44" t="n"/>
      <c r="F368" s="44" t="n"/>
      <c r="G368" s="44" t="n"/>
      <c r="H368" s="44" t="n"/>
      <c r="I368" s="44" t="n"/>
      <c r="J368" s="44" t="n"/>
      <c r="K368" s="44" t="n"/>
      <c r="L368" s="44" t="n"/>
      <c r="M368" s="44" t="n"/>
      <c r="N368" s="44" t="n"/>
      <c r="O368" s="44" t="n"/>
    </row>
    <row r="369" ht="54" customHeight="1">
      <c r="A369" s="44" t="n"/>
      <c r="B369" s="44" t="n"/>
      <c r="C369" s="44" t="n"/>
      <c r="D369" s="44" t="n"/>
      <c r="E369" s="44" t="n"/>
      <c r="F369" s="44" t="n"/>
      <c r="G369" s="44" t="n"/>
      <c r="H369" s="44" t="n"/>
      <c r="I369" s="44" t="n"/>
      <c r="J369" s="44" t="n"/>
      <c r="K369" s="44" t="n"/>
      <c r="L369" s="44" t="n"/>
      <c r="M369" s="44" t="n"/>
      <c r="N369" s="44" t="n"/>
      <c r="O369" s="44" t="n"/>
    </row>
    <row r="370" ht="54" customHeight="1">
      <c r="A370" s="44" t="n"/>
      <c r="B370" s="44" t="n"/>
      <c r="C370" s="44" t="n"/>
      <c r="D370" s="44" t="n"/>
      <c r="E370" s="44" t="n"/>
      <c r="F370" s="44" t="n"/>
      <c r="G370" s="44" t="n"/>
      <c r="H370" s="44" t="n"/>
      <c r="I370" s="44" t="n"/>
      <c r="J370" s="44" t="n"/>
      <c r="K370" s="44" t="n"/>
      <c r="L370" s="44" t="n"/>
      <c r="M370" s="44" t="n"/>
      <c r="N370" s="44" t="n"/>
      <c r="O370" s="44" t="n"/>
    </row>
    <row r="371" ht="54" customHeight="1">
      <c r="A371" s="44" t="n"/>
      <c r="B371" s="44" t="n"/>
      <c r="C371" s="44" t="n"/>
      <c r="D371" s="44" t="n"/>
      <c r="E371" s="44" t="n"/>
      <c r="F371" s="44" t="n"/>
      <c r="G371" s="44" t="n"/>
      <c r="H371" s="44" t="n"/>
      <c r="I371" s="44" t="n"/>
      <c r="J371" s="44" t="n"/>
      <c r="K371" s="44" t="n"/>
      <c r="L371" s="44" t="n"/>
      <c r="M371" s="44" t="n"/>
      <c r="N371" s="44" t="n"/>
      <c r="O371" s="44" t="n"/>
    </row>
    <row r="372" ht="54" customHeight="1">
      <c r="A372" s="44" t="n"/>
      <c r="B372" s="44" t="n"/>
      <c r="C372" s="44" t="n"/>
      <c r="D372" s="44" t="n"/>
      <c r="E372" s="44" t="n"/>
      <c r="F372" s="44" t="n"/>
      <c r="G372" s="44" t="n"/>
      <c r="H372" s="44" t="n"/>
      <c r="I372" s="44" t="n"/>
      <c r="J372" s="44" t="n"/>
      <c r="K372" s="44" t="n"/>
      <c r="L372" s="44" t="n"/>
      <c r="M372" s="44" t="n"/>
      <c r="N372" s="44" t="n"/>
      <c r="O372" s="44" t="n"/>
    </row>
    <row r="373" ht="54" customHeight="1">
      <c r="A373" s="44" t="n"/>
      <c r="B373" s="44" t="n"/>
      <c r="C373" s="44" t="n"/>
      <c r="D373" s="44" t="n"/>
      <c r="E373" s="44" t="n"/>
      <c r="F373" s="44" t="n"/>
      <c r="G373" s="44" t="n"/>
      <c r="H373" s="44" t="n"/>
      <c r="I373" s="44" t="n"/>
      <c r="J373" s="44" t="n"/>
      <c r="K373" s="44" t="n"/>
      <c r="L373" s="44" t="n"/>
      <c r="M373" s="44" t="n"/>
      <c r="N373" s="44" t="n"/>
      <c r="O373" s="44" t="n"/>
    </row>
    <row r="374" ht="54" customHeight="1">
      <c r="A374" s="44" t="n"/>
      <c r="B374" s="44" t="n"/>
      <c r="C374" s="44" t="n"/>
      <c r="D374" s="44" t="n"/>
      <c r="E374" s="44" t="n"/>
      <c r="F374" s="44" t="n"/>
      <c r="G374" s="44" t="n"/>
      <c r="H374" s="44" t="n"/>
      <c r="I374" s="44" t="n"/>
      <c r="J374" s="44" t="n"/>
      <c r="K374" s="44" t="n"/>
      <c r="L374" s="44" t="n"/>
      <c r="M374" s="44" t="n"/>
      <c r="N374" s="44" t="n"/>
      <c r="O374" s="44" t="n"/>
    </row>
    <row r="375" ht="54" customHeight="1">
      <c r="A375" s="44" t="n"/>
      <c r="B375" s="44" t="n"/>
      <c r="C375" s="44" t="n"/>
      <c r="D375" s="44" t="n"/>
      <c r="E375" s="44" t="n"/>
      <c r="F375" s="44" t="n"/>
      <c r="G375" s="44" t="n"/>
      <c r="H375" s="44" t="n"/>
      <c r="I375" s="44" t="n"/>
      <c r="J375" s="44" t="n"/>
      <c r="K375" s="44" t="n"/>
      <c r="L375" s="44" t="n"/>
      <c r="M375" s="44" t="n"/>
      <c r="N375" s="44" t="n"/>
      <c r="O375" s="44" t="n"/>
    </row>
    <row r="376" ht="54" customHeight="1">
      <c r="A376" s="44" t="n"/>
      <c r="B376" s="44" t="n"/>
      <c r="C376" s="44" t="n"/>
      <c r="D376" s="44" t="n"/>
      <c r="E376" s="44" t="n"/>
      <c r="F376" s="44" t="n"/>
      <c r="G376" s="44" t="n"/>
      <c r="H376" s="44" t="n"/>
      <c r="I376" s="44" t="n"/>
      <c r="J376" s="44" t="n"/>
      <c r="K376" s="44" t="n"/>
      <c r="L376" s="44" t="n"/>
      <c r="M376" s="44" t="n"/>
      <c r="N376" s="44" t="n"/>
      <c r="O376" s="44" t="n"/>
    </row>
    <row r="377" ht="54" customHeight="1">
      <c r="A377" s="44" t="n"/>
      <c r="B377" s="44" t="n"/>
      <c r="C377" s="44" t="n"/>
      <c r="D377" s="44" t="n"/>
      <c r="E377" s="44" t="n"/>
      <c r="F377" s="44" t="n"/>
      <c r="G377" s="44" t="n"/>
      <c r="H377" s="44" t="n"/>
      <c r="I377" s="44" t="n"/>
      <c r="J377" s="44" t="n"/>
      <c r="K377" s="44" t="n"/>
      <c r="L377" s="44" t="n"/>
      <c r="M377" s="44" t="n"/>
      <c r="N377" s="44" t="n"/>
      <c r="O377" s="44" t="n"/>
    </row>
    <row r="378" ht="54" customHeight="1">
      <c r="A378" s="44" t="n"/>
      <c r="B378" s="44" t="n"/>
      <c r="C378" s="44" t="n"/>
      <c r="D378" s="44" t="n"/>
      <c r="E378" s="44" t="n"/>
      <c r="F378" s="44" t="n"/>
      <c r="G378" s="44" t="n"/>
      <c r="H378" s="44" t="n"/>
      <c r="I378" s="44" t="n"/>
      <c r="J378" s="44" t="n"/>
      <c r="K378" s="44" t="n"/>
      <c r="L378" s="44" t="n"/>
      <c r="M378" s="44" t="n"/>
      <c r="N378" s="44" t="n"/>
      <c r="O378" s="44" t="n"/>
    </row>
    <row r="379" ht="54" customHeight="1">
      <c r="A379" s="44" t="n"/>
      <c r="B379" s="44" t="n"/>
      <c r="C379" s="44" t="n"/>
      <c r="D379" s="44" t="n"/>
      <c r="E379" s="44" t="n"/>
      <c r="F379" s="44" t="n"/>
      <c r="G379" s="44" t="n"/>
      <c r="H379" s="44" t="n"/>
      <c r="I379" s="44" t="n"/>
      <c r="J379" s="44" t="n"/>
      <c r="K379" s="44" t="n"/>
      <c r="L379" s="44" t="n"/>
      <c r="M379" s="44" t="n"/>
      <c r="N379" s="44" t="n"/>
      <c r="O379" s="44" t="n"/>
    </row>
    <row r="380" ht="54" customHeight="1">
      <c r="A380" s="44" t="n"/>
      <c r="B380" s="44" t="n"/>
      <c r="C380" s="44" t="n"/>
      <c r="D380" s="44" t="n"/>
      <c r="E380" s="44" t="n"/>
      <c r="F380" s="44" t="n"/>
      <c r="G380" s="44" t="n"/>
      <c r="H380" s="44" t="n"/>
      <c r="I380" s="44" t="n"/>
      <c r="J380" s="44" t="n"/>
      <c r="K380" s="44" t="n"/>
      <c r="L380" s="44" t="n"/>
      <c r="M380" s="44" t="n"/>
      <c r="N380" s="44" t="n"/>
      <c r="O380" s="44" t="n"/>
    </row>
    <row r="381" ht="54" customHeight="1">
      <c r="A381" s="44" t="n"/>
      <c r="B381" s="44" t="n"/>
      <c r="C381" s="44" t="n"/>
      <c r="D381" s="44" t="n"/>
      <c r="E381" s="44" t="n"/>
      <c r="F381" s="44" t="n"/>
      <c r="G381" s="44" t="n"/>
      <c r="H381" s="44" t="n"/>
      <c r="I381" s="44" t="n"/>
      <c r="J381" s="44" t="n"/>
      <c r="K381" s="44" t="n"/>
      <c r="L381" s="44" t="n"/>
      <c r="M381" s="44" t="n"/>
      <c r="N381" s="44" t="n"/>
      <c r="O381" s="44" t="n"/>
    </row>
    <row r="382" ht="54" customHeight="1">
      <c r="A382" s="44" t="n"/>
      <c r="B382" s="44" t="n"/>
      <c r="C382" s="44" t="n"/>
      <c r="D382" s="44" t="n"/>
      <c r="E382" s="44" t="n"/>
      <c r="F382" s="44" t="n"/>
      <c r="G382" s="44" t="n"/>
      <c r="H382" s="44" t="n"/>
      <c r="I382" s="44" t="n"/>
      <c r="J382" s="44" t="n"/>
      <c r="K382" s="44" t="n"/>
      <c r="L382" s="44" t="n"/>
      <c r="M382" s="44" t="n"/>
      <c r="N382" s="44" t="n"/>
      <c r="O382" s="44" t="n"/>
    </row>
    <row r="383" ht="54" customHeight="1">
      <c r="A383" s="44" t="n"/>
      <c r="B383" s="44" t="n"/>
      <c r="C383" s="44" t="n"/>
      <c r="D383" s="44" t="n"/>
      <c r="E383" s="44" t="n"/>
      <c r="F383" s="44" t="n"/>
      <c r="G383" s="44" t="n"/>
      <c r="H383" s="44" t="n"/>
      <c r="I383" s="44" t="n"/>
      <c r="J383" s="44" t="n"/>
      <c r="K383" s="44" t="n"/>
      <c r="L383" s="44" t="n"/>
      <c r="M383" s="44" t="n"/>
      <c r="N383" s="44" t="n"/>
      <c r="O383" s="44" t="n"/>
    </row>
    <row r="384" ht="54" customHeight="1">
      <c r="A384" s="44" t="n"/>
      <c r="B384" s="44" t="n"/>
      <c r="C384" s="44" t="n"/>
      <c r="D384" s="44" t="n"/>
      <c r="E384" s="44" t="n"/>
      <c r="F384" s="44" t="n"/>
      <c r="G384" s="44" t="n"/>
      <c r="H384" s="44" t="n"/>
      <c r="I384" s="44" t="n"/>
      <c r="J384" s="44" t="n"/>
      <c r="K384" s="44" t="n"/>
      <c r="L384" s="44" t="n"/>
      <c r="M384" s="44" t="n"/>
      <c r="N384" s="44" t="n"/>
      <c r="O384" s="44" t="n"/>
    </row>
    <row r="385" ht="54" customHeight="1">
      <c r="A385" s="44" t="n"/>
      <c r="B385" s="44" t="n"/>
      <c r="C385" s="44" t="n"/>
      <c r="D385" s="44" t="n"/>
      <c r="E385" s="44" t="n"/>
      <c r="F385" s="44" t="n"/>
      <c r="G385" s="44" t="n"/>
      <c r="H385" s="44" t="n"/>
      <c r="I385" s="44" t="n"/>
      <c r="J385" s="44" t="n"/>
      <c r="K385" s="44" t="n"/>
      <c r="L385" s="44" t="n"/>
      <c r="M385" s="44" t="n"/>
      <c r="N385" s="44" t="n"/>
      <c r="O385" s="44" t="n"/>
    </row>
    <row r="386" ht="54" customHeight="1">
      <c r="A386" s="44" t="n"/>
      <c r="B386" s="44" t="n"/>
      <c r="C386" s="44" t="n"/>
      <c r="D386" s="44" t="n"/>
      <c r="E386" s="44" t="n"/>
      <c r="F386" s="44" t="n"/>
      <c r="G386" s="44" t="n"/>
      <c r="H386" s="44" t="n"/>
      <c r="I386" s="44" t="n"/>
      <c r="J386" s="44" t="n"/>
      <c r="K386" s="44" t="n"/>
      <c r="L386" s="44" t="n"/>
      <c r="M386" s="44" t="n"/>
      <c r="N386" s="44" t="n"/>
      <c r="O386" s="44" t="n"/>
    </row>
    <row r="387" ht="54" customHeight="1">
      <c r="A387" s="44" t="n"/>
      <c r="B387" s="44" t="n"/>
      <c r="C387" s="44" t="n"/>
      <c r="D387" s="44" t="n"/>
      <c r="E387" s="44" t="n"/>
      <c r="F387" s="44" t="n"/>
      <c r="G387" s="44" t="n"/>
      <c r="H387" s="44" t="n"/>
      <c r="I387" s="44" t="n"/>
      <c r="J387" s="44" t="n"/>
      <c r="K387" s="44" t="n"/>
      <c r="L387" s="44" t="n"/>
      <c r="M387" s="44" t="n"/>
      <c r="N387" s="44" t="n"/>
      <c r="O387" s="44" t="n"/>
    </row>
    <row r="388" ht="54" customHeight="1">
      <c r="A388" s="44" t="n"/>
      <c r="B388" s="44" t="n"/>
      <c r="C388" s="44" t="n"/>
      <c r="D388" s="44" t="n"/>
      <c r="E388" s="44" t="n"/>
      <c r="F388" s="44" t="n"/>
      <c r="G388" s="44" t="n"/>
      <c r="H388" s="44" t="n"/>
      <c r="I388" s="44" t="n"/>
      <c r="J388" s="44" t="n"/>
      <c r="K388" s="44" t="n"/>
      <c r="L388" s="44" t="n"/>
      <c r="M388" s="44" t="n"/>
      <c r="N388" s="44" t="n"/>
      <c r="O388" s="44" t="n"/>
    </row>
    <row r="389" ht="54" customHeight="1">
      <c r="A389" s="44" t="n"/>
      <c r="B389" s="44" t="n"/>
      <c r="C389" s="44" t="n"/>
      <c r="D389" s="44" t="n"/>
      <c r="E389" s="44" t="n"/>
      <c r="F389" s="44" t="n"/>
      <c r="G389" s="44" t="n"/>
      <c r="H389" s="44" t="n"/>
      <c r="I389" s="44" t="n"/>
      <c r="J389" s="44" t="n"/>
      <c r="K389" s="44" t="n"/>
      <c r="L389" s="44" t="n"/>
      <c r="M389" s="44" t="n"/>
      <c r="N389" s="44" t="n"/>
      <c r="O389" s="44" t="n"/>
    </row>
    <row r="390" ht="54" customHeight="1">
      <c r="A390" s="44" t="n"/>
      <c r="B390" s="44" t="n"/>
      <c r="C390" s="44" t="n"/>
      <c r="D390" s="44" t="n"/>
      <c r="E390" s="44" t="n"/>
      <c r="F390" s="44" t="n"/>
      <c r="G390" s="44" t="n"/>
      <c r="H390" s="44" t="n"/>
      <c r="I390" s="44" t="n"/>
      <c r="J390" s="44" t="n"/>
      <c r="K390" s="44" t="n"/>
      <c r="L390" s="44" t="n"/>
      <c r="M390" s="44" t="n"/>
      <c r="N390" s="44" t="n"/>
      <c r="O390" s="44" t="n"/>
    </row>
    <row r="391" ht="54" customHeight="1">
      <c r="A391" s="44" t="n"/>
      <c r="B391" s="44" t="n"/>
      <c r="C391" s="44" t="n"/>
      <c r="D391" s="44" t="n"/>
      <c r="E391" s="44" t="n"/>
      <c r="F391" s="44" t="n"/>
      <c r="G391" s="44" t="n"/>
      <c r="H391" s="44" t="n"/>
      <c r="I391" s="44" t="n"/>
      <c r="J391" s="44" t="n"/>
      <c r="K391" s="44" t="n"/>
      <c r="L391" s="44" t="n"/>
      <c r="M391" s="44" t="n"/>
      <c r="N391" s="44" t="n"/>
      <c r="O391" s="44" t="n"/>
    </row>
    <row r="392" ht="54" customHeight="1">
      <c r="A392" s="44" t="n"/>
      <c r="B392" s="44" t="n"/>
      <c r="C392" s="44" t="n"/>
      <c r="D392" s="44" t="n"/>
      <c r="E392" s="44" t="n"/>
      <c r="F392" s="44" t="n"/>
      <c r="G392" s="44" t="n"/>
      <c r="H392" s="44" t="n"/>
      <c r="I392" s="44" t="n"/>
      <c r="J392" s="44" t="n"/>
      <c r="K392" s="44" t="n"/>
      <c r="L392" s="44" t="n"/>
      <c r="M392" s="44" t="n"/>
      <c r="N392" s="44" t="n"/>
      <c r="O392" s="44" t="n"/>
    </row>
    <row r="393" ht="54" customHeight="1">
      <c r="A393" s="44" t="n"/>
      <c r="B393" s="44" t="n"/>
      <c r="C393" s="44" t="n"/>
      <c r="D393" s="44" t="n"/>
      <c r="E393" s="44" t="n"/>
      <c r="F393" s="44" t="n"/>
      <c r="G393" s="44" t="n"/>
      <c r="H393" s="44" t="n"/>
      <c r="I393" s="44" t="n"/>
      <c r="J393" s="44" t="n"/>
      <c r="K393" s="44" t="n"/>
      <c r="L393" s="44" t="n"/>
      <c r="M393" s="44" t="n"/>
      <c r="N393" s="44" t="n"/>
      <c r="O393" s="44" t="n"/>
    </row>
    <row r="394" ht="54" customHeight="1">
      <c r="A394" s="44" t="n"/>
      <c r="B394" s="44" t="n"/>
      <c r="C394" s="44" t="n"/>
      <c r="D394" s="44" t="n"/>
      <c r="E394" s="44" t="n"/>
      <c r="F394" s="44" t="n"/>
      <c r="G394" s="44" t="n"/>
      <c r="H394" s="44" t="n"/>
      <c r="I394" s="44" t="n"/>
      <c r="J394" s="44" t="n"/>
      <c r="K394" s="44" t="n"/>
      <c r="L394" s="44" t="n"/>
      <c r="M394" s="44" t="n"/>
      <c r="N394" s="44" t="n"/>
      <c r="O394" s="44" t="n"/>
    </row>
    <row r="395" ht="54" customHeight="1">
      <c r="A395" s="44" t="n"/>
      <c r="B395" s="44" t="n"/>
      <c r="C395" s="44" t="n"/>
      <c r="D395" s="44" t="n"/>
      <c r="E395" s="44" t="n"/>
      <c r="F395" s="44" t="n"/>
      <c r="G395" s="44" t="n"/>
      <c r="H395" s="44" t="n"/>
      <c r="I395" s="44" t="n"/>
      <c r="J395" s="44" t="n"/>
      <c r="K395" s="44" t="n"/>
      <c r="L395" s="44" t="n"/>
      <c r="M395" s="44" t="n"/>
      <c r="N395" s="44" t="n"/>
      <c r="O395" s="44" t="n"/>
    </row>
    <row r="396" ht="54" customHeight="1">
      <c r="A396" s="44" t="n"/>
      <c r="B396" s="44" t="n"/>
      <c r="C396" s="44" t="n"/>
      <c r="D396" s="44" t="n"/>
      <c r="E396" s="44" t="n"/>
      <c r="F396" s="44" t="n"/>
      <c r="G396" s="44" t="n"/>
      <c r="H396" s="44" t="n"/>
      <c r="I396" s="44" t="n"/>
      <c r="J396" s="44" t="n"/>
      <c r="K396" s="44" t="n"/>
      <c r="L396" s="44" t="n"/>
      <c r="M396" s="44" t="n"/>
      <c r="N396" s="44" t="n"/>
      <c r="O396" s="44" t="n"/>
    </row>
    <row r="397" ht="54" customHeight="1">
      <c r="A397" s="44" t="n"/>
      <c r="B397" s="44" t="n"/>
      <c r="C397" s="44" t="n"/>
      <c r="D397" s="44" t="n"/>
      <c r="E397" s="44" t="n"/>
      <c r="F397" s="44" t="n"/>
      <c r="G397" s="44" t="n"/>
      <c r="H397" s="44" t="n"/>
      <c r="I397" s="44" t="n"/>
      <c r="J397" s="44" t="n"/>
      <c r="K397" s="44" t="n"/>
      <c r="L397" s="44" t="n"/>
      <c r="M397" s="44" t="n"/>
      <c r="N397" s="44" t="n"/>
      <c r="O397" s="44" t="n"/>
    </row>
    <row r="398" ht="54" customHeight="1">
      <c r="A398" s="44" t="n"/>
      <c r="B398" s="44" t="n"/>
      <c r="C398" s="44" t="n"/>
      <c r="D398" s="44" t="n"/>
      <c r="E398" s="44" t="n"/>
      <c r="F398" s="44" t="n"/>
      <c r="G398" s="44" t="n"/>
      <c r="H398" s="44" t="n"/>
      <c r="I398" s="44" t="n"/>
      <c r="J398" s="44" t="n"/>
      <c r="K398" s="44" t="n"/>
      <c r="L398" s="44" t="n"/>
      <c r="M398" s="44" t="n"/>
      <c r="N398" s="44" t="n"/>
      <c r="O398" s="44" t="n"/>
    </row>
    <row r="399" ht="54" customHeight="1">
      <c r="A399" s="44" t="n"/>
      <c r="B399" s="44" t="n"/>
      <c r="C399" s="44" t="n"/>
      <c r="D399" s="44" t="n"/>
      <c r="E399" s="44" t="n"/>
      <c r="F399" s="44" t="n"/>
      <c r="G399" s="44" t="n"/>
      <c r="H399" s="44" t="n"/>
      <c r="I399" s="44" t="n"/>
      <c r="J399" s="44" t="n"/>
      <c r="K399" s="44" t="n"/>
      <c r="L399" s="44" t="n"/>
      <c r="M399" s="44" t="n"/>
      <c r="N399" s="44" t="n"/>
      <c r="O399" s="44" t="n"/>
    </row>
    <row r="400" ht="54" customHeight="1">
      <c r="A400" s="44" t="n"/>
      <c r="B400" s="44" t="n"/>
      <c r="C400" s="44" t="n"/>
      <c r="D400" s="44" t="n"/>
      <c r="E400" s="44" t="n"/>
      <c r="F400" s="44" t="n"/>
      <c r="G400" s="44" t="n"/>
      <c r="H400" s="44" t="n"/>
      <c r="I400" s="44" t="n"/>
      <c r="J400" s="44" t="n"/>
      <c r="K400" s="44" t="n"/>
      <c r="L400" s="44" t="n"/>
      <c r="M400" s="44" t="n"/>
      <c r="N400" s="44" t="n"/>
      <c r="O400" s="44" t="n"/>
    </row>
    <row r="401" ht="54" customHeight="1">
      <c r="A401" s="44" t="n"/>
      <c r="B401" s="44" t="n"/>
      <c r="C401" s="44" t="n"/>
      <c r="D401" s="44" t="n"/>
      <c r="E401" s="44" t="n"/>
      <c r="F401" s="44" t="n"/>
      <c r="G401" s="44" t="n"/>
      <c r="H401" s="44" t="n"/>
      <c r="I401" s="44" t="n"/>
      <c r="J401" s="44" t="n"/>
      <c r="K401" s="44" t="n"/>
      <c r="L401" s="44" t="n"/>
      <c r="M401" s="44" t="n"/>
      <c r="N401" s="44" t="n"/>
      <c r="O401" s="44" t="n"/>
    </row>
    <row r="402" ht="54" customHeight="1">
      <c r="A402" s="44" t="n"/>
      <c r="B402" s="44" t="n"/>
      <c r="C402" s="44" t="n"/>
      <c r="D402" s="44" t="n"/>
      <c r="E402" s="44" t="n"/>
      <c r="F402" s="44" t="n"/>
      <c r="G402" s="44" t="n"/>
      <c r="H402" s="44" t="n"/>
      <c r="I402" s="44" t="n"/>
      <c r="J402" s="44" t="n"/>
      <c r="K402" s="44" t="n"/>
      <c r="L402" s="44" t="n"/>
      <c r="M402" s="44" t="n"/>
      <c r="N402" s="44" t="n"/>
      <c r="O402" s="44" t="n"/>
    </row>
    <row r="403" ht="54" customHeight="1">
      <c r="A403" s="44" t="n"/>
      <c r="B403" s="44" t="n"/>
      <c r="C403" s="44" t="n"/>
      <c r="D403" s="44" t="n"/>
      <c r="E403" s="44" t="n"/>
      <c r="F403" s="44" t="n"/>
      <c r="G403" s="44" t="n"/>
      <c r="H403" s="44" t="n"/>
      <c r="I403" s="44" t="n"/>
      <c r="J403" s="44" t="n"/>
      <c r="K403" s="44" t="n"/>
      <c r="L403" s="44" t="n"/>
      <c r="M403" s="44" t="n"/>
      <c r="N403" s="44" t="n"/>
      <c r="O403" s="44" t="n"/>
    </row>
    <row r="404" ht="54" customHeight="1">
      <c r="A404" s="44" t="n"/>
      <c r="B404" s="44" t="n"/>
      <c r="C404" s="44" t="n"/>
      <c r="D404" s="44" t="n"/>
      <c r="E404" s="44" t="n"/>
      <c r="F404" s="44" t="n"/>
      <c r="G404" s="44" t="n"/>
      <c r="H404" s="44" t="n"/>
      <c r="I404" s="44" t="n"/>
      <c r="J404" s="44" t="n"/>
      <c r="K404" s="44" t="n"/>
      <c r="L404" s="44" t="n"/>
      <c r="M404" s="44" t="n"/>
      <c r="N404" s="44" t="n"/>
      <c r="O404" s="44" t="n"/>
    </row>
    <row r="405" ht="54" customHeight="1">
      <c r="A405" s="44" t="n"/>
      <c r="B405" s="44" t="n"/>
      <c r="C405" s="44" t="n"/>
      <c r="D405" s="44" t="n"/>
      <c r="E405" s="44" t="n"/>
      <c r="F405" s="44" t="n"/>
      <c r="G405" s="44" t="n"/>
      <c r="H405" s="44" t="n"/>
      <c r="I405" s="44" t="n"/>
      <c r="J405" s="44" t="n"/>
      <c r="K405" s="44" t="n"/>
      <c r="L405" s="44" t="n"/>
      <c r="M405" s="44" t="n"/>
      <c r="N405" s="44" t="n"/>
      <c r="O405" s="44" t="n"/>
    </row>
    <row r="406" ht="54" customHeight="1">
      <c r="A406" s="44" t="n"/>
      <c r="B406" s="44" t="n"/>
      <c r="C406" s="44" t="n"/>
      <c r="D406" s="44" t="n"/>
      <c r="E406" s="44" t="n"/>
      <c r="F406" s="44" t="n"/>
      <c r="G406" s="44" t="n"/>
      <c r="H406" s="44" t="n"/>
      <c r="I406" s="44" t="n"/>
      <c r="J406" s="44" t="n"/>
      <c r="K406" s="44" t="n"/>
      <c r="L406" s="44" t="n"/>
      <c r="M406" s="44" t="n"/>
      <c r="N406" s="44" t="n"/>
      <c r="O406" s="44" t="n"/>
    </row>
    <row r="407" ht="54" customHeight="1">
      <c r="A407" s="44" t="n"/>
      <c r="B407" s="44" t="n"/>
      <c r="C407" s="44" t="n"/>
      <c r="D407" s="44" t="n"/>
      <c r="E407" s="44" t="n"/>
      <c r="F407" s="44" t="n"/>
      <c r="G407" s="44" t="n"/>
      <c r="H407" s="44" t="n"/>
      <c r="I407" s="44" t="n"/>
      <c r="J407" s="44" t="n"/>
      <c r="K407" s="44" t="n"/>
      <c r="L407" s="44" t="n"/>
      <c r="M407" s="44" t="n"/>
      <c r="N407" s="44" t="n"/>
      <c r="O407" s="44" t="n"/>
    </row>
    <row r="408" ht="54" customHeight="1">
      <c r="A408" s="44" t="n"/>
      <c r="B408" s="44" t="n"/>
      <c r="C408" s="44" t="n"/>
      <c r="D408" s="44" t="n"/>
      <c r="E408" s="44" t="n"/>
      <c r="F408" s="44" t="n"/>
      <c r="G408" s="44" t="n"/>
      <c r="H408" s="44" t="n"/>
      <c r="I408" s="44" t="n"/>
      <c r="J408" s="44" t="n"/>
      <c r="K408" s="44" t="n"/>
      <c r="L408" s="44" t="n"/>
      <c r="M408" s="44" t="n"/>
      <c r="N408" s="44" t="n"/>
      <c r="O408" s="44" t="n"/>
    </row>
    <row r="409" ht="54" customHeight="1">
      <c r="A409" s="44" t="n"/>
      <c r="B409" s="44" t="n"/>
      <c r="C409" s="44" t="n"/>
      <c r="D409" s="44" t="n"/>
      <c r="E409" s="44" t="n"/>
      <c r="F409" s="44" t="n"/>
      <c r="G409" s="44" t="n"/>
      <c r="H409" s="44" t="n"/>
      <c r="I409" s="44" t="n"/>
      <c r="J409" s="44" t="n"/>
      <c r="K409" s="44" t="n"/>
      <c r="L409" s="44" t="n"/>
      <c r="M409" s="44" t="n"/>
      <c r="N409" s="44" t="n"/>
      <c r="O409" s="44" t="n"/>
    </row>
    <row r="410" ht="54" customHeight="1">
      <c r="A410" s="44" t="n"/>
      <c r="B410" s="44" t="n"/>
      <c r="C410" s="44" t="n"/>
      <c r="D410" s="44" t="n"/>
      <c r="E410" s="44" t="n"/>
      <c r="F410" s="44" t="n"/>
      <c r="G410" s="44" t="n"/>
      <c r="H410" s="44" t="n"/>
      <c r="I410" s="44" t="n"/>
      <c r="J410" s="44" t="n"/>
      <c r="K410" s="44" t="n"/>
      <c r="L410" s="44" t="n"/>
      <c r="M410" s="44" t="n"/>
      <c r="N410" s="44" t="n"/>
      <c r="O410" s="44" t="n"/>
    </row>
    <row r="411" ht="54" customHeight="1">
      <c r="A411" s="44" t="n"/>
      <c r="B411" s="44" t="n"/>
      <c r="C411" s="44" t="n"/>
      <c r="D411" s="44" t="n"/>
      <c r="E411" s="44" t="n"/>
      <c r="F411" s="44" t="n"/>
      <c r="G411" s="44" t="n"/>
      <c r="H411" s="44" t="n"/>
      <c r="I411" s="44" t="n"/>
      <c r="J411" s="44" t="n"/>
      <c r="K411" s="44" t="n"/>
      <c r="L411" s="44" t="n"/>
      <c r="M411" s="44" t="n"/>
      <c r="N411" s="44" t="n"/>
      <c r="O411" s="44" t="n"/>
    </row>
    <row r="412" ht="54" customHeight="1">
      <c r="A412" s="44" t="n"/>
      <c r="B412" s="44" t="n"/>
      <c r="C412" s="44" t="n"/>
      <c r="D412" s="44" t="n"/>
      <c r="E412" s="44" t="n"/>
      <c r="F412" s="44" t="n"/>
      <c r="G412" s="44" t="n"/>
      <c r="H412" s="44" t="n"/>
      <c r="I412" s="44" t="n"/>
      <c r="J412" s="44" t="n"/>
      <c r="K412" s="44" t="n"/>
      <c r="L412" s="44" t="n"/>
      <c r="M412" s="44" t="n"/>
      <c r="N412" s="44" t="n"/>
      <c r="O412" s="44" t="n"/>
    </row>
    <row r="413" ht="54" customHeight="1">
      <c r="A413" s="44" t="n"/>
      <c r="B413" s="44" t="n"/>
      <c r="C413" s="44" t="n"/>
      <c r="D413" s="44" t="n"/>
      <c r="E413" s="44" t="n"/>
      <c r="F413" s="44" t="n"/>
      <c r="G413" s="44" t="n"/>
      <c r="H413" s="44" t="n"/>
      <c r="I413" s="44" t="n"/>
      <c r="J413" s="44" t="n"/>
      <c r="K413" s="44" t="n"/>
      <c r="L413" s="44" t="n"/>
      <c r="M413" s="44" t="n"/>
      <c r="N413" s="44" t="n"/>
      <c r="O413" s="44" t="n"/>
    </row>
    <row r="414" ht="54" customHeight="1">
      <c r="A414" s="44" t="n"/>
      <c r="B414" s="44" t="n"/>
      <c r="C414" s="44" t="n"/>
      <c r="D414" s="44" t="n"/>
      <c r="E414" s="44" t="n"/>
      <c r="F414" s="44" t="n"/>
      <c r="G414" s="44" t="n"/>
      <c r="H414" s="44" t="n"/>
      <c r="I414" s="44" t="n"/>
      <c r="J414" s="44" t="n"/>
      <c r="K414" s="44" t="n"/>
      <c r="L414" s="44" t="n"/>
      <c r="M414" s="44" t="n"/>
      <c r="N414" s="44" t="n"/>
      <c r="O414" s="44" t="n"/>
    </row>
    <row r="415" ht="54" customHeight="1">
      <c r="A415" s="44" t="n"/>
      <c r="B415" s="44" t="n"/>
      <c r="C415" s="44" t="n"/>
      <c r="D415" s="44" t="n"/>
      <c r="E415" s="44" t="n"/>
      <c r="F415" s="44" t="n"/>
      <c r="G415" s="44" t="n"/>
      <c r="H415" s="44" t="n"/>
      <c r="I415" s="44" t="n"/>
      <c r="J415" s="44" t="n"/>
      <c r="K415" s="44" t="n"/>
      <c r="L415" s="44" t="n"/>
      <c r="M415" s="44" t="n"/>
      <c r="N415" s="44" t="n"/>
      <c r="O415" s="44" t="n"/>
    </row>
    <row r="416" ht="54" customHeight="1">
      <c r="A416" s="44" t="n"/>
      <c r="B416" s="44" t="n"/>
      <c r="C416" s="44" t="n"/>
      <c r="D416" s="44" t="n"/>
      <c r="E416" s="44" t="n"/>
      <c r="F416" s="44" t="n"/>
      <c r="G416" s="44" t="n"/>
      <c r="H416" s="44" t="n"/>
      <c r="I416" s="44" t="n"/>
      <c r="J416" s="44" t="n"/>
      <c r="K416" s="44" t="n"/>
      <c r="L416" s="44" t="n"/>
      <c r="M416" s="44" t="n"/>
      <c r="N416" s="44" t="n"/>
      <c r="O416" s="44" t="n"/>
    </row>
    <row r="417" ht="54" customHeight="1">
      <c r="A417" s="44" t="n"/>
      <c r="B417" s="44" t="n"/>
      <c r="C417" s="44" t="n"/>
      <c r="D417" s="44" t="n"/>
      <c r="E417" s="44" t="n"/>
      <c r="F417" s="44" t="n"/>
      <c r="G417" s="44" t="n"/>
      <c r="H417" s="44" t="n"/>
      <c r="I417" s="44" t="n"/>
      <c r="J417" s="44" t="n"/>
      <c r="K417" s="44" t="n"/>
      <c r="L417" s="44" t="n"/>
      <c r="M417" s="44" t="n"/>
      <c r="N417" s="44" t="n"/>
      <c r="O417" s="44" t="n"/>
    </row>
    <row r="418" ht="54" customHeight="1">
      <c r="A418" s="44" t="n"/>
      <c r="B418" s="44" t="n"/>
      <c r="C418" s="44" t="n"/>
      <c r="D418" s="44" t="n"/>
      <c r="E418" s="44" t="n"/>
      <c r="F418" s="44" t="n"/>
      <c r="G418" s="44" t="n"/>
      <c r="H418" s="44" t="n"/>
      <c r="I418" s="44" t="n"/>
      <c r="J418" s="44" t="n"/>
      <c r="K418" s="44" t="n"/>
      <c r="L418" s="44" t="n"/>
      <c r="M418" s="44" t="n"/>
      <c r="N418" s="44" t="n"/>
      <c r="O418" s="44" t="n"/>
    </row>
    <row r="419" ht="54" customHeight="1">
      <c r="A419" s="44" t="n"/>
      <c r="B419" s="44" t="n"/>
      <c r="C419" s="44" t="n"/>
      <c r="D419" s="44" t="n"/>
      <c r="E419" s="44" t="n"/>
      <c r="F419" s="44" t="n"/>
      <c r="G419" s="44" t="n"/>
      <c r="H419" s="44" t="n"/>
      <c r="I419" s="44" t="n"/>
      <c r="J419" s="44" t="n"/>
      <c r="K419" s="44" t="n"/>
      <c r="L419" s="44" t="n"/>
      <c r="M419" s="44" t="n"/>
      <c r="N419" s="44" t="n"/>
      <c r="O419" s="44" t="n"/>
    </row>
    <row r="420" ht="54" customHeight="1">
      <c r="A420" s="44" t="n"/>
      <c r="B420" s="44" t="n"/>
      <c r="C420" s="44" t="n"/>
      <c r="D420" s="44" t="n"/>
      <c r="E420" s="44" t="n"/>
      <c r="F420" s="44" t="n"/>
      <c r="G420" s="44" t="n"/>
      <c r="H420" s="44" t="n"/>
      <c r="I420" s="44" t="n"/>
      <c r="J420" s="44" t="n"/>
      <c r="K420" s="44" t="n"/>
      <c r="L420" s="44" t="n"/>
      <c r="M420" s="44" t="n"/>
      <c r="N420" s="44" t="n"/>
      <c r="O420" s="44" t="n"/>
    </row>
    <row r="421" ht="54" customHeight="1">
      <c r="A421" s="44" t="n"/>
      <c r="B421" s="44" t="n"/>
      <c r="C421" s="44" t="n"/>
      <c r="D421" s="44" t="n"/>
      <c r="E421" s="44" t="n"/>
      <c r="F421" s="44" t="n"/>
      <c r="G421" s="44" t="n"/>
      <c r="H421" s="44" t="n"/>
      <c r="I421" s="44" t="n"/>
      <c r="J421" s="44" t="n"/>
      <c r="K421" s="44" t="n"/>
      <c r="L421" s="44" t="n"/>
      <c r="M421" s="44" t="n"/>
      <c r="N421" s="44" t="n"/>
      <c r="O421" s="44" t="n"/>
    </row>
    <row r="422" ht="54" customHeight="1">
      <c r="A422" s="44" t="n"/>
      <c r="B422" s="44" t="n"/>
      <c r="C422" s="44" t="n"/>
      <c r="D422" s="44" t="n"/>
      <c r="E422" s="44" t="n"/>
      <c r="F422" s="44" t="n"/>
      <c r="G422" s="44" t="n"/>
      <c r="H422" s="44" t="n"/>
      <c r="I422" s="44" t="n"/>
      <c r="J422" s="44" t="n"/>
      <c r="K422" s="44" t="n"/>
      <c r="L422" s="44" t="n"/>
      <c r="M422" s="44" t="n"/>
      <c r="N422" s="44" t="n"/>
      <c r="O422" s="44" t="n"/>
    </row>
    <row r="423" ht="54" customHeight="1">
      <c r="A423" s="44" t="n"/>
      <c r="B423" s="44" t="n"/>
      <c r="C423" s="44" t="n"/>
      <c r="D423" s="44" t="n"/>
      <c r="E423" s="44" t="n"/>
      <c r="F423" s="44" t="n"/>
      <c r="G423" s="44" t="n"/>
      <c r="H423" s="44" t="n"/>
      <c r="I423" s="44" t="n"/>
      <c r="J423" s="44" t="n"/>
      <c r="K423" s="44" t="n"/>
      <c r="L423" s="44" t="n"/>
      <c r="M423" s="44" t="n"/>
      <c r="N423" s="44" t="n"/>
      <c r="O423" s="44" t="n"/>
    </row>
    <row r="424" ht="54" customHeight="1">
      <c r="A424" s="44" t="n"/>
      <c r="B424" s="44" t="n"/>
      <c r="C424" s="44" t="n"/>
      <c r="D424" s="44" t="n"/>
      <c r="E424" s="44" t="n"/>
      <c r="F424" s="44" t="n"/>
      <c r="G424" s="44" t="n"/>
      <c r="H424" s="44" t="n"/>
      <c r="I424" s="44" t="n"/>
      <c r="J424" s="44" t="n"/>
      <c r="K424" s="44" t="n"/>
      <c r="L424" s="44" t="n"/>
      <c r="M424" s="44" t="n"/>
      <c r="N424" s="44" t="n"/>
      <c r="O424" s="44" t="n"/>
    </row>
    <row r="425" ht="54" customHeight="1">
      <c r="A425" s="44" t="n"/>
      <c r="B425" s="44" t="n"/>
      <c r="C425" s="44" t="n"/>
      <c r="D425" s="44" t="n"/>
      <c r="E425" s="44" t="n"/>
      <c r="F425" s="44" t="n"/>
      <c r="G425" s="44" t="n"/>
      <c r="H425" s="44" t="n"/>
      <c r="I425" s="44" t="n"/>
      <c r="J425" s="44" t="n"/>
      <c r="K425" s="44" t="n"/>
      <c r="L425" s="44" t="n"/>
      <c r="M425" s="44" t="n"/>
      <c r="N425" s="44" t="n"/>
      <c r="O425" s="44" t="n"/>
    </row>
    <row r="426" ht="54" customHeight="1">
      <c r="A426" s="44" t="n"/>
      <c r="B426" s="44" t="n"/>
      <c r="C426" s="44" t="n"/>
      <c r="D426" s="44" t="n"/>
      <c r="E426" s="44" t="n"/>
      <c r="F426" s="44" t="n"/>
      <c r="G426" s="44" t="n"/>
      <c r="H426" s="44" t="n"/>
      <c r="I426" s="44" t="n"/>
      <c r="J426" s="44" t="n"/>
      <c r="K426" s="44" t="n"/>
      <c r="L426" s="44" t="n"/>
      <c r="M426" s="44" t="n"/>
      <c r="N426" s="44" t="n"/>
      <c r="O426" s="44" t="n"/>
    </row>
    <row r="427" ht="54" customHeight="1">
      <c r="A427" s="44" t="n"/>
      <c r="B427" s="44" t="n"/>
      <c r="C427" s="44" t="n"/>
      <c r="D427" s="44" t="n"/>
      <c r="E427" s="44" t="n"/>
      <c r="F427" s="44" t="n"/>
      <c r="G427" s="44" t="n"/>
      <c r="H427" s="44" t="n"/>
      <c r="I427" s="44" t="n"/>
      <c r="J427" s="44" t="n"/>
      <c r="K427" s="44" t="n"/>
      <c r="L427" s="44" t="n"/>
      <c r="M427" s="44" t="n"/>
      <c r="N427" s="44" t="n"/>
      <c r="O427" s="44" t="n"/>
    </row>
    <row r="428" ht="54" customHeight="1">
      <c r="A428" s="44" t="n"/>
      <c r="B428" s="44" t="n"/>
      <c r="C428" s="44" t="n"/>
      <c r="D428" s="44" t="n"/>
      <c r="E428" s="44" t="n"/>
      <c r="F428" s="44" t="n"/>
      <c r="G428" s="44" t="n"/>
      <c r="H428" s="44" t="n"/>
      <c r="I428" s="44" t="n"/>
      <c r="J428" s="44" t="n"/>
      <c r="K428" s="44" t="n"/>
      <c r="L428" s="44" t="n"/>
      <c r="M428" s="44" t="n"/>
      <c r="N428" s="44" t="n"/>
      <c r="O428" s="44" t="n"/>
    </row>
    <row r="429" ht="54" customHeight="1">
      <c r="A429" s="44" t="n"/>
      <c r="B429" s="44" t="n"/>
      <c r="C429" s="44" t="n"/>
      <c r="D429" s="44" t="n"/>
      <c r="E429" s="44" t="n"/>
      <c r="F429" s="44" t="n"/>
      <c r="G429" s="44" t="n"/>
      <c r="H429" s="44" t="n"/>
      <c r="I429" s="44" t="n"/>
      <c r="J429" s="44" t="n"/>
      <c r="K429" s="44" t="n"/>
      <c r="L429" s="44" t="n"/>
      <c r="M429" s="44" t="n"/>
      <c r="N429" s="44" t="n"/>
      <c r="O429" s="44" t="n"/>
    </row>
    <row r="430" ht="54" customHeight="1">
      <c r="A430" s="44" t="n"/>
      <c r="B430" s="44" t="n"/>
      <c r="C430" s="44" t="n"/>
      <c r="D430" s="44" t="n"/>
      <c r="E430" s="44" t="n"/>
      <c r="F430" s="44" t="n"/>
      <c r="G430" s="44" t="n"/>
      <c r="H430" s="44" t="n"/>
      <c r="I430" s="44" t="n"/>
      <c r="J430" s="44" t="n"/>
      <c r="K430" s="44" t="n"/>
      <c r="L430" s="44" t="n"/>
      <c r="M430" s="44" t="n"/>
      <c r="N430" s="44" t="n"/>
      <c r="O430" s="44" t="n"/>
    </row>
    <row r="431" ht="54" customHeight="1">
      <c r="A431" s="44" t="n"/>
      <c r="B431" s="44" t="n"/>
      <c r="C431" s="44" t="n"/>
      <c r="D431" s="44" t="n"/>
      <c r="E431" s="44" t="n"/>
      <c r="F431" s="44" t="n"/>
      <c r="G431" s="44" t="n"/>
      <c r="H431" s="44" t="n"/>
      <c r="I431" s="44" t="n"/>
      <c r="J431" s="44" t="n"/>
      <c r="K431" s="44" t="n"/>
      <c r="L431" s="44" t="n"/>
      <c r="M431" s="44" t="n"/>
      <c r="N431" s="44" t="n"/>
      <c r="O431" s="44" t="n"/>
    </row>
    <row r="432" ht="54" customHeight="1">
      <c r="A432" s="44" t="n"/>
      <c r="B432" s="44" t="n"/>
      <c r="C432" s="44" t="n"/>
      <c r="D432" s="44" t="n"/>
      <c r="E432" s="44" t="n"/>
      <c r="F432" s="44" t="n"/>
      <c r="G432" s="44" t="n"/>
      <c r="H432" s="44" t="n"/>
      <c r="I432" s="44" t="n"/>
      <c r="J432" s="44" t="n"/>
      <c r="K432" s="44" t="n"/>
      <c r="L432" s="44" t="n"/>
      <c r="M432" s="44" t="n"/>
      <c r="N432" s="44" t="n"/>
      <c r="O432" s="44" t="n"/>
    </row>
    <row r="433" ht="54" customHeight="1">
      <c r="A433" s="44" t="n"/>
      <c r="B433" s="44" t="n"/>
      <c r="C433" s="44" t="n"/>
      <c r="D433" s="44" t="n"/>
      <c r="E433" s="44" t="n"/>
      <c r="F433" s="44" t="n"/>
      <c r="G433" s="44" t="n"/>
      <c r="H433" s="44" t="n"/>
      <c r="I433" s="44" t="n"/>
      <c r="J433" s="44" t="n"/>
      <c r="K433" s="44" t="n"/>
      <c r="L433" s="44" t="n"/>
      <c r="M433" s="44" t="n"/>
      <c r="N433" s="44" t="n"/>
      <c r="O433" s="44" t="n"/>
    </row>
    <row r="434" ht="54" customHeight="1">
      <c r="A434" s="44" t="n"/>
      <c r="B434" s="44" t="n"/>
      <c r="C434" s="44" t="n"/>
      <c r="D434" s="44" t="n"/>
      <c r="E434" s="44" t="n"/>
      <c r="F434" s="44" t="n"/>
      <c r="G434" s="44" t="n"/>
      <c r="H434" s="44" t="n"/>
      <c r="I434" s="44" t="n"/>
      <c r="J434" s="44" t="n"/>
      <c r="K434" s="44" t="n"/>
      <c r="L434" s="44" t="n"/>
      <c r="M434" s="44" t="n"/>
      <c r="N434" s="44" t="n"/>
      <c r="O434" s="44" t="n"/>
    </row>
    <row r="435" ht="54" customHeight="1">
      <c r="A435" s="44" t="n"/>
      <c r="B435" s="44" t="n"/>
      <c r="C435" s="44" t="n"/>
      <c r="D435" s="44" t="n"/>
      <c r="E435" s="44" t="n"/>
      <c r="F435" s="44" t="n"/>
      <c r="G435" s="44" t="n"/>
      <c r="H435" s="44" t="n"/>
      <c r="I435" s="44" t="n"/>
      <c r="J435" s="44" t="n"/>
      <c r="K435" s="44" t="n"/>
      <c r="L435" s="44" t="n"/>
      <c r="M435" s="44" t="n"/>
      <c r="N435" s="44" t="n"/>
      <c r="O435" s="44" t="n"/>
    </row>
    <row r="436" ht="54" customHeight="1">
      <c r="A436" s="44" t="n"/>
      <c r="B436" s="44" t="n"/>
      <c r="C436" s="44" t="n"/>
      <c r="D436" s="44" t="n"/>
      <c r="E436" s="44" t="n"/>
      <c r="F436" s="44" t="n"/>
      <c r="G436" s="44" t="n"/>
      <c r="H436" s="44" t="n"/>
      <c r="I436" s="44" t="n"/>
      <c r="J436" s="44" t="n"/>
      <c r="K436" s="44" t="n"/>
      <c r="L436" s="44" t="n"/>
      <c r="M436" s="44" t="n"/>
      <c r="N436" s="44" t="n"/>
      <c r="O436" s="44" t="n"/>
    </row>
    <row r="437" ht="54" customHeight="1">
      <c r="A437" s="44" t="n"/>
      <c r="B437" s="44" t="n"/>
      <c r="C437" s="44" t="n"/>
      <c r="D437" s="44" t="n"/>
      <c r="E437" s="44" t="n"/>
      <c r="F437" s="44" t="n"/>
      <c r="G437" s="44" t="n"/>
      <c r="H437" s="44" t="n"/>
      <c r="I437" s="44" t="n"/>
      <c r="J437" s="44" t="n"/>
      <c r="K437" s="44" t="n"/>
      <c r="L437" s="44" t="n"/>
      <c r="M437" s="44" t="n"/>
      <c r="N437" s="44" t="n"/>
      <c r="O437" s="44" t="n"/>
    </row>
    <row r="438" ht="54" customHeight="1">
      <c r="A438" s="44" t="n"/>
      <c r="B438" s="44" t="n"/>
      <c r="C438" s="44" t="n"/>
      <c r="D438" s="44" t="n"/>
      <c r="E438" s="44" t="n"/>
      <c r="F438" s="44" t="n"/>
      <c r="G438" s="44" t="n"/>
      <c r="H438" s="44" t="n"/>
      <c r="I438" s="44" t="n"/>
      <c r="J438" s="44" t="n"/>
      <c r="K438" s="44" t="n"/>
      <c r="L438" s="44" t="n"/>
      <c r="M438" s="44" t="n"/>
      <c r="N438" s="44" t="n"/>
      <c r="O438" s="44" t="n"/>
    </row>
    <row r="439" ht="54" customHeight="1">
      <c r="A439" s="44" t="n"/>
      <c r="B439" s="44" t="n"/>
      <c r="C439" s="44" t="n"/>
      <c r="D439" s="44" t="n"/>
      <c r="E439" s="44" t="n"/>
      <c r="F439" s="44" t="n"/>
      <c r="G439" s="44" t="n"/>
      <c r="H439" s="44" t="n"/>
      <c r="I439" s="44" t="n"/>
      <c r="J439" s="44" t="n"/>
      <c r="K439" s="44" t="n"/>
      <c r="L439" s="44" t="n"/>
      <c r="M439" s="44" t="n"/>
      <c r="N439" s="44" t="n"/>
      <c r="O439" s="44" t="n"/>
    </row>
    <row r="440" ht="54" customHeight="1">
      <c r="A440" s="44" t="n"/>
      <c r="B440" s="44" t="n"/>
      <c r="C440" s="44" t="n"/>
      <c r="D440" s="44" t="n"/>
      <c r="E440" s="44" t="n"/>
      <c r="F440" s="44" t="n"/>
      <c r="G440" s="44" t="n"/>
      <c r="H440" s="44" t="n"/>
      <c r="I440" s="44" t="n"/>
      <c r="J440" s="44" t="n"/>
      <c r="K440" s="44" t="n"/>
      <c r="L440" s="44" t="n"/>
      <c r="M440" s="44" t="n"/>
      <c r="N440" s="44" t="n"/>
      <c r="O440" s="44" t="n"/>
    </row>
    <row r="441" ht="54" customHeight="1">
      <c r="A441" s="44" t="n"/>
      <c r="B441" s="44" t="n"/>
      <c r="C441" s="44" t="n"/>
      <c r="D441" s="44" t="n"/>
      <c r="E441" s="44" t="n"/>
      <c r="F441" s="44" t="n"/>
      <c r="G441" s="44" t="n"/>
      <c r="H441" s="44" t="n"/>
      <c r="I441" s="44" t="n"/>
      <c r="J441" s="44" t="n"/>
      <c r="K441" s="44" t="n"/>
      <c r="L441" s="44" t="n"/>
      <c r="M441" s="44" t="n"/>
      <c r="N441" s="44" t="n"/>
      <c r="O441" s="44" t="n"/>
    </row>
    <row r="442" ht="54" customHeight="1">
      <c r="A442" s="44" t="n"/>
      <c r="B442" s="44" t="n"/>
      <c r="C442" s="44" t="n"/>
      <c r="D442" s="44" t="n"/>
      <c r="E442" s="44" t="n"/>
      <c r="F442" s="44" t="n"/>
      <c r="G442" s="44" t="n"/>
      <c r="H442" s="44" t="n"/>
      <c r="I442" s="44" t="n"/>
      <c r="J442" s="44" t="n"/>
      <c r="K442" s="44" t="n"/>
      <c r="L442" s="44" t="n"/>
      <c r="M442" s="44" t="n"/>
      <c r="N442" s="44" t="n"/>
      <c r="O442" s="44" t="n"/>
    </row>
    <row r="443" ht="54" customHeight="1">
      <c r="A443" s="44" t="n"/>
      <c r="B443" s="44" t="n"/>
      <c r="C443" s="44" t="n"/>
      <c r="D443" s="44" t="n"/>
      <c r="E443" s="44" t="n"/>
      <c r="F443" s="44" t="n"/>
      <c r="G443" s="44" t="n"/>
      <c r="H443" s="44" t="n"/>
      <c r="I443" s="44" t="n"/>
      <c r="J443" s="44" t="n"/>
      <c r="K443" s="44" t="n"/>
      <c r="L443" s="44" t="n"/>
      <c r="M443" s="44" t="n"/>
      <c r="N443" s="44" t="n"/>
      <c r="O443" s="44" t="n"/>
    </row>
    <row r="444" ht="54" customHeight="1">
      <c r="A444" s="44" t="n"/>
      <c r="B444" s="44" t="n"/>
      <c r="C444" s="44" t="n"/>
      <c r="D444" s="44" t="n"/>
      <c r="E444" s="44" t="n"/>
      <c r="F444" s="44" t="n"/>
      <c r="G444" s="44" t="n"/>
      <c r="H444" s="44" t="n"/>
      <c r="I444" s="44" t="n"/>
      <c r="J444" s="44" t="n"/>
      <c r="K444" s="44" t="n"/>
      <c r="L444" s="44" t="n"/>
      <c r="M444" s="44" t="n"/>
      <c r="N444" s="44" t="n"/>
      <c r="O444" s="44" t="n"/>
    </row>
    <row r="445" ht="54" customHeight="1">
      <c r="A445" s="44" t="n"/>
      <c r="B445" s="44" t="n"/>
      <c r="C445" s="44" t="n"/>
      <c r="D445" s="44" t="n"/>
      <c r="E445" s="44" t="n"/>
      <c r="F445" s="44" t="n"/>
      <c r="G445" s="44" t="n"/>
      <c r="H445" s="44" t="n"/>
      <c r="I445" s="44" t="n"/>
      <c r="J445" s="44" t="n"/>
      <c r="K445" s="44" t="n"/>
      <c r="L445" s="44" t="n"/>
      <c r="M445" s="44" t="n"/>
      <c r="N445" s="44" t="n"/>
      <c r="O445" s="44" t="n"/>
    </row>
    <row r="446" ht="54" customHeight="1">
      <c r="A446" s="44" t="n"/>
      <c r="B446" s="44" t="n"/>
      <c r="C446" s="44" t="n"/>
      <c r="D446" s="44" t="n"/>
      <c r="E446" s="44" t="n"/>
      <c r="F446" s="44" t="n"/>
      <c r="G446" s="44" t="n"/>
      <c r="H446" s="44" t="n"/>
      <c r="I446" s="44" t="n"/>
      <c r="J446" s="44" t="n"/>
      <c r="K446" s="44" t="n"/>
      <c r="L446" s="44" t="n"/>
      <c r="M446" s="44" t="n"/>
      <c r="N446" s="44" t="n"/>
      <c r="O446" s="44" t="n"/>
    </row>
    <row r="447" ht="54" customHeight="1">
      <c r="A447" s="44" t="n"/>
      <c r="B447" s="44" t="n"/>
      <c r="C447" s="44" t="n"/>
      <c r="D447" s="44" t="n"/>
      <c r="E447" s="44" t="n"/>
      <c r="F447" s="44" t="n"/>
      <c r="G447" s="44" t="n"/>
      <c r="H447" s="44" t="n"/>
      <c r="I447" s="44" t="n"/>
      <c r="J447" s="44" t="n"/>
      <c r="K447" s="44" t="n"/>
      <c r="L447" s="44" t="n"/>
      <c r="M447" s="44" t="n"/>
      <c r="N447" s="44" t="n"/>
      <c r="O447" s="44" t="n"/>
    </row>
    <row r="448" ht="54" customHeight="1">
      <c r="A448" s="44" t="n"/>
      <c r="B448" s="44" t="n"/>
      <c r="C448" s="44" t="n"/>
      <c r="D448" s="44" t="n"/>
      <c r="E448" s="44" t="n"/>
      <c r="F448" s="44" t="n"/>
      <c r="G448" s="44" t="n"/>
      <c r="H448" s="44" t="n"/>
      <c r="I448" s="44" t="n"/>
      <c r="J448" s="44" t="n"/>
      <c r="K448" s="44" t="n"/>
      <c r="L448" s="44" t="n"/>
      <c r="M448" s="44" t="n"/>
      <c r="N448" s="44" t="n"/>
      <c r="O448" s="44" t="n"/>
    </row>
    <row r="449" ht="54" customHeight="1">
      <c r="A449" s="44" t="n"/>
      <c r="B449" s="44" t="n"/>
      <c r="C449" s="44" t="n"/>
      <c r="D449" s="44" t="n"/>
      <c r="E449" s="44" t="n"/>
      <c r="F449" s="44" t="n"/>
      <c r="G449" s="44" t="n"/>
      <c r="H449" s="44" t="n"/>
      <c r="I449" s="44" t="n"/>
      <c r="J449" s="44" t="n"/>
      <c r="K449" s="44" t="n"/>
      <c r="L449" s="44" t="n"/>
      <c r="M449" s="44" t="n"/>
      <c r="N449" s="44" t="n"/>
      <c r="O449" s="44" t="n"/>
    </row>
    <row r="450" ht="54" customHeight="1">
      <c r="A450" s="44" t="n"/>
      <c r="B450" s="44" t="n"/>
      <c r="C450" s="44" t="n"/>
      <c r="D450" s="44" t="n"/>
      <c r="E450" s="44" t="n"/>
      <c r="F450" s="44" t="n"/>
      <c r="G450" s="44" t="n"/>
      <c r="H450" s="44" t="n"/>
      <c r="I450" s="44" t="n"/>
      <c r="J450" s="44" t="n"/>
      <c r="K450" s="44" t="n"/>
      <c r="L450" s="44" t="n"/>
      <c r="M450" s="44" t="n"/>
      <c r="N450" s="44" t="n"/>
      <c r="O450" s="44" t="n"/>
    </row>
    <row r="451" ht="54" customHeight="1">
      <c r="A451" s="44" t="n"/>
      <c r="B451" s="44" t="n"/>
      <c r="C451" s="44" t="n"/>
      <c r="D451" s="44" t="n"/>
      <c r="E451" s="44" t="n"/>
      <c r="F451" s="44" t="n"/>
      <c r="G451" s="44" t="n"/>
      <c r="H451" s="44" t="n"/>
      <c r="I451" s="44" t="n"/>
      <c r="J451" s="44" t="n"/>
      <c r="K451" s="44" t="n"/>
      <c r="L451" s="44" t="n"/>
      <c r="M451" s="44" t="n"/>
      <c r="N451" s="44" t="n"/>
      <c r="O451" s="44" t="n"/>
    </row>
    <row r="452" ht="54" customHeight="1">
      <c r="A452" s="44" t="n"/>
      <c r="B452" s="44" t="n"/>
      <c r="C452" s="44" t="n"/>
      <c r="D452" s="44" t="n"/>
      <c r="E452" s="44" t="n"/>
      <c r="F452" s="44" t="n"/>
      <c r="G452" s="44" t="n"/>
      <c r="H452" s="44" t="n"/>
      <c r="I452" s="44" t="n"/>
      <c r="J452" s="44" t="n"/>
      <c r="K452" s="44" t="n"/>
      <c r="L452" s="44" t="n"/>
      <c r="M452" s="44" t="n"/>
      <c r="N452" s="44" t="n"/>
      <c r="O452" s="44" t="n"/>
    </row>
    <row r="453" ht="54" customHeight="1">
      <c r="A453" s="44" t="n"/>
      <c r="B453" s="44" t="n"/>
      <c r="C453" s="44" t="n"/>
      <c r="D453" s="44" t="n"/>
      <c r="E453" s="44" t="n"/>
      <c r="F453" s="44" t="n"/>
      <c r="G453" s="44" t="n"/>
      <c r="H453" s="44" t="n"/>
      <c r="I453" s="44" t="n"/>
      <c r="J453" s="44" t="n"/>
      <c r="K453" s="44" t="n"/>
      <c r="L453" s="44" t="n"/>
      <c r="M453" s="44" t="n"/>
      <c r="N453" s="44" t="n"/>
      <c r="O453" s="44" t="n"/>
    </row>
    <row r="454" ht="54" customHeight="1">
      <c r="A454" s="44" t="n"/>
      <c r="B454" s="44" t="n"/>
      <c r="C454" s="44" t="n"/>
      <c r="D454" s="44" t="n"/>
      <c r="E454" s="44" t="n"/>
      <c r="F454" s="44" t="n"/>
      <c r="G454" s="44" t="n"/>
      <c r="H454" s="44" t="n"/>
      <c r="I454" s="44" t="n"/>
      <c r="J454" s="44" t="n"/>
      <c r="K454" s="44" t="n"/>
      <c r="L454" s="44" t="n"/>
      <c r="M454" s="44" t="n"/>
      <c r="N454" s="44" t="n"/>
      <c r="O454" s="44" t="n"/>
    </row>
    <row r="455" ht="54" customHeight="1">
      <c r="A455" s="44" t="n"/>
      <c r="B455" s="44" t="n"/>
      <c r="C455" s="44" t="n"/>
      <c r="D455" s="44" t="n"/>
      <c r="E455" s="44" t="n"/>
      <c r="F455" s="44" t="n"/>
      <c r="G455" s="44" t="n"/>
      <c r="H455" s="44" t="n"/>
      <c r="I455" s="44" t="n"/>
      <c r="J455" s="44" t="n"/>
      <c r="K455" s="44" t="n"/>
      <c r="L455" s="44" t="n"/>
      <c r="M455" s="44" t="n"/>
      <c r="N455" s="44" t="n"/>
      <c r="O455" s="44" t="n"/>
    </row>
    <row r="456" ht="54" customHeight="1">
      <c r="A456" s="44" t="n"/>
      <c r="B456" s="44" t="n"/>
      <c r="C456" s="44" t="n"/>
      <c r="D456" s="44" t="n"/>
      <c r="E456" s="44" t="n"/>
      <c r="F456" s="44" t="n"/>
      <c r="G456" s="44" t="n"/>
      <c r="H456" s="44" t="n"/>
      <c r="I456" s="44" t="n"/>
      <c r="J456" s="44" t="n"/>
      <c r="K456" s="44" t="n"/>
      <c r="L456" s="44" t="n"/>
      <c r="M456" s="44" t="n"/>
      <c r="N456" s="44" t="n"/>
      <c r="O456" s="44" t="n"/>
    </row>
    <row r="457" ht="54" customHeight="1">
      <c r="A457" s="44" t="n"/>
      <c r="B457" s="44" t="n"/>
      <c r="C457" s="44" t="n"/>
      <c r="D457" s="44" t="n"/>
      <c r="E457" s="44" t="n"/>
      <c r="F457" s="44" t="n"/>
      <c r="G457" s="44" t="n"/>
      <c r="H457" s="44" t="n"/>
      <c r="I457" s="44" t="n"/>
      <c r="J457" s="44" t="n"/>
      <c r="K457" s="44" t="n"/>
      <c r="L457" s="44" t="n"/>
      <c r="M457" s="44" t="n"/>
      <c r="N457" s="44" t="n"/>
      <c r="O457" s="44" t="n"/>
    </row>
    <row r="458" ht="54" customHeight="1">
      <c r="A458" s="44" t="n"/>
      <c r="B458" s="44" t="n"/>
      <c r="C458" s="44" t="n"/>
      <c r="D458" s="44" t="n"/>
      <c r="E458" s="44" t="n"/>
      <c r="F458" s="44" t="n"/>
      <c r="G458" s="44" t="n"/>
      <c r="H458" s="44" t="n"/>
      <c r="I458" s="44" t="n"/>
      <c r="J458" s="44" t="n"/>
      <c r="K458" s="44" t="n"/>
      <c r="L458" s="44" t="n"/>
      <c r="M458" s="44" t="n"/>
      <c r="N458" s="44" t="n"/>
      <c r="O458" s="44" t="n"/>
    </row>
    <row r="459" ht="54" customHeight="1">
      <c r="A459" s="44" t="n"/>
      <c r="B459" s="44" t="n"/>
      <c r="C459" s="44" t="n"/>
      <c r="D459" s="44" t="n"/>
      <c r="E459" s="44" t="n"/>
      <c r="F459" s="44" t="n"/>
      <c r="G459" s="44" t="n"/>
      <c r="H459" s="44" t="n"/>
      <c r="I459" s="44" t="n"/>
      <c r="J459" s="44" t="n"/>
      <c r="K459" s="44" t="n"/>
      <c r="L459" s="44" t="n"/>
      <c r="M459" s="44" t="n"/>
      <c r="N459" s="44" t="n"/>
      <c r="O459" s="44" t="n"/>
    </row>
    <row r="460" ht="54" customHeight="1">
      <c r="A460" s="44" t="n"/>
      <c r="B460" s="44" t="n"/>
      <c r="C460" s="44" t="n"/>
      <c r="D460" s="44" t="n"/>
      <c r="E460" s="44" t="n"/>
      <c r="F460" s="44" t="n"/>
      <c r="G460" s="44" t="n"/>
      <c r="H460" s="44" t="n"/>
      <c r="I460" s="44" t="n"/>
      <c r="J460" s="44" t="n"/>
      <c r="K460" s="44" t="n"/>
      <c r="L460" s="44" t="n"/>
      <c r="M460" s="44" t="n"/>
      <c r="N460" s="44" t="n"/>
      <c r="O460" s="44" t="n"/>
    </row>
    <row r="461" ht="54" customHeight="1">
      <c r="A461" s="44" t="n"/>
      <c r="B461" s="44" t="n"/>
      <c r="C461" s="44" t="n"/>
      <c r="D461" s="44" t="n"/>
      <c r="E461" s="44" t="n"/>
      <c r="F461" s="44" t="n"/>
      <c r="G461" s="44" t="n"/>
      <c r="H461" s="44" t="n"/>
      <c r="I461" s="44" t="n"/>
      <c r="J461" s="44" t="n"/>
      <c r="K461" s="44" t="n"/>
      <c r="L461" s="44" t="n"/>
      <c r="M461" s="44" t="n"/>
      <c r="N461" s="44" t="n"/>
      <c r="O461" s="44" t="n"/>
    </row>
    <row r="462" ht="54" customHeight="1">
      <c r="A462" s="44" t="n"/>
      <c r="B462" s="44" t="n"/>
      <c r="C462" s="44" t="n"/>
      <c r="D462" s="44" t="n"/>
      <c r="E462" s="44" t="n"/>
      <c r="F462" s="44" t="n"/>
      <c r="G462" s="44" t="n"/>
      <c r="H462" s="44" t="n"/>
      <c r="I462" s="44" t="n"/>
      <c r="J462" s="44" t="n"/>
      <c r="K462" s="44" t="n"/>
      <c r="L462" s="44" t="n"/>
      <c r="M462" s="44" t="n"/>
      <c r="N462" s="44" t="n"/>
      <c r="O462" s="44" t="n"/>
    </row>
    <row r="463" ht="54" customHeight="1">
      <c r="A463" s="44" t="n"/>
      <c r="B463" s="44" t="n"/>
      <c r="C463" s="44" t="n"/>
      <c r="D463" s="44" t="n"/>
      <c r="E463" s="44" t="n"/>
      <c r="F463" s="44" t="n"/>
      <c r="G463" s="44" t="n"/>
      <c r="H463" s="44" t="n"/>
      <c r="I463" s="44" t="n"/>
      <c r="J463" s="44" t="n"/>
      <c r="K463" s="44" t="n"/>
      <c r="L463" s="44" t="n"/>
      <c r="M463" s="44" t="n"/>
      <c r="N463" s="44" t="n"/>
      <c r="O463" s="44" t="n"/>
    </row>
    <row r="464" ht="54" customHeight="1">
      <c r="A464" s="44" t="n"/>
      <c r="B464" s="44" t="n"/>
      <c r="C464" s="44" t="n"/>
      <c r="D464" s="44" t="n"/>
      <c r="E464" s="44" t="n"/>
      <c r="F464" s="44" t="n"/>
      <c r="G464" s="44" t="n"/>
      <c r="H464" s="44" t="n"/>
      <c r="I464" s="44" t="n"/>
      <c r="J464" s="44" t="n"/>
      <c r="K464" s="44" t="n"/>
      <c r="L464" s="44" t="n"/>
      <c r="M464" s="44" t="n"/>
      <c r="N464" s="44" t="n"/>
      <c r="O464" s="44" t="n"/>
    </row>
    <row r="465" ht="54" customHeight="1">
      <c r="A465" s="44" t="n"/>
      <c r="B465" s="44" t="n"/>
      <c r="C465" s="44" t="n"/>
      <c r="D465" s="44" t="n"/>
      <c r="E465" s="44" t="n"/>
      <c r="F465" s="44" t="n"/>
      <c r="G465" s="44" t="n"/>
      <c r="H465" s="44" t="n"/>
      <c r="I465" s="44" t="n"/>
      <c r="J465" s="44" t="n"/>
      <c r="K465" s="44" t="n"/>
      <c r="L465" s="44" t="n"/>
      <c r="M465" s="44" t="n"/>
      <c r="N465" s="44" t="n"/>
      <c r="O465" s="44" t="n"/>
    </row>
    <row r="466" ht="54" customHeight="1">
      <c r="A466" s="44" t="n"/>
      <c r="B466" s="44" t="n"/>
      <c r="C466" s="44" t="n"/>
      <c r="D466" s="44" t="n"/>
      <c r="E466" s="44" t="n"/>
      <c r="F466" s="44" t="n"/>
      <c r="G466" s="44" t="n"/>
      <c r="H466" s="44" t="n"/>
      <c r="I466" s="44" t="n"/>
      <c r="J466" s="44" t="n"/>
      <c r="K466" s="44" t="n"/>
      <c r="L466" s="44" t="n"/>
      <c r="M466" s="44" t="n"/>
      <c r="N466" s="44" t="n"/>
      <c r="O466" s="44" t="n"/>
    </row>
    <row r="467" ht="54" customHeight="1">
      <c r="A467" s="44" t="n"/>
      <c r="B467" s="44" t="n"/>
      <c r="C467" s="44" t="n"/>
      <c r="D467" s="44" t="n"/>
      <c r="E467" s="44" t="n"/>
      <c r="F467" s="44" t="n"/>
      <c r="G467" s="44" t="n"/>
      <c r="H467" s="44" t="n"/>
      <c r="I467" s="44" t="n"/>
      <c r="J467" s="44" t="n"/>
      <c r="K467" s="44" t="n"/>
      <c r="L467" s="44" t="n"/>
      <c r="M467" s="44" t="n"/>
      <c r="N467" s="44" t="n"/>
      <c r="O467" s="44" t="n"/>
    </row>
    <row r="468" ht="54" customHeight="1">
      <c r="A468" s="44" t="n"/>
      <c r="B468" s="44" t="n"/>
      <c r="C468" s="44" t="n"/>
      <c r="D468" s="44" t="n"/>
      <c r="E468" s="44" t="n"/>
      <c r="F468" s="44" t="n"/>
      <c r="G468" s="44" t="n"/>
      <c r="H468" s="44" t="n"/>
      <c r="I468" s="44" t="n"/>
      <c r="J468" s="44" t="n"/>
      <c r="K468" s="44" t="n"/>
      <c r="L468" s="44" t="n"/>
      <c r="M468" s="44" t="n"/>
      <c r="N468" s="44" t="n"/>
      <c r="O468" s="44" t="n"/>
    </row>
    <row r="469" ht="54" customHeight="1">
      <c r="A469" s="44" t="n"/>
      <c r="B469" s="44" t="n"/>
      <c r="C469" s="44" t="n"/>
      <c r="D469" s="44" t="n"/>
      <c r="E469" s="44" t="n"/>
      <c r="F469" s="44" t="n"/>
      <c r="G469" s="44" t="n"/>
      <c r="H469" s="44" t="n"/>
      <c r="I469" s="44" t="n"/>
      <c r="J469" s="44" t="n"/>
      <c r="K469" s="44" t="n"/>
      <c r="L469" s="44" t="n"/>
      <c r="M469" s="44" t="n"/>
      <c r="N469" s="44" t="n"/>
      <c r="O469" s="44" t="n"/>
    </row>
    <row r="470" ht="54" customHeight="1">
      <c r="A470" s="44" t="n"/>
      <c r="B470" s="44" t="n"/>
      <c r="C470" s="44" t="n"/>
      <c r="D470" s="44" t="n"/>
      <c r="E470" s="44" t="n"/>
      <c r="F470" s="44" t="n"/>
      <c r="G470" s="44" t="n"/>
      <c r="H470" s="44" t="n"/>
      <c r="I470" s="44" t="n"/>
      <c r="J470" s="44" t="n"/>
      <c r="K470" s="44" t="n"/>
      <c r="L470" s="44" t="n"/>
      <c r="M470" s="44" t="n"/>
      <c r="N470" s="44" t="n"/>
      <c r="O470" s="44" t="n"/>
    </row>
    <row r="471" ht="54" customHeight="1">
      <c r="A471" s="44" t="n"/>
      <c r="B471" s="44" t="n"/>
      <c r="C471" s="44" t="n"/>
      <c r="D471" s="44" t="n"/>
      <c r="E471" s="44" t="n"/>
      <c r="F471" s="44" t="n"/>
      <c r="G471" s="44" t="n"/>
      <c r="H471" s="44" t="n"/>
      <c r="I471" s="44" t="n"/>
      <c r="J471" s="44" t="n"/>
      <c r="K471" s="44" t="n"/>
      <c r="L471" s="44" t="n"/>
      <c r="M471" s="44" t="n"/>
      <c r="N471" s="44" t="n"/>
      <c r="O471" s="44" t="n"/>
    </row>
    <row r="472" ht="54" customHeight="1">
      <c r="A472" s="44" t="n"/>
      <c r="B472" s="44" t="n"/>
      <c r="C472" s="44" t="n"/>
      <c r="D472" s="44" t="n"/>
      <c r="E472" s="44" t="n"/>
      <c r="F472" s="44" t="n"/>
      <c r="G472" s="44" t="n"/>
      <c r="H472" s="44" t="n"/>
      <c r="I472" s="44" t="n"/>
      <c r="J472" s="44" t="n"/>
      <c r="K472" s="44" t="n"/>
      <c r="L472" s="44" t="n"/>
      <c r="M472" s="44" t="n"/>
      <c r="N472" s="44" t="n"/>
      <c r="O472" s="44" t="n"/>
    </row>
    <row r="473" ht="54" customHeight="1">
      <c r="A473" s="44" t="n"/>
      <c r="B473" s="44" t="n"/>
      <c r="C473" s="44" t="n"/>
      <c r="D473" s="44" t="n"/>
      <c r="E473" s="44" t="n"/>
      <c r="F473" s="44" t="n"/>
      <c r="G473" s="44" t="n"/>
      <c r="H473" s="44" t="n"/>
      <c r="I473" s="44" t="n"/>
      <c r="J473" s="44" t="n"/>
      <c r="K473" s="44" t="n"/>
      <c r="L473" s="44" t="n"/>
      <c r="M473" s="44" t="n"/>
      <c r="N473" s="44" t="n"/>
      <c r="O473" s="44" t="n"/>
    </row>
    <row r="474" ht="54" customHeight="1">
      <c r="A474" s="44" t="n"/>
      <c r="B474" s="44" t="n"/>
      <c r="C474" s="44" t="n"/>
      <c r="D474" s="44" t="n"/>
      <c r="E474" s="44" t="n"/>
      <c r="F474" s="44" t="n"/>
      <c r="G474" s="44" t="n"/>
      <c r="H474" s="44" t="n"/>
      <c r="I474" s="44" t="n"/>
      <c r="J474" s="44" t="n"/>
      <c r="K474" s="44" t="n"/>
      <c r="L474" s="44" t="n"/>
      <c r="M474" s="44" t="n"/>
      <c r="N474" s="44" t="n"/>
      <c r="O474" s="44" t="n"/>
    </row>
    <row r="475" ht="54" customHeight="1">
      <c r="A475" s="44" t="n"/>
      <c r="B475" s="44" t="n"/>
      <c r="C475" s="44" t="n"/>
      <c r="D475" s="44" t="n"/>
      <c r="E475" s="44" t="n"/>
      <c r="F475" s="44" t="n"/>
      <c r="G475" s="44" t="n"/>
      <c r="H475" s="44" t="n"/>
      <c r="I475" s="44" t="n"/>
      <c r="J475" s="44" t="n"/>
      <c r="K475" s="44" t="n"/>
      <c r="L475" s="44" t="n"/>
      <c r="M475" s="44" t="n"/>
      <c r="N475" s="44" t="n"/>
      <c r="O475" s="44" t="n"/>
    </row>
    <row r="476" ht="54" customHeight="1">
      <c r="A476" s="44" t="n"/>
      <c r="B476" s="44" t="n"/>
      <c r="C476" s="44" t="n"/>
      <c r="D476" s="44" t="n"/>
      <c r="E476" s="44" t="n"/>
      <c r="F476" s="44" t="n"/>
      <c r="G476" s="44" t="n"/>
      <c r="H476" s="44" t="n"/>
      <c r="I476" s="44" t="n"/>
      <c r="J476" s="44" t="n"/>
      <c r="K476" s="44" t="n"/>
      <c r="L476" s="44" t="n"/>
      <c r="M476" s="44" t="n"/>
      <c r="N476" s="44" t="n"/>
      <c r="O476" s="44" t="n"/>
    </row>
    <row r="477" ht="54" customHeight="1">
      <c r="A477" s="44" t="n"/>
      <c r="B477" s="44" t="n"/>
      <c r="C477" s="44" t="n"/>
      <c r="D477" s="44" t="n"/>
      <c r="E477" s="44" t="n"/>
      <c r="F477" s="44" t="n"/>
      <c r="G477" s="44" t="n"/>
      <c r="H477" s="44" t="n"/>
      <c r="I477" s="44" t="n"/>
      <c r="J477" s="44" t="n"/>
      <c r="K477" s="44" t="n"/>
      <c r="L477" s="44" t="n"/>
      <c r="M477" s="44" t="n"/>
      <c r="N477" s="44" t="n"/>
      <c r="O477" s="44" t="n"/>
    </row>
    <row r="478" ht="54" customHeight="1">
      <c r="A478" s="44" t="n"/>
      <c r="B478" s="44" t="n"/>
      <c r="C478" s="44" t="n"/>
      <c r="D478" s="44" t="n"/>
      <c r="E478" s="44" t="n"/>
      <c r="F478" s="44" t="n"/>
      <c r="G478" s="44" t="n"/>
      <c r="H478" s="44" t="n"/>
      <c r="I478" s="44" t="n"/>
      <c r="J478" s="44" t="n"/>
      <c r="K478" s="44" t="n"/>
      <c r="L478" s="44" t="n"/>
      <c r="M478" s="44" t="n"/>
      <c r="N478" s="44" t="n"/>
      <c r="O478" s="44" t="n"/>
    </row>
    <row r="479" ht="54" customHeight="1">
      <c r="A479" s="44" t="n"/>
      <c r="B479" s="44" t="n"/>
      <c r="C479" s="44" t="n"/>
      <c r="D479" s="44" t="n"/>
      <c r="E479" s="44" t="n"/>
      <c r="F479" s="44" t="n"/>
      <c r="G479" s="44" t="n"/>
      <c r="H479" s="44" t="n"/>
      <c r="I479" s="44" t="n"/>
      <c r="J479" s="44" t="n"/>
      <c r="K479" s="44" t="n"/>
      <c r="L479" s="44" t="n"/>
      <c r="M479" s="44" t="n"/>
      <c r="N479" s="44" t="n"/>
      <c r="O479" s="44" t="n"/>
    </row>
    <row r="480" ht="54" customHeight="1">
      <c r="A480" s="44" t="n"/>
      <c r="B480" s="44" t="n"/>
      <c r="C480" s="44" t="n"/>
      <c r="D480" s="44" t="n"/>
      <c r="E480" s="44" t="n"/>
      <c r="F480" s="44" t="n"/>
      <c r="G480" s="44" t="n"/>
      <c r="H480" s="44" t="n"/>
      <c r="I480" s="44" t="n"/>
      <c r="J480" s="44" t="n"/>
      <c r="K480" s="44" t="n"/>
      <c r="L480" s="44" t="n"/>
      <c r="M480" s="44" t="n"/>
      <c r="N480" s="44" t="n"/>
      <c r="O480" s="44" t="n"/>
    </row>
    <row r="481" ht="54" customHeight="1">
      <c r="A481" s="44" t="n"/>
      <c r="B481" s="44" t="n"/>
      <c r="C481" s="44" t="n"/>
      <c r="D481" s="44" t="n"/>
      <c r="E481" s="44" t="n"/>
      <c r="F481" s="44" t="n"/>
      <c r="G481" s="44" t="n"/>
      <c r="H481" s="44" t="n"/>
      <c r="I481" s="44" t="n"/>
      <c r="J481" s="44" t="n"/>
      <c r="K481" s="44" t="n"/>
      <c r="L481" s="44" t="n"/>
      <c r="M481" s="44" t="n"/>
      <c r="N481" s="44" t="n"/>
      <c r="O481" s="44" t="n"/>
    </row>
    <row r="482" ht="54" customHeight="1">
      <c r="A482" s="44" t="n"/>
      <c r="B482" s="44" t="n"/>
      <c r="C482" s="44" t="n"/>
      <c r="D482" s="44" t="n"/>
      <c r="E482" s="44" t="n"/>
      <c r="F482" s="44" t="n"/>
      <c r="G482" s="44" t="n"/>
      <c r="H482" s="44" t="n"/>
      <c r="I482" s="44" t="n"/>
      <c r="J482" s="44" t="n"/>
      <c r="K482" s="44" t="n"/>
      <c r="L482" s="44" t="n"/>
      <c r="M482" s="44" t="n"/>
      <c r="N482" s="44" t="n"/>
      <c r="O482" s="44" t="n"/>
    </row>
    <row r="483" ht="54" customHeight="1">
      <c r="A483" s="44" t="n"/>
      <c r="B483" s="44" t="n"/>
      <c r="C483" s="44" t="n"/>
      <c r="D483" s="44" t="n"/>
      <c r="E483" s="44" t="n"/>
      <c r="F483" s="44" t="n"/>
      <c r="G483" s="44" t="n"/>
      <c r="H483" s="44" t="n"/>
      <c r="I483" s="44" t="n"/>
      <c r="J483" s="44" t="n"/>
      <c r="K483" s="44" t="n"/>
      <c r="L483" s="44" t="n"/>
      <c r="M483" s="44" t="n"/>
      <c r="N483" s="44" t="n"/>
      <c r="O483" s="44" t="n"/>
    </row>
    <row r="484" ht="54" customHeight="1">
      <c r="A484" s="44" t="n"/>
      <c r="B484" s="44" t="n"/>
      <c r="C484" s="44" t="n"/>
      <c r="D484" s="44" t="n"/>
      <c r="E484" s="44" t="n"/>
      <c r="F484" s="44" t="n"/>
      <c r="G484" s="44" t="n"/>
      <c r="H484" s="44" t="n"/>
      <c r="I484" s="44" t="n"/>
      <c r="J484" s="44" t="n"/>
      <c r="K484" s="44" t="n"/>
      <c r="L484" s="44" t="n"/>
      <c r="M484" s="44" t="n"/>
      <c r="N484" s="44" t="n"/>
      <c r="O484" s="44" t="n"/>
    </row>
    <row r="485" ht="54" customHeight="1">
      <c r="A485" s="44" t="n"/>
      <c r="B485" s="44" t="n"/>
      <c r="C485" s="44" t="n"/>
      <c r="D485" s="44" t="n"/>
      <c r="E485" s="44" t="n"/>
      <c r="F485" s="44" t="n"/>
      <c r="G485" s="44" t="n"/>
      <c r="H485" s="44" t="n"/>
      <c r="I485" s="44" t="n"/>
      <c r="J485" s="44" t="n"/>
      <c r="K485" s="44" t="n"/>
      <c r="L485" s="44" t="n"/>
      <c r="M485" s="44" t="n"/>
      <c r="N485" s="44" t="n"/>
      <c r="O485" s="44" t="n"/>
    </row>
    <row r="486" ht="54" customHeight="1">
      <c r="A486" s="44" t="n"/>
      <c r="B486" s="44" t="n"/>
      <c r="C486" s="44" t="n"/>
      <c r="D486" s="44" t="n"/>
      <c r="E486" s="44" t="n"/>
      <c r="F486" s="44" t="n"/>
      <c r="G486" s="44" t="n"/>
      <c r="H486" s="44" t="n"/>
      <c r="I486" s="44" t="n"/>
      <c r="J486" s="44" t="n"/>
      <c r="K486" s="44" t="n"/>
      <c r="L486" s="44" t="n"/>
      <c r="M486" s="44" t="n"/>
      <c r="N486" s="44" t="n"/>
      <c r="O486" s="44" t="n"/>
    </row>
    <row r="487" ht="54" customHeight="1">
      <c r="A487" s="44" t="n"/>
      <c r="B487" s="44" t="n"/>
      <c r="C487" s="44" t="n"/>
      <c r="D487" s="44" t="n"/>
      <c r="E487" s="44" t="n"/>
      <c r="F487" s="44" t="n"/>
      <c r="G487" s="44" t="n"/>
      <c r="H487" s="44" t="n"/>
      <c r="I487" s="44" t="n"/>
      <c r="J487" s="44" t="n"/>
      <c r="K487" s="44" t="n"/>
      <c r="L487" s="44" t="n"/>
      <c r="M487" s="44" t="n"/>
      <c r="N487" s="44" t="n"/>
      <c r="O487" s="44" t="n"/>
    </row>
    <row r="488" ht="54" customHeight="1">
      <c r="A488" s="44" t="n"/>
      <c r="B488" s="44" t="n"/>
      <c r="C488" s="44" t="n"/>
      <c r="D488" s="44" t="n"/>
      <c r="E488" s="44" t="n"/>
      <c r="F488" s="44" t="n"/>
      <c r="G488" s="44" t="n"/>
      <c r="H488" s="44" t="n"/>
      <c r="I488" s="44" t="n"/>
      <c r="J488" s="44" t="n"/>
      <c r="K488" s="44" t="n"/>
      <c r="L488" s="44" t="n"/>
      <c r="M488" s="44" t="n"/>
      <c r="N488" s="44" t="n"/>
      <c r="O488" s="44" t="n"/>
    </row>
    <row r="489" ht="54" customHeight="1">
      <c r="A489" s="44" t="n"/>
      <c r="B489" s="44" t="n"/>
      <c r="C489" s="44" t="n"/>
      <c r="D489" s="44" t="n"/>
      <c r="E489" s="44" t="n"/>
      <c r="F489" s="44" t="n"/>
      <c r="G489" s="44" t="n"/>
      <c r="H489" s="44" t="n"/>
      <c r="I489" s="44" t="n"/>
      <c r="J489" s="44" t="n"/>
      <c r="K489" s="44" t="n"/>
      <c r="L489" s="44" t="n"/>
      <c r="M489" s="44" t="n"/>
      <c r="N489" s="44" t="n"/>
      <c r="O489" s="44" t="n"/>
    </row>
    <row r="490" ht="54" customHeight="1">
      <c r="A490" s="44" t="n"/>
      <c r="B490" s="44" t="n"/>
      <c r="C490" s="44" t="n"/>
      <c r="D490" s="44" t="n"/>
      <c r="E490" s="44" t="n"/>
      <c r="F490" s="44" t="n"/>
      <c r="G490" s="44" t="n"/>
      <c r="H490" s="44" t="n"/>
      <c r="I490" s="44" t="n"/>
      <c r="J490" s="44" t="n"/>
      <c r="K490" s="44" t="n"/>
      <c r="L490" s="44" t="n"/>
      <c r="M490" s="44" t="n"/>
      <c r="N490" s="44" t="n"/>
      <c r="O490" s="44" t="n"/>
    </row>
    <row r="491" ht="54" customHeight="1">
      <c r="A491" s="44" t="n"/>
      <c r="B491" s="44" t="n"/>
      <c r="C491" s="44" t="n"/>
      <c r="D491" s="44" t="n"/>
      <c r="E491" s="44" t="n"/>
      <c r="F491" s="44" t="n"/>
      <c r="G491" s="44" t="n"/>
      <c r="H491" s="44" t="n"/>
      <c r="I491" s="44" t="n"/>
      <c r="J491" s="44" t="n"/>
      <c r="K491" s="44" t="n"/>
      <c r="L491" s="44" t="n"/>
      <c r="M491" s="44" t="n"/>
      <c r="N491" s="44" t="n"/>
      <c r="O491" s="44" t="n"/>
    </row>
    <row r="492" ht="54" customHeight="1">
      <c r="A492" s="44" t="n"/>
      <c r="B492" s="44" t="n"/>
      <c r="C492" s="44" t="n"/>
      <c r="D492" s="44" t="n"/>
      <c r="E492" s="44" t="n"/>
      <c r="F492" s="44" t="n"/>
      <c r="G492" s="44" t="n"/>
      <c r="H492" s="44" t="n"/>
      <c r="I492" s="44" t="n"/>
      <c r="J492" s="44" t="n"/>
      <c r="K492" s="44" t="n"/>
      <c r="L492" s="44" t="n"/>
      <c r="M492" s="44" t="n"/>
      <c r="N492" s="44" t="n"/>
      <c r="O492" s="44" t="n"/>
    </row>
    <row r="493" ht="54" customHeight="1">
      <c r="A493" s="44" t="n"/>
      <c r="B493" s="44" t="n"/>
      <c r="C493" s="44" t="n"/>
      <c r="D493" s="44" t="n"/>
      <c r="E493" s="44" t="n"/>
      <c r="F493" s="44" t="n"/>
      <c r="G493" s="44" t="n"/>
      <c r="H493" s="44" t="n"/>
      <c r="I493" s="44" t="n"/>
      <c r="J493" s="44" t="n"/>
      <c r="K493" s="44" t="n"/>
      <c r="L493" s="44" t="n"/>
      <c r="M493" s="44" t="n"/>
      <c r="N493" s="44" t="n"/>
      <c r="O493" s="44" t="n"/>
    </row>
    <row r="494" ht="54" customHeight="1">
      <c r="A494" s="44" t="n"/>
      <c r="B494" s="44" t="n"/>
      <c r="C494" s="44" t="n"/>
      <c r="D494" s="44" t="n"/>
      <c r="E494" s="44" t="n"/>
      <c r="F494" s="44" t="n"/>
      <c r="G494" s="44" t="n"/>
      <c r="H494" s="44" t="n"/>
      <c r="I494" s="44" t="n"/>
      <c r="J494" s="44" t="n"/>
      <c r="K494" s="44" t="n"/>
      <c r="L494" s="44" t="n"/>
      <c r="M494" s="44" t="n"/>
      <c r="N494" s="44" t="n"/>
      <c r="O494" s="44" t="n"/>
    </row>
    <row r="495" ht="54" customHeight="1">
      <c r="A495" s="44" t="n"/>
      <c r="B495" s="44" t="n"/>
      <c r="C495" s="44" t="n"/>
      <c r="D495" s="44" t="n"/>
      <c r="E495" s="44" t="n"/>
      <c r="F495" s="44" t="n"/>
      <c r="G495" s="44" t="n"/>
      <c r="H495" s="44" t="n"/>
      <c r="I495" s="44" t="n"/>
      <c r="J495" s="44" t="n"/>
      <c r="K495" s="44" t="n"/>
      <c r="L495" s="44" t="n"/>
      <c r="M495" s="44" t="n"/>
      <c r="N495" s="44" t="n"/>
      <c r="O495" s="44" t="n"/>
    </row>
    <row r="496" ht="54" customHeight="1">
      <c r="A496" s="44" t="n"/>
      <c r="B496" s="44" t="n"/>
      <c r="C496" s="44" t="n"/>
      <c r="D496" s="44" t="n"/>
      <c r="E496" s="44" t="n"/>
      <c r="F496" s="44" t="n"/>
      <c r="G496" s="44" t="n"/>
      <c r="H496" s="44" t="n"/>
      <c r="I496" s="44" t="n"/>
      <c r="J496" s="44" t="n"/>
      <c r="K496" s="44" t="n"/>
      <c r="L496" s="44" t="n"/>
      <c r="M496" s="44" t="n"/>
      <c r="N496" s="44" t="n"/>
      <c r="O496" s="44" t="n"/>
    </row>
    <row r="497" ht="54" customHeight="1">
      <c r="A497" s="44" t="n"/>
      <c r="B497" s="44" t="n"/>
      <c r="C497" s="44" t="n"/>
      <c r="D497" s="44" t="n"/>
      <c r="E497" s="44" t="n"/>
      <c r="F497" s="44" t="n"/>
      <c r="G497" s="44" t="n"/>
      <c r="H497" s="44" t="n"/>
      <c r="I497" s="44" t="n"/>
      <c r="J497" s="44" t="n"/>
      <c r="K497" s="44" t="n"/>
      <c r="L497" s="44" t="n"/>
      <c r="M497" s="44" t="n"/>
      <c r="N497" s="44" t="n"/>
      <c r="O497" s="44" t="n"/>
    </row>
    <row r="498" ht="54" customHeight="1">
      <c r="A498" s="44" t="n"/>
      <c r="B498" s="44" t="n"/>
      <c r="C498" s="44" t="n"/>
      <c r="D498" s="44" t="n"/>
      <c r="E498" s="44" t="n"/>
      <c r="F498" s="44" t="n"/>
      <c r="G498" s="44" t="n"/>
      <c r="H498" s="44" t="n"/>
      <c r="I498" s="44" t="n"/>
      <c r="J498" s="44" t="n"/>
      <c r="K498" s="44" t="n"/>
      <c r="L498" s="44" t="n"/>
      <c r="M498" s="44" t="n"/>
      <c r="N498" s="44" t="n"/>
      <c r="O498" s="44" t="n"/>
    </row>
    <row r="499" ht="54" customHeight="1">
      <c r="A499" s="44" t="n"/>
      <c r="B499" s="44" t="n"/>
      <c r="C499" s="44" t="n"/>
      <c r="D499" s="44" t="n"/>
      <c r="E499" s="44" t="n"/>
      <c r="F499" s="44" t="n"/>
      <c r="G499" s="44" t="n"/>
      <c r="H499" s="44" t="n"/>
      <c r="I499" s="44" t="n"/>
      <c r="J499" s="44" t="n"/>
      <c r="K499" s="44" t="n"/>
      <c r="L499" s="44" t="n"/>
      <c r="M499" s="44" t="n"/>
      <c r="N499" s="44" t="n"/>
      <c r="O499" s="44" t="n"/>
    </row>
    <row r="500" ht="54" customHeight="1">
      <c r="A500" s="44" t="n"/>
      <c r="B500" s="44" t="n"/>
      <c r="C500" s="44" t="n"/>
      <c r="D500" s="44" t="n"/>
      <c r="E500" s="44" t="n"/>
      <c r="F500" s="44" t="n"/>
      <c r="G500" s="44" t="n"/>
      <c r="H500" s="44" t="n"/>
      <c r="I500" s="44" t="n"/>
      <c r="J500" s="44" t="n"/>
      <c r="K500" s="44" t="n"/>
      <c r="L500" s="44" t="n"/>
      <c r="M500" s="44" t="n"/>
      <c r="N500" s="44" t="n"/>
      <c r="O500" s="44" t="n"/>
    </row>
    <row r="501" ht="54" customHeight="1">
      <c r="A501" s="44" t="n"/>
      <c r="B501" s="44" t="n"/>
      <c r="C501" s="44" t="n"/>
      <c r="D501" s="44" t="n"/>
      <c r="E501" s="44" t="n"/>
      <c r="F501" s="44" t="n"/>
      <c r="G501" s="44" t="n"/>
      <c r="H501" s="44" t="n"/>
      <c r="I501" s="44" t="n"/>
      <c r="J501" s="44" t="n"/>
      <c r="K501" s="44" t="n"/>
      <c r="L501" s="44" t="n"/>
      <c r="M501" s="44" t="n"/>
      <c r="N501" s="44" t="n"/>
      <c r="O501" s="44" t="n"/>
    </row>
    <row r="502" ht="54" customHeight="1">
      <c r="A502" s="44" t="n"/>
      <c r="B502" s="44" t="n"/>
      <c r="C502" s="44" t="n"/>
      <c r="D502" s="44" t="n"/>
      <c r="E502" s="44" t="n"/>
      <c r="F502" s="44" t="n"/>
      <c r="G502" s="44" t="n"/>
      <c r="H502" s="44" t="n"/>
      <c r="I502" s="44" t="n"/>
      <c r="J502" s="44" t="n"/>
      <c r="K502" s="44" t="n"/>
      <c r="L502" s="44" t="n"/>
      <c r="M502" s="44" t="n"/>
      <c r="N502" s="44" t="n"/>
      <c r="O502" s="44" t="n"/>
    </row>
    <row r="503" ht="54" customHeight="1">
      <c r="A503" s="44" t="n"/>
      <c r="B503" s="44" t="n"/>
      <c r="C503" s="44" t="n"/>
      <c r="D503" s="44" t="n"/>
      <c r="E503" s="44" t="n"/>
      <c r="F503" s="44" t="n"/>
      <c r="G503" s="44" t="n"/>
      <c r="H503" s="44" t="n"/>
      <c r="I503" s="44" t="n"/>
      <c r="J503" s="44" t="n"/>
      <c r="K503" s="44" t="n"/>
      <c r="L503" s="44" t="n"/>
      <c r="M503" s="44" t="n"/>
      <c r="N503" s="44" t="n"/>
      <c r="O503" s="44" t="n"/>
    </row>
    <row r="504" ht="54" customHeight="1">
      <c r="A504" s="44" t="n"/>
      <c r="B504" s="44" t="n"/>
      <c r="C504" s="44" t="n"/>
      <c r="D504" s="44" t="n"/>
      <c r="E504" s="44" t="n"/>
      <c r="F504" s="44" t="n"/>
      <c r="G504" s="44" t="n"/>
      <c r="H504" s="44" t="n"/>
      <c r="I504" s="44" t="n"/>
      <c r="J504" s="44" t="n"/>
      <c r="K504" s="44" t="n"/>
      <c r="L504" s="44" t="n"/>
      <c r="M504" s="44" t="n"/>
      <c r="N504" s="44" t="n"/>
      <c r="O504" s="44" t="n"/>
    </row>
    <row r="505" ht="54" customHeight="1">
      <c r="A505" s="44" t="n"/>
      <c r="B505" s="44" t="n"/>
      <c r="C505" s="44" t="n"/>
      <c r="D505" s="44" t="n"/>
      <c r="E505" s="44" t="n"/>
      <c r="F505" s="44" t="n"/>
      <c r="G505" s="44" t="n"/>
      <c r="H505" s="44" t="n"/>
      <c r="I505" s="44" t="n"/>
      <c r="J505" s="44" t="n"/>
      <c r="K505" s="44" t="n"/>
      <c r="L505" s="44" t="n"/>
      <c r="M505" s="44" t="n"/>
      <c r="N505" s="44" t="n"/>
      <c r="O505" s="44" t="n"/>
    </row>
    <row r="506" ht="54" customHeight="1">
      <c r="A506" s="44" t="n"/>
      <c r="B506" s="44" t="n"/>
      <c r="C506" s="44" t="n"/>
      <c r="D506" s="44" t="n"/>
      <c r="E506" s="44" t="n"/>
      <c r="F506" s="44" t="n"/>
      <c r="G506" s="44" t="n"/>
      <c r="H506" s="44" t="n"/>
      <c r="I506" s="44" t="n"/>
      <c r="J506" s="44" t="n"/>
      <c r="K506" s="44" t="n"/>
      <c r="L506" s="44" t="n"/>
      <c r="M506" s="44" t="n"/>
      <c r="N506" s="44" t="n"/>
      <c r="O506" s="44" t="n"/>
    </row>
    <row r="507" ht="54" customHeight="1">
      <c r="A507" s="44" t="n"/>
      <c r="B507" s="44" t="n"/>
      <c r="C507" s="44" t="n"/>
      <c r="D507" s="44" t="n"/>
      <c r="E507" s="44" t="n"/>
      <c r="F507" s="44" t="n"/>
      <c r="G507" s="44" t="n"/>
      <c r="H507" s="44" t="n"/>
      <c r="I507" s="44" t="n"/>
      <c r="J507" s="44" t="n"/>
      <c r="K507" s="44" t="n"/>
      <c r="L507" s="44" t="n"/>
      <c r="M507" s="44" t="n"/>
      <c r="N507" s="44" t="n"/>
      <c r="O507" s="44" t="n"/>
    </row>
    <row r="508" ht="54" customHeight="1">
      <c r="A508" s="44" t="n"/>
      <c r="B508" s="44" t="n"/>
      <c r="C508" s="44" t="n"/>
      <c r="D508" s="44" t="n"/>
      <c r="E508" s="44" t="n"/>
      <c r="F508" s="44" t="n"/>
      <c r="G508" s="44" t="n"/>
      <c r="H508" s="44" t="n"/>
      <c r="I508" s="44" t="n"/>
      <c r="J508" s="44" t="n"/>
      <c r="K508" s="44" t="n"/>
      <c r="L508" s="44" t="n"/>
      <c r="M508" s="44" t="n"/>
      <c r="N508" s="44" t="n"/>
      <c r="O508" s="44" t="n"/>
    </row>
    <row r="509" ht="54" customHeight="1">
      <c r="A509" s="44" t="n"/>
      <c r="B509" s="44" t="n"/>
      <c r="C509" s="44" t="n"/>
      <c r="D509" s="44" t="n"/>
      <c r="E509" s="44" t="n"/>
      <c r="F509" s="44" t="n"/>
      <c r="G509" s="44" t="n"/>
      <c r="H509" s="44" t="n"/>
      <c r="I509" s="44" t="n"/>
      <c r="J509" s="44" t="n"/>
      <c r="K509" s="44" t="n"/>
      <c r="L509" s="44" t="n"/>
      <c r="M509" s="44" t="n"/>
      <c r="N509" s="44" t="n"/>
      <c r="O509" s="44" t="n"/>
    </row>
    <row r="510" ht="54" customHeight="1">
      <c r="A510" s="44" t="n"/>
      <c r="B510" s="44" t="n"/>
      <c r="C510" s="44" t="n"/>
      <c r="D510" s="44" t="n"/>
      <c r="E510" s="44" t="n"/>
      <c r="F510" s="44" t="n"/>
      <c r="G510" s="44" t="n"/>
      <c r="H510" s="44" t="n"/>
      <c r="I510" s="44" t="n"/>
      <c r="J510" s="44" t="n"/>
      <c r="K510" s="44" t="n"/>
      <c r="L510" s="44" t="n"/>
      <c r="M510" s="44" t="n"/>
      <c r="N510" s="44" t="n"/>
      <c r="O510" s="44" t="n"/>
    </row>
    <row r="511" ht="54" customHeight="1">
      <c r="A511" s="44" t="n"/>
      <c r="B511" s="44" t="n"/>
      <c r="C511" s="44" t="n"/>
      <c r="D511" s="44" t="n"/>
      <c r="E511" s="44" t="n"/>
      <c r="F511" s="44" t="n"/>
      <c r="G511" s="44" t="n"/>
      <c r="H511" s="44" t="n"/>
      <c r="I511" s="44" t="n"/>
      <c r="J511" s="44" t="n"/>
      <c r="K511" s="44" t="n"/>
      <c r="L511" s="44" t="n"/>
      <c r="M511" s="44" t="n"/>
      <c r="N511" s="44" t="n"/>
      <c r="O511" s="44" t="n"/>
    </row>
    <row r="512" ht="54" customHeight="1">
      <c r="A512" s="44" t="n"/>
      <c r="B512" s="44" t="n"/>
      <c r="C512" s="44" t="n"/>
      <c r="D512" s="44" t="n"/>
      <c r="E512" s="44" t="n"/>
      <c r="F512" s="44" t="n"/>
      <c r="G512" s="44" t="n"/>
      <c r="H512" s="44" t="n"/>
      <c r="I512" s="44" t="n"/>
      <c r="J512" s="44" t="n"/>
      <c r="K512" s="44" t="n"/>
      <c r="L512" s="44" t="n"/>
      <c r="M512" s="44" t="n"/>
      <c r="N512" s="44" t="n"/>
      <c r="O512" s="44" t="n"/>
    </row>
    <row r="513" ht="54" customHeight="1">
      <c r="A513" s="44" t="n"/>
      <c r="B513" s="44" t="n"/>
      <c r="C513" s="44" t="n"/>
      <c r="D513" s="44" t="n"/>
      <c r="E513" s="44" t="n"/>
      <c r="F513" s="44" t="n"/>
      <c r="G513" s="44" t="n"/>
      <c r="H513" s="44" t="n"/>
      <c r="I513" s="44" t="n"/>
      <c r="J513" s="44" t="n"/>
      <c r="K513" s="44" t="n"/>
      <c r="L513" s="44" t="n"/>
      <c r="M513" s="44" t="n"/>
      <c r="N513" s="44" t="n"/>
      <c r="O513" s="44" t="n"/>
    </row>
    <row r="514" ht="54" customHeight="1">
      <c r="A514" s="44" t="n"/>
      <c r="B514" s="44" t="n"/>
      <c r="C514" s="44" t="n"/>
      <c r="D514" s="44" t="n"/>
      <c r="E514" s="44" t="n"/>
      <c r="F514" s="44" t="n"/>
      <c r="G514" s="44" t="n"/>
      <c r="H514" s="44" t="n"/>
      <c r="I514" s="44" t="n"/>
      <c r="J514" s="44" t="n"/>
      <c r="K514" s="44" t="n"/>
      <c r="L514" s="44" t="n"/>
      <c r="M514" s="44" t="n"/>
      <c r="N514" s="44" t="n"/>
      <c r="O514" s="44" t="n"/>
    </row>
    <row r="515" ht="54" customHeight="1">
      <c r="A515" s="44" t="n"/>
      <c r="B515" s="44" t="n"/>
      <c r="C515" s="44" t="n"/>
      <c r="D515" s="44" t="n"/>
      <c r="E515" s="44" t="n"/>
      <c r="F515" s="44" t="n"/>
      <c r="G515" s="44" t="n"/>
      <c r="H515" s="44" t="n"/>
      <c r="I515" s="44" t="n"/>
      <c r="J515" s="44" t="n"/>
      <c r="K515" s="44" t="n"/>
      <c r="L515" s="44" t="n"/>
      <c r="M515" s="44" t="n"/>
      <c r="N515" s="44" t="n"/>
      <c r="O515" s="44" t="n"/>
    </row>
    <row r="516" ht="54" customHeight="1">
      <c r="A516" s="44" t="n"/>
      <c r="B516" s="44" t="n"/>
      <c r="C516" s="44" t="n"/>
      <c r="D516" s="44" t="n"/>
      <c r="E516" s="44" t="n"/>
      <c r="F516" s="44" t="n"/>
      <c r="G516" s="44" t="n"/>
      <c r="H516" s="44" t="n"/>
      <c r="I516" s="44" t="n"/>
      <c r="J516" s="44" t="n"/>
      <c r="K516" s="44" t="n"/>
      <c r="L516" s="44" t="n"/>
      <c r="M516" s="44" t="n"/>
      <c r="N516" s="44" t="n"/>
      <c r="O516" s="44" t="n"/>
    </row>
    <row r="517" ht="54" customHeight="1">
      <c r="A517" s="44" t="n"/>
      <c r="B517" s="44" t="n"/>
      <c r="C517" s="44" t="n"/>
      <c r="D517" s="44" t="n"/>
      <c r="E517" s="44" t="n"/>
      <c r="F517" s="44" t="n"/>
      <c r="G517" s="44" t="n"/>
      <c r="H517" s="44" t="n"/>
      <c r="I517" s="44" t="n"/>
      <c r="J517" s="44" t="n"/>
      <c r="K517" s="44" t="n"/>
      <c r="L517" s="44" t="n"/>
      <c r="M517" s="44" t="n"/>
      <c r="N517" s="44" t="n"/>
      <c r="O517" s="44" t="n"/>
    </row>
    <row r="518" ht="54" customHeight="1">
      <c r="A518" s="44" t="n"/>
      <c r="B518" s="44" t="n"/>
      <c r="C518" s="44" t="n"/>
      <c r="D518" s="44" t="n"/>
      <c r="E518" s="44" t="n"/>
      <c r="F518" s="44" t="n"/>
      <c r="G518" s="44" t="n"/>
      <c r="H518" s="44" t="n"/>
      <c r="I518" s="44" t="n"/>
      <c r="J518" s="44" t="n"/>
      <c r="K518" s="44" t="n"/>
      <c r="L518" s="44" t="n"/>
      <c r="M518" s="44" t="n"/>
      <c r="N518" s="44" t="n"/>
      <c r="O518" s="44" t="n"/>
    </row>
    <row r="519" ht="54" customHeight="1">
      <c r="A519" s="44" t="n"/>
      <c r="B519" s="44" t="n"/>
      <c r="C519" s="44" t="n"/>
      <c r="D519" s="44" t="n"/>
      <c r="E519" s="44" t="n"/>
      <c r="F519" s="44" t="n"/>
      <c r="G519" s="44" t="n"/>
      <c r="H519" s="44" t="n"/>
      <c r="I519" s="44" t="n"/>
      <c r="J519" s="44" t="n"/>
      <c r="K519" s="44" t="n"/>
      <c r="L519" s="44" t="n"/>
      <c r="M519" s="44" t="n"/>
      <c r="N519" s="44" t="n"/>
      <c r="O519" s="44" t="n"/>
    </row>
    <row r="520" ht="54" customHeight="1">
      <c r="A520" s="44" t="n"/>
      <c r="B520" s="44" t="n"/>
      <c r="C520" s="44" t="n"/>
      <c r="D520" s="44" t="n"/>
      <c r="E520" s="44" t="n"/>
      <c r="F520" s="44" t="n"/>
      <c r="G520" s="44" t="n"/>
      <c r="H520" s="44" t="n"/>
      <c r="I520" s="44" t="n"/>
      <c r="J520" s="44" t="n"/>
      <c r="K520" s="44" t="n"/>
      <c r="L520" s="44" t="n"/>
      <c r="M520" s="44" t="n"/>
      <c r="N520" s="44" t="n"/>
      <c r="O520" s="44" t="n"/>
    </row>
    <row r="521" ht="54" customHeight="1">
      <c r="A521" s="44" t="n"/>
      <c r="B521" s="44" t="n"/>
      <c r="C521" s="44" t="n"/>
      <c r="D521" s="44" t="n"/>
      <c r="E521" s="44" t="n"/>
      <c r="F521" s="44" t="n"/>
      <c r="G521" s="44" t="n"/>
      <c r="H521" s="44" t="n"/>
      <c r="I521" s="44" t="n"/>
      <c r="J521" s="44" t="n"/>
      <c r="K521" s="44" t="n"/>
      <c r="L521" s="44" t="n"/>
      <c r="M521" s="44" t="n"/>
      <c r="N521" s="44" t="n"/>
      <c r="O521" s="44" t="n"/>
    </row>
    <row r="522" ht="54" customHeight="1">
      <c r="A522" s="44" t="n"/>
      <c r="B522" s="44" t="n"/>
      <c r="C522" s="44" t="n"/>
      <c r="D522" s="44" t="n"/>
      <c r="E522" s="44" t="n"/>
      <c r="F522" s="44" t="n"/>
      <c r="G522" s="44" t="n"/>
      <c r="H522" s="44" t="n"/>
      <c r="I522" s="44" t="n"/>
      <c r="J522" s="44" t="n"/>
      <c r="K522" s="44" t="n"/>
      <c r="L522" s="44" t="n"/>
      <c r="M522" s="44" t="n"/>
      <c r="N522" s="44" t="n"/>
      <c r="O522" s="44" t="n"/>
    </row>
    <row r="523" ht="54" customHeight="1">
      <c r="A523" s="44" t="n"/>
      <c r="B523" s="44" t="n"/>
      <c r="C523" s="44" t="n"/>
      <c r="D523" s="44" t="n"/>
      <c r="E523" s="44" t="n"/>
      <c r="F523" s="44" t="n"/>
      <c r="G523" s="44" t="n"/>
      <c r="H523" s="44" t="n"/>
      <c r="I523" s="44" t="n"/>
      <c r="J523" s="44" t="n"/>
      <c r="K523" s="44" t="n"/>
      <c r="L523" s="44" t="n"/>
      <c r="M523" s="44" t="n"/>
      <c r="N523" s="44" t="n"/>
      <c r="O523" s="44" t="n"/>
    </row>
    <row r="524" ht="54" customHeight="1">
      <c r="A524" s="44" t="n"/>
      <c r="B524" s="44" t="n"/>
      <c r="C524" s="44" t="n"/>
      <c r="D524" s="44" t="n"/>
      <c r="E524" s="44" t="n"/>
      <c r="F524" s="44" t="n"/>
      <c r="G524" s="44" t="n"/>
      <c r="H524" s="44" t="n"/>
      <c r="I524" s="44" t="n"/>
      <c r="J524" s="44" t="n"/>
      <c r="K524" s="44" t="n"/>
      <c r="L524" s="44" t="n"/>
      <c r="M524" s="44" t="n"/>
      <c r="N524" s="44" t="n"/>
      <c r="O524" s="44" t="n"/>
    </row>
    <row r="525" ht="54" customHeight="1">
      <c r="A525" s="44" t="n"/>
      <c r="B525" s="44" t="n"/>
      <c r="C525" s="44" t="n"/>
      <c r="D525" s="44" t="n"/>
      <c r="E525" s="44" t="n"/>
      <c r="F525" s="44" t="n"/>
      <c r="G525" s="44" t="n"/>
      <c r="H525" s="44" t="n"/>
      <c r="I525" s="44" t="n"/>
      <c r="J525" s="44" t="n"/>
      <c r="K525" s="44" t="n"/>
      <c r="L525" s="44" t="n"/>
      <c r="M525" s="44" t="n"/>
      <c r="N525" s="44" t="n"/>
      <c r="O525" s="44" t="n"/>
    </row>
    <row r="526" ht="54" customHeight="1">
      <c r="A526" s="44" t="n"/>
      <c r="B526" s="44" t="n"/>
      <c r="C526" s="44" t="n"/>
      <c r="D526" s="44" t="n"/>
      <c r="E526" s="44" t="n"/>
      <c r="F526" s="44" t="n"/>
      <c r="G526" s="44" t="n"/>
      <c r="H526" s="44" t="n"/>
      <c r="I526" s="44" t="n"/>
      <c r="J526" s="44" t="n"/>
      <c r="K526" s="44" t="n"/>
      <c r="L526" s="44" t="n"/>
      <c r="M526" s="44" t="n"/>
      <c r="N526" s="44" t="n"/>
      <c r="O526" s="44" t="n"/>
    </row>
    <row r="527" ht="54" customHeight="1">
      <c r="A527" s="44" t="n"/>
      <c r="B527" s="44" t="n"/>
      <c r="C527" s="44" t="n"/>
      <c r="D527" s="44" t="n"/>
      <c r="E527" s="44" t="n"/>
      <c r="F527" s="44" t="n"/>
      <c r="G527" s="44" t="n"/>
      <c r="H527" s="44" t="n"/>
      <c r="I527" s="44" t="n"/>
      <c r="J527" s="44" t="n"/>
      <c r="K527" s="44" t="n"/>
      <c r="L527" s="44" t="n"/>
      <c r="M527" s="44" t="n"/>
      <c r="N527" s="44" t="n"/>
      <c r="O527" s="44" t="n"/>
    </row>
    <row r="528" ht="54" customHeight="1">
      <c r="A528" s="44" t="n"/>
      <c r="B528" s="44" t="n"/>
      <c r="C528" s="44" t="n"/>
      <c r="D528" s="44" t="n"/>
      <c r="E528" s="44" t="n"/>
      <c r="F528" s="44" t="n"/>
      <c r="G528" s="44" t="n"/>
      <c r="H528" s="44" t="n"/>
      <c r="I528" s="44" t="n"/>
      <c r="J528" s="44" t="n"/>
      <c r="K528" s="44" t="n"/>
      <c r="L528" s="44" t="n"/>
      <c r="M528" s="44" t="n"/>
      <c r="N528" s="44" t="n"/>
      <c r="O528" s="44" t="n"/>
    </row>
    <row r="529" ht="54" customHeight="1">
      <c r="A529" s="44" t="n"/>
      <c r="B529" s="44" t="n"/>
      <c r="C529" s="44" t="n"/>
      <c r="D529" s="44" t="n"/>
      <c r="E529" s="44" t="n"/>
      <c r="F529" s="44" t="n"/>
      <c r="G529" s="44" t="n"/>
      <c r="H529" s="44" t="n"/>
      <c r="I529" s="44" t="n"/>
      <c r="J529" s="44" t="n"/>
      <c r="K529" s="44" t="n"/>
      <c r="L529" s="44" t="n"/>
      <c r="M529" s="44" t="n"/>
      <c r="N529" s="44" t="n"/>
      <c r="O529" s="44" t="n"/>
    </row>
    <row r="530" ht="54" customHeight="1">
      <c r="A530" s="44" t="n"/>
      <c r="B530" s="44" t="n"/>
      <c r="C530" s="44" t="n"/>
      <c r="D530" s="44" t="n"/>
      <c r="E530" s="44" t="n"/>
      <c r="F530" s="44" t="n"/>
      <c r="G530" s="44" t="n"/>
      <c r="H530" s="44" t="n"/>
      <c r="I530" s="44" t="n"/>
      <c r="J530" s="44" t="n"/>
      <c r="K530" s="44" t="n"/>
      <c r="L530" s="44" t="n"/>
      <c r="M530" s="44" t="n"/>
      <c r="N530" s="44" t="n"/>
      <c r="O530" s="44" t="n"/>
    </row>
    <row r="531" ht="54" customHeight="1">
      <c r="A531" s="44" t="n"/>
      <c r="B531" s="44" t="n"/>
      <c r="C531" s="44" t="n"/>
      <c r="D531" s="44" t="n"/>
      <c r="E531" s="44" t="n"/>
      <c r="F531" s="44" t="n"/>
      <c r="G531" s="44" t="n"/>
      <c r="H531" s="44" t="n"/>
      <c r="I531" s="44" t="n"/>
      <c r="J531" s="44" t="n"/>
      <c r="K531" s="44" t="n"/>
      <c r="L531" s="44" t="n"/>
      <c r="M531" s="44" t="n"/>
      <c r="N531" s="44" t="n"/>
      <c r="O531" s="44" t="n"/>
    </row>
    <row r="532" ht="54" customHeight="1">
      <c r="A532" s="44" t="n"/>
      <c r="B532" s="44" t="n"/>
      <c r="C532" s="44" t="n"/>
      <c r="D532" s="44" t="n"/>
      <c r="E532" s="44" t="n"/>
      <c r="F532" s="44" t="n"/>
      <c r="G532" s="44" t="n"/>
      <c r="H532" s="44" t="n"/>
      <c r="I532" s="44" t="n"/>
      <c r="J532" s="44" t="n"/>
      <c r="K532" s="44" t="n"/>
      <c r="L532" s="44" t="n"/>
      <c r="M532" s="44" t="n"/>
      <c r="N532" s="44" t="n"/>
      <c r="O532" s="44" t="n"/>
    </row>
    <row r="533" ht="54" customHeight="1">
      <c r="A533" s="44" t="n"/>
      <c r="B533" s="44" t="n"/>
      <c r="C533" s="44" t="n"/>
      <c r="D533" s="44" t="n"/>
      <c r="E533" s="44" t="n"/>
      <c r="F533" s="44" t="n"/>
      <c r="G533" s="44" t="n"/>
      <c r="H533" s="44" t="n"/>
      <c r="I533" s="44" t="n"/>
      <c r="J533" s="44" t="n"/>
      <c r="K533" s="44" t="n"/>
      <c r="L533" s="44" t="n"/>
      <c r="M533" s="44" t="n"/>
      <c r="N533" s="44" t="n"/>
      <c r="O533" s="44" t="n"/>
    </row>
    <row r="534" ht="54" customHeight="1">
      <c r="A534" s="44" t="n"/>
      <c r="B534" s="44" t="n"/>
      <c r="C534" s="44" t="n"/>
      <c r="D534" s="44" t="n"/>
      <c r="E534" s="44" t="n"/>
      <c r="F534" s="44" t="n"/>
      <c r="G534" s="44" t="n"/>
      <c r="H534" s="44" t="n"/>
      <c r="I534" s="44" t="n"/>
      <c r="J534" s="44" t="n"/>
      <c r="K534" s="44" t="n"/>
      <c r="L534" s="44" t="n"/>
      <c r="M534" s="44" t="n"/>
      <c r="N534" s="44" t="n"/>
      <c r="O534" s="44" t="n"/>
    </row>
    <row r="535" ht="54" customHeight="1">
      <c r="A535" s="44" t="n"/>
      <c r="B535" s="44" t="n"/>
      <c r="C535" s="44" t="n"/>
      <c r="D535" s="44" t="n"/>
      <c r="E535" s="44" t="n"/>
      <c r="F535" s="44" t="n"/>
      <c r="G535" s="44" t="n"/>
      <c r="H535" s="44" t="n"/>
      <c r="I535" s="44" t="n"/>
      <c r="J535" s="44" t="n"/>
      <c r="K535" s="44" t="n"/>
      <c r="L535" s="44" t="n"/>
      <c r="M535" s="44" t="n"/>
      <c r="N535" s="44" t="n"/>
      <c r="O535" s="44" t="n"/>
    </row>
    <row r="536" ht="54" customHeight="1">
      <c r="A536" s="44" t="n"/>
      <c r="B536" s="44" t="n"/>
      <c r="C536" s="44" t="n"/>
      <c r="D536" s="44" t="n"/>
      <c r="E536" s="44" t="n"/>
      <c r="F536" s="44" t="n"/>
      <c r="G536" s="44" t="n"/>
      <c r="H536" s="44" t="n"/>
      <c r="I536" s="44" t="n"/>
      <c r="J536" s="44" t="n"/>
      <c r="K536" s="44" t="n"/>
      <c r="L536" s="44" t="n"/>
      <c r="M536" s="44" t="n"/>
      <c r="N536" s="44" t="n"/>
      <c r="O536" s="44" t="n"/>
    </row>
    <row r="537" ht="54" customHeight="1">
      <c r="A537" s="44" t="n"/>
      <c r="B537" s="44" t="n"/>
      <c r="C537" s="44" t="n"/>
      <c r="D537" s="44" t="n"/>
      <c r="E537" s="44" t="n"/>
      <c r="F537" s="44" t="n"/>
      <c r="G537" s="44" t="n"/>
      <c r="H537" s="44" t="n"/>
      <c r="I537" s="44" t="n"/>
      <c r="J537" s="44" t="n"/>
      <c r="K537" s="44" t="n"/>
      <c r="L537" s="44" t="n"/>
      <c r="M537" s="44" t="n"/>
      <c r="N537" s="44" t="n"/>
      <c r="O537" s="44" t="n"/>
    </row>
    <row r="538" ht="54" customHeight="1">
      <c r="A538" s="44" t="n"/>
      <c r="B538" s="44" t="n"/>
      <c r="C538" s="44" t="n"/>
      <c r="D538" s="44" t="n"/>
      <c r="E538" s="44" t="n"/>
      <c r="F538" s="44" t="n"/>
      <c r="G538" s="44" t="n"/>
      <c r="H538" s="44" t="n"/>
      <c r="I538" s="44" t="n"/>
      <c r="J538" s="44" t="n"/>
      <c r="K538" s="44" t="n"/>
      <c r="L538" s="44" t="n"/>
      <c r="M538" s="44" t="n"/>
      <c r="N538" s="44" t="n"/>
      <c r="O538" s="44" t="n"/>
    </row>
    <row r="539" ht="54" customHeight="1">
      <c r="A539" s="44" t="n"/>
      <c r="B539" s="44" t="n"/>
      <c r="C539" s="44" t="n"/>
      <c r="D539" s="44" t="n"/>
      <c r="E539" s="44" t="n"/>
      <c r="F539" s="44" t="n"/>
      <c r="G539" s="44" t="n"/>
      <c r="H539" s="44" t="n"/>
      <c r="I539" s="44" t="n"/>
      <c r="J539" s="44" t="n"/>
      <c r="K539" s="44" t="n"/>
      <c r="L539" s="44" t="n"/>
      <c r="M539" s="44" t="n"/>
      <c r="N539" s="44" t="n"/>
      <c r="O539" s="44" t="n"/>
    </row>
    <row r="540" ht="54" customHeight="1">
      <c r="A540" s="44" t="n"/>
      <c r="B540" s="44" t="n"/>
      <c r="C540" s="44" t="n"/>
      <c r="D540" s="44" t="n"/>
      <c r="E540" s="44" t="n"/>
      <c r="F540" s="44" t="n"/>
      <c r="G540" s="44" t="n"/>
      <c r="H540" s="44" t="n"/>
      <c r="I540" s="44" t="n"/>
      <c r="J540" s="44" t="n"/>
      <c r="K540" s="44" t="n"/>
      <c r="L540" s="44" t="n"/>
      <c r="M540" s="44" t="n"/>
      <c r="N540" s="44" t="n"/>
      <c r="O540" s="44" t="n"/>
    </row>
    <row r="541" ht="54" customHeight="1">
      <c r="A541" s="44" t="n"/>
      <c r="B541" s="44" t="n"/>
      <c r="C541" s="44" t="n"/>
      <c r="D541" s="44" t="n"/>
      <c r="E541" s="44" t="n"/>
      <c r="F541" s="44" t="n"/>
      <c r="G541" s="44" t="n"/>
      <c r="H541" s="44" t="n"/>
      <c r="I541" s="44" t="n"/>
      <c r="J541" s="44" t="n"/>
      <c r="K541" s="44" t="n"/>
      <c r="L541" s="44" t="n"/>
      <c r="M541" s="44" t="n"/>
      <c r="N541" s="44" t="n"/>
      <c r="O541" s="44" t="n"/>
    </row>
    <row r="542" ht="54" customHeight="1">
      <c r="A542" s="44" t="n"/>
      <c r="B542" s="44" t="n"/>
      <c r="C542" s="44" t="n"/>
      <c r="D542" s="44" t="n"/>
      <c r="E542" s="44" t="n"/>
      <c r="F542" s="44" t="n"/>
      <c r="G542" s="44" t="n"/>
      <c r="H542" s="44" t="n"/>
      <c r="I542" s="44" t="n"/>
      <c r="J542" s="44" t="n"/>
      <c r="K542" s="44" t="n"/>
      <c r="L542" s="44" t="n"/>
      <c r="M542" s="44" t="n"/>
      <c r="N542" s="44" t="n"/>
      <c r="O542" s="44" t="n"/>
    </row>
    <row r="543" ht="54" customHeight="1">
      <c r="A543" s="44" t="n"/>
      <c r="B543" s="44" t="n"/>
      <c r="C543" s="44" t="n"/>
      <c r="D543" s="44" t="n"/>
      <c r="E543" s="44" t="n"/>
      <c r="F543" s="44" t="n"/>
      <c r="G543" s="44" t="n"/>
      <c r="H543" s="44" t="n"/>
      <c r="I543" s="44" t="n"/>
      <c r="J543" s="44" t="n"/>
      <c r="K543" s="44" t="n"/>
      <c r="L543" s="44" t="n"/>
      <c r="M543" s="44" t="n"/>
      <c r="N543" s="44" t="n"/>
      <c r="O543" s="44" t="n"/>
    </row>
    <row r="544" ht="54" customHeight="1">
      <c r="A544" s="44" t="n"/>
      <c r="B544" s="44" t="n"/>
      <c r="C544" s="44" t="n"/>
      <c r="D544" s="44" t="n"/>
      <c r="E544" s="44" t="n"/>
      <c r="F544" s="44" t="n"/>
      <c r="G544" s="44" t="n"/>
      <c r="H544" s="44" t="n"/>
      <c r="I544" s="44" t="n"/>
      <c r="J544" s="44" t="n"/>
      <c r="K544" s="44" t="n"/>
      <c r="L544" s="44" t="n"/>
      <c r="M544" s="44" t="n"/>
      <c r="N544" s="44" t="n"/>
      <c r="O544" s="44" t="n"/>
    </row>
    <row r="545" ht="54" customHeight="1">
      <c r="A545" s="44" t="n"/>
      <c r="B545" s="44" t="n"/>
      <c r="C545" s="44" t="n"/>
      <c r="D545" s="44" t="n"/>
      <c r="E545" s="44" t="n"/>
      <c r="F545" s="44" t="n"/>
      <c r="G545" s="44" t="n"/>
      <c r="H545" s="44" t="n"/>
      <c r="I545" s="44" t="n"/>
      <c r="J545" s="44" t="n"/>
      <c r="K545" s="44" t="n"/>
      <c r="L545" s="44" t="n"/>
      <c r="M545" s="44" t="n"/>
      <c r="N545" s="44" t="n"/>
      <c r="O545" s="44" t="n"/>
    </row>
    <row r="546" ht="54" customHeight="1">
      <c r="A546" s="44" t="n"/>
      <c r="B546" s="44" t="n"/>
      <c r="C546" s="44" t="n"/>
      <c r="D546" s="44" t="n"/>
      <c r="E546" s="44" t="n"/>
      <c r="F546" s="44" t="n"/>
      <c r="G546" s="44" t="n"/>
      <c r="H546" s="44" t="n"/>
      <c r="I546" s="44" t="n"/>
      <c r="J546" s="44" t="n"/>
      <c r="K546" s="44" t="n"/>
      <c r="L546" s="44" t="n"/>
      <c r="M546" s="44" t="n"/>
      <c r="N546" s="44" t="n"/>
      <c r="O546" s="44" t="n"/>
    </row>
    <row r="547" ht="54" customHeight="1">
      <c r="A547" s="44" t="n"/>
      <c r="B547" s="44" t="n"/>
      <c r="C547" s="44" t="n"/>
      <c r="D547" s="44" t="n"/>
      <c r="E547" s="44" t="n"/>
      <c r="F547" s="44" t="n"/>
      <c r="G547" s="44" t="n"/>
      <c r="H547" s="44" t="n"/>
      <c r="I547" s="44" t="n"/>
      <c r="J547" s="44" t="n"/>
      <c r="K547" s="44" t="n"/>
      <c r="L547" s="44" t="n"/>
      <c r="M547" s="44" t="n"/>
      <c r="N547" s="44" t="n"/>
      <c r="O547" s="44" t="n"/>
    </row>
    <row r="548" ht="54" customHeight="1">
      <c r="A548" s="44" t="n"/>
      <c r="B548" s="44" t="n"/>
      <c r="C548" s="44" t="n"/>
      <c r="D548" s="44" t="n"/>
      <c r="E548" s="44" t="n"/>
      <c r="F548" s="44" t="n"/>
      <c r="G548" s="44" t="n"/>
      <c r="H548" s="44" t="n"/>
      <c r="I548" s="44" t="n"/>
      <c r="J548" s="44" t="n"/>
      <c r="K548" s="44" t="n"/>
      <c r="L548" s="44" t="n"/>
      <c r="M548" s="44" t="n"/>
      <c r="N548" s="44" t="n"/>
      <c r="O548" s="44" t="n"/>
    </row>
    <row r="549" ht="54" customHeight="1">
      <c r="A549" s="44" t="n"/>
      <c r="B549" s="44" t="n"/>
      <c r="C549" s="44" t="n"/>
      <c r="D549" s="44" t="n"/>
      <c r="E549" s="44" t="n"/>
      <c r="F549" s="44" t="n"/>
      <c r="G549" s="44" t="n"/>
      <c r="H549" s="44" t="n"/>
      <c r="I549" s="44" t="n"/>
      <c r="J549" s="44" t="n"/>
      <c r="K549" s="44" t="n"/>
      <c r="L549" s="44" t="n"/>
      <c r="M549" s="44" t="n"/>
      <c r="N549" s="44" t="n"/>
      <c r="O549" s="44" t="n"/>
    </row>
    <row r="550" ht="54" customHeight="1">
      <c r="A550" s="44" t="n"/>
      <c r="B550" s="44" t="n"/>
      <c r="C550" s="44" t="n"/>
      <c r="D550" s="44" t="n"/>
      <c r="E550" s="44" t="n"/>
      <c r="F550" s="44" t="n"/>
      <c r="G550" s="44" t="n"/>
      <c r="H550" s="44" t="n"/>
      <c r="I550" s="44" t="n"/>
      <c r="J550" s="44" t="n"/>
      <c r="K550" s="44" t="n"/>
      <c r="L550" s="44" t="n"/>
      <c r="M550" s="44" t="n"/>
      <c r="N550" s="44" t="n"/>
      <c r="O550" s="44" t="n"/>
    </row>
    <row r="551" ht="54" customHeight="1">
      <c r="A551" s="44" t="n"/>
      <c r="B551" s="44" t="n"/>
      <c r="C551" s="44" t="n"/>
      <c r="D551" s="44" t="n"/>
      <c r="E551" s="44" t="n"/>
      <c r="F551" s="44" t="n"/>
      <c r="G551" s="44" t="n"/>
      <c r="H551" s="44" t="n"/>
      <c r="I551" s="44" t="n"/>
      <c r="J551" s="44" t="n"/>
      <c r="K551" s="44" t="n"/>
      <c r="L551" s="44" t="n"/>
      <c r="M551" s="44" t="n"/>
      <c r="N551" s="44" t="n"/>
      <c r="O551" s="44" t="n"/>
    </row>
    <row r="552" ht="54" customHeight="1">
      <c r="A552" s="44" t="n"/>
      <c r="B552" s="44" t="n"/>
      <c r="C552" s="44" t="n"/>
      <c r="D552" s="44" t="n"/>
      <c r="E552" s="44" t="n"/>
      <c r="F552" s="44" t="n"/>
      <c r="G552" s="44" t="n"/>
      <c r="H552" s="44" t="n"/>
      <c r="I552" s="44" t="n"/>
      <c r="J552" s="44" t="n"/>
      <c r="K552" s="44" t="n"/>
      <c r="L552" s="44" t="n"/>
      <c r="M552" s="44" t="n"/>
      <c r="N552" s="44" t="n"/>
      <c r="O552" s="44" t="n"/>
    </row>
    <row r="553" ht="54" customHeight="1">
      <c r="A553" s="44" t="n"/>
      <c r="B553" s="44" t="n"/>
      <c r="C553" s="44" t="n"/>
      <c r="D553" s="44" t="n"/>
      <c r="E553" s="44" t="n"/>
      <c r="F553" s="44" t="n"/>
      <c r="G553" s="44" t="n"/>
      <c r="H553" s="44" t="n"/>
      <c r="I553" s="44" t="n"/>
      <c r="J553" s="44" t="n"/>
      <c r="K553" s="44" t="n"/>
      <c r="L553" s="44" t="n"/>
      <c r="M553" s="44" t="n"/>
      <c r="N553" s="44" t="n"/>
      <c r="O553" s="44" t="n"/>
    </row>
    <row r="554" ht="54" customHeight="1">
      <c r="A554" s="44" t="n"/>
      <c r="B554" s="44" t="n"/>
      <c r="C554" s="44" t="n"/>
      <c r="D554" s="44" t="n"/>
      <c r="E554" s="44" t="n"/>
      <c r="F554" s="44" t="n"/>
      <c r="G554" s="44" t="n"/>
      <c r="H554" s="44" t="n"/>
      <c r="I554" s="44" t="n"/>
      <c r="J554" s="44" t="n"/>
      <c r="K554" s="44" t="n"/>
      <c r="L554" s="44" t="n"/>
      <c r="M554" s="44" t="n"/>
      <c r="N554" s="44" t="n"/>
      <c r="O554" s="44" t="n"/>
    </row>
    <row r="555" ht="54" customHeight="1">
      <c r="A555" s="44" t="n"/>
      <c r="B555" s="44" t="n"/>
      <c r="C555" s="44" t="n"/>
      <c r="D555" s="44" t="n"/>
      <c r="E555" s="44" t="n"/>
      <c r="F555" s="44" t="n"/>
      <c r="G555" s="44" t="n"/>
      <c r="H555" s="44" t="n"/>
      <c r="I555" s="44" t="n"/>
      <c r="J555" s="44" t="n"/>
      <c r="K555" s="44" t="n"/>
      <c r="L555" s="44" t="n"/>
      <c r="M555" s="44" t="n"/>
      <c r="N555" s="44" t="n"/>
      <c r="O555" s="44" t="n"/>
    </row>
    <row r="556" ht="54" customHeight="1">
      <c r="A556" s="44" t="n"/>
      <c r="B556" s="44" t="n"/>
      <c r="C556" s="44" t="n"/>
      <c r="D556" s="44" t="n"/>
      <c r="E556" s="44" t="n"/>
      <c r="F556" s="44" t="n"/>
      <c r="G556" s="44" t="n"/>
      <c r="H556" s="44" t="n"/>
      <c r="I556" s="44" t="n"/>
      <c r="J556" s="44" t="n"/>
      <c r="K556" s="44" t="n"/>
      <c r="L556" s="44" t="n"/>
      <c r="M556" s="44" t="n"/>
      <c r="N556" s="44" t="n"/>
      <c r="O556" s="44" t="n"/>
    </row>
    <row r="557" ht="54" customHeight="1">
      <c r="A557" s="44" t="n"/>
      <c r="B557" s="44" t="n"/>
      <c r="C557" s="44" t="n"/>
      <c r="D557" s="44" t="n"/>
      <c r="E557" s="44" t="n"/>
      <c r="F557" s="44" t="n"/>
      <c r="G557" s="44" t="n"/>
      <c r="H557" s="44" t="n"/>
      <c r="I557" s="44" t="n"/>
      <c r="J557" s="44" t="n"/>
      <c r="K557" s="44" t="n"/>
      <c r="L557" s="44" t="n"/>
      <c r="M557" s="44" t="n"/>
      <c r="N557" s="44" t="n"/>
      <c r="O557" s="44" t="n"/>
    </row>
    <row r="558" ht="54" customHeight="1">
      <c r="A558" s="44" t="n"/>
      <c r="B558" s="44" t="n"/>
      <c r="C558" s="44" t="n"/>
      <c r="D558" s="44" t="n"/>
      <c r="E558" s="44" t="n"/>
      <c r="F558" s="44" t="n"/>
      <c r="G558" s="44" t="n"/>
      <c r="H558" s="44" t="n"/>
      <c r="I558" s="44" t="n"/>
      <c r="J558" s="44" t="n"/>
      <c r="K558" s="44" t="n"/>
      <c r="L558" s="44" t="n"/>
      <c r="M558" s="44" t="n"/>
      <c r="N558" s="44" t="n"/>
      <c r="O558" s="44" t="n"/>
    </row>
    <row r="559" ht="54" customHeight="1">
      <c r="A559" s="44" t="n"/>
      <c r="B559" s="44" t="n"/>
      <c r="C559" s="44" t="n"/>
      <c r="D559" s="44" t="n"/>
      <c r="E559" s="44" t="n"/>
      <c r="F559" s="44" t="n"/>
      <c r="G559" s="44" t="n"/>
      <c r="H559" s="44" t="n"/>
      <c r="I559" s="44" t="n"/>
      <c r="J559" s="44" t="n"/>
      <c r="K559" s="44" t="n"/>
      <c r="L559" s="44" t="n"/>
      <c r="M559" s="44" t="n"/>
      <c r="N559" s="44" t="n"/>
      <c r="O559" s="44" t="n"/>
    </row>
    <row r="560" ht="54" customHeight="1">
      <c r="A560" s="44" t="n"/>
      <c r="B560" s="44" t="n"/>
      <c r="C560" s="44" t="n"/>
      <c r="D560" s="44" t="n"/>
      <c r="E560" s="44" t="n"/>
      <c r="F560" s="44" t="n"/>
      <c r="G560" s="44" t="n"/>
      <c r="H560" s="44" t="n"/>
      <c r="I560" s="44" t="n"/>
      <c r="J560" s="44" t="n"/>
      <c r="K560" s="44" t="n"/>
      <c r="L560" s="44" t="n"/>
      <c r="M560" s="44" t="n"/>
      <c r="N560" s="44" t="n"/>
      <c r="O560" s="44" t="n"/>
    </row>
    <row r="561" ht="54" customHeight="1">
      <c r="A561" s="44" t="n"/>
      <c r="B561" s="44" t="n"/>
      <c r="C561" s="44" t="n"/>
      <c r="D561" s="44" t="n"/>
      <c r="E561" s="44" t="n"/>
      <c r="F561" s="44" t="n"/>
      <c r="G561" s="44" t="n"/>
      <c r="H561" s="44" t="n"/>
      <c r="I561" s="44" t="n"/>
      <c r="J561" s="44" t="n"/>
      <c r="K561" s="44" t="n"/>
      <c r="L561" s="44" t="n"/>
      <c r="M561" s="44" t="n"/>
      <c r="N561" s="44" t="n"/>
      <c r="O561" s="44" t="n"/>
    </row>
    <row r="562" ht="54" customHeight="1">
      <c r="A562" s="44" t="n"/>
      <c r="B562" s="44" t="n"/>
      <c r="C562" s="44" t="n"/>
      <c r="D562" s="44" t="n"/>
      <c r="E562" s="44" t="n"/>
      <c r="F562" s="44" t="n"/>
      <c r="G562" s="44" t="n"/>
      <c r="H562" s="44" t="n"/>
      <c r="I562" s="44" t="n"/>
      <c r="J562" s="44" t="n"/>
      <c r="K562" s="44" t="n"/>
      <c r="L562" s="44" t="n"/>
      <c r="M562" s="44" t="n"/>
      <c r="N562" s="44" t="n"/>
      <c r="O562" s="44" t="n"/>
    </row>
    <row r="563" ht="54" customHeight="1">
      <c r="A563" s="44" t="n"/>
      <c r="B563" s="44" t="n"/>
      <c r="C563" s="44" t="n"/>
      <c r="D563" s="44" t="n"/>
      <c r="E563" s="44" t="n"/>
      <c r="F563" s="44" t="n"/>
      <c r="G563" s="44" t="n"/>
      <c r="H563" s="44" t="n"/>
      <c r="I563" s="44" t="n"/>
      <c r="J563" s="44" t="n"/>
      <c r="K563" s="44" t="n"/>
      <c r="L563" s="44" t="n"/>
      <c r="M563" s="44" t="n"/>
      <c r="N563" s="44" t="n"/>
      <c r="O563" s="44" t="n"/>
    </row>
    <row r="564" ht="54" customHeight="1">
      <c r="A564" s="44" t="n"/>
      <c r="B564" s="44" t="n"/>
      <c r="C564" s="44" t="n"/>
      <c r="D564" s="44" t="n"/>
      <c r="E564" s="44" t="n"/>
      <c r="F564" s="44" t="n"/>
      <c r="G564" s="44" t="n"/>
      <c r="H564" s="44" t="n"/>
      <c r="I564" s="44" t="n"/>
      <c r="J564" s="44" t="n"/>
      <c r="K564" s="44" t="n"/>
      <c r="L564" s="44" t="n"/>
      <c r="M564" s="44" t="n"/>
      <c r="N564" s="44" t="n"/>
      <c r="O564" s="44" t="n"/>
    </row>
    <row r="565" ht="54" customHeight="1">
      <c r="A565" s="44" t="n"/>
      <c r="B565" s="44" t="n"/>
      <c r="C565" s="44" t="n"/>
      <c r="D565" s="44" t="n"/>
      <c r="E565" s="44" t="n"/>
      <c r="F565" s="44" t="n"/>
      <c r="G565" s="44" t="n"/>
      <c r="H565" s="44" t="n"/>
      <c r="I565" s="44" t="n"/>
      <c r="J565" s="44" t="n"/>
      <c r="K565" s="44" t="n"/>
      <c r="L565" s="44" t="n"/>
      <c r="M565" s="44" t="n"/>
      <c r="N565" s="44" t="n"/>
      <c r="O565" s="44" t="n"/>
    </row>
    <row r="566" ht="54" customHeight="1">
      <c r="A566" s="44" t="n"/>
      <c r="B566" s="44" t="n"/>
      <c r="C566" s="44" t="n"/>
      <c r="D566" s="44" t="n"/>
      <c r="E566" s="44" t="n"/>
      <c r="F566" s="44" t="n"/>
      <c r="G566" s="44" t="n"/>
      <c r="H566" s="44" t="n"/>
      <c r="I566" s="44" t="n"/>
      <c r="J566" s="44" t="n"/>
      <c r="K566" s="44" t="n"/>
      <c r="L566" s="44" t="n"/>
      <c r="M566" s="44" t="n"/>
      <c r="N566" s="44" t="n"/>
      <c r="O566" s="44" t="n"/>
    </row>
    <row r="567" ht="54" customHeight="1">
      <c r="A567" s="44" t="n"/>
      <c r="B567" s="44" t="n"/>
      <c r="C567" s="44" t="n"/>
      <c r="D567" s="44" t="n"/>
      <c r="E567" s="44" t="n"/>
      <c r="F567" s="44" t="n"/>
      <c r="G567" s="44" t="n"/>
      <c r="H567" s="44" t="n"/>
      <c r="I567" s="44" t="n"/>
      <c r="J567" s="44" t="n"/>
      <c r="K567" s="44" t="n"/>
      <c r="L567" s="44" t="n"/>
      <c r="M567" s="44" t="n"/>
      <c r="N567" s="44" t="n"/>
      <c r="O567" s="44" t="n"/>
    </row>
    <row r="568" ht="54" customHeight="1">
      <c r="A568" s="44" t="n"/>
      <c r="B568" s="44" t="n"/>
      <c r="C568" s="44" t="n"/>
      <c r="D568" s="44" t="n"/>
      <c r="E568" s="44" t="n"/>
      <c r="F568" s="44" t="n"/>
      <c r="G568" s="44" t="n"/>
      <c r="H568" s="44" t="n"/>
      <c r="I568" s="44" t="n"/>
      <c r="J568" s="44" t="n"/>
      <c r="K568" s="44" t="n"/>
      <c r="L568" s="44" t="n"/>
      <c r="M568" s="44" t="n"/>
      <c r="N568" s="44" t="n"/>
      <c r="O568" s="44" t="n"/>
    </row>
    <row r="569" ht="54" customHeight="1">
      <c r="A569" s="44" t="n"/>
      <c r="B569" s="44" t="n"/>
      <c r="C569" s="44" t="n"/>
      <c r="D569" s="44" t="n"/>
      <c r="E569" s="44" t="n"/>
      <c r="F569" s="44" t="n"/>
      <c r="G569" s="44" t="n"/>
      <c r="H569" s="44" t="n"/>
      <c r="I569" s="44" t="n"/>
      <c r="J569" s="44" t="n"/>
      <c r="K569" s="44" t="n"/>
      <c r="L569" s="44" t="n"/>
      <c r="M569" s="44" t="n"/>
      <c r="N569" s="44" t="n"/>
      <c r="O569" s="44" t="n"/>
    </row>
    <row r="570" ht="54" customHeight="1">
      <c r="A570" s="44" t="n"/>
      <c r="B570" s="44" t="n"/>
      <c r="C570" s="44" t="n"/>
      <c r="D570" s="44" t="n"/>
      <c r="E570" s="44" t="n"/>
      <c r="F570" s="44" t="n"/>
      <c r="G570" s="44" t="n"/>
      <c r="H570" s="44" t="n"/>
      <c r="I570" s="44" t="n"/>
      <c r="J570" s="44" t="n"/>
      <c r="K570" s="44" t="n"/>
      <c r="L570" s="44" t="n"/>
      <c r="M570" s="44" t="n"/>
      <c r="N570" s="44" t="n"/>
      <c r="O570" s="44" t="n"/>
    </row>
    <row r="571" ht="54" customHeight="1">
      <c r="A571" s="44" t="n"/>
      <c r="B571" s="44" t="n"/>
      <c r="C571" s="44" t="n"/>
      <c r="D571" s="44" t="n"/>
      <c r="E571" s="44" t="n"/>
      <c r="F571" s="44" t="n"/>
      <c r="G571" s="44" t="n"/>
      <c r="H571" s="44" t="n"/>
      <c r="I571" s="44" t="n"/>
      <c r="J571" s="44" t="n"/>
      <c r="K571" s="44" t="n"/>
      <c r="L571" s="44" t="n"/>
      <c r="M571" s="44" t="n"/>
      <c r="N571" s="44" t="n"/>
      <c r="O571" s="44" t="n"/>
    </row>
    <row r="572" ht="54" customHeight="1">
      <c r="A572" s="44" t="n"/>
      <c r="B572" s="44" t="n"/>
      <c r="C572" s="44" t="n"/>
      <c r="D572" s="44" t="n"/>
      <c r="E572" s="44" t="n"/>
      <c r="F572" s="44" t="n"/>
      <c r="G572" s="44" t="n"/>
      <c r="H572" s="44" t="n"/>
      <c r="I572" s="44" t="n"/>
      <c r="J572" s="44" t="n"/>
      <c r="K572" s="44" t="n"/>
      <c r="L572" s="44" t="n"/>
      <c r="M572" s="44" t="n"/>
      <c r="N572" s="44" t="n"/>
      <c r="O572" s="44" t="n"/>
    </row>
    <row r="573" ht="54" customHeight="1">
      <c r="A573" s="44" t="n"/>
      <c r="B573" s="44" t="n"/>
      <c r="C573" s="44" t="n"/>
      <c r="D573" s="44" t="n"/>
      <c r="E573" s="44" t="n"/>
      <c r="F573" s="44" t="n"/>
      <c r="G573" s="44" t="n"/>
      <c r="H573" s="44" t="n"/>
      <c r="I573" s="44" t="n"/>
      <c r="J573" s="44" t="n"/>
      <c r="K573" s="44" t="n"/>
      <c r="L573" s="44" t="n"/>
      <c r="M573" s="44" t="n"/>
      <c r="N573" s="44" t="n"/>
      <c r="O573" s="44" t="n"/>
    </row>
    <row r="574" ht="54" customHeight="1">
      <c r="A574" s="44" t="n"/>
      <c r="B574" s="44" t="n"/>
      <c r="C574" s="44" t="n"/>
      <c r="D574" s="44" t="n"/>
      <c r="E574" s="44" t="n"/>
      <c r="F574" s="44" t="n"/>
      <c r="G574" s="44" t="n"/>
      <c r="H574" s="44" t="n"/>
      <c r="I574" s="44" t="n"/>
      <c r="J574" s="44" t="n"/>
      <c r="K574" s="44" t="n"/>
      <c r="L574" s="44" t="n"/>
      <c r="M574" s="44" t="n"/>
      <c r="N574" s="44" t="n"/>
      <c r="O574" s="44" t="n"/>
    </row>
    <row r="575" ht="54" customHeight="1">
      <c r="A575" s="44" t="n"/>
      <c r="B575" s="44" t="n"/>
      <c r="C575" s="44" t="n"/>
      <c r="D575" s="44" t="n"/>
      <c r="E575" s="44" t="n"/>
      <c r="F575" s="44" t="n"/>
      <c r="G575" s="44" t="n"/>
      <c r="H575" s="44" t="n"/>
      <c r="I575" s="44" t="n"/>
      <c r="J575" s="44" t="n"/>
      <c r="K575" s="44" t="n"/>
      <c r="L575" s="44" t="n"/>
      <c r="M575" s="44" t="n"/>
      <c r="N575" s="44" t="n"/>
      <c r="O575" s="44" t="n"/>
    </row>
    <row r="576" ht="54" customHeight="1">
      <c r="A576" s="44" t="n"/>
      <c r="B576" s="44" t="n"/>
      <c r="C576" s="44" t="n"/>
      <c r="D576" s="44" t="n"/>
      <c r="E576" s="44" t="n"/>
      <c r="F576" s="44" t="n"/>
      <c r="G576" s="44" t="n"/>
      <c r="H576" s="44" t="n"/>
      <c r="I576" s="44" t="n"/>
      <c r="J576" s="44" t="n"/>
      <c r="K576" s="44" t="n"/>
      <c r="L576" s="44" t="n"/>
      <c r="M576" s="44" t="n"/>
      <c r="N576" s="44" t="n"/>
      <c r="O576" s="44" t="n"/>
    </row>
    <row r="577" ht="54" customHeight="1">
      <c r="A577" s="44" t="n"/>
      <c r="B577" s="44" t="n"/>
      <c r="C577" s="44" t="n"/>
      <c r="D577" s="44" t="n"/>
      <c r="E577" s="44" t="n"/>
      <c r="F577" s="44" t="n"/>
      <c r="G577" s="44" t="n"/>
      <c r="H577" s="44" t="n"/>
      <c r="I577" s="44" t="n"/>
      <c r="J577" s="44" t="n"/>
      <c r="K577" s="44" t="n"/>
      <c r="L577" s="44" t="n"/>
      <c r="M577" s="44" t="n"/>
      <c r="N577" s="44" t="n"/>
      <c r="O577" s="44" t="n"/>
    </row>
    <row r="578" ht="54" customHeight="1">
      <c r="A578" s="44" t="n"/>
      <c r="B578" s="44" t="n"/>
      <c r="C578" s="44" t="n"/>
      <c r="D578" s="44" t="n"/>
      <c r="E578" s="44" t="n"/>
      <c r="F578" s="44" t="n"/>
      <c r="G578" s="44" t="n"/>
      <c r="H578" s="44" t="n"/>
      <c r="I578" s="44" t="n"/>
      <c r="J578" s="44" t="n"/>
      <c r="K578" s="44" t="n"/>
      <c r="L578" s="44" t="n"/>
      <c r="M578" s="44" t="n"/>
      <c r="N578" s="44" t="n"/>
      <c r="O578" s="44" t="n"/>
    </row>
    <row r="579" ht="54" customHeight="1">
      <c r="A579" s="44" t="n"/>
      <c r="B579" s="44" t="n"/>
      <c r="C579" s="44" t="n"/>
      <c r="D579" s="44" t="n"/>
      <c r="E579" s="44" t="n"/>
      <c r="F579" s="44" t="n"/>
      <c r="G579" s="44" t="n"/>
      <c r="H579" s="44" t="n"/>
      <c r="I579" s="44" t="n"/>
      <c r="J579" s="44" t="n"/>
      <c r="K579" s="44" t="n"/>
      <c r="L579" s="44" t="n"/>
      <c r="M579" s="44" t="n"/>
      <c r="N579" s="44" t="n"/>
      <c r="O579" s="44" t="n"/>
    </row>
    <row r="580" ht="54" customHeight="1">
      <c r="A580" s="44" t="n"/>
      <c r="B580" s="44" t="n"/>
      <c r="C580" s="44" t="n"/>
      <c r="D580" s="44" t="n"/>
      <c r="E580" s="44" t="n"/>
      <c r="F580" s="44" t="n"/>
      <c r="G580" s="44" t="n"/>
      <c r="H580" s="44" t="n"/>
      <c r="I580" s="44" t="n"/>
      <c r="J580" s="44" t="n"/>
      <c r="K580" s="44" t="n"/>
      <c r="L580" s="44" t="n"/>
      <c r="M580" s="44" t="n"/>
      <c r="N580" s="44" t="n"/>
      <c r="O580" s="44" t="n"/>
    </row>
    <row r="581" ht="54" customHeight="1">
      <c r="A581" s="44" t="n"/>
      <c r="B581" s="44" t="n"/>
      <c r="C581" s="44" t="n"/>
      <c r="D581" s="44" t="n"/>
      <c r="E581" s="44" t="n"/>
      <c r="F581" s="44" t="n"/>
      <c r="G581" s="44" t="n"/>
      <c r="H581" s="44" t="n"/>
      <c r="I581" s="44" t="n"/>
      <c r="J581" s="44" t="n"/>
      <c r="K581" s="44" t="n"/>
      <c r="L581" s="44" t="n"/>
      <c r="M581" s="44" t="n"/>
      <c r="N581" s="44" t="n"/>
      <c r="O581" s="44" t="n"/>
    </row>
    <row r="582" ht="54" customHeight="1">
      <c r="A582" s="44" t="n"/>
      <c r="B582" s="44" t="n"/>
      <c r="C582" s="44" t="n"/>
      <c r="D582" s="44" t="n"/>
      <c r="E582" s="44" t="n"/>
      <c r="F582" s="44" t="n"/>
      <c r="G582" s="44" t="n"/>
      <c r="H582" s="44" t="n"/>
      <c r="I582" s="44" t="n"/>
      <c r="J582" s="44" t="n"/>
      <c r="K582" s="44" t="n"/>
      <c r="L582" s="44" t="n"/>
      <c r="M582" s="44" t="n"/>
      <c r="N582" s="44" t="n"/>
      <c r="O582" s="44" t="n"/>
    </row>
    <row r="583" ht="54" customHeight="1">
      <c r="A583" s="44" t="n"/>
      <c r="B583" s="44" t="n"/>
      <c r="C583" s="44" t="n"/>
      <c r="D583" s="44" t="n"/>
      <c r="E583" s="44" t="n"/>
      <c r="F583" s="44" t="n"/>
      <c r="G583" s="44" t="n"/>
      <c r="H583" s="44" t="n"/>
      <c r="I583" s="44" t="n"/>
      <c r="J583" s="44" t="n"/>
      <c r="K583" s="44" t="n"/>
      <c r="L583" s="44" t="n"/>
      <c r="M583" s="44" t="n"/>
      <c r="N583" s="44" t="n"/>
      <c r="O583" s="44" t="n"/>
    </row>
    <row r="584" ht="54" customHeight="1">
      <c r="A584" s="44" t="n"/>
      <c r="B584" s="44" t="n"/>
      <c r="C584" s="44" t="n"/>
      <c r="D584" s="44" t="n"/>
      <c r="E584" s="44" t="n"/>
      <c r="F584" s="44" t="n"/>
      <c r="G584" s="44" t="n"/>
      <c r="H584" s="44" t="n"/>
      <c r="I584" s="44" t="n"/>
      <c r="J584" s="44" t="n"/>
      <c r="K584" s="44" t="n"/>
      <c r="L584" s="44" t="n"/>
      <c r="M584" s="44" t="n"/>
      <c r="N584" s="44" t="n"/>
      <c r="O584" s="44" t="n"/>
    </row>
    <row r="585" ht="54" customHeight="1">
      <c r="A585" s="44" t="n"/>
      <c r="B585" s="44" t="n"/>
      <c r="C585" s="44" t="n"/>
      <c r="D585" s="44" t="n"/>
      <c r="E585" s="44" t="n"/>
      <c r="F585" s="44" t="n"/>
      <c r="G585" s="44" t="n"/>
      <c r="H585" s="44" t="n"/>
      <c r="I585" s="44" t="n"/>
      <c r="J585" s="44" t="n"/>
      <c r="K585" s="44" t="n"/>
      <c r="L585" s="44" t="n"/>
      <c r="M585" s="44" t="n"/>
      <c r="N585" s="44" t="n"/>
      <c r="O585" s="44" t="n"/>
    </row>
    <row r="586" ht="54" customHeight="1">
      <c r="A586" s="44" t="n"/>
      <c r="B586" s="44" t="n"/>
      <c r="C586" s="44" t="n"/>
      <c r="D586" s="44" t="n"/>
      <c r="E586" s="44" t="n"/>
      <c r="F586" s="44" t="n"/>
      <c r="G586" s="44" t="n"/>
      <c r="H586" s="44" t="n"/>
      <c r="I586" s="44" t="n"/>
      <c r="J586" s="44" t="n"/>
      <c r="K586" s="44" t="n"/>
      <c r="L586" s="44" t="n"/>
      <c r="M586" s="44" t="n"/>
      <c r="N586" s="44" t="n"/>
      <c r="O586" s="44" t="n"/>
    </row>
    <row r="587" ht="54" customHeight="1">
      <c r="A587" s="44" t="n"/>
      <c r="B587" s="44" t="n"/>
      <c r="C587" s="44" t="n"/>
      <c r="D587" s="44" t="n"/>
      <c r="E587" s="44" t="n"/>
      <c r="F587" s="44" t="n"/>
      <c r="G587" s="44" t="n"/>
      <c r="H587" s="44" t="n"/>
      <c r="I587" s="44" t="n"/>
      <c r="J587" s="44" t="n"/>
      <c r="K587" s="44" t="n"/>
      <c r="L587" s="44" t="n"/>
      <c r="M587" s="44" t="n"/>
      <c r="N587" s="44" t="n"/>
      <c r="O587" s="44" t="n"/>
    </row>
    <row r="588" ht="54" customHeight="1">
      <c r="A588" s="44" t="n"/>
      <c r="B588" s="44" t="n"/>
      <c r="C588" s="44" t="n"/>
      <c r="D588" s="44" t="n"/>
      <c r="E588" s="44" t="n"/>
      <c r="F588" s="44" t="n"/>
      <c r="G588" s="44" t="n"/>
      <c r="H588" s="44" t="n"/>
      <c r="I588" s="44" t="n"/>
      <c r="J588" s="44" t="n"/>
      <c r="K588" s="44" t="n"/>
      <c r="L588" s="44" t="n"/>
      <c r="M588" s="44" t="n"/>
      <c r="N588" s="44" t="n"/>
      <c r="O588" s="44" t="n"/>
    </row>
    <row r="589" ht="54" customHeight="1">
      <c r="A589" s="44" t="n"/>
      <c r="B589" s="44" t="n"/>
      <c r="C589" s="44" t="n"/>
      <c r="D589" s="44" t="n"/>
      <c r="E589" s="44" t="n"/>
      <c r="F589" s="44" t="n"/>
      <c r="G589" s="44" t="n"/>
      <c r="H589" s="44" t="n"/>
      <c r="I589" s="44" t="n"/>
      <c r="J589" s="44" t="n"/>
      <c r="K589" s="44" t="n"/>
      <c r="L589" s="44" t="n"/>
      <c r="M589" s="44" t="n"/>
      <c r="N589" s="44" t="n"/>
      <c r="O589" s="44" t="n"/>
    </row>
    <row r="590" ht="54" customHeight="1">
      <c r="A590" s="44" t="n"/>
      <c r="B590" s="44" t="n"/>
      <c r="C590" s="44" t="n"/>
      <c r="D590" s="44" t="n"/>
      <c r="E590" s="44" t="n"/>
      <c r="F590" s="44" t="n"/>
      <c r="G590" s="44" t="n"/>
      <c r="H590" s="44" t="n"/>
      <c r="I590" s="44" t="n"/>
      <c r="J590" s="44" t="n"/>
      <c r="K590" s="44" t="n"/>
      <c r="L590" s="44" t="n"/>
      <c r="M590" s="44" t="n"/>
      <c r="N590" s="44" t="n"/>
      <c r="O590" s="44" t="n"/>
    </row>
    <row r="591" ht="54" customHeight="1">
      <c r="A591" s="44" t="n"/>
      <c r="B591" s="44" t="n"/>
      <c r="C591" s="44" t="n"/>
      <c r="D591" s="44" t="n"/>
      <c r="E591" s="44" t="n"/>
      <c r="F591" s="44" t="n"/>
      <c r="G591" s="44" t="n"/>
      <c r="H591" s="44" t="n"/>
      <c r="I591" s="44" t="n"/>
      <c r="J591" s="44" t="n"/>
      <c r="K591" s="44" t="n"/>
      <c r="L591" s="44" t="n"/>
      <c r="M591" s="44" t="n"/>
      <c r="N591" s="44" t="n"/>
      <c r="O591" s="44" t="n"/>
    </row>
    <row r="592" ht="54" customHeight="1">
      <c r="A592" s="44" t="n"/>
      <c r="B592" s="44" t="n"/>
      <c r="C592" s="44" t="n"/>
      <c r="D592" s="44" t="n"/>
      <c r="E592" s="44" t="n"/>
      <c r="F592" s="44" t="n"/>
      <c r="G592" s="44" t="n"/>
      <c r="H592" s="44" t="n"/>
      <c r="I592" s="44" t="n"/>
      <c r="J592" s="44" t="n"/>
      <c r="K592" s="44" t="n"/>
      <c r="L592" s="44" t="n"/>
      <c r="M592" s="44" t="n"/>
      <c r="N592" s="44" t="n"/>
      <c r="O592" s="44" t="n"/>
    </row>
    <row r="593" ht="54" customHeight="1">
      <c r="A593" s="44" t="n"/>
      <c r="B593" s="44" t="n"/>
      <c r="C593" s="44" t="n"/>
      <c r="D593" s="44" t="n"/>
      <c r="E593" s="44" t="n"/>
      <c r="F593" s="44" t="n"/>
      <c r="G593" s="44" t="n"/>
      <c r="H593" s="44" t="n"/>
      <c r="I593" s="44" t="n"/>
      <c r="J593" s="44" t="n"/>
      <c r="K593" s="44" t="n"/>
      <c r="L593" s="44" t="n"/>
      <c r="M593" s="44" t="n"/>
      <c r="N593" s="44" t="n"/>
      <c r="O593" s="44" t="n"/>
    </row>
    <row r="594" ht="54" customHeight="1">
      <c r="A594" s="44" t="n"/>
      <c r="B594" s="44" t="n"/>
      <c r="C594" s="44" t="n"/>
      <c r="D594" s="44" t="n"/>
      <c r="E594" s="44" t="n"/>
      <c r="F594" s="44" t="n"/>
      <c r="G594" s="44" t="n"/>
      <c r="H594" s="44" t="n"/>
      <c r="I594" s="44" t="n"/>
      <c r="J594" s="44" t="n"/>
      <c r="K594" s="44" t="n"/>
      <c r="L594" s="44" t="n"/>
      <c r="M594" s="44" t="n"/>
      <c r="N594" s="44" t="n"/>
      <c r="O594" s="44" t="n"/>
    </row>
    <row r="595" ht="54" customHeight="1">
      <c r="A595" s="44" t="n"/>
      <c r="B595" s="44" t="n"/>
      <c r="C595" s="44" t="n"/>
      <c r="D595" s="44" t="n"/>
      <c r="E595" s="44" t="n"/>
      <c r="F595" s="44" t="n"/>
      <c r="G595" s="44" t="n"/>
      <c r="H595" s="44" t="n"/>
      <c r="I595" s="44" t="n"/>
      <c r="J595" s="44" t="n"/>
      <c r="K595" s="44" t="n"/>
      <c r="L595" s="44" t="n"/>
      <c r="M595" s="44" t="n"/>
      <c r="N595" s="44" t="n"/>
      <c r="O595" s="44" t="n"/>
    </row>
    <row r="596" ht="54" customHeight="1">
      <c r="A596" s="44" t="n"/>
      <c r="B596" s="44" t="n"/>
      <c r="C596" s="44" t="n"/>
      <c r="D596" s="44" t="n"/>
      <c r="E596" s="44" t="n"/>
      <c r="F596" s="44" t="n"/>
      <c r="G596" s="44" t="n"/>
      <c r="H596" s="44" t="n"/>
      <c r="I596" s="44" t="n"/>
      <c r="J596" s="44" t="n"/>
      <c r="K596" s="44" t="n"/>
      <c r="L596" s="44" t="n"/>
      <c r="M596" s="44" t="n"/>
      <c r="N596" s="44" t="n"/>
      <c r="O596" s="44" t="n"/>
    </row>
    <row r="597" ht="54" customHeight="1">
      <c r="A597" s="44" t="n"/>
      <c r="B597" s="44" t="n"/>
      <c r="C597" s="44" t="n"/>
      <c r="D597" s="44" t="n"/>
      <c r="E597" s="44" t="n"/>
      <c r="F597" s="44" t="n"/>
      <c r="G597" s="44" t="n"/>
      <c r="H597" s="44" t="n"/>
      <c r="I597" s="44" t="n"/>
      <c r="J597" s="44" t="n"/>
      <c r="K597" s="44" t="n"/>
      <c r="L597" s="44" t="n"/>
      <c r="M597" s="44" t="n"/>
      <c r="N597" s="44" t="n"/>
      <c r="O597" s="44" t="n"/>
    </row>
    <row r="598" ht="54" customHeight="1">
      <c r="A598" s="44" t="n"/>
      <c r="B598" s="44" t="n"/>
      <c r="C598" s="44" t="n"/>
      <c r="D598" s="44" t="n"/>
      <c r="E598" s="44" t="n"/>
      <c r="F598" s="44" t="n"/>
      <c r="G598" s="44" t="n"/>
      <c r="H598" s="44" t="n"/>
      <c r="I598" s="44" t="n"/>
      <c r="J598" s="44" t="n"/>
      <c r="K598" s="44" t="n"/>
      <c r="L598" s="44" t="n"/>
      <c r="M598" s="44" t="n"/>
      <c r="N598" s="44" t="n"/>
      <c r="O598" s="44" t="n"/>
    </row>
    <row r="599" ht="54" customHeight="1">
      <c r="A599" s="44" t="n"/>
      <c r="B599" s="44" t="n"/>
      <c r="C599" s="44" t="n"/>
      <c r="D599" s="44" t="n"/>
      <c r="E599" s="44" t="n"/>
      <c r="F599" s="44" t="n"/>
      <c r="G599" s="44" t="n"/>
      <c r="H599" s="44" t="n"/>
      <c r="I599" s="44" t="n"/>
      <c r="J599" s="44" t="n"/>
      <c r="K599" s="44" t="n"/>
      <c r="L599" s="44" t="n"/>
      <c r="M599" s="44" t="n"/>
      <c r="N599" s="44" t="n"/>
      <c r="O599" s="44" t="n"/>
    </row>
    <row r="600" ht="54" customHeight="1">
      <c r="A600" s="44" t="n"/>
      <c r="B600" s="44" t="n"/>
      <c r="C600" s="44" t="n"/>
      <c r="D600" s="44" t="n"/>
      <c r="E600" s="44" t="n"/>
      <c r="F600" s="44" t="n"/>
      <c r="G600" s="44" t="n"/>
      <c r="H600" s="44" t="n"/>
      <c r="I600" s="44" t="n"/>
      <c r="J600" s="44" t="n"/>
      <c r="K600" s="44" t="n"/>
      <c r="L600" s="44" t="n"/>
      <c r="M600" s="44" t="n"/>
      <c r="N600" s="44" t="n"/>
      <c r="O600" s="44" t="n"/>
    </row>
    <row r="601" ht="54" customHeight="1">
      <c r="A601" s="44" t="n"/>
      <c r="B601" s="44" t="n"/>
      <c r="C601" s="44" t="n"/>
      <c r="D601" s="44" t="n"/>
      <c r="E601" s="44" t="n"/>
      <c r="F601" s="44" t="n"/>
      <c r="G601" s="44" t="n"/>
      <c r="H601" s="44" t="n"/>
      <c r="I601" s="44" t="n"/>
      <c r="J601" s="44" t="n"/>
      <c r="K601" s="44" t="n"/>
      <c r="L601" s="44" t="n"/>
      <c r="M601" s="44" t="n"/>
      <c r="N601" s="44" t="n"/>
      <c r="O601" s="44" t="n"/>
    </row>
    <row r="602" ht="54" customHeight="1">
      <c r="A602" s="44" t="n"/>
      <c r="B602" s="44" t="n"/>
      <c r="C602" s="44" t="n"/>
      <c r="D602" s="44" t="n"/>
      <c r="E602" s="44" t="n"/>
      <c r="F602" s="44" t="n"/>
      <c r="G602" s="44" t="n"/>
      <c r="H602" s="44" t="n"/>
      <c r="I602" s="44" t="n"/>
      <c r="J602" s="44" t="n"/>
      <c r="K602" s="44" t="n"/>
      <c r="L602" s="44" t="n"/>
      <c r="M602" s="44" t="n"/>
      <c r="N602" s="44" t="n"/>
      <c r="O602" s="44" t="n"/>
    </row>
    <row r="603" ht="54" customHeight="1">
      <c r="A603" s="44" t="n"/>
      <c r="B603" s="44" t="n"/>
      <c r="C603" s="44" t="n"/>
      <c r="D603" s="44" t="n"/>
      <c r="E603" s="44" t="n"/>
      <c r="F603" s="44" t="n"/>
      <c r="G603" s="44" t="n"/>
      <c r="H603" s="44" t="n"/>
      <c r="I603" s="44" t="n"/>
      <c r="J603" s="44" t="n"/>
      <c r="K603" s="44" t="n"/>
      <c r="L603" s="44" t="n"/>
      <c r="M603" s="44" t="n"/>
      <c r="N603" s="44" t="n"/>
      <c r="O603" s="44" t="n"/>
    </row>
    <row r="604" ht="54" customHeight="1">
      <c r="A604" s="44" t="n"/>
      <c r="B604" s="44" t="n"/>
      <c r="C604" s="44" t="n"/>
      <c r="D604" s="44" t="n"/>
      <c r="E604" s="44" t="n"/>
      <c r="F604" s="44" t="n"/>
      <c r="G604" s="44" t="n"/>
      <c r="H604" s="44" t="n"/>
      <c r="I604" s="44" t="n"/>
      <c r="J604" s="44" t="n"/>
      <c r="K604" s="44" t="n"/>
      <c r="L604" s="44" t="n"/>
      <c r="M604" s="44" t="n"/>
      <c r="N604" s="44" t="n"/>
      <c r="O604" s="44" t="n"/>
    </row>
    <row r="605" ht="54" customHeight="1">
      <c r="A605" s="44" t="n"/>
      <c r="B605" s="44" t="n"/>
      <c r="C605" s="44" t="n"/>
      <c r="D605" s="44" t="n"/>
      <c r="E605" s="44" t="n"/>
      <c r="F605" s="44" t="n"/>
      <c r="G605" s="44" t="n"/>
      <c r="H605" s="44" t="n"/>
      <c r="I605" s="44" t="n"/>
      <c r="J605" s="44" t="n"/>
      <c r="K605" s="44" t="n"/>
      <c r="L605" s="44" t="n"/>
      <c r="M605" s="44" t="n"/>
      <c r="N605" s="44" t="n"/>
      <c r="O605" s="44" t="n"/>
    </row>
    <row r="606" ht="54" customHeight="1">
      <c r="A606" s="44" t="n"/>
      <c r="B606" s="44" t="n"/>
      <c r="C606" s="44" t="n"/>
      <c r="D606" s="44" t="n"/>
      <c r="E606" s="44" t="n"/>
      <c r="F606" s="44" t="n"/>
      <c r="G606" s="44" t="n"/>
      <c r="H606" s="44" t="n"/>
      <c r="I606" s="44" t="n"/>
      <c r="J606" s="44" t="n"/>
      <c r="K606" s="44" t="n"/>
      <c r="L606" s="44" t="n"/>
      <c r="M606" s="44" t="n"/>
      <c r="N606" s="44" t="n"/>
      <c r="O606" s="44" t="n"/>
    </row>
    <row r="607" ht="54" customHeight="1">
      <c r="A607" s="44" t="n"/>
      <c r="B607" s="44" t="n"/>
      <c r="C607" s="44" t="n"/>
      <c r="D607" s="44" t="n"/>
      <c r="E607" s="44" t="n"/>
      <c r="F607" s="44" t="n"/>
      <c r="G607" s="44" t="n"/>
      <c r="H607" s="44" t="n"/>
      <c r="I607" s="44" t="n"/>
      <c r="J607" s="44" t="n"/>
      <c r="K607" s="44" t="n"/>
      <c r="L607" s="44" t="n"/>
      <c r="M607" s="44" t="n"/>
      <c r="N607" s="44" t="n"/>
      <c r="O607" s="44" t="n"/>
    </row>
  </sheetData>
  <mergeCells count="1">
    <mergeCell ref="A3:F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2026-10-27T21:13:10Z</dcterms:created>
  <dcterms:modified xsi:type="dcterms:W3CDTF">2026-10-27T21:13:10Z</dcterms:modified>
</cp:coreProperties>
</file>