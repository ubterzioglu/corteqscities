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Özet" sheetId="1" state="visible" r:id="rId1"/>
    <sheet name="Teslimat" sheetId="2" state="visible" r:id="rId2"/>
    <sheet name="Şehir" sheetId="3" state="visible" r:id="rId3"/>
    <sheet name="Konular" sheetId="4" state="visible" r:id="rId4"/>
    <sheet name="Yanıtlar" sheetId="5" state="visible" r:id="rId5"/>
    <sheet name="Mekânlar" sheetId="6" state="visible" r:id="rId6"/>
    <sheet name="Mahalleler" sheetId="7" state="visible" r:id="rId7"/>
    <sheet name="Bağlantılar" sheetId="8" state="visible" r:id="rId8"/>
    <sheet name="Rotalar" sheetId="9" state="visible" r:id="rId9"/>
    <sheet name="Sözlük" sheetId="10" state="visible" r:id="rId10"/>
    <sheet name="Adımlar" sheetId="11" state="visible" r:id="rId11"/>
    <sheet name="Kaynaklar" sheetId="12" state="visible" r:id="rId12"/>
    <sheet name="Fotoğraflar" sheetId="13" state="visible" r:id="rId13"/>
    <sheet name="Kanıtlar" sheetId="14" state="visible" r:id="rId14"/>
    <sheet name="SayfaAlanları" sheetId="15" state="visible" r:id="rId15"/>
    <sheet name="EkDetaylar" sheetId="16" state="visible" r:id="rId16"/>
    <sheet name="FotoğrafKaynakları" sheetId="17" state="visible" r:id="rId17"/>
  </sheets>
  <definedNames/>
</workbook>
</file>

<file path=xl/styles.xml><?xml version="1.0" encoding="utf-8"?>
<styleSheet xmlns="http://schemas.openxmlformats.org/spreadsheetml/2006/main">
  <numFmts count="2">
    <numFmt numFmtId="164" formatCode="yyyy-mm-dd"/>
    <numFmt numFmtId="165" formatCode="0.000000"/>
  </numFmts>
  <fonts count="8">
    <font>
      <name val="Carlito"/>
      <sz val="11"/>
    </font>
    <font>
      <name val="Arial"/>
      <color rgb="FF17382F"/>
      <sz val="11"/>
    </font>
    <font>
      <name val="Arial"/>
      <b val="1"/>
      <color rgb="FF173B31"/>
      <sz val="16"/>
    </font>
    <font>
      <name val="Arial"/>
      <b val="1"/>
      <color rgb="FFFFFFFF"/>
      <sz val="11"/>
    </font>
    <font>
      <name val="Arial"/>
      <b val="1"/>
      <color rgb="FF17382F"/>
      <sz val="11"/>
    </font>
    <font>
      <name val="Arial"/>
      <color rgb="FF6B7B73"/>
      <sz val="10"/>
    </font>
    <font>
      <name val="Arial"/>
      <color rgb="FFFFFFFF"/>
      <sz val="10"/>
    </font>
    <font>
      <name val="Arial"/>
      <b val="1"/>
      <color rgb="FF173B31"/>
      <sz val="17"/>
    </font>
  </fonts>
  <fills count="10">
    <fill>
      <patternFill/>
    </fill>
    <fill>
      <patternFill patternType="gray125"/>
    </fill>
    <fill>
      <patternFill patternType="solid">
        <fgColor rgb="FFFFFFFF"/>
      </patternFill>
    </fill>
    <fill>
      <patternFill patternType="solid">
        <fgColor rgb="FF173B31"/>
      </patternFill>
    </fill>
    <fill>
      <patternFill patternType="solid">
        <fgColor rgb="FFF5F6F2"/>
      </patternFill>
    </fill>
    <fill>
      <patternFill patternType="solid">
        <fgColor rgb="FFFFF4D7"/>
      </patternFill>
    </fill>
    <fill>
      <patternFill patternType="solid">
        <fgColor rgb="FFE7EDDF"/>
      </patternFill>
    </fill>
    <fill>
      <patternFill patternType="solid">
        <fgColor rgb="FFE7EDDF"/>
      </patternFill>
    </fill>
    <fill>
      <patternFill patternType="solid">
        <fgColor rgb="FF173B31"/>
      </patternFill>
    </fill>
    <fill>
      <patternFill patternType="solid">
        <fgColor rgb="FFFFF4D7"/>
      </patternFill>
    </fill>
  </fills>
  <borders count="2">
    <border>
      <left/>
      <right/>
      <top/>
      <bottom/>
      <diagonal/>
    </border>
    <border>
      <left/>
      <right/>
      <top/>
      <bottom style="thin">
        <color rgb="FFF66C4E"/>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1" fillId="2" borderId="1" applyAlignment="1" pivotButton="0" quotePrefix="0" xfId="0">
      <alignment vertical="center"/>
    </xf>
    <xf numFmtId="0" fontId="1" fillId="3" borderId="0" applyAlignment="1" pivotButton="0" quotePrefix="0" xfId="0">
      <alignment vertical="center"/>
    </xf>
    <xf numFmtId="0" fontId="3" fillId="3" borderId="0" applyAlignment="1" pivotButton="0" quotePrefix="0" xfId="0">
      <alignment vertical="center"/>
    </xf>
    <xf numFmtId="0" fontId="3" fillId="3" borderId="0" applyAlignment="1" pivotButton="0" quotePrefix="0" xfId="0">
      <alignment vertical="center" wrapText="1"/>
    </xf>
    <xf numFmtId="0" fontId="3" fillId="3" borderId="0" applyAlignment="1" pivotButton="0" quotePrefix="0" xfId="0">
      <alignment horizontal="center" vertical="center" wrapText="1"/>
    </xf>
    <xf numFmtId="0" fontId="1" fillId="4" borderId="0" applyAlignment="1" pivotButton="0" quotePrefix="0" xfId="0">
      <alignment vertical="center"/>
    </xf>
    <xf numFmtId="3" fontId="1" fillId="4" borderId="0" applyAlignment="1" pivotButton="0" quotePrefix="0" xfId="0">
      <alignment vertical="center"/>
    </xf>
    <xf numFmtId="3" fontId="1" fillId="2" borderId="0" applyAlignment="1" pivotButton="0" quotePrefix="0" xfId="0">
      <alignment vertical="center"/>
    </xf>
    <xf numFmtId="0" fontId="4" fillId="2" borderId="0" applyAlignment="1" pivotButton="0" quotePrefix="0" xfId="0">
      <alignment vertical="center"/>
    </xf>
    <xf numFmtId="0" fontId="1" fillId="2" borderId="0" applyAlignment="1" pivotButton="0" quotePrefix="0" xfId="0">
      <alignment vertical="center" wrapText="1"/>
    </xf>
    <xf numFmtId="0" fontId="1" fillId="5" borderId="0" applyAlignment="1" pivotButton="0" quotePrefix="0" xfId="0">
      <alignment vertical="center"/>
    </xf>
    <xf numFmtId="0" fontId="1" fillId="5" borderId="0" applyAlignment="1" pivotButton="0" quotePrefix="0" xfId="0">
      <alignment vertical="center" wrapText="1"/>
    </xf>
    <xf numFmtId="0" fontId="1" fillId="6" borderId="0" applyAlignment="1" pivotButton="0" quotePrefix="0" xfId="0">
      <alignment vertical="center"/>
    </xf>
    <xf numFmtId="0" fontId="1" fillId="6"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wrapText="1"/>
    </xf>
    <xf numFmtId="0" fontId="1" fillId="0" borderId="1" applyAlignment="1" pivotButton="0" quotePrefix="0" xfId="0">
      <alignment vertical="center"/>
    </xf>
    <xf numFmtId="0" fontId="5" fillId="0" borderId="0" applyAlignment="1" pivotButton="0" quotePrefix="0" xfId="0">
      <alignment vertical="center"/>
    </xf>
    <xf numFmtId="0" fontId="4" fillId="6" borderId="0" applyAlignment="1" pivotButton="0" quotePrefix="0" xfId="0">
      <alignment vertical="center"/>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6" fillId="3" borderId="0" applyAlignment="1" pivotButton="0" quotePrefix="0" xfId="0">
      <alignment vertical="center"/>
    </xf>
    <xf numFmtId="0" fontId="6" fillId="3" borderId="0" applyAlignment="1" pivotButton="0" quotePrefix="0" xfId="0">
      <alignment vertical="center" wrapText="1"/>
    </xf>
    <xf numFmtId="0" fontId="6" fillId="3" borderId="0" applyAlignment="1" pivotButton="0" quotePrefix="0" xfId="0">
      <alignment horizontal="center" vertical="center" wrapText="1"/>
    </xf>
    <xf numFmtId="0" fontId="1" fillId="5" borderId="0" applyAlignment="1" pivotButton="0" quotePrefix="0" xfId="0">
      <alignment vertical="top" wrapText="1"/>
    </xf>
    <xf numFmtId="164" fontId="1" fillId="5" borderId="0" applyAlignment="1" pivotButton="0" quotePrefix="0" xfId="0">
      <alignment vertical="top" wrapText="1"/>
    </xf>
    <xf numFmtId="164" fontId="1" fillId="5" borderId="0" applyAlignment="1" pivotButton="0" quotePrefix="0" xfId="0">
      <alignment horizontal="right" vertical="top" wrapText="1"/>
    </xf>
    <xf numFmtId="165" fontId="1" fillId="5" borderId="0" applyAlignment="1" pivotButton="0" quotePrefix="0" xfId="0">
      <alignment vertical="top" wrapText="1"/>
    </xf>
    <xf numFmtId="165" fontId="1" fillId="5" borderId="0" applyAlignment="1" pivotButton="0" quotePrefix="0" xfId="0">
      <alignment horizontal="right" vertical="top" wrapText="1"/>
    </xf>
    <xf numFmtId="1" fontId="1" fillId="5" borderId="0" applyAlignment="1" pivotButton="0" quotePrefix="0" xfId="0">
      <alignmen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xf numFmtId="0" fontId="1" fillId="0" borderId="0" applyAlignment="1" pivotButton="0" quotePrefix="0" xfId="0">
      <alignment wrapText="1"/>
    </xf>
    <xf numFmtId="0" fontId="1" fillId="0" borderId="0" applyAlignment="1" pivotButton="0" quotePrefix="0" xfId="0">
      <alignment vertical="top" wrapText="1"/>
    </xf>
    <xf numFmtId="0" fontId="7" fillId="0" borderId="0" applyAlignment="1" pivotButton="0" quotePrefix="0" xfId="0">
      <alignment vertical="top" wrapText="1"/>
    </xf>
    <xf numFmtId="0" fontId="1" fillId="7" borderId="0" applyAlignment="1" pivotButton="0" quotePrefix="0" xfId="0">
      <alignment vertical="top" wrapText="1"/>
    </xf>
    <xf numFmtId="0" fontId="4" fillId="7" borderId="0" applyAlignment="1" pivotButton="0" quotePrefix="0" xfId="0">
      <alignment vertical="top" wrapText="1"/>
    </xf>
    <xf numFmtId="0" fontId="1" fillId="8" borderId="0" applyAlignment="1" pivotButton="0" quotePrefix="0" xfId="0">
      <alignment vertical="top" wrapText="1"/>
    </xf>
    <xf numFmtId="0" fontId="6" fillId="8" borderId="0" applyAlignment="1" pivotButton="0" quotePrefix="0" xfId="0">
      <alignment vertical="top" wrapText="1"/>
    </xf>
    <xf numFmtId="0" fontId="1" fillId="9" borderId="0" applyAlignment="1" pivotButton="0" quotePrefix="0" xfId="0">
      <alignment vertical="top" wrapText="1"/>
    </xf>
    <xf numFmtId="0" fontId="1" fillId="7" borderId="0" applyAlignment="1" pivotButton="0" quotePrefix="0" xfId="0">
      <alignment vertical="center"/>
    </xf>
    <xf numFmtId="0" fontId="1" fillId="7" borderId="0" applyAlignment="1" pivotButton="0" quotePrefix="0" xfId="0">
      <alignment vertical="center" wrapText="1"/>
    </xf>
    <xf numFmtId="3" fontId="1" fillId="4" borderId="0" applyAlignment="1" pivotButton="0" quotePrefix="0" xfId="0">
      <alignment vertical="center"/>
    </xf>
    <xf numFmtId="3" fontId="1" fillId="2" borderId="0" applyAlignment="1" pivotButton="0" quotePrefix="0" xfId="0">
      <alignment vertical="center"/>
    </xf>
    <xf numFmtId="164" fontId="1" fillId="5" borderId="0" applyAlignment="1" pivotButton="0" quotePrefix="0" xfId="0">
      <alignment horizontal="right" vertical="top" wrapText="1"/>
    </xf>
    <xf numFmtId="165" fontId="1" fillId="5" borderId="0" applyAlignment="1" pivotButton="0" quotePrefix="0" xfId="0">
      <alignment horizontal="righ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cellXfs>
  <cellStyles count="1">
    <cellStyle name="Normal" xfId="0"/>
  </cellStyles>
  <dxfs count="157">
    <dxf>
      <font>
        <color rgb="FFA3412D"/>
      </font>
      <fill>
        <patternFill>
          <bgColor rgb="FFFFF0E9"/>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CT_metadata" displayName="CT_metadata" ref="A7:I8" headerRowCount="1" totalsRowCount="0" totalsRowShown="0">
  <autoFilter ref="A7:I8"/>
  <tableColumns count="9">
    <tableColumn id="1" name="schema_version"/>
    <tableColumn id="2" name="delivery_id"/>
    <tableColumn id="3" name="city_id"/>
    <tableColumn id="4" name="editor"/>
    <tableColumn id="5" name="reviewer"/>
    <tableColumn id="6" name="scope"/>
    <tableColumn id="7" name="updated_on"/>
    <tableColumn id="8" name="editorial_status"/>
    <tableColumn id="9" name="notes"/>
  </tableColumns>
  <tableStyleInfo name="TableStyleMedium2" showFirstColumn="0" showLastColumn="0" showRowStripes="1" showColumnStripes="0"/>
</table>
</file>

<file path=xl/tables/table2.xml><?xml version="1.0" encoding="utf-8"?>
<table xmlns="http://schemas.openxmlformats.org/spreadsheetml/2006/main" id="2" name="CT_city" displayName="CT_city" ref="A7:AG8" headerRowCount="1" totalsRowCount="0" totalsRowShown="0">
  <autoFilter ref="A7:AG8"/>
  <tableColumns count="33">
    <tableColumn id="1" name="city_id"/>
    <tableColumn id="2" name="name"/>
    <tableColumn id="3" name="country"/>
    <tableColumn id="4" name="country_code"/>
    <tableColumn id="5" name="region"/>
    <tableColumn id="6" name="kind"/>
    <tableColumn id="7" name="title"/>
    <tableColumn id="8" name="intro"/>
    <tableColumn id="9" name="currency"/>
    <tableColumn id="10" name="currency_symbol"/>
    <tableColumn id="11" name="currency_label"/>
    <tableColumn id="12" name="language"/>
    <tableColumn id="13" name="timezone"/>
    <tableColumn id="14" name="latitude"/>
    <tableColumn id="15" name="longitude"/>
    <tableColumn id="16" name="coordinate_source_url"/>
    <tableColumn id="17" name="coordinate_checked_on"/>
    <tableColumn id="18" name="coordinate_note"/>
    <tableColumn id="19" name="source_url"/>
    <tableColumn id="20" name="source_checked_on"/>
    <tableColumn id="21" name="source_position"/>
    <tableColumn id="22" name="reviewed_on"/>
    <tableColumn id="23" name="priority"/>
    <tableColumn id="24" name="aliases"/>
    <tableColumn id="25" name="locality"/>
    <tableColumn id="26" name="tagline"/>
    <tableColumn id="27" name="directory_order"/>
    <tableColumn id="28" name="forecast_url"/>
    <tableColumn id="29" name="provider_url"/>
    <tableColumn id="30" name="forecast_label"/>
    <tableColumn id="31" name="hero_photo_id"/>
    <tableColumn id="32" name="editorial_notes"/>
    <tableColumn id="33" name="editorial_status"/>
  </tableColumns>
  <tableStyleInfo name="TableStyleMedium2" showFirstColumn="0" showLastColumn="0" showRowStripes="1" showColumnStripes="0"/>
</table>
</file>

<file path=xl/tables/table3.xml><?xml version="1.0" encoding="utf-8"?>
<table xmlns="http://schemas.openxmlformats.org/spreadsheetml/2006/main" id="3" name="CT_topics" displayName="CT_topics" ref="A7:H37" headerRowCount="1" totalsRowCount="0" totalsRowShown="0">
  <autoFilter ref="A7:H37"/>
  <tableColumns count="8">
    <tableColumn id="1" name="topic_id"/>
    <tableColumn id="2" name="city_id"/>
    <tableColumn id="3" name="slug"/>
    <tableColumn id="4" name="title"/>
    <tableColumn id="5" name="description"/>
    <tableColumn id="6" name="icon"/>
    <tableColumn id="7" name="order"/>
    <tableColumn id="8" name="used_count"/>
  </tableColumns>
  <tableStyleInfo name="TableStyleMedium2" showFirstColumn="0" showLastColumn="0" showRowStripes="1" showColumnStripes="0"/>
</table>
</file>

<file path=xl/tables/table4.xml><?xml version="1.0" encoding="utf-8"?>
<table xmlns="http://schemas.openxmlformats.org/spreadsheetml/2006/main" id="4" name="CT_answers" displayName="CT_answers" ref="A7:T307" headerRowCount="1" totalsRowCount="0" totalsRowShown="0">
  <autoFilter ref="A7:T307"/>
  <tableColumns count="20">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topic_id"/>
    <tableColumn id="15" name="steps"/>
    <tableColumn id="16" name="documents"/>
    <tableColumn id="17" name="timing"/>
    <tableColumn id="18" name="cost"/>
    <tableColumn id="19" name="note"/>
    <tableColumn id="20" name="visual_json"/>
  </tableColumns>
  <tableStyleInfo name="TableStyleMedium2" showFirstColumn="0" showLastColumn="0" showRowStripes="1" showColumnStripes="0"/>
</table>
</file>

<file path=xl/tables/table5.xml><?xml version="1.0" encoding="utf-8"?>
<table xmlns="http://schemas.openxmlformats.org/spreadsheetml/2006/main" id="5" name="CT_places" displayName="CT_places" ref="A7:W187" headerRowCount="1" totalsRowCount="0" totalsRowShown="0">
  <autoFilter ref="A7:W187"/>
  <tableColumns count="23">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group"/>
    <tableColumn id="15" name="district"/>
    <tableColumn id="16" name="setting"/>
    <tableColumn id="17" name="location"/>
    <tableColumn id="18" name="latitude"/>
    <tableColumn id="19" name="longitude"/>
    <tableColumn id="20" name="visit_status"/>
    <tableColumn id="21" name="note"/>
    <tableColumn id="22" name="collection"/>
    <tableColumn id="23" name="media_key"/>
  </tableColumns>
  <tableStyleInfo name="TableStyleMedium2" showFirstColumn="0" showLastColumn="0" showRowStripes="1" showColumnStripes="0"/>
</table>
</file>

<file path=xl/tables/table6.xml><?xml version="1.0" encoding="utf-8"?>
<table xmlns="http://schemas.openxmlformats.org/spreadsheetml/2006/main" id="6" name="CT_neighborhoods" displayName="CT_neighborhoods" ref="A7:R47" headerRowCount="1" totalsRowCount="0" totalsRowShown="0">
  <autoFilter ref="A7:R47"/>
  <tableColumns count="18">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location"/>
    <tableColumn id="15" name="tags"/>
    <tableColumn id="16" name="compare_json"/>
    <tableColumn id="17" name="note"/>
    <tableColumn id="18" name="media_key"/>
  </tableColumns>
  <tableStyleInfo name="TableStyleMedium2" showFirstColumn="0" showLastColumn="0" showRowStripes="1" showColumnStripes="0"/>
</table>
</file>

<file path=xl/tables/table7.xml><?xml version="1.0" encoding="utf-8"?>
<table xmlns="http://schemas.openxmlformats.org/spreadsheetml/2006/main" id="7" name="CT_actions" displayName="CT_actions" ref="A7:G807" headerRowCount="1" totalsRowCount="0" totalsRowShown="0">
  <autoFilter ref="A7:G807"/>
  <tableColumns count="7">
    <tableColumn id="1" name="action_id"/>
    <tableColumn id="2" name="city_id"/>
    <tableColumn id="3" name="entry_id"/>
    <tableColumn id="4" name="label"/>
    <tableColumn id="5" name="url"/>
    <tableColumn id="6" name="checked_on"/>
    <tableColumn id="7" name="order"/>
  </tableColumns>
  <tableStyleInfo name="TableStyleMedium2" showFirstColumn="0" showLastColumn="0" showRowStripes="1" showColumnStripes="0"/>
</table>
</file>

<file path=xl/tables/table8.xml><?xml version="1.0" encoding="utf-8"?>
<table xmlns="http://schemas.openxmlformats.org/spreadsheetml/2006/main" id="8" name="CT_routes" displayName="CT_routes" ref="A7:L37" headerRowCount="1" totalsRowCount="0" totalsRowShown="0">
  <autoFilter ref="A7:L37"/>
  <tableColumns count="12">
    <tableColumn id="1" name="route_id"/>
    <tableColumn id="2" name="city_id"/>
    <tableColumn id="3" name="title"/>
    <tableColumn id="4" name="tag"/>
    <tableColumn id="5" name="stops"/>
    <tableColumn id="6" name="stop_entry_ids"/>
    <tableColumn id="7" name="entry_id"/>
    <tableColumn id="8" name="note"/>
    <tableColumn id="9" name="reviewed_on"/>
    <tableColumn id="10" name="source_ids"/>
    <tableColumn id="11" name="order"/>
    <tableColumn id="12" name="editorial_status"/>
  </tableColumns>
  <tableStyleInfo name="TableStyleMedium2" showFirstColumn="0" showLastColumn="0" showRowStripes="1" showColumnStripes="0"/>
</table>
</file>

<file path=xl/tables/table9.xml><?xml version="1.0" encoding="utf-8"?>
<table xmlns="http://schemas.openxmlformats.org/spreadsheetml/2006/main" id="9" name="CT_glossary" displayName="CT_glossary" ref="A7:H107" headerRowCount="1" totalsRowCount="0" totalsRowShown="0">
  <autoFilter ref="A7:H107"/>
  <tableColumns count="8">
    <tableColumn id="1" name="term_id"/>
    <tableColumn id="2" name="city_id"/>
    <tableColumn id="3" name="term"/>
    <tableColumn id="4" name="definition"/>
    <tableColumn id="5" name="source_ids"/>
    <tableColumn id="6" name="reviewed_on"/>
    <tableColumn id="7" name="order"/>
    <tableColumn id="8" name="editorial_status"/>
  </tableColumns>
  <tableStyleInfo name="TableStyleMedium2" showFirstColumn="0" showLastColumn="0" showRowStripes="1" showColumnStripes="0"/>
</table>
</file>

<file path=xl/tables/table10.xml><?xml version="1.0" encoding="utf-8"?>
<table xmlns="http://schemas.openxmlformats.org/spreadsheetml/2006/main" id="10" name="CT_journey_steps" displayName="CT_journey_steps" ref="A7:G47" headerRowCount="1" totalsRowCount="0" totalsRowShown="0">
  <autoFilter ref="A7:G47"/>
  <tableColumns count="7">
    <tableColumn id="1" name="step_id"/>
    <tableColumn id="2" name="city_id"/>
    <tableColumn id="3" name="entry_id"/>
    <tableColumn id="4" name="title"/>
    <tableColumn id="5" name="when"/>
    <tableColumn id="6" name="description"/>
    <tableColumn id="7" name="order"/>
  </tableColumns>
  <tableStyleInfo name="TableStyleMedium2" showFirstColumn="0" showLastColumn="0" showRowStripes="1" showColumnStripes="0"/>
</table>
</file>

<file path=xl/tables/table11.xml><?xml version="1.0" encoding="utf-8"?>
<table xmlns="http://schemas.openxmlformats.org/spreadsheetml/2006/main" id="11" name="CT_sources" displayName="CT_sources" ref="A7:K507" headerRowCount="1" totalsRowCount="0" totalsRowShown="0">
  <autoFilter ref="A7:K507"/>
  <tableColumns count="11">
    <tableColumn id="1" name="source_id"/>
    <tableColumn id="2" name="city_id"/>
    <tableColumn id="3" name="title"/>
    <tableColumn id="4" name="publisher"/>
    <tableColumn id="5" name="url"/>
    <tableColumn id="6" name="checked_on"/>
    <tableColumn id="7" name="topic"/>
    <tableColumn id="8" name="summary"/>
    <tableColumn id="9" name="verified"/>
    <tableColumn id="10" name="snapshot_file"/>
    <tableColumn id="11" name="snapshot_sha256"/>
  </tableColumns>
  <tableStyleInfo name="TableStyleMedium2" showFirstColumn="0" showLastColumn="0" showRowStripes="1" showColumnStripes="0"/>
</table>
</file>

<file path=xl/tables/table12.xml><?xml version="1.0" encoding="utf-8"?>
<table xmlns="http://schemas.openxmlformats.org/spreadsheetml/2006/main" id="12" name="CT_photos" displayName="CT_photos" ref="A7:T357" headerRowCount="1" totalsRowCount="0" totalsRowShown="0">
  <autoFilter ref="A7:T357"/>
  <tableColumns count="20">
    <tableColumn id="1" name="photo_id"/>
    <tableColumn id="2" name="city_id"/>
    <tableColumn id="3" name="role"/>
    <tableColumn id="4" name="entry_id"/>
    <tableColumn id="5" name="file"/>
    <tableColumn id="6" name="sha256"/>
    <tableColumn id="7" name="caption"/>
    <tableColumn id="8" name="author"/>
    <tableColumn id="9" name="license"/>
    <tableColumn id="10" name="license_url"/>
    <tableColumn id="11" name="source_url"/>
    <tableColumn id="12" name="capture_date"/>
    <tableColumn id="13" name="source_checked_on"/>
    <tableColumn id="14" name="modifications"/>
    <tableColumn id="15" name="evidence_id"/>
    <tableColumn id="16" name="completion_credit"/>
    <tableColumn id="17" name="order"/>
    <tableColumn id="18" name="editorial_status"/>
    <tableColumn id="19" name="unique_venue_count"/>
    <tableColumn id="20" name="unique_hero_count"/>
  </tableColumns>
  <tableStyleInfo name="TableStyleMedium2" showFirstColumn="0" showLastColumn="0" showRowStripes="1" showColumnStripes="0"/>
</table>
</file>

<file path=xl/tables/table13.xml><?xml version="1.0" encoding="utf-8"?>
<table xmlns="http://schemas.openxmlformats.org/spreadsheetml/2006/main" id="13" name="CT_evidence" displayName="CT_evidence" ref="A7:W357" headerRowCount="1" totalsRowCount="0" totalsRowShown="0">
  <autoFilter ref="A7:W357"/>
  <tableColumns count="23">
    <tableColumn id="1" name="evidence_id"/>
    <tableColumn id="2" name="city_id"/>
    <tableColumn id="3" name="photo_id"/>
    <tableColumn id="4" name="source_url"/>
    <tableColumn id="5" name="source_title"/>
    <tableColumn id="6" name="author"/>
    <tableColumn id="7" name="license"/>
    <tableColumn id="8" name="license_url"/>
    <tableColumn id="9" name="usage_terms"/>
    <tableColumn id="10" name="attribution"/>
    <tableColumn id="11" name="restrictions"/>
    <tableColumn id="12" name="checked_on"/>
    <tableColumn id="13" name="metadata_review_status"/>
    <tableColumn id="14" name="pixel_review_status"/>
    <tableColumn id="15" name="pixel_review_file"/>
    <tableColumn id="16" name="pixel_review_note"/>
    <tableColumn id="17" name="rights_status"/>
    <tableColumn id="18" name="rights_basis"/>
    <tableColumn id="19" name="source_snapshot_file"/>
    <tableColumn id="20" name="source_snapshot_sha256"/>
    <tableColumn id="21" name="license_snapshot_file"/>
    <tableColumn id="22" name="license_snapshot_sha256"/>
    <tableColumn id="23" name="source_evidence_json"/>
  </tableColumns>
  <tableStyleInfo name="TableStyleMedium2" showFirstColumn="0" showLastColumn="0" showRowStripes="1" showColumnStripes="0"/>
</table>
</file>

<file path=xl/tables/table14.xml><?xml version="1.0" encoding="utf-8"?>
<table xmlns="http://schemas.openxmlformats.org/spreadsheetml/2006/main" id="14" name="CT_page_fields" displayName="CT_page_fields" ref="A7:G127" headerRowCount="1" totalsRowCount="0" totalsRowShown="0">
  <autoFilter ref="A7:G127"/>
  <tableColumns count="7">
    <tableColumn id="1" name="field_id"/>
    <tableColumn id="2" name="city_id"/>
    <tableColumn id="3" name="key"/>
    <tableColumn id="4" name="label"/>
    <tableColumn id="5" name="value_type"/>
    <tableColumn id="6" name="value"/>
    <tableColumn id="7" name="reviewed_on"/>
  </tableColumns>
  <tableStyleInfo name="TableStyleMedium2" showFirstColumn="0" showLastColumn="0" showRowStripes="1" showColumnStripes="0"/>
</table>
</file>

<file path=xl/tables/table15.xml><?xml version="1.0" encoding="utf-8"?>
<table xmlns="http://schemas.openxmlformats.org/spreadsheetml/2006/main" id="15" name="CT_entry_details" displayName="CT_entry_details" ref="A7:G207" headerRowCount="1" totalsRowCount="0" totalsRowShown="0">
  <autoFilter ref="A7:G207"/>
  <tableColumns count="7">
    <tableColumn id="1" name="detail_id"/>
    <tableColumn id="2" name="city_id"/>
    <tableColumn id="3" name="entry_id"/>
    <tableColumn id="4" name="key"/>
    <tableColumn id="5" name="label"/>
    <tableColumn id="6" name="value_type"/>
    <tableColumn id="7" name="value"/>
  </tableColumns>
  <tableStyleInfo name="TableStyleMedium2" showFirstColumn="0" showLastColumn="0" showRowStripes="1" showColumnStripes="0"/>
</table>
</file>

<file path=xl/tables/table16.xml><?xml version="1.0" encoding="utf-8"?>
<table xmlns="http://schemas.openxmlformats.org/spreadsheetml/2006/main" id="16" name="CT_photo_provenance" displayName="CT_photo_provenance" ref="A7:O607" headerRowCount="1" totalsRowCount="0" totalsRowShown="0">
  <autoFilter ref="A7:O607"/>
  <tableColumns count="15">
    <tableColumn id="1" name="photo_id"/>
    <tableColumn id="2" name="author_url"/>
    <tableColumn id="3" name="attribution_url"/>
    <tableColumn id="4" name="original_file_url"/>
    <tableColumn id="5" name="downloaded_file_url"/>
    <tableColumn id="6" name="downloaded_on"/>
    <tableColumn id="7" name="original_file"/>
    <tableColumn id="8" name="original_sha256"/>
    <tableColumn id="9" name="web_file"/>
    <tableColumn id="10" name="web_sha256"/>
    <tableColumn id="11" name="web_width"/>
    <tableColumn id="12" name="web_height"/>
    <tableColumn id="13" name="derivation"/>
    <tableColumn id="14" name="provenance_status"/>
    <tableColumn id="15" name="provenance_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FF173B31"/>
    <outlinePr summaryBelow="1" summaryRight="1"/>
    <pageSetUpPr/>
  </sheetPr>
  <dimension ref="A1:I39"/>
  <sheetViews>
    <sheetView showGridLines="0" workbookViewId="0">
      <selection activeCell="A1" sqref="A1"/>
    </sheetView>
  </sheetViews>
  <sheetFormatPr baseColWidth="8" defaultRowHeight="15"/>
  <cols>
    <col width="31"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0" customHeight="1">
      <c r="A1" s="3" t="n"/>
      <c r="B1" s="3" t="n"/>
      <c r="C1" s="3" t="n"/>
      <c r="D1" s="3" t="n"/>
      <c r="E1" s="3" t="n"/>
      <c r="F1" s="3" t="n"/>
      <c r="G1" s="3" t="n"/>
      <c r="H1" s="3" t="n"/>
      <c r="I1" s="3" t="n"/>
    </row>
    <row r="2" ht="30" customHeight="1">
      <c r="A2" s="4" t="inlineStr">
        <is>
          <t>Corteqs · Şehir içerik teslimi</t>
        </is>
      </c>
      <c r="B2" s="3" t="n"/>
      <c r="C2" s="3" t="n"/>
      <c r="D2" s="3" t="n"/>
      <c r="E2" s="3" t="n"/>
      <c r="F2" s="3" t="n"/>
      <c r="G2" s="3" t="n"/>
      <c r="H2" s="3" t="n"/>
      <c r="I2" s="3" t="n"/>
    </row>
    <row r="3" ht="30" customHeight="1">
      <c r="A3" s="5" t="inlineStr">
        <is>
          <t>Marbella · İspanya · CITY-080</t>
        </is>
      </c>
      <c r="B3" s="5" t="n"/>
      <c r="C3" s="5" t="n"/>
      <c r="D3" s="5" t="n"/>
      <c r="E3" s="5" t="n"/>
      <c r="F3" s="5" t="n"/>
      <c r="G3" s="5" t="n"/>
      <c r="H3" s="5" t="n"/>
      <c r="I3" s="5" t="n"/>
    </row>
    <row r="4" ht="30" customHeight="1">
      <c r="A4" s="3" t="n"/>
      <c r="B4" s="3" t="n"/>
      <c r="C4" s="3" t="n"/>
      <c r="D4" s="3" t="n"/>
      <c r="E4" s="3" t="n"/>
      <c r="F4" s="3" t="n"/>
      <c r="G4" s="3" t="n"/>
      <c r="H4" s="3" t="n"/>
      <c r="I4" s="3" t="n"/>
    </row>
    <row r="5" ht="34" customHeight="1">
      <c r="A5" s="9" t="inlineStr">
        <is>
          <t>İçerik türü</t>
        </is>
      </c>
      <c r="B5" s="9" t="inlineStr">
        <is>
          <t>Dosyada</t>
        </is>
      </c>
      <c r="C5" s="9" t="inlineStr">
        <is>
          <t>Asgari</t>
        </is>
      </c>
      <c r="D5" s="9" t="inlineStr">
        <is>
          <t>Hedef</t>
        </is>
      </c>
      <c r="E5" s="9" t="inlineStr">
        <is>
          <t>Asgariye kalan</t>
        </is>
      </c>
      <c r="F5" s="9" t="inlineStr">
        <is>
          <t>Hedefe kalan</t>
        </is>
      </c>
      <c r="G5" s="3" t="n"/>
      <c r="H5" s="3" t="n"/>
      <c r="I5" s="3" t="n"/>
    </row>
    <row r="6" ht="30" customHeight="1">
      <c r="A6" s="10" t="inlineStr">
        <is>
          <t>Pratik yaşam yanıtı</t>
        </is>
      </c>
      <c r="B6" s="47">
        <f>COUNTA('Yanıtlar'!$A$8:$A$307)</f>
        <v/>
      </c>
      <c r="C6" s="47" t="n">
        <v>212</v>
      </c>
      <c r="D6" s="47" t="n">
        <v>240</v>
      </c>
      <c r="E6" s="47">
        <f>MAX(C6-B6,0)</f>
        <v/>
      </c>
      <c r="F6" s="47">
        <f>MAX(D6-B6,0)</f>
        <v/>
      </c>
      <c r="G6" s="3" t="n"/>
      <c r="H6" s="3" t="n"/>
      <c r="I6" s="3" t="n"/>
    </row>
    <row r="7" ht="30" customHeight="1">
      <c r="A7" s="3" t="inlineStr">
        <is>
          <t>Keşif noktası</t>
        </is>
      </c>
      <c r="B7" s="48">
        <f>COUNTA('Mekânlar'!$A$8:$A$187)</f>
        <v/>
      </c>
      <c r="C7" s="48" t="n">
        <v>92</v>
      </c>
      <c r="D7" s="48" t="n">
        <v>120</v>
      </c>
      <c r="E7" s="48">
        <f>MAX(C7-B7,0)</f>
        <v/>
      </c>
      <c r="F7" s="48">
        <f>MAX(D7-B7,0)</f>
        <v/>
      </c>
      <c r="G7" s="3" t="n"/>
      <c r="H7" s="3" t="n"/>
      <c r="I7" s="3" t="n"/>
    </row>
    <row r="8" ht="30" customHeight="1">
      <c r="A8" s="10" t="inlineStr">
        <is>
          <t>Mahalle / yerel bölge</t>
        </is>
      </c>
      <c r="B8" s="47">
        <f>COUNTA('Mahalleler'!$A$8:$A$47)</f>
        <v/>
      </c>
      <c r="C8" s="47" t="n">
        <v>12</v>
      </c>
      <c r="D8" s="47" t="n">
        <v>16</v>
      </c>
      <c r="E8" s="47">
        <f>MAX(C8-B8,0)</f>
        <v/>
      </c>
      <c r="F8" s="47">
        <f>MAX(D8-B8,0)</f>
        <v/>
      </c>
      <c r="G8" s="3" t="n"/>
      <c r="H8" s="3" t="n"/>
      <c r="I8" s="3" t="n"/>
    </row>
    <row r="9" ht="30" customHeight="1">
      <c r="A9" s="3" t="inlineStr">
        <is>
          <t>Yanıt içeren konu</t>
        </is>
      </c>
      <c r="B9" s="48">
        <f>SUM('Konular'!$H$8:$H$37)</f>
        <v/>
      </c>
      <c r="C9" s="48" t="n">
        <v>12</v>
      </c>
      <c r="D9" s="48" t="n">
        <v>12</v>
      </c>
      <c r="E9" s="48">
        <f>MAX(C9-B9,0)</f>
        <v/>
      </c>
      <c r="F9" s="48">
        <f>MAX(D9-B9,0)</f>
        <v/>
      </c>
      <c r="G9" s="3" t="n"/>
      <c r="H9" s="3" t="n"/>
      <c r="I9" s="3" t="n"/>
    </row>
    <row r="10" ht="30" customHeight="1">
      <c r="A10" s="10" t="inlineStr">
        <is>
          <t>Farklı mekân fotoğrafı</t>
        </is>
      </c>
      <c r="B10" s="47">
        <f>SUM('Fotoğraflar'!$S$8:$S$607)</f>
        <v/>
      </c>
      <c r="C10" s="47" t="n">
        <v>187</v>
      </c>
      <c r="D10" s="47" t="n">
        <v>250</v>
      </c>
      <c r="E10" s="47">
        <f>MAX(C10-B10,0)</f>
        <v/>
      </c>
      <c r="F10" s="47">
        <f>MAX(D10-B10,0)</f>
        <v/>
      </c>
      <c r="G10" s="3" t="n"/>
      <c r="H10" s="3" t="n"/>
      <c r="I10" s="3" t="n"/>
    </row>
    <row r="11" ht="30" customHeight="1">
      <c r="A11" s="3" t="inlineStr">
        <is>
          <t>Farklı kapak fotoğrafı</t>
        </is>
      </c>
      <c r="B11" s="48">
        <f>SUM('Fotoğraflar'!$T$8:$T$607)</f>
        <v/>
      </c>
      <c r="C11" s="48" t="n">
        <v>6</v>
      </c>
      <c r="D11" s="48" t="n">
        <v>8</v>
      </c>
      <c r="E11" s="48">
        <f>MAX(C11-B11,0)</f>
        <v/>
      </c>
      <c r="F11" s="48">
        <f>MAX(D11-B11,0)</f>
        <v/>
      </c>
      <c r="G11" s="3" t="n"/>
      <c r="H11" s="3" t="n"/>
      <c r="I11" s="3" t="n"/>
    </row>
    <row r="12" ht="30" customHeight="1">
      <c r="A12" s="10" t="inlineStr">
        <is>
          <t>Rota</t>
        </is>
      </c>
      <c r="B12" s="47">
        <f>COUNTA('Rotalar'!$A$8:$A$37)</f>
        <v/>
      </c>
      <c r="C12" s="47" t="n">
        <v>9</v>
      </c>
      <c r="D12" s="47" t="n">
        <v>12</v>
      </c>
      <c r="E12" s="47">
        <f>MAX(C12-B12,0)</f>
        <v/>
      </c>
      <c r="F12" s="47">
        <f>MAX(D12-B12,0)</f>
        <v/>
      </c>
      <c r="G12" s="3" t="n"/>
      <c r="H12" s="3" t="n"/>
      <c r="I12" s="3" t="n"/>
    </row>
    <row r="13" ht="30" customHeight="1">
      <c r="A13" s="3" t="inlineStr">
        <is>
          <t>Sözlük terimi</t>
        </is>
      </c>
      <c r="B13" s="48">
        <f>COUNTA('Sözlük'!$A$8:$A$107)</f>
        <v/>
      </c>
      <c r="C13" s="48" t="n">
        <v>48</v>
      </c>
      <c r="D13" s="48" t="n">
        <v>60</v>
      </c>
      <c r="E13" s="48">
        <f>MAX(C13-B13,0)</f>
        <v/>
      </c>
      <c r="F13" s="48">
        <f>MAX(D13-B13,0)</f>
        <v/>
      </c>
      <c r="G13" s="3" t="n"/>
      <c r="H13" s="3" t="n"/>
      <c r="I13" s="3" t="n"/>
    </row>
    <row r="14" ht="68" customHeight="1">
      <c r="A14" s="46" t="inlineStr">
        <is>
          <t>v7 · Kaynak zinciri: FotoğrafKaynakları. Miktar, onay değildir.</t>
        </is>
      </c>
      <c r="B14" s="46" t="n"/>
      <c r="C14" s="46" t="n"/>
      <c r="D14" s="46" t="n"/>
      <c r="E14" s="46" t="n"/>
      <c r="F14" s="46" t="n"/>
      <c r="G14" s="3" t="n"/>
      <c r="H14" s="3" t="n"/>
      <c r="I14" s="3" t="n"/>
    </row>
    <row r="15" ht="30" customHeight="1">
      <c r="A15" s="3" t="n"/>
      <c r="B15" s="3" t="n"/>
      <c r="C15" s="3" t="n"/>
      <c r="D15" s="3" t="n"/>
      <c r="E15" s="3" t="n"/>
      <c r="F15" s="3" t="n"/>
      <c r="G15" s="3" t="n"/>
      <c r="H15" s="3" t="n"/>
      <c r="I15" s="3" t="n"/>
    </row>
    <row r="16" ht="30" customHeight="1">
      <c r="A16" s="13" t="inlineStr">
        <is>
          <t>Dosyayı doldurma sırası</t>
        </is>
      </c>
      <c r="B16" s="3" t="n"/>
      <c r="C16" s="3" t="n"/>
      <c r="D16" s="3" t="n"/>
      <c r="E16" s="3" t="n"/>
      <c r="F16" s="3" t="n"/>
      <c r="G16" s="3" t="n"/>
      <c r="H16" s="3" t="n"/>
      <c r="I16" s="3" t="n"/>
    </row>
    <row r="17" ht="30" customHeight="1">
      <c r="A17" s="3" t="n"/>
      <c r="B17" s="3" t="n"/>
      <c r="C17" s="3" t="n"/>
      <c r="D17" s="3" t="n"/>
      <c r="E17" s="3" t="n"/>
      <c r="F17" s="3" t="n"/>
      <c r="G17" s="3" t="n"/>
      <c r="H17" s="3" t="n"/>
      <c r="I17" s="3" t="n"/>
    </row>
    <row r="18" ht="32" customHeight="1">
      <c r="A18" s="14" t="inlineStr">
        <is>
          <t>1. Teslimat ve Şehir alanlarını doldurun; şehir kimliğini tüm sayfalarda aynı kullanın.</t>
        </is>
      </c>
    </row>
    <row r="19" ht="32" customHeight="1">
      <c r="A19" s="14" t="inlineStr">
        <is>
          <t>2. Kaynaklar ve Konular kaydını açın. Yanıt, mekân ve mahalle satırlarını bu kimliklere bağlayın.</t>
        </is>
      </c>
    </row>
    <row r="20" ht="32" customHeight="1">
      <c r="A20" s="14" t="inlineStr">
        <is>
          <t>3. Bağlantılar, Fotoğraflar ve Kanıtlar satırlarını tamamlayın; rota ve sözlük kaynaklarını ekleyin.</t>
        </is>
      </c>
    </row>
    <row r="21" ht="32" customHeight="1">
      <c r="A21" s="14" t="inlineStr">
        <is>
          <t>4. Kaynak kontrol tarihini yazın. Çekim tarihi bilinmiyorsa boş bırakın; tarih uydurmayın.</t>
        </is>
      </c>
    </row>
    <row r="22" ht="54" customHeight="1">
      <c r="A22" s="14" t="inlineStr">
        <is>
          <t>5. Paketin tamamı insan editör tarafından incelenir; tek paket kararı yönetim ekranında verilir. Excel’de satır satır onay işaretlemek gerekmez.</t>
        </is>
      </c>
    </row>
    <row r="23" ht="30" customHeight="1">
      <c r="A23" s="3" t="n"/>
      <c r="B23" s="3" t="n"/>
      <c r="C23" s="3" t="n"/>
      <c r="D23" s="3" t="n"/>
      <c r="E23" s="3" t="n"/>
      <c r="F23" s="3" t="n"/>
      <c r="G23" s="3" t="n"/>
      <c r="H23" s="3" t="n"/>
      <c r="I23" s="3" t="n"/>
    </row>
    <row r="24" ht="30" customHeight="1">
      <c r="A24" s="3" t="n"/>
      <c r="B24" s="3" t="n"/>
      <c r="C24" s="3" t="n"/>
      <c r="D24" s="3" t="n"/>
      <c r="E24" s="3" t="n"/>
      <c r="F24" s="3" t="n"/>
      <c r="G24" s="3" t="n"/>
      <c r="H24" s="3" t="n"/>
      <c r="I24" s="3" t="n"/>
    </row>
    <row r="25" ht="29" customHeight="1">
      <c r="A25" s="16" t="inlineStr">
        <is>
          <t>Sarı alanlar düzenlenebilir. Koyu satırdaki makine sütun adları (7. satır) ve sayfa adları değişmez. Veri 8. satırdan başlar. Kimlik listelerinde ; kullanın; işlem, belge ve durakları hücre içinde ayrı satırlara yazın.</t>
        </is>
      </c>
    </row>
    <row r="26" ht="29" customHeight="1"/>
    <row r="27" ht="30" customHeight="1">
      <c r="A27" s="3" t="n"/>
      <c r="B27" s="3" t="n"/>
      <c r="C27" s="3" t="n"/>
      <c r="D27" s="3" t="n"/>
      <c r="E27" s="3" t="n"/>
      <c r="F27" s="3" t="n"/>
      <c r="G27" s="3" t="n"/>
      <c r="H27" s="3" t="n"/>
      <c r="I27" s="3" t="n"/>
    </row>
    <row r="28" ht="29" customHeight="1">
      <c r="A28" s="18" t="inlineStr">
        <is>
          <t>Fotoğraf miktarı dosya SHA-256 özeti ve rolüyle ölçülür; aynı kareye ait türevler ayrıca ayıklanır. Sayımda kullanılabilir eski alanı korunur, insan onayı yerine geçmez. Paket kararı yönetim ekranındadır.</t>
        </is>
      </c>
    </row>
    <row r="29" ht="29" customHeight="1"/>
    <row r="30" ht="30" customHeight="1">
      <c r="A30" s="3" t="n"/>
      <c r="B30" s="3" t="n"/>
      <c r="C30" s="3" t="n"/>
      <c r="D30" s="3" t="n"/>
      <c r="E30" s="3" t="n"/>
      <c r="F30" s="3" t="n"/>
      <c r="G30" s="3" t="n"/>
      <c r="H30" s="3" t="n"/>
      <c r="I30" s="3" t="n"/>
    </row>
    <row r="31" ht="29" customHeight="1">
      <c r="A31" s="14" t="inlineStr">
        <is>
          <t>Asgari eşikler: 212 yanıt, 92 mekân, 12 mahalle, 12 konu, 187 farklı mekân fotoğrafı, 6 kapak, 9 rota, 48 terim. Hedefler: 240 / 120 / 16 / 12 / 250 / 8 / 12 / 60. Bu dosya uygulamaya veya veritabanına içerik yayımlamaz.</t>
        </is>
      </c>
    </row>
    <row r="32" ht="29" customHeight="1"/>
    <row r="33" ht="30" customHeight="1">
      <c r="A33" s="3" t="n"/>
      <c r="B33" s="3" t="n"/>
      <c r="C33" s="3" t="n"/>
      <c r="D33" s="3" t="n"/>
      <c r="E33" s="3" t="n"/>
      <c r="F33" s="3" t="n"/>
      <c r="G33" s="3" t="n"/>
      <c r="H33" s="3" t="n"/>
      <c r="I33" s="3" t="n"/>
    </row>
    <row r="34" ht="30" customHeight="1">
      <c r="A34" s="3" t="n"/>
      <c r="B34" s="3" t="n"/>
      <c r="C34" s="3" t="n"/>
      <c r="D34" s="3" t="n"/>
      <c r="E34" s="3" t="n"/>
      <c r="F34" s="3" t="n"/>
      <c r="G34" s="3" t="n"/>
      <c r="H34" s="3" t="n"/>
      <c r="I34" s="3" t="n"/>
    </row>
    <row r="35" ht="30" customHeight="1">
      <c r="A35" s="3" t="n"/>
      <c r="B35" s="3" t="n"/>
      <c r="C35" s="3" t="n"/>
      <c r="D35" s="3" t="n"/>
      <c r="E35" s="3" t="n"/>
      <c r="F35" s="3" t="n"/>
      <c r="G35" s="3" t="n"/>
      <c r="H35" s="3" t="n"/>
      <c r="I35" s="3" t="n"/>
    </row>
    <row r="36" ht="30" customHeight="1">
      <c r="A36" s="3" t="n"/>
      <c r="B36" s="3" t="n"/>
      <c r="C36" s="3" t="n"/>
      <c r="D36" s="3" t="n"/>
      <c r="E36" s="3" t="n"/>
      <c r="F36" s="3" t="n"/>
      <c r="G36" s="3" t="n"/>
      <c r="H36" s="3" t="n"/>
      <c r="I36" s="3" t="n"/>
    </row>
    <row r="37" ht="30" customHeight="1">
      <c r="A37" s="3" t="n"/>
      <c r="B37" s="3" t="n"/>
      <c r="C37" s="3" t="n"/>
      <c r="D37" s="3" t="n"/>
      <c r="E37" s="3" t="n"/>
      <c r="F37" s="3" t="n"/>
      <c r="G37" s="3" t="n"/>
      <c r="H37" s="3" t="n"/>
      <c r="I37" s="3" t="n"/>
    </row>
    <row r="38" ht="30" customHeight="1">
      <c r="A38" s="3" t="n"/>
      <c r="B38" s="3" t="n"/>
      <c r="C38" s="3" t="n"/>
      <c r="D38" s="3" t="n"/>
      <c r="E38" s="3" t="n"/>
      <c r="F38" s="3" t="n"/>
      <c r="G38" s="3" t="n"/>
      <c r="H38" s="3" t="n"/>
      <c r="I38" s="3" t="n"/>
    </row>
    <row r="39" ht="30" customHeight="1">
      <c r="A39" s="3" t="n"/>
      <c r="B39" s="3" t="n"/>
      <c r="C39" s="3" t="n"/>
      <c r="D39" s="3" t="n"/>
      <c r="E39" s="3" t="n"/>
      <c r="F39" s="3" t="n"/>
      <c r="G39" s="3" t="n"/>
      <c r="H39" s="3" t="n"/>
      <c r="I39" s="3" t="n"/>
    </row>
  </sheetData>
  <mergeCells count="8">
    <mergeCell ref="A19:I19"/>
    <mergeCell ref="A31:I32"/>
    <mergeCell ref="A21:I21"/>
    <mergeCell ref="A18:I18"/>
    <mergeCell ref="A25:I26"/>
    <mergeCell ref="A22:I22"/>
    <mergeCell ref="A20:I20"/>
    <mergeCell ref="A28:I29"/>
  </mergeCells>
  <conditionalFormatting sqref="E6:F13">
    <cfRule type="cellIs" priority="1" operator="greaterThan" dxfId="0">
      <formula>0</formula>
    </cfRule>
  </conditionalFormatting>
  <pageMargins left="0.7" right="0.7" top="0.75" bottom="0.75" header="0.3" footer="0.3"/>
</worksheet>
</file>

<file path=xl/worksheets/sheet2.xml><?xml version="1.0" encoding="utf-8"?>
<worksheet xmlns="http://schemas.openxmlformats.org/spreadsheetml/2006/main">
  <sheetPr>
    <tabColor rgb="FFF66C4E"/>
    <outlinePr summaryBelow="1" summaryRight="1"/>
    <pageSetUpPr/>
  </sheetPr>
  <dimension ref="A1:I8"/>
  <sheetViews>
    <sheetView showGridLines="0" workbookViewId="0">
      <pane xSplit="2" ySplit="7" topLeftCell="C8" activePane="bottomRight" state="frozen"/>
      <selection activeCell="A1" sqref="A1"/>
    </sheetView>
  </sheetViews>
  <sheetFormatPr baseColWidth="8" defaultRowHeight="15"/>
  <cols>
    <col width="28" customWidth="1" min="1" max="1"/>
    <col width="32" customWidth="1" min="2" max="2"/>
    <col width="32" customWidth="1" min="3" max="3"/>
    <col width="28" customWidth="1" min="4" max="4"/>
    <col width="28" customWidth="1" min="5" max="5"/>
    <col width="28" customWidth="1" min="6" max="6"/>
    <col width="20" customWidth="1" min="7" max="7"/>
    <col width="28" customWidth="1" min="8" max="8"/>
    <col width="58" customWidth="1" min="9" max="9"/>
  </cols>
  <sheetData>
    <row r="1" ht="30" customHeight="1">
      <c r="A1" s="2" t="n"/>
      <c r="B1" s="2" t="n"/>
      <c r="C1" s="2" t="n"/>
      <c r="D1" s="2" t="n"/>
      <c r="E1" s="2" t="n"/>
      <c r="F1" s="2" t="n"/>
      <c r="G1" s="2" t="n"/>
      <c r="H1" s="2" t="n"/>
      <c r="I1" s="2" t="n"/>
    </row>
    <row r="2" ht="30" customHeight="1">
      <c r="A2" s="19" t="inlineStr">
        <is>
          <t>Corteqs · Teslimat bilgileri</t>
        </is>
      </c>
      <c r="B2" s="2" t="n"/>
      <c r="C2" s="2" t="n"/>
      <c r="D2" s="2" t="n"/>
      <c r="E2" s="2" t="n"/>
      <c r="F2" s="2" t="n"/>
      <c r="G2" s="2" t="n"/>
      <c r="H2" s="2" t="n"/>
      <c r="I2" s="2" t="n"/>
    </row>
    <row r="3" ht="36" customHeight="1">
      <c r="A3" s="20" t="inlineStr">
        <is>
          <t>Türkçe başlığı okuyun; veriyi 8. satırdan yazın. 7. satırdaki alan adını ve sayfa adını değiştirmeyin.</t>
        </is>
      </c>
      <c r="I3" s="2" t="n"/>
    </row>
    <row r="4" ht="30" customHeight="1">
      <c r="A4" s="21" t="n"/>
      <c r="B4" s="21" t="n"/>
      <c r="C4" s="21" t="n"/>
      <c r="D4" s="21" t="n"/>
      <c r="E4" s="21" t="n"/>
      <c r="F4" s="21" t="n"/>
      <c r="G4" s="21" t="n"/>
      <c r="H4" s="21" t="n"/>
      <c r="I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Zorunlu · tarih</t>
        </is>
      </c>
      <c r="H5" s="22" t="inlineStr">
        <is>
          <t>Zorunlu</t>
        </is>
      </c>
      <c r="I5" s="22" t="inlineStr">
        <is>
          <t>İsteğe bağlı</t>
        </is>
      </c>
    </row>
    <row r="6" ht="44" customHeight="1">
      <c r="A6" s="25" t="inlineStr">
        <is>
          <t>Şema sürümü</t>
        </is>
      </c>
      <c r="B6" s="25" t="inlineStr">
        <is>
          <t>Teslimat kimliği</t>
        </is>
      </c>
      <c r="C6" s="25" t="inlineStr">
        <is>
          <t>Şehir kimliği</t>
        </is>
      </c>
      <c r="D6" s="25" t="inlineStr">
        <is>
          <t>Hazırlayan</t>
        </is>
      </c>
      <c r="E6" s="25" t="inlineStr">
        <is>
          <t>İnceleyen</t>
        </is>
      </c>
      <c r="F6" s="25" t="inlineStr">
        <is>
          <t>Dosya kapsamı</t>
        </is>
      </c>
      <c r="G6" s="25" t="inlineStr">
        <is>
          <t>Dosya güncelleme tarihi</t>
        </is>
      </c>
      <c r="H6" s="25" t="inlineStr">
        <is>
          <t>Editör durumu</t>
        </is>
      </c>
      <c r="I6" s="25" t="inlineStr">
        <is>
          <t>Teslim notu</t>
        </is>
      </c>
    </row>
    <row r="7" ht="32" customHeight="1">
      <c r="A7" s="28" t="inlineStr">
        <is>
          <t>schema_version</t>
        </is>
      </c>
      <c r="B7" s="28" t="inlineStr">
        <is>
          <t>delivery_id</t>
        </is>
      </c>
      <c r="C7" s="28" t="inlineStr">
        <is>
          <t>city_id</t>
        </is>
      </c>
      <c r="D7" s="28" t="inlineStr">
        <is>
          <t>editor</t>
        </is>
      </c>
      <c r="E7" s="28" t="inlineStr">
        <is>
          <t>reviewer</t>
        </is>
      </c>
      <c r="F7" s="28" t="inlineStr">
        <is>
          <t>scope</t>
        </is>
      </c>
      <c r="G7" s="28" t="inlineStr">
        <is>
          <t>updated_on</t>
        </is>
      </c>
      <c r="H7" s="28" t="inlineStr">
        <is>
          <t>editorial_status</t>
        </is>
      </c>
      <c r="I7" s="28" t="inlineStr">
        <is>
          <t>notes</t>
        </is>
      </c>
    </row>
    <row r="8" ht="54" customHeight="1">
      <c r="A8" s="29" t="inlineStr">
        <is>
          <t>1.0</t>
        </is>
      </c>
      <c r="B8" s="29" t="inlineStr">
        <is>
          <t>city-080-v001</t>
        </is>
      </c>
      <c r="C8" s="29" t="inlineStr">
        <is>
          <t>marbella</t>
        </is>
      </c>
      <c r="D8" s="29" t="inlineStr">
        <is>
          <t>Atınç</t>
        </is>
      </c>
      <c r="E8" s="29" t="n"/>
      <c r="F8" s="29" t="inlineStr">
        <is>
          <t>Tam teslim</t>
        </is>
      </c>
      <c r="G8" s="49" t="n">
        <v>46307</v>
      </c>
      <c r="H8" s="29" t="inlineStr">
        <is>
          <t>Taslak</t>
        </is>
      </c>
      <c r="I8" s="29" t="inlineStr">
        <is>
          <t>Çalışma dosyası; içerik üretilmedi; UAT durumu: Üretilecek. Katalog tarihleri kaynak kaydını gösterir; rehber doğrulaması değildir.</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F8">
    <cfRule type="expression" priority="5" dxfId="1">
      <formula>AND($A8&lt;&gt;"",ISBLANK(F8))</formula>
    </cfRule>
  </conditionalFormatting>
  <conditionalFormatting sqref="G8">
    <cfRule type="expression" priority="6" dxfId="1">
      <formula>AND($A8&lt;&gt;"",ISBLANK(G8))</formula>
    </cfRule>
  </conditionalFormatting>
  <conditionalFormatting sqref="H8">
    <cfRule type="expression" priority="7" dxfId="1">
      <formula>AND($A8&lt;&gt;"",ISBLANK(H8))</formula>
    </cfRule>
  </conditionalFormatting>
  <dataValidations count="2">
    <dataValidation sqref="F8" showDropDown="0" showInputMessage="0" showErrorMessage="0" allowBlank="0" type="list">
      <formula1>"Tam teslim,Kısmi örnek"</formula1>
    </dataValidation>
    <dataValidation sqref="H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G8"/>
  <sheetViews>
    <sheetView showGridLines="0" workbookViewId="0">
      <pane xSplit="2" ySplit="7" topLeftCell="C8" activePane="bottomRight" state="frozen"/>
      <selection activeCell="A1" sqref="A1"/>
    </sheetView>
  </sheetViews>
  <sheetFormatPr baseColWidth="8" defaultRowHeight="15"/>
  <cols>
    <col width="32"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48" customWidth="1" min="16" max="16"/>
    <col width="20" customWidth="1" min="17" max="17"/>
    <col width="28" customWidth="1" min="18" max="18"/>
    <col width="48" customWidth="1" min="19" max="19"/>
    <col width="20" customWidth="1" min="20" max="20"/>
    <col width="28" customWidth="1" min="21" max="21"/>
    <col width="20" customWidth="1" min="22" max="22"/>
    <col width="28" customWidth="1" min="23" max="23"/>
    <col width="28" customWidth="1" min="24" max="24"/>
    <col width="28" customWidth="1" min="25" max="25"/>
    <col width="28" customWidth="1" min="26" max="26"/>
    <col width="28" customWidth="1" min="27" max="27"/>
    <col width="48" customWidth="1" min="28" max="28"/>
    <col width="48" customWidth="1" min="29" max="29"/>
    <col width="28" customWidth="1" min="30" max="30"/>
    <col width="32" customWidth="1" min="31" max="31"/>
    <col width="28" customWidth="1" min="32" max="32"/>
    <col width="28" customWidth="1" min="33" max="3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row>
    <row r="2" ht="30" customHeight="1">
      <c r="A2" s="19" t="inlineStr">
        <is>
          <t>Corteqs · Şehir profili</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t>
        </is>
      </c>
      <c r="M5" s="22" t="inlineStr">
        <is>
          <t>Zorunlu</t>
        </is>
      </c>
      <c r="N5" s="22" t="inlineStr">
        <is>
          <t>Zorunlu</t>
        </is>
      </c>
      <c r="O5" s="22" t="inlineStr">
        <is>
          <t>Zorunlu</t>
        </is>
      </c>
      <c r="P5" s="22" t="inlineStr">
        <is>
          <t>Zorunlu</t>
        </is>
      </c>
      <c r="Q5" s="22" t="inlineStr">
        <is>
          <t>Zorunlu · tarih</t>
        </is>
      </c>
      <c r="R5" s="22" t="inlineStr">
        <is>
          <t>İsteğe bağlı</t>
        </is>
      </c>
      <c r="S5" s="22" t="inlineStr">
        <is>
          <t>Zorunlu</t>
        </is>
      </c>
      <c r="T5" s="22" t="inlineStr">
        <is>
          <t>Zorunlu · tarih</t>
        </is>
      </c>
      <c r="U5" s="22" t="inlineStr">
        <is>
          <t>Zorunlu</t>
        </is>
      </c>
      <c r="V5" s="22" t="inlineStr">
        <is>
          <t>Zorunlu · tarih</t>
        </is>
      </c>
      <c r="W5" s="22" t="inlineStr">
        <is>
          <t>Zorunlu</t>
        </is>
      </c>
      <c r="X5" s="22" t="inlineStr">
        <is>
          <t>İsteğe bağlı</t>
        </is>
      </c>
      <c r="Y5" s="22" t="inlineStr">
        <is>
          <t>İsteğe bağlı</t>
        </is>
      </c>
      <c r="Z5" s="22" t="inlineStr">
        <is>
          <t>İsteğe bağlı</t>
        </is>
      </c>
      <c r="AA5" s="22" t="inlineStr">
        <is>
          <t>İsteğe bağlı</t>
        </is>
      </c>
      <c r="AB5" s="22" t="inlineStr">
        <is>
          <t>İsteğe bağlı</t>
        </is>
      </c>
      <c r="AC5" s="22" t="inlineStr">
        <is>
          <t>İsteğe bağlı</t>
        </is>
      </c>
      <c r="AD5" s="22" t="inlineStr">
        <is>
          <t>İsteğe bağlı</t>
        </is>
      </c>
      <c r="AE5" s="22" t="inlineStr">
        <is>
          <t>İsteğe bağlı</t>
        </is>
      </c>
      <c r="AF5" s="22" t="inlineStr">
        <is>
          <t>İsteğe bağlı</t>
        </is>
      </c>
      <c r="AG5" s="22" t="inlineStr">
        <is>
          <t>Zorunlu</t>
        </is>
      </c>
    </row>
    <row r="6" ht="44" customHeight="1">
      <c r="A6" s="25" t="inlineStr">
        <is>
          <t>Şehir kimliği</t>
        </is>
      </c>
      <c r="B6" s="25" t="inlineStr">
        <is>
          <t>Şehir adı</t>
        </is>
      </c>
      <c r="C6" s="25" t="inlineStr">
        <is>
          <t>Ülke</t>
        </is>
      </c>
      <c r="D6" s="25" t="inlineStr">
        <is>
          <t>Ülke kodu</t>
        </is>
      </c>
      <c r="E6" s="25" t="inlineStr">
        <is>
          <t>Dünya bölgesi</t>
        </is>
      </c>
      <c r="F6" s="25" t="inlineStr">
        <is>
          <t>Coğrafi kapsam</t>
        </is>
      </c>
      <c r="G6" s="25" t="inlineStr">
        <is>
          <t>Rehber başlığı</t>
        </is>
      </c>
      <c r="H6" s="25" t="inlineStr">
        <is>
          <t>Rehber giriş metni</t>
        </is>
      </c>
      <c r="I6" s="25" t="inlineStr">
        <is>
          <t>Para birimi kodu</t>
        </is>
      </c>
      <c r="J6" s="25" t="inlineStr">
        <is>
          <t>Para simgesi</t>
        </is>
      </c>
      <c r="K6" s="25" t="inlineStr">
        <is>
          <t>Para birimi adı</t>
        </is>
      </c>
      <c r="L6" s="25" t="inlineStr">
        <is>
          <t>Yerel dil</t>
        </is>
      </c>
      <c r="M6" s="25" t="inlineStr">
        <is>
          <t>Saat dilimi</t>
        </is>
      </c>
      <c r="N6" s="25" t="inlineStr">
        <is>
          <t>Enlem</t>
        </is>
      </c>
      <c r="O6" s="25" t="inlineStr">
        <is>
          <t>Boylam</t>
        </is>
      </c>
      <c r="P6" s="25" t="inlineStr">
        <is>
          <t>Konum kaynağı</t>
        </is>
      </c>
      <c r="Q6" s="25" t="inlineStr">
        <is>
          <t>Konum kontrol tarihi</t>
        </is>
      </c>
      <c r="R6" s="25" t="inlineStr">
        <is>
          <t>Konum açıklaması</t>
        </is>
      </c>
      <c r="S6" s="25" t="inlineStr">
        <is>
          <t>Kapsam kaynağı</t>
        </is>
      </c>
      <c r="T6" s="25" t="inlineStr">
        <is>
          <t>Kapsam kontrol tarihi</t>
        </is>
      </c>
      <c r="U6" s="25" t="inlineStr">
        <is>
          <t>Katalog sıra numarası</t>
        </is>
      </c>
      <c r="V6" s="25" t="inlineStr">
        <is>
          <t>Rehber kontrol tarihi</t>
        </is>
      </c>
      <c r="W6" s="25" t="inlineStr">
        <is>
          <t>Öncelik</t>
        </is>
      </c>
      <c r="X6" s="25" t="inlineStr">
        <is>
          <t>Diğer adlar</t>
        </is>
      </c>
      <c r="Y6" s="25" t="inlineStr">
        <is>
          <t>Yerel ad</t>
        </is>
      </c>
      <c r="Z6" s="25" t="inlineStr">
        <is>
          <t>Şehir cümlesi</t>
        </is>
      </c>
      <c r="AA6" s="25" t="inlineStr">
        <is>
          <t>Şehir dizini sırası</t>
        </is>
      </c>
      <c r="AB6" s="25" t="inlineStr">
        <is>
          <t>Hava tahmini bağlantısı</t>
        </is>
      </c>
      <c r="AC6" s="25" t="inlineStr">
        <is>
          <t>Hava veri sağlayıcısı</t>
        </is>
      </c>
      <c r="AD6" s="25" t="inlineStr">
        <is>
          <t>Tahmin bağlantı metni</t>
        </is>
      </c>
      <c r="AE6" s="25" t="inlineStr">
        <is>
          <t>Ana kapak kimliği</t>
        </is>
      </c>
      <c r="AF6" s="25" t="inlineStr">
        <is>
          <t>Editoryal şehir notları</t>
        </is>
      </c>
      <c r="AG6" s="25" t="inlineStr">
        <is>
          <t>Editör durumu</t>
        </is>
      </c>
    </row>
    <row r="7" ht="32" customHeight="1">
      <c r="A7" s="28" t="inlineStr">
        <is>
          <t>city_id</t>
        </is>
      </c>
      <c r="B7" s="28" t="inlineStr">
        <is>
          <t>name</t>
        </is>
      </c>
      <c r="C7" s="28" t="inlineStr">
        <is>
          <t>country</t>
        </is>
      </c>
      <c r="D7" s="28" t="inlineStr">
        <is>
          <t>country_code</t>
        </is>
      </c>
      <c r="E7" s="28" t="inlineStr">
        <is>
          <t>region</t>
        </is>
      </c>
      <c r="F7" s="28" t="inlineStr">
        <is>
          <t>kind</t>
        </is>
      </c>
      <c r="G7" s="28" t="inlineStr">
        <is>
          <t>title</t>
        </is>
      </c>
      <c r="H7" s="28" t="inlineStr">
        <is>
          <t>intro</t>
        </is>
      </c>
      <c r="I7" s="28" t="inlineStr">
        <is>
          <t>currency</t>
        </is>
      </c>
      <c r="J7" s="28" t="inlineStr">
        <is>
          <t>currency_symbol</t>
        </is>
      </c>
      <c r="K7" s="28" t="inlineStr">
        <is>
          <t>currency_label</t>
        </is>
      </c>
      <c r="L7" s="28" t="inlineStr">
        <is>
          <t>language</t>
        </is>
      </c>
      <c r="M7" s="28" t="inlineStr">
        <is>
          <t>timezone</t>
        </is>
      </c>
      <c r="N7" s="28" t="inlineStr">
        <is>
          <t>latitude</t>
        </is>
      </c>
      <c r="O7" s="28" t="inlineStr">
        <is>
          <t>longitude</t>
        </is>
      </c>
      <c r="P7" s="28" t="inlineStr">
        <is>
          <t>coordinate_source_url</t>
        </is>
      </c>
      <c r="Q7" s="28" t="inlineStr">
        <is>
          <t>coordinate_checked_on</t>
        </is>
      </c>
      <c r="R7" s="28" t="inlineStr">
        <is>
          <t>coordinate_note</t>
        </is>
      </c>
      <c r="S7" s="28" t="inlineStr">
        <is>
          <t>source_url</t>
        </is>
      </c>
      <c r="T7" s="28" t="inlineStr">
        <is>
          <t>source_checked_on</t>
        </is>
      </c>
      <c r="U7" s="28" t="inlineStr">
        <is>
          <t>source_position</t>
        </is>
      </c>
      <c r="V7" s="28" t="inlineStr">
        <is>
          <t>reviewed_on</t>
        </is>
      </c>
      <c r="W7" s="28" t="inlineStr">
        <is>
          <t>priority</t>
        </is>
      </c>
      <c r="X7" s="28" t="inlineStr">
        <is>
          <t>aliases</t>
        </is>
      </c>
      <c r="Y7" s="28" t="inlineStr">
        <is>
          <t>locality</t>
        </is>
      </c>
      <c r="Z7" s="28" t="inlineStr">
        <is>
          <t>tagline</t>
        </is>
      </c>
      <c r="AA7" s="28" t="inlineStr">
        <is>
          <t>directory_order</t>
        </is>
      </c>
      <c r="AB7" s="28" t="inlineStr">
        <is>
          <t>forecast_url</t>
        </is>
      </c>
      <c r="AC7" s="28" t="inlineStr">
        <is>
          <t>provider_url</t>
        </is>
      </c>
      <c r="AD7" s="28" t="inlineStr">
        <is>
          <t>forecast_label</t>
        </is>
      </c>
      <c r="AE7" s="28" t="inlineStr">
        <is>
          <t>hero_photo_id</t>
        </is>
      </c>
      <c r="AF7" s="28" t="inlineStr">
        <is>
          <t>editorial_notes</t>
        </is>
      </c>
      <c r="AG7" s="28" t="inlineStr">
        <is>
          <t>editorial_status</t>
        </is>
      </c>
    </row>
    <row r="8" ht="54" customHeight="1">
      <c r="A8" s="29" t="inlineStr">
        <is>
          <t>marbella</t>
        </is>
      </c>
      <c r="B8" s="29" t="inlineStr">
        <is>
          <t>Marbella</t>
        </is>
      </c>
      <c r="C8" s="29" t="inlineStr">
        <is>
          <t>İspanya</t>
        </is>
      </c>
      <c r="D8" s="29" t="inlineStr">
        <is>
          <t>ES</t>
        </is>
      </c>
      <c r="E8" s="29" t="inlineStr">
        <is>
          <t>EU</t>
        </is>
      </c>
      <c r="F8" s="29" t="inlineStr">
        <is>
          <t>city</t>
        </is>
      </c>
      <c r="G8" s="29" t="n"/>
      <c r="H8" s="29" t="n"/>
      <c r="I8" s="29" t="n"/>
      <c r="J8" s="29" t="n"/>
      <c r="K8" s="29" t="n"/>
      <c r="L8" s="29" t="n"/>
      <c r="M8" s="29" t="n"/>
      <c r="N8" s="50" t="n">
        <v>36.51662</v>
      </c>
      <c r="O8" s="50" t="n">
        <v>-4.88333</v>
      </c>
      <c r="P8" s="29" t="inlineStr">
        <is>
          <t>https://www.naturalearthdata.com/downloads/10m-cultural-vectors/10m-populated-places/</t>
        </is>
      </c>
      <c r="Q8" s="49" t="n">
        <v>46305</v>
      </c>
      <c r="R8" s="29" t="n"/>
      <c r="S8" s="29" t="inlineStr">
        <is>
          <t>https://www.internations.org/all-internations-cities/</t>
        </is>
      </c>
      <c r="T8" s="49" t="n">
        <v>46305</v>
      </c>
      <c r="U8" s="51" t="n">
        <v>80</v>
      </c>
      <c r="V8" s="49" t="n"/>
      <c r="W8" s="51" t="n">
        <v>3</v>
      </c>
      <c r="X8" s="29" t="inlineStr">
        <is>
          <t>Marbella</t>
        </is>
      </c>
      <c r="Y8" s="29" t="n"/>
      <c r="Z8" s="29" t="n"/>
      <c r="AA8" s="51" t="n"/>
      <c r="AB8" s="29" t="n"/>
      <c r="AC8" s="29" t="n"/>
      <c r="AD8" s="29" t="n"/>
      <c r="AE8" s="29" t="n"/>
      <c r="AF8" s="29" t="n"/>
      <c r="AG8" s="29" t="inlineStr">
        <is>
          <t>Taslak</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E8">
    <cfRule type="expression" priority="5" dxfId="1">
      <formula>AND($A8&lt;&gt;"",ISBLANK(E8))</formula>
    </cfRule>
  </conditionalFormatting>
  <conditionalFormatting sqref="F8">
    <cfRule type="expression" priority="6" dxfId="1">
      <formula>AND($A8&lt;&gt;"",ISBLANK(F8))</formula>
    </cfRule>
  </conditionalFormatting>
  <conditionalFormatting sqref="G8">
    <cfRule type="expression" priority="7" dxfId="1">
      <formula>AND($A8&lt;&gt;"",ISBLANK(G8))</formula>
    </cfRule>
  </conditionalFormatting>
  <conditionalFormatting sqref="H8">
    <cfRule type="expression" priority="8" dxfId="1">
      <formula>AND($A8&lt;&gt;"",ISBLANK(H8))</formula>
    </cfRule>
  </conditionalFormatting>
  <conditionalFormatting sqref="I8">
    <cfRule type="expression" priority="9" dxfId="1">
      <formula>AND($A8&lt;&gt;"",ISBLANK(I8))</formula>
    </cfRule>
  </conditionalFormatting>
  <conditionalFormatting sqref="L8">
    <cfRule type="expression" priority="10" dxfId="1">
      <formula>AND($A8&lt;&gt;"",ISBLANK(L8))</formula>
    </cfRule>
  </conditionalFormatting>
  <conditionalFormatting sqref="M8">
    <cfRule type="expression" priority="11" dxfId="1">
      <formula>AND($A8&lt;&gt;"",ISBLANK(M8))</formula>
    </cfRule>
  </conditionalFormatting>
  <conditionalFormatting sqref="N8">
    <cfRule type="expression" priority="12" dxfId="1">
      <formula>AND($A8&lt;&gt;"",ISBLANK(N8))</formula>
    </cfRule>
  </conditionalFormatting>
  <conditionalFormatting sqref="O8">
    <cfRule type="expression" priority="13" dxfId="1">
      <formula>AND($A8&lt;&gt;"",ISBLANK(O8))</formula>
    </cfRule>
  </conditionalFormatting>
  <conditionalFormatting sqref="P8">
    <cfRule type="expression" priority="14" dxfId="1">
      <formula>AND($A8&lt;&gt;"",ISBLANK(P8))</formula>
    </cfRule>
  </conditionalFormatting>
  <conditionalFormatting sqref="Q8">
    <cfRule type="expression" priority="15" dxfId="1">
      <formula>AND($A8&lt;&gt;"",ISBLANK(Q8))</formula>
    </cfRule>
  </conditionalFormatting>
  <conditionalFormatting sqref="S8">
    <cfRule type="expression" priority="16" dxfId="1">
      <formula>AND($A8&lt;&gt;"",ISBLANK(S8))</formula>
    </cfRule>
  </conditionalFormatting>
  <conditionalFormatting sqref="T8">
    <cfRule type="expression" priority="17" dxfId="1">
      <formula>AND($A8&lt;&gt;"",ISBLANK(T8))</formula>
    </cfRule>
  </conditionalFormatting>
  <conditionalFormatting sqref="U8">
    <cfRule type="expression" priority="18" dxfId="1">
      <formula>AND($A8&lt;&gt;"",ISBLANK(U8))</formula>
    </cfRule>
  </conditionalFormatting>
  <conditionalFormatting sqref="V8">
    <cfRule type="expression" priority="19" dxfId="1">
      <formula>AND($A8&lt;&gt;"",ISBLANK(V8))</formula>
    </cfRule>
  </conditionalFormatting>
  <conditionalFormatting sqref="W8">
    <cfRule type="expression" priority="20" dxfId="1">
      <formula>AND($A8&lt;&gt;"",ISBLANK(W8))</formula>
    </cfRule>
  </conditionalFormatting>
  <conditionalFormatting sqref="AG8">
    <cfRule type="expression" priority="21" dxfId="1">
      <formula>AND($A8&lt;&gt;"",ISBLANK(AG8))</formula>
    </cfRule>
  </conditionalFormatting>
  <dataValidations count="3">
    <dataValidation sqref="E8" showDropDown="0" showInputMessage="0" showErrorMessage="0" allowBlank="0" type="list">
      <formula1>"EU,AS,AF,NA,SA,OC"</formula1>
    </dataValidation>
    <dataValidation sqref="F8" showDropDown="0" showInputMessage="0" showErrorMessage="0" allowBlank="0" type="list">
      <formula1>"city,region,island,country"</formula1>
    </dataValidation>
    <dataValidation sqref="AG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58" customWidth="1" min="5" max="5"/>
    <col width="28" customWidth="1" min="6" max="6"/>
    <col width="28" customWidth="1" min="7" max="7"/>
    <col width="26" customWidth="1" min="8" max="8"/>
  </cols>
  <sheetData>
    <row r="1" ht="30" customHeight="1">
      <c r="A1" s="2" t="n"/>
      <c r="B1" s="2" t="n"/>
      <c r="C1" s="2" t="n"/>
      <c r="D1" s="2" t="n"/>
      <c r="E1" s="2" t="n"/>
      <c r="F1" s="2" t="n"/>
      <c r="G1" s="2" t="n"/>
      <c r="H1" s="2" t="n"/>
    </row>
    <row r="2" ht="30" customHeight="1">
      <c r="A2" s="19" t="inlineStr">
        <is>
          <t>Corteqs · Pratik yaşam konuları</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Hesap · değiştirmeyin</t>
        </is>
      </c>
    </row>
    <row r="6" ht="44" customHeight="1">
      <c r="A6" s="25" t="inlineStr">
        <is>
          <t>Konu kimliği</t>
        </is>
      </c>
      <c r="B6" s="25" t="inlineStr">
        <is>
          <t>Şehir kimliği</t>
        </is>
      </c>
      <c r="C6" s="25" t="inlineStr">
        <is>
          <t>Konu adres adı</t>
        </is>
      </c>
      <c r="D6" s="25" t="inlineStr">
        <is>
          <t>Konu başlığı</t>
        </is>
      </c>
      <c r="E6" s="25" t="inlineStr">
        <is>
          <t>Açıklama</t>
        </is>
      </c>
      <c r="F6" s="25" t="inlineStr">
        <is>
          <t>Simge anahtarı</t>
        </is>
      </c>
      <c r="G6" s="25" t="inlineStr">
        <is>
          <t>Sıra</t>
        </is>
      </c>
      <c r="H6" s="25" t="inlineStr">
        <is>
          <t>Yanıt içeren konu (hesap)</t>
        </is>
      </c>
    </row>
    <row r="7" ht="32" customHeight="1">
      <c r="A7" s="28" t="inlineStr">
        <is>
          <t>topic_id</t>
        </is>
      </c>
      <c r="B7" s="28" t="inlineStr">
        <is>
          <t>city_id</t>
        </is>
      </c>
      <c r="C7" s="28" t="inlineStr">
        <is>
          <t>slug</t>
        </is>
      </c>
      <c r="D7" s="28" t="inlineStr">
        <is>
          <t>title</t>
        </is>
      </c>
      <c r="E7" s="28" t="inlineStr">
        <is>
          <t>description</t>
        </is>
      </c>
      <c r="F7" s="28" t="inlineStr">
        <is>
          <t>icon</t>
        </is>
      </c>
      <c r="G7" s="28" t="inlineStr">
        <is>
          <t>order</t>
        </is>
      </c>
      <c r="H7" s="28" t="inlineStr">
        <is>
          <t>used_count</t>
        </is>
      </c>
    </row>
    <row r="8" ht="54" customHeight="1">
      <c r="A8" s="29" t="inlineStr">
        <is>
          <t>marbella:planlama</t>
        </is>
      </c>
      <c r="B8" s="29" t="inlineStr">
        <is>
          <t>marbella</t>
        </is>
      </c>
      <c r="C8" s="29" t="inlineStr">
        <is>
          <t>planlama</t>
        </is>
      </c>
      <c r="D8" s="29" t="inlineStr">
        <is>
          <t>Taşınmadan önce plan</t>
        </is>
      </c>
      <c r="E8" s="29" t="inlineStr">
        <is>
          <t>Marbella'ya gelmeden önce hazırlanacak belgeler, ilk haftanın sırası, yaz sıcağı ve yeni gelenlere resmî destek veren yerler.</t>
        </is>
      </c>
      <c r="F8" s="29" t="inlineStr">
        <is>
          <t>book</t>
        </is>
      </c>
      <c r="G8" s="51" t="n">
        <v>1</v>
      </c>
      <c r="H8" s="52">
        <f>IF(A8="",0,IF(COUNTIFS('Yanıtlar'!$N$8:$N$307,A8)&gt;0,1,0))</f>
        <v/>
      </c>
    </row>
    <row r="9" ht="54" customHeight="1">
      <c r="A9" s="29" t="inlineStr">
        <is>
          <t>marbella:oturum</t>
        </is>
      </c>
      <c r="B9" s="29" t="inlineStr">
        <is>
          <t>marbella</t>
        </is>
      </c>
      <c r="C9" s="29" t="inlineStr">
        <is>
          <t>oturum</t>
        </is>
      </c>
      <c r="D9" s="29" t="inlineStr">
        <is>
          <t>Vize, oturum ve çalışma izni</t>
        </is>
      </c>
      <c r="E9" s="29" t="inlineStr">
        <is>
          <t>Oturum vizeleri, TIE ve NIE, AB kayıt sertifikası, Marbella'da polis randevusu ve Málaga yabancılar ofisi, aile birleşimi.</t>
        </is>
      </c>
      <c r="F9" s="29" t="inlineStr">
        <is>
          <t>plane</t>
        </is>
      </c>
      <c r="G9" s="51" t="n">
        <v>2</v>
      </c>
      <c r="H9" s="52">
        <f>IF(A9="",0,IF(COUNTIFS('Yanıtlar'!$N$8:$N$307,A9)&gt;0,1,0))</f>
        <v/>
      </c>
    </row>
    <row r="10" ht="54" customHeight="1">
      <c r="A10" s="29" t="inlineStr">
        <is>
          <t>marbella:resmi</t>
        </is>
      </c>
      <c r="B10" s="29" t="inlineStr">
        <is>
          <t>marbella</t>
        </is>
      </c>
      <c r="C10" s="29" t="inlineStr">
        <is>
          <t>resmi</t>
        </is>
      </c>
      <c r="D10" s="29" t="inlineStr">
        <is>
          <t>Kimlik ve resmî işlemler</t>
        </is>
      </c>
      <c r="E10" s="29" t="inlineStr">
        <is>
          <t>Marbella'da nüfus kaydı (empadronamiento), sosyal güvenlik numarası, Cl@ve ve dijital sertifika, belge tercümesi, ehliyet.</t>
        </is>
      </c>
      <c r="F10" s="29" t="inlineStr">
        <is>
          <t>shield</t>
        </is>
      </c>
      <c r="G10" s="51" t="n">
        <v>3</v>
      </c>
      <c r="H10" s="52">
        <f>IF(A10="",0,IF(COUNTIFS('Yanıtlar'!$N$8:$N$307,A10)&gt;0,1,0))</f>
        <v/>
      </c>
    </row>
    <row r="11" ht="54" customHeight="1">
      <c r="A11" s="29" t="inlineStr">
        <is>
          <t>marbella:ev</t>
        </is>
      </c>
      <c r="B11" s="29" t="inlineStr">
        <is>
          <t>marbella</t>
        </is>
      </c>
      <c r="C11" s="29" t="inlineStr">
        <is>
          <t>ev</t>
        </is>
      </c>
      <c r="D11" s="29" t="inlineStr">
        <is>
          <t>Ev ve kira</t>
        </is>
      </c>
      <c r="E11" s="29" t="inlineStr">
        <is>
          <t>Marbella'da kiralık ev arama, kira sözleşmesi ve depozito, kiracı hakları, kira yardımları ve ev satın alma.</t>
        </is>
      </c>
      <c r="F11" s="29" t="inlineStr">
        <is>
          <t>home</t>
        </is>
      </c>
      <c r="G11" s="51" t="n">
        <v>4</v>
      </c>
      <c r="H11" s="52">
        <f>IF(A11="",0,IF(COUNTIFS('Yanıtlar'!$N$8:$N$307,A11)&gt;0,1,0))</f>
        <v/>
      </c>
    </row>
    <row r="12" ht="54" customHeight="1">
      <c r="A12" s="29" t="inlineStr">
        <is>
          <t>marbella:fatura</t>
        </is>
      </c>
      <c r="B12" s="29" t="inlineStr">
        <is>
          <t>marbella</t>
        </is>
      </c>
      <c r="C12" s="29" t="inlineStr">
        <is>
          <t>fatura</t>
        </is>
      </c>
      <c r="D12" s="29" t="inlineStr">
        <is>
          <t>Elektrik, gaz, su ve internet</t>
        </is>
      </c>
      <c r="E12" s="29" t="inlineStr">
        <is>
          <t>Elektrik ve gaz aboneliği, Marbella'da su ve çöp, fatura indirimleri, internet ve mobil hat.</t>
        </is>
      </c>
      <c r="F12" s="29" t="inlineStr">
        <is>
          <t>bolt</t>
        </is>
      </c>
      <c r="G12" s="51" t="n">
        <v>5</v>
      </c>
      <c r="H12" s="52">
        <f>IF(A12="",0,IF(COUNTIFS('Yanıtlar'!$N$8:$N$307,A12)&gt;0,1,0))</f>
        <v/>
      </c>
    </row>
    <row r="13" ht="54" customHeight="1">
      <c r="A13" s="29" t="inlineStr">
        <is>
          <t>marbella:para</t>
        </is>
      </c>
      <c r="B13" s="29" t="inlineStr">
        <is>
          <t>marbella</t>
        </is>
      </c>
      <c r="C13" s="29" t="inlineStr">
        <is>
          <t>para</t>
        </is>
      </c>
      <c r="D13" s="29" t="inlineStr">
        <is>
          <t>Banka, vergi ve destekler</t>
        </is>
      </c>
      <c r="E13" s="29" t="inlineStr">
        <is>
          <t>Banka hesabı, gelir vergisi beyanı, Endülüs bölge vergileri, Marbella belediye vergileri ve sosyal yardımlar.</t>
        </is>
      </c>
      <c r="F13" s="29" t="inlineStr">
        <is>
          <t>transfer</t>
        </is>
      </c>
      <c r="G13" s="51" t="n">
        <v>6</v>
      </c>
      <c r="H13" s="52">
        <f>IF(A13="",0,IF(COUNTIFS('Yanıtlar'!$N$8:$N$307,A13)&gt;0,1,0))</f>
        <v/>
      </c>
    </row>
    <row r="14" ht="54" customHeight="1">
      <c r="A14" s="29" t="inlineStr">
        <is>
          <t>marbella:saglik</t>
        </is>
      </c>
      <c r="B14" s="29" t="inlineStr">
        <is>
          <t>marbella</t>
        </is>
      </c>
      <c r="C14" s="29" t="inlineStr">
        <is>
          <t>saglik</t>
        </is>
      </c>
      <c r="D14" s="29" t="inlineStr">
        <is>
          <t>Sağlık ve sigorta</t>
        </is>
      </c>
      <c r="E14" s="29" t="inlineStr">
        <is>
          <t>Endülüs sağlık kartı, aile hekimi ve sağlık merkezi, Marbella'daki hastane, acil servis, eczane ve aşılar.</t>
        </is>
      </c>
      <c r="F14" s="29" t="inlineStr">
        <is>
          <t>heart</t>
        </is>
      </c>
      <c r="G14" s="51" t="n">
        <v>7</v>
      </c>
      <c r="H14" s="52">
        <f>IF(A14="",0,IF(COUNTIFS('Yanıtlar'!$N$8:$N$307,A14)&gt;0,1,0))</f>
        <v/>
      </c>
    </row>
    <row r="15" ht="54" customHeight="1">
      <c r="A15" s="29" t="inlineStr">
        <is>
          <t>marbella:is</t>
        </is>
      </c>
      <c r="B15" s="29" t="inlineStr">
        <is>
          <t>marbella</t>
        </is>
      </c>
      <c r="C15" s="29" t="inlineStr">
        <is>
          <t>is</t>
        </is>
      </c>
      <c r="D15" s="29" t="inlineStr">
        <is>
          <t>İş ve çalışma hakları</t>
        </is>
      </c>
      <c r="E15" s="29" t="inlineStr">
        <is>
          <t>İş arama ve SAE kaydı, asgari ücret ve sözleşmeler, işsizlik ödeneği, Marbella'da iş kurma ve diploma denkliği.</t>
        </is>
      </c>
      <c r="F15" s="29" t="inlineStr">
        <is>
          <t>briefcase</t>
        </is>
      </c>
      <c r="G15" s="51" t="n">
        <v>8</v>
      </c>
      <c r="H15" s="52">
        <f>IF(A15="",0,IF(COUNTIFS('Yanıtlar'!$N$8:$N$307,A15)&gt;0,1,0))</f>
        <v/>
      </c>
    </row>
    <row r="16" ht="54" customHeight="1">
      <c r="A16" s="29" t="inlineStr">
        <is>
          <t>marbella:aile</t>
        </is>
      </c>
      <c r="B16" s="29" t="inlineStr">
        <is>
          <t>marbella</t>
        </is>
      </c>
      <c r="C16" s="29" t="inlineStr">
        <is>
          <t>aile</t>
        </is>
      </c>
      <c r="D16" s="29" t="inlineStr">
        <is>
          <t>Aile, okul ve çocuk</t>
        </is>
      </c>
      <c r="E16" s="29" t="inlineStr">
        <is>
          <t>Endülüs'te okul kaydı, okul öncesi eğitim, İspanyolca desteği, çocuk yardımları ve doğum kaydı.</t>
        </is>
      </c>
      <c r="F16" s="29" t="inlineStr">
        <is>
          <t>family</t>
        </is>
      </c>
      <c r="G16" s="51" t="n">
        <v>9</v>
      </c>
      <c r="H16" s="52">
        <f>IF(A16="",0,IF(COUNTIFS('Yanıtlar'!$N$8:$N$307,A16)&gt;0,1,0))</f>
        <v/>
      </c>
    </row>
    <row r="17" ht="54" customHeight="1">
      <c r="A17" s="29" t="inlineStr">
        <is>
          <t>marbella:ulasim</t>
        </is>
      </c>
      <c r="B17" s="29" t="inlineStr">
        <is>
          <t>marbella</t>
        </is>
      </c>
      <c r="C17" s="29" t="inlineStr">
        <is>
          <t>ulasim</t>
        </is>
      </c>
      <c r="D17" s="29" t="inlineStr">
        <is>
          <t>Ulaşım ve araç</t>
        </is>
      </c>
      <c r="E17" s="29" t="inlineStr">
        <is>
          <t>Marbella şehir otobüsleri, Costa del Sol şehirlerarası hatları, Málaga havalimanı bağlantısı, park, ehliyet ve araç.</t>
        </is>
      </c>
      <c r="F17" s="29" t="inlineStr">
        <is>
          <t>train</t>
        </is>
      </c>
      <c r="G17" s="51" t="n">
        <v>10</v>
      </c>
      <c r="H17" s="52">
        <f>IF(A17="",0,IF(COUNTIFS('Yanıtlar'!$N$8:$N$307,A17)&gt;0,1,0))</f>
        <v/>
      </c>
    </row>
    <row r="18" ht="54" customHeight="1">
      <c r="A18" s="29" t="inlineStr">
        <is>
          <t>marbella:gunluk</t>
        </is>
      </c>
      <c r="B18" s="29" t="inlineStr">
        <is>
          <t>marbella</t>
        </is>
      </c>
      <c r="C18" s="29" t="inlineStr">
        <is>
          <t>gunluk</t>
        </is>
      </c>
      <c r="D18" s="29" t="inlineStr">
        <is>
          <t>Günlük yaşam ve güvenlik</t>
        </is>
      </c>
      <c r="E18" s="29" t="inlineStr">
        <is>
          <t>Acil numaralar, çöp ve geri dönüşüm, plajlar, kütüphaneler, İspanyolca kursları, yaz sıcağı ve yerel bayramlar.</t>
        </is>
      </c>
      <c r="F18" s="29" t="inlineStr">
        <is>
          <t>bag</t>
        </is>
      </c>
      <c r="G18" s="51" t="n">
        <v>11</v>
      </c>
      <c r="H18" s="52">
        <f>IF(A18="",0,IF(COUNTIFS('Yanıtlar'!$N$8:$N$307,A18)&gt;0,1,0))</f>
        <v/>
      </c>
    </row>
    <row r="19" ht="54" customHeight="1">
      <c r="A19" s="29" t="inlineStr">
        <is>
          <t>marbella:kesif</t>
        </is>
      </c>
      <c r="B19" s="29" t="inlineStr">
        <is>
          <t>marbella</t>
        </is>
      </c>
      <c r="C19" s="29" t="inlineStr">
        <is>
          <t>kesif</t>
        </is>
      </c>
      <c r="D19" s="29" t="inlineStr">
        <is>
          <t>Keşif, kültür, doğa ve spor</t>
        </is>
      </c>
      <c r="E19" s="29" t="inlineStr">
        <is>
          <t>Marbella'nın eski kenti ve müzeleri, sahil yolu ve limanları, Sierra Blanca, çocuklarla gezilecek yerler ve spor.</t>
        </is>
      </c>
      <c r="F19" s="29" t="inlineStr">
        <is>
          <t>people</t>
        </is>
      </c>
      <c r="G19" s="51" t="n">
        <v>12</v>
      </c>
      <c r="H19" s="52">
        <f>IF(A19="",0,IF(COUNTIFS('Yanıtlar'!$N$8:$N$307,A19)&gt;0,1,0))</f>
        <v/>
      </c>
    </row>
    <row r="20" ht="54" customHeight="1">
      <c r="A20" s="29" t="n"/>
      <c r="B20" s="29" t="n"/>
      <c r="C20" s="29" t="n"/>
      <c r="D20" s="29" t="n"/>
      <c r="E20" s="29" t="n"/>
      <c r="F20" s="29" t="n"/>
      <c r="G20" s="51" t="n"/>
      <c r="H20" s="52">
        <f>IF(A20="",0,IF(COUNTIFS('Yanıtlar'!$N$8:$N$307,A20)&gt;0,1,0))</f>
        <v/>
      </c>
    </row>
    <row r="21" ht="54" customHeight="1">
      <c r="A21" s="29" t="n"/>
      <c r="B21" s="29" t="n"/>
      <c r="C21" s="29" t="n"/>
      <c r="D21" s="29" t="n"/>
      <c r="E21" s="29" t="n"/>
      <c r="F21" s="29" t="n"/>
      <c r="G21" s="51" t="n"/>
      <c r="H21" s="52">
        <f>IF(A21="",0,IF(COUNTIFS('Yanıtlar'!$N$8:$N$307,A21)&gt;0,1,0))</f>
        <v/>
      </c>
    </row>
    <row r="22" ht="54" customHeight="1">
      <c r="A22" s="29" t="n"/>
      <c r="B22" s="29" t="n"/>
      <c r="C22" s="29" t="n"/>
      <c r="D22" s="29" t="n"/>
      <c r="E22" s="29" t="n"/>
      <c r="F22" s="29" t="n"/>
      <c r="G22" s="51" t="n"/>
      <c r="H22" s="52">
        <f>IF(A22="",0,IF(COUNTIFS('Yanıtlar'!$N$8:$N$307,A22)&gt;0,1,0))</f>
        <v/>
      </c>
    </row>
    <row r="23" ht="54" customHeight="1">
      <c r="A23" s="29" t="n"/>
      <c r="B23" s="29" t="n"/>
      <c r="C23" s="29" t="n"/>
      <c r="D23" s="29" t="n"/>
      <c r="E23" s="29" t="n"/>
      <c r="F23" s="29" t="n"/>
      <c r="G23" s="51" t="n"/>
      <c r="H23" s="52">
        <f>IF(A23="",0,IF(COUNTIFS('Yanıtlar'!$N$8:$N$307,A23)&gt;0,1,0))</f>
        <v/>
      </c>
    </row>
    <row r="24" ht="54" customHeight="1">
      <c r="A24" s="29" t="n"/>
      <c r="B24" s="29" t="n"/>
      <c r="C24" s="29" t="n"/>
      <c r="D24" s="29" t="n"/>
      <c r="E24" s="29" t="n"/>
      <c r="F24" s="29" t="n"/>
      <c r="G24" s="51" t="n"/>
      <c r="H24" s="52">
        <f>IF(A24="",0,IF(COUNTIFS('Yanıtlar'!$N$8:$N$307,A24)&gt;0,1,0))</f>
        <v/>
      </c>
    </row>
    <row r="25" ht="54" customHeight="1">
      <c r="A25" s="29" t="n"/>
      <c r="B25" s="29" t="n"/>
      <c r="C25" s="29" t="n"/>
      <c r="D25" s="29" t="n"/>
      <c r="E25" s="29" t="n"/>
      <c r="F25" s="29" t="n"/>
      <c r="G25" s="51" t="n"/>
      <c r="H25" s="52">
        <f>IF(A25="",0,IF(COUNTIFS('Yanıtlar'!$N$8:$N$307,A25)&gt;0,1,0))</f>
        <v/>
      </c>
    </row>
    <row r="26" ht="54" customHeight="1">
      <c r="A26" s="29" t="n"/>
      <c r="B26" s="29" t="n"/>
      <c r="C26" s="29" t="n"/>
      <c r="D26" s="29" t="n"/>
      <c r="E26" s="29" t="n"/>
      <c r="F26" s="29" t="n"/>
      <c r="G26" s="51" t="n"/>
      <c r="H26" s="52">
        <f>IF(A26="",0,IF(COUNTIFS('Yanıtlar'!$N$8:$N$307,A26)&gt;0,1,0))</f>
        <v/>
      </c>
    </row>
    <row r="27" ht="54" customHeight="1">
      <c r="A27" s="29" t="n"/>
      <c r="B27" s="29" t="n"/>
      <c r="C27" s="29" t="n"/>
      <c r="D27" s="29" t="n"/>
      <c r="E27" s="29" t="n"/>
      <c r="F27" s="29" t="n"/>
      <c r="G27" s="51" t="n"/>
      <c r="H27" s="52">
        <f>IF(A27="",0,IF(COUNTIFS('Yanıtlar'!$N$8:$N$307,A27)&gt;0,1,0))</f>
        <v/>
      </c>
    </row>
    <row r="28" ht="54" customHeight="1">
      <c r="A28" s="29" t="n"/>
      <c r="B28" s="29" t="n"/>
      <c r="C28" s="29" t="n"/>
      <c r="D28" s="29" t="n"/>
      <c r="E28" s="29" t="n"/>
      <c r="F28" s="29" t="n"/>
      <c r="G28" s="51" t="n"/>
      <c r="H28" s="52">
        <f>IF(A28="",0,IF(COUNTIFS('Yanıtlar'!$N$8:$N$307,A28)&gt;0,1,0))</f>
        <v/>
      </c>
    </row>
    <row r="29" ht="54" customHeight="1">
      <c r="A29" s="29" t="n"/>
      <c r="B29" s="29" t="n"/>
      <c r="C29" s="29" t="n"/>
      <c r="D29" s="29" t="n"/>
      <c r="E29" s="29" t="n"/>
      <c r="F29" s="29" t="n"/>
      <c r="G29" s="51" t="n"/>
      <c r="H29" s="52">
        <f>IF(A29="",0,IF(COUNTIFS('Yanıtlar'!$N$8:$N$307,A29)&gt;0,1,0))</f>
        <v/>
      </c>
    </row>
    <row r="30" ht="54" customHeight="1">
      <c r="A30" s="29" t="n"/>
      <c r="B30" s="29" t="n"/>
      <c r="C30" s="29" t="n"/>
      <c r="D30" s="29" t="n"/>
      <c r="E30" s="29" t="n"/>
      <c r="F30" s="29" t="n"/>
      <c r="G30" s="51" t="n"/>
      <c r="H30" s="52">
        <f>IF(A30="",0,IF(COUNTIFS('Yanıtlar'!$N$8:$N$307,A30)&gt;0,1,0))</f>
        <v/>
      </c>
    </row>
    <row r="31" ht="54" customHeight="1">
      <c r="A31" s="29" t="n"/>
      <c r="B31" s="29" t="n"/>
      <c r="C31" s="29" t="n"/>
      <c r="D31" s="29" t="n"/>
      <c r="E31" s="29" t="n"/>
      <c r="F31" s="29" t="n"/>
      <c r="G31" s="51" t="n"/>
      <c r="H31" s="52">
        <f>IF(A31="",0,IF(COUNTIFS('Yanıtlar'!$N$8:$N$307,A31)&gt;0,1,0))</f>
        <v/>
      </c>
    </row>
    <row r="32" ht="54" customHeight="1">
      <c r="A32" s="29" t="n"/>
      <c r="B32" s="29" t="n"/>
      <c r="C32" s="29" t="n"/>
      <c r="D32" s="29" t="n"/>
      <c r="E32" s="29" t="n"/>
      <c r="F32" s="29" t="n"/>
      <c r="G32" s="51" t="n"/>
      <c r="H32" s="52">
        <f>IF(A32="",0,IF(COUNTIFS('Yanıtlar'!$N$8:$N$307,A32)&gt;0,1,0))</f>
        <v/>
      </c>
    </row>
    <row r="33" ht="54" customHeight="1">
      <c r="A33" s="29" t="n"/>
      <c r="B33" s="29" t="n"/>
      <c r="C33" s="29" t="n"/>
      <c r="D33" s="29" t="n"/>
      <c r="E33" s="29" t="n"/>
      <c r="F33" s="29" t="n"/>
      <c r="G33" s="51" t="n"/>
      <c r="H33" s="52">
        <f>IF(A33="",0,IF(COUNTIFS('Yanıtlar'!$N$8:$N$307,A33)&gt;0,1,0))</f>
        <v/>
      </c>
    </row>
    <row r="34" ht="54" customHeight="1">
      <c r="A34" s="29" t="n"/>
      <c r="B34" s="29" t="n"/>
      <c r="C34" s="29" t="n"/>
      <c r="D34" s="29" t="n"/>
      <c r="E34" s="29" t="n"/>
      <c r="F34" s="29" t="n"/>
      <c r="G34" s="51" t="n"/>
      <c r="H34" s="52">
        <f>IF(A34="",0,IF(COUNTIFS('Yanıtlar'!$N$8:$N$307,A34)&gt;0,1,0))</f>
        <v/>
      </c>
    </row>
    <row r="35" ht="54" customHeight="1">
      <c r="A35" s="29" t="n"/>
      <c r="B35" s="29" t="n"/>
      <c r="C35" s="29" t="n"/>
      <c r="D35" s="29" t="n"/>
      <c r="E35" s="29" t="n"/>
      <c r="F35" s="29" t="n"/>
      <c r="G35" s="51" t="n"/>
      <c r="H35" s="52">
        <f>IF(A35="",0,IF(COUNTIFS('Yanıtlar'!$N$8:$N$307,A35)&gt;0,1,0))</f>
        <v/>
      </c>
    </row>
    <row r="36" ht="54" customHeight="1">
      <c r="A36" s="29" t="n"/>
      <c r="B36" s="29" t="n"/>
      <c r="C36" s="29" t="n"/>
      <c r="D36" s="29" t="n"/>
      <c r="E36" s="29" t="n"/>
      <c r="F36" s="29" t="n"/>
      <c r="G36" s="51" t="n"/>
      <c r="H36" s="52">
        <f>IF(A36="",0,IF(COUNTIFS('Yanıtlar'!$N$8:$N$307,A36)&gt;0,1,0))</f>
        <v/>
      </c>
    </row>
    <row r="37" ht="54" customHeight="1">
      <c r="A37" s="29" t="n"/>
      <c r="B37" s="29" t="n"/>
      <c r="C37" s="29" t="n"/>
      <c r="D37" s="29" t="n"/>
      <c r="E37" s="29" t="n"/>
      <c r="F37" s="29" t="n"/>
      <c r="G37" s="51" t="n"/>
      <c r="H37" s="52">
        <f>IF(A37="",0,IF(COUNTIFS('Yanıtlar'!$N$8:$N$307,A37)&gt;0,1,0))</f>
        <v/>
      </c>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F8:F37">
    <cfRule type="expression" priority="6" dxfId="1">
      <formula>AND($A8&lt;&gt;"",ISBLANK(F8))</formula>
    </cfRule>
  </conditionalFormatting>
  <conditionalFormatting sqref="G8:G3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T3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32" customWidth="1" min="14" max="14"/>
    <col width="58" customWidth="1" min="15" max="15"/>
    <col width="58" customWidth="1" min="16" max="16"/>
    <col width="28" customWidth="1" min="17" max="17"/>
    <col width="28" customWidth="1" min="18" max="18"/>
    <col width="58" customWidth="1" min="19" max="19"/>
    <col width="48"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Pratik yaşam yanıtları</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 · alt satır</t>
        </is>
      </c>
      <c r="P5" s="22" t="inlineStr">
        <is>
          <t>İsteğe bağlı · alt satır</t>
        </is>
      </c>
      <c r="Q5" s="22" t="inlineStr">
        <is>
          <t>İsteğe bağlı</t>
        </is>
      </c>
      <c r="R5" s="22" t="inlineStr">
        <is>
          <t>İsteğe bağlı</t>
        </is>
      </c>
      <c r="S5" s="22" t="inlineStr">
        <is>
          <t>İsteğe bağlı</t>
        </is>
      </c>
      <c r="T5" s="22" t="inlineStr">
        <is>
          <t>İsteğe bağlı · JSON</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Konu kimliği</t>
        </is>
      </c>
      <c r="O6" s="25" t="inlineStr">
        <is>
          <t>İşlem adımları</t>
        </is>
      </c>
      <c r="P6" s="25" t="inlineStr">
        <is>
          <t>Gereken belgeler</t>
        </is>
      </c>
      <c r="Q6" s="25" t="inlineStr">
        <is>
          <t>Süre / son tarih</t>
        </is>
      </c>
      <c r="R6" s="25" t="inlineStr">
        <is>
          <t>Ücret / maliyet</t>
        </is>
      </c>
      <c r="S6" s="25" t="inlineStr">
        <is>
          <t>İstisna ve dikkat notu</t>
        </is>
      </c>
      <c r="T6" s="25" t="inlineStr">
        <is>
          <t>Görsel açıklama yapısı (JSON)</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topic_id</t>
        </is>
      </c>
      <c r="O7" s="28" t="inlineStr">
        <is>
          <t>steps</t>
        </is>
      </c>
      <c r="P7" s="28" t="inlineStr">
        <is>
          <t>documents</t>
        </is>
      </c>
      <c r="Q7" s="28" t="inlineStr">
        <is>
          <t>timing</t>
        </is>
      </c>
      <c r="R7" s="28" t="inlineStr">
        <is>
          <t>cost</t>
        </is>
      </c>
      <c r="S7" s="28" t="inlineStr">
        <is>
          <t>note</t>
        </is>
      </c>
      <c r="T7" s="28" t="inlineStr">
        <is>
          <t>visual_json</t>
        </is>
      </c>
    </row>
    <row r="8" ht="54" customHeight="1">
      <c r="A8" s="29" t="inlineStr">
        <is>
          <t>marbella:egitim-sistemi-zorunlu-egitim-ve-okul-turleri</t>
        </is>
      </c>
      <c r="B8" s="29" t="inlineStr">
        <is>
          <t>marbella</t>
        </is>
      </c>
      <c r="C8" s="29" t="inlineStr">
        <is>
          <t>egitim-sistemi-zorunlu-egitim-ve-okul-turleri</t>
        </is>
      </c>
      <c r="D8" s="29" t="inlineStr">
        <is>
          <t>İspanya'da zorunlu eğitim hangi yaşları kapsar, okul türleri nelerdir ve okula kayıt nasıl işler?</t>
        </is>
      </c>
      <c r="E8" s="29" t="inlineStr">
        <is>
          <t>Temel eğitim 6–16 yaş arasıdır, kanunda zorunlu ve ücretsizdir; okullar kamu ve özel (bir kısmı sözleşmeli, concertado); kayıt takvimi bölgene göre değişir</t>
        </is>
      </c>
      <c r="F8" s="29" t="inlineStr">
        <is>
          <t>Zorunlu temel eğitim (enseñanza básica) 6 ile 16 yaş arasında, toplam on yıllık okullaşmadır; LOE md. 4 onu herkes için zorunlu ve ücretsiz bir eğitim olarak tanımlar. Temel eğitimi ilkokul (educación primaria), zorunlu ortaöğretim (ESO) ve temel düzey meslek eğitimi döngüleri oluşturur; ESO dört sınıftır ve genellikle 12–16 yaşları arasında okunur. 0–6 yaş okul öncesi eğitim (educación infantil) isteğe bağlıdır. Okullar kamu okulları (sahibi bir kamu idaresi olanlar) ve özel okullar olarak ayrılır; devletle sözleşme rejimine alınan özel okullara centro concertado denir; kamu eğitim hizmeti kamu ve concertado okullar aracılığıyla verilir. Kamu ve concertado okullara kabulü eğitim idareleri düzenler; başvuru takvimi ve puanlama bölgene göre değişir.</t>
        </is>
      </c>
      <c r="G8" s="29" t="inlineStr">
        <is>
          <t>zorunlu eğitim, eğitim sistemi, okul türleri, escolarización, admisión, centro concertado, ESO, educación infantil</t>
        </is>
      </c>
      <c r="H8" s="29" t="inlineStr">
        <is>
          <t>planning;new</t>
        </is>
      </c>
      <c r="I8" s="29" t="inlineStr">
        <is>
          <t>marbella:kaynak:107</t>
        </is>
      </c>
      <c r="J8" s="49" t="n">
        <v>46319</v>
      </c>
      <c r="K8" s="51" t="n">
        <v>9081</v>
      </c>
      <c r="L8" s="29" t="inlineStr">
        <is>
          <t>Hayır</t>
        </is>
      </c>
      <c r="M8" s="29" t="inlineStr">
        <is>
          <t>Taslak</t>
        </is>
      </c>
      <c r="N8" s="29" t="inlineStr">
        <is>
          <t>marbella:aile</t>
        </is>
      </c>
      <c r="O8" s="29" t="inlineStr">
        <is>
          <t>Çocuğunun yaşına göre etabı belirle: 0–6 yaş okul öncesi eğitim isteğe bağlıdır, 6–16 yaş temel eğitim kanunda zorunlu ve ücretsiz olarak tanımlanır.
Okul türünü seç: kamu okulu, özel okul ya da concertado okul; ebeveyn olarak kamu okulunu da, kamu idarelerinin kurmadığı bir okulu da seçme hakkın var.
Kamu ya da concertado okul istiyorsan başvuruyu bölgenin eğitim idaresinin düzenlediği kabul (admisión) süreci üzerinden yap; takvim ve puanlama bölgene göre değişir.
Yer yetersizse sıralamayı öncelikli ölçütler belirler: okulda kayıtlı kardeşin, evinin ya da ebeveynlerinden birinin iş yerinin okula yakınlığı ve ailenin kişi başı geliri.
Kamu okullarında yer yetersizse, okulun kendisine bağlı (adscrito) okullardan gelen öğrenciler öncelik alır; concertado okullarda benzer bir usul uygulanır.</t>
        </is>
      </c>
      <c r="P8" s="29" t="n"/>
      <c r="Q8" s="29" t="n"/>
      <c r="R8" s="29" t="inlineStr">
        <is>
          <t>Kanun, temel eğitimi (6–16 yaş) herkes için zorunlu ve ücretsiz olarak tanımlar (LOE md. 4).</t>
        </is>
      </c>
      <c r="S8" s="29" t="inlineStr">
        <is>
          <t>Kabulde doğum, ırk veya etnik köken, cinsiyet, din, görüş, engellilik, yaş gibi nedenlerle ayrımcılık yapılamaz. Ebeveynlerinden birinin zorunlu görev değişikliği, ailede sonradan gelişen engellilik ya da toplumsal cinsiyete dayalı şiddet nedeniyle ikamet değişikliği yüzünden taşındıysan, oturduğun ya da çalıştığın bölgeye göre kabulde tercih hakkın vardır. Zorunlu eğitimden sonraki lise düzeyi (educación secundaria postobligatoria) bachillerato ve orta düzey meslek eğitimi (FP grado medio) gibi öğrenimleri kapsar.</t>
        </is>
      </c>
      <c r="T8" s="29" t="n"/>
    </row>
    <row r="9" ht="54" customHeight="1">
      <c r="A9" s="29" t="inlineStr">
        <is>
          <t>marbella:yabanci-lise-diplomasi-ile-universiteye-giris</t>
        </is>
      </c>
      <c r="B9" s="29" t="inlineStr">
        <is>
          <t>marbella</t>
        </is>
      </c>
      <c r="C9" s="29" t="inlineStr">
        <is>
          <t>yabanci-lise-diplomasi-ile-universiteye-giris</t>
        </is>
      </c>
      <c r="D9" s="29" t="inlineStr">
        <is>
          <t>İspanya'da yabancı lise diplomasıyla üniversiteye girmek için ne gerekir, hangi diplomalar giriş sınavından ve denklik (homologación) yaptırmaktan muaftır?</t>
        </is>
      </c>
      <c r="E9" s="29" t="inlineStr">
        <is>
          <t>Diplomanın eğitim sistemine bağlı: RD 534/2024 md. 6 kapsamındakilerde sınav ve homologación gerekmez; diğerleri için homologación, UNEDasiss ve PCE</t>
        </is>
      </c>
      <c r="F9" s="29" t="inlineStr">
        <is>
          <t>Yol diplomanın geldiği eğitim sistemine göre değişir. AB üye devletlerinin ve karşılıklılık esasıyla uluslararası anlaşma yapılmış devletlerin sistemlerinden gelenler (kendi sistemlerinde üniversiteye giriş şartlarını karşılamaları koşuluyla), Avrupa Okulları'nın Avrupa Bakalorya diploması sahipleri ve Uluslararası Bakalorya (IB) diploması sahipleri giriş sınavı (prueba de acceso) olmadan üniversiteye girebilir ve diplomalarının homologación (resmî denklik) işlemini yaptırmak zorunda değildir (RD 534/2024 md. 6); UNEDasiss bu gruptakiler için de, yabancı notları İspanyol ölçeğine çeviren Acreditación UNEDasiss ve Calificación de Acceso'yu şart koşar. UNEDasiss bu yolu 'AB, Avrupa Yükseköğretim Alanı, IB, Avrupa Okulları, Çin ve Kolombiya' başlığı altında verir; saydığı sistemlerin listesi nottadır. UNEDasiss'in 'AB dışı ülkeler' yolunda, yani diğer uluslararası eğitim sistemlerinden gelenler için UNEDasiss'in aradığı şart şudur: İspanyol bachillerato'suna homologación için gereken şartları karşılıyor olmak; devlet üniversitesi için ayrıca Calificación de Acceso ve PCE sınavları gerekir. Özel üniversitelerde kabul sistemi devlet üniversitelerinden farklıdır.</t>
        </is>
      </c>
      <c r="G9" s="29" t="inlineStr">
        <is>
          <t>yabancı diploma, üniversiteye giriş, UNEDasiss, PCE, homologación, prueba de acceso, RD 534/2024, Calificación de Acceso</t>
        </is>
      </c>
      <c r="H9" s="29" t="inlineStr">
        <is>
          <t>before;planning;new</t>
        </is>
      </c>
      <c r="I9" s="29" t="inlineStr">
        <is>
          <t>marbella:kaynak:108;marbella:kaynak:109</t>
        </is>
      </c>
      <c r="J9" s="49" t="n">
        <v>46319</v>
      </c>
      <c r="K9" s="51" t="n">
        <v>9082</v>
      </c>
      <c r="L9" s="29" t="inlineStr">
        <is>
          <t>Hayır</t>
        </is>
      </c>
      <c r="M9" s="29" t="inlineStr">
        <is>
          <t>Taslak</t>
        </is>
      </c>
      <c r="N9" s="29" t="inlineStr">
        <is>
          <t>marbella:aile</t>
        </is>
      </c>
      <c r="O9" s="29" t="inlineStr">
        <is>
          <t>Diplomanın hangi eğitim sistemine ait olduğuna bak: AB üye devleti, karşılıklılık anlaşmalı devlet, Avrupa Okulları ya da Uluslararası Bakalorya (IB) ise RD 534/2024 md. 6'ya göre sınavsız giriş grubundasın ve homologación yaptırman gerekmez; genel lise diplomanda kendi sisteminde üniversiteye giriş şartlarını karşılamış olman gerekir, meslek diplomaları için ek koşul notta yazılıdır.
Bu gruptaysan UNEDasiss'ten Acreditación UNEDasiss'i ve notlarını İspanyol ölçeğine çeviren Calificación de Acceso'yu al.
Giriş notunu yükseltmek istersen PCE sınavlarına gir (en az 2 ders önerilir) ve/ya da derslerinin tanınmasını (Reconocimiento de asignaturas) iste.
UNEDasiss'in 'Otros países fuera de la UE' yolundaysan, yani diplomanın sistemi yukarıdaki 'AB, EHEA, IB, Avrupa Okulları, Çin ve Kolombiya' grubunda sayılmayan diğer uluslararası bir eğitim sistemindense: İspanyol bachillerato'suna homologación için gereken şartları karşılıyor olmalısın; meslek lisesi mezunuysan Técnico Superior unvanına homologación almış olmalısın.
Devlet üniversitesi için Calificación de Acceso'ya ek olarak PCE sınavlarına gir (en az 4 ders önerilir); hangi derslere gireceğini üniversitenin kabul kriterleri belirler: bachillerato modalitesi (4 PCE dersi), PCE'yi İspanyol öğrencilerin PAU'su gibi yapılandırmak (en az 4 zorunlu ders, 1 ya da 2 isteğe bağlı ders) ya da dil belgesi.</t>
        </is>
      </c>
      <c r="P9" s="29" t="inlineStr">
        <is>
          <t>Acreditación UNEDasiss (Calificación de Acceso ile)
PCE sınavları (ülke dışı diploma için devlet üniversitesinde)</t>
        </is>
      </c>
      <c r="Q9" s="29" t="n"/>
      <c r="R9" s="29" t="n"/>
      <c r="S9" s="29" t="inlineStr">
        <is>
          <t>UNEDasiss'in 'AB, Avrupa Yükseköğretim Alanı, IB, Avrupa Okulları, Çin ve Kolombiya' grubunda saydığı sistemler: Almanya, Andorra, Avusturya, Uluslararası Bakalorya, Belçika, Bulgaristan, Çekya, Çin, Kıbrıs, Kolombiya, Hırvatistan, Danimarka, Avrupa Okulları, Slovakya, Slovenya, Estonya, Finlandiya, Fransa, Yunanistan, Macaristan, İrlanda, İzlanda, İtalya, Letonya, Lihtenştayn, Litvanya, Lüksemburg, Malta, Norveç, Hollanda, Polonya, Portekiz, Birleşik Krallık, Romanya, İsveç ve İsviçre. Giriş sınavını geçmesi gereken yabancı sistem öğrencileri RD 534/2024'te ayrı bir grup olarak sayılır ve kabulleri LOE'nin ilgili ek maddesini geliştiren yönetmeliğe göre yapılır. UNEDasiss'in 'AB, Avrupa Yükseköğretim Alanı, IB, Avrupa Okulları, Çin ve Kolombiya' grubunda meslek diplomaları için diplomanın Orden EFD/550/2025'te yer alması ya da Eğitim, Meslek Eğitimi ve Spor Bakanlığı'nın olumlu raporunu alması gerekir.</t>
        </is>
      </c>
      <c r="T9" s="29" t="n"/>
    </row>
    <row r="10" ht="54" customHeight="1">
      <c r="A10" s="29" t="inlineStr">
        <is>
          <t>marbella:ingreso-minimo-vital-ve-cocuk-destegi</t>
        </is>
      </c>
      <c r="B10" s="29" t="inlineStr">
        <is>
          <t>marbella</t>
        </is>
      </c>
      <c r="C10" s="29" t="inlineStr">
        <is>
          <t>ingreso-minimo-vital-ve-cocuk-destegi</t>
        </is>
      </c>
      <c r="D10" s="29" t="inlineStr">
        <is>
          <t>İspanya'da Ingreso Mínimo Vital ve çocuk yardımı eki (complemento de ayuda para la infancia) kimlere verilir, yabancı için ikamet şartı nedir?</t>
        </is>
      </c>
      <c r="E10" s="29" t="inlineStr">
        <is>
          <t>Başvurudan önceki en az 1 yıl yasal ve fiilî ikamet aranır; AB dışı yabancıda oturum izniyle kanıtlanır; 2026 çocuk eki aylık 115, 80,50 ya da 57,50 €</t>
        </is>
      </c>
      <c r="F10" s="29" t="inlineStr">
        <is>
          <t>Ingreso Mínimo Vital (IMV, asgari yaşamsal gelir), ekonomik açıdan kırılgan durumdaki kişilere ve birlikte yaşayan birimlere (unidad de convivencia) verilir; yararlanıcılar (bireysel başvuranlar ve birim üyeleri) için başvurudan önceki en az bir yıl boyunca İspanya'da yasal ve fiilî, kesintisiz ikamet şarttır. Gelirin yanında varlık da aranır: oturduğun ev (vivienda habitual) hariç net varlığı bireysel yararlanıcıda 2026'da 26.409,60 € ve üzerinde olanlar ekonomik kırılgan sayılmaz (ayrıntı notta). AB, AEA ya da İsviçre vatandaşı olmayan yabancıda yasal ikamet, oturum izniyle (autorización de residencia, her türü) ya da AB vatandaşı aile üyesi kartıyla kanıtlanır; Türk vatandaşı bu ikinci gruba girer, yani oturum izninle ya da AB vatandaşının aile üyesiysen aile üyesi kartınla kanıtlarsın. Bir yıl şartı doğum, evlat edinme, çocukların aile birleşimi (reagrupación familiar), evlat edinme amaçlı koruma ya da kalıcı aile yanında bakımla birime katılan reşit olmayanlar için, ayrıca insan ticareti ve cinsel sömürü mağdurları ile toplumsal cinsiyete dayalı şiddet mağduru kadınlar için aranmaz. Reşit olmayan çocuğu olan birimler için çocuk eki (complemento de ayuda para la infancia) de vardır; 2026 için tutarı çocuğun 1 Ocak'ta tamamlanmış yaşına göre aylık 115 €, 80,50 € ya da 57,50 €'dur.</t>
        </is>
      </c>
      <c r="G10" s="29" t="inlineStr">
        <is>
          <t>ingreso mínimo vital, IMV, complemento de ayuda para la infancia, çocuk yardımı, Seguridad Social, ikamet şartı, aile yardımı</t>
        </is>
      </c>
      <c r="H10" s="29" t="inlineStr">
        <is>
          <t>new;settled</t>
        </is>
      </c>
      <c r="I10" s="29" t="inlineStr">
        <is>
          <t>marbella:kaynak:110;marbella:kaynak:111</t>
        </is>
      </c>
      <c r="J10" s="49" t="n">
        <v>46319</v>
      </c>
      <c r="K10" s="51" t="n">
        <v>9083</v>
      </c>
      <c r="L10" s="29" t="inlineStr">
        <is>
          <t>Hayır</t>
        </is>
      </c>
      <c r="M10" s="29" t="inlineStr">
        <is>
          <t>Taslak</t>
        </is>
      </c>
      <c r="N10" s="29" t="inlineStr">
        <is>
          <t>marbella:aile</t>
        </is>
      </c>
      <c r="O10" s="29" t="inlineStr">
        <is>
          <t>Birimin (unidad de convivencia) başvurudan önceki en az altı ay kesintisiz oluşmuş olmalı; başvuru sahibi (titular) genel olarak en az 23 yaşında ve hukuki ehliyetli olmalı.
Yasal ve fiilî ikametini en az bir yıllık kesintisiz süre için oturum izninle (her türü) ya da AB vatandaşı aile üyesi kartınla, İspanya'daki adresini ise empadronamiento (belediye nüfus kaydı) belgesiyle kanıtla.
Kimlik olarak ülkenin kimlik belgesi, yabancı kimlik kartı (TIE) ya da pasaportunu ver; NIE belgelerde yoksa ayrıca ver.
Çocukların için libro de familia ya da Registro Civil'in verdiği doğum belgesini ekle.
Başvuruyu Seguridad Social'ın elektronik şubesindeki Servicio Ingreso Mínimo Vital üzerinden yap; IMV'yi ve çocuk ekini buradan talep edersin. Bilgi hattı 020'dir.
Aynı çocuk için, engeli olmayan ya da engel oranı %33'ün altında olan çocuk başına aile yardımı (asignación económica por hijo o menor a cargo) alıyorsan IMV ile birlikte alamazsın. IMV tutarı aile yardımından yüksekse IMV tanınır ve aile yardımı hakkı sona erer; IMV daha düşükse ve aile yardımını seçersen IMV başvurusu reddedilir.</t>
        </is>
      </c>
      <c r="P10" s="29" t="inlineStr">
        <is>
          <t>Kimlik belgesi: ülkenin kimlik belgesi, yabancı kimlik kartı (TIE) ya da pasaport (ve NIE)
Oturum izni (yasal ikamet için)
Empadronamiento belgesi (belediye nüfus kaydı)
Libro de familia ya da Registro Civil doğum belgesi (çocuklar için)</t>
        </is>
      </c>
      <c r="Q10" s="29" t="n"/>
      <c r="R10" s="29" t="inlineStr">
        <is>
          <t>2026 için çocuk eki, reşit olmayan her çocuk için aylık: 3 yaşından küçük 115 €; 3 yaşından büyük, 6 yaşından küçük 80,50 €; 6 yaşından büyük, 18 yaşından küçük 57,50 € (yaş, ilgili yılın 1 Ocak'ında tamamlanmış yaşa göre).</t>
        </is>
      </c>
      <c r="S10" s="29" t="inlineStr">
        <is>
          <t>2026'da bireysel yararlanıcı için aylık garantili gelir 733,6 €'dur; bir yetişkin ve bir çocuktan ya da iki yetişkinden oluşan birim için 953,68 €'dur. IMV tutarı, garantili gelirle kişinin ya da birimin gelirleri arasındaki farktır ve bu fark aylık 10 € ya da daha fazla olmalıdır. Çocuk eki, önceki yılın hesaba katılan geliri IMV'nin garantili tutarının %300'ünün altında ve net varlığı ilgili sınırların %150'sinin altında olan birimlere tanınır. Varlık sınırı: oturduğun ev (vivienda habitual) hariç net varlığı bireysel yararlanıcıda 2026'da 26.409,60 € ve üzerinde olanlar ekonomik kırılgan sayılmaz; birimlerde sınır, birimin büyüklüğüne ve yapısına göre yükselir (bir yetişkin ve bir çocuk için 36.973,44 €). Bunun yanında, oturduğun ev (vivienda habitual) hariç şirket dışı varlıkların değeri tek yetişkinli birimde 52.819,20 €'yu (bir yetişkin ve bir çocukta 73.946,88 €'yu) aşıyorsa net varlık değerlendirmesinden bağımsız olarak IMV'ye erişilemez. Birim üyelerinden biri faaliyeti sona ermemiş bir ticari şirketin yöneticisiyse (administrador de derecho) de ekonomik kırılgan sayılmazsın. Sayfa 2026 için geçerlidir.</t>
        </is>
      </c>
      <c r="T10" s="29" t="n"/>
    </row>
    <row r="11" ht="54" customHeight="1">
      <c r="A11" s="29" t="inlineStr">
        <is>
          <t>marbella:mec-burslari-ab-disi-sart-ve-basvuru-donemi</t>
        </is>
      </c>
      <c r="B11" s="29" t="inlineStr">
        <is>
          <t>marbella</t>
        </is>
      </c>
      <c r="C11" s="29" t="inlineStr">
        <is>
          <t>mec-burslari-ab-disi-sart-ve-basvuru-donemi</t>
        </is>
      </c>
      <c r="D11" s="29" t="inlineStr">
        <is>
          <t>İspanya'da Eğitim Bakanlığı (MEC) üniversite bursuna AB dışı vatandaş olarak başvurabilir miyim, hangi tutarlar verilir?</t>
        </is>
      </c>
      <c r="E11" s="29" t="inlineStr">
        <is>
          <t>AB dışı için üniversite bursu şartı: 18 yaşından küçük olmak ya da 31 Aralık 2025'te oturum izni almış olmak; tutarlar gelir eşiğine göre değişir (2026-2027)</t>
        </is>
      </c>
      <c r="F11" s="29" t="inlineStr">
        <is>
          <t>Koşullu evet: Bakanlığın üniversite (grado ve máster) bursunda genel şart İspanyol ya da AB üyesi devlet vatandaşı olmaktır; AB vatandaşı değilsen yabancıların hak ve özgürlüklerine ilişkin mevzuat uygulanır ve 18 yaşından küçüksen ya da 31 Aralık 2025 itibarıyla oturum izni (permiso de residencia) almışsan bursa hak kazanabilirsin; yalnız estancia izni (autorización de estancia) yetmez. 2026-2027 çağrısında üniversite bursunun tutarı aile gelirinin hangi eşikte olduğuna göre değişir; eşik değerleri aile biriminin üye sayısına göre belirlenir (örneğin 1 kişilik aile için yıllık 8.843 / 13.898 / 14.818 €, 4 kişilik aile için 22.107 / 38.242 / 40.773 €). Eşik 1'de ve altında: üniversiteye telafi edilen kayıt bursu, en az 1.700 € (gelire göre), öğrenim sırasında ikamet değiştirmen gerekiyorsa 2.700 €, 8 ve üzeri not için 50–125 € ve gelire ile nota göre hesaplanan değişken tutar. Eşik 2'de 1.700 € yoktur: kayıt bursu, değişken tutar, ikamet değişikliği için 2.700 € ve 8 ve üzeri not için 50–125 € verilir. Eşik 3'te kayıt bursu ve 8 ve üzeri not için en çok 125 € verilir; burs hakkı şu durumlarda yoktur: aile geliri eşik 3'ün üstündeyse; sermaye gelirleri ile değer artışı kazançları toplamı 2025'te 1.900 €'yu aşıyorsa; oturduğun ev dışındaki mülklerin katastro değeri çağrıdaki sınırları aşıyorsa; ticari faaliyet ve ortaklık gelirleri 2025'te 172.000 €'yu aşıyorsa. FP, bachillerato ve diğer üniversite dışı öğrenimlerin bursu için başvuru, Bakanlığın elektronik şubesi (sede electrónica) üzerinden yapılır ve süresi 19 Mayıs'ta sona ermiştir.</t>
        </is>
      </c>
      <c r="G11" s="29" t="inlineStr">
        <is>
          <t>MEC bursu, beca, becas y ayudas, AB dışı, oturum izni, sede electrónica, Ministerio de Educación, beca de matrícula</t>
        </is>
      </c>
      <c r="H11" s="29" t="inlineStr">
        <is>
          <t>planning;new;settled</t>
        </is>
      </c>
      <c r="I11" s="29" t="inlineStr">
        <is>
          <t>marbella:kaynak:112;marbella:kaynak:113</t>
        </is>
      </c>
      <c r="J11" s="49" t="n">
        <v>46319</v>
      </c>
      <c r="K11" s="51" t="n">
        <v>9084</v>
      </c>
      <c r="L11" s="29" t="inlineStr">
        <is>
          <t>Hayır</t>
        </is>
      </c>
      <c r="M11" s="29" t="inlineStr">
        <is>
          <t>Taslak</t>
        </is>
      </c>
      <c r="N11" s="29" t="inlineStr">
        <is>
          <t>marbella:aile</t>
        </is>
      </c>
      <c r="O11" s="29" t="inlineStr">
        <is>
          <t>Önce uyruğuna bak: İspanyol ya da AB üyesi devlet vatandaşıysan genel şartı karşılarsın; AB vatandaşı değilsen 18 yaşından küçük olmalı ya da 31 Aralık 2025 itibarıyla oturum izni (permiso de residencia) almış olmalısın.
Üniversite bursunda diğer genel şartı da gör: aynı seviyede ya da daha yüksek bir diploman olmamalı.
Akademik şartları gör: ilk yıl grado için 60 kredi kaydı ve üniversiteye girişi sağlayan sınavda ya da öğrenimde en az 5 puan; sonraki yıllarda önceki yıl kredilerinin alana göre belirli yüzdesini başarmış olmak gerekir (ayrıntı notta).
FP, bachillerato ve diğer üniversite dışı bursların başvurusu Bakanlığın elektronik şubesinden (sede electrónica) yapılır: Cl@ve ya da elektronik sertifikanla ya da şubeye kayıtlı kullanıcı adı ve şifrenle giriş yap, çevrimiçi formu doldur.
FP, bachillerato ve diğer üniversite dışı öğrenimlerde başvuru süresi 19 Mayıs'ta sona erdi; form doldurulurken belge istenmez, gerekli verileri bursları yürüten birimler kendileri sorgular.</t>
        </is>
      </c>
      <c r="P11" s="29" t="n"/>
      <c r="Q11" s="29" t="n"/>
      <c r="R11" s="29" t="inlineStr">
        <is>
          <t>2026-2027 çağrısında üniversite bursu bileşenleri (kayıt bursu üniversiteye telafi edilir, hesabına yatmaz). Eşik 1'de ve altında: en az 1.700 €; öğrenim sırasında ikamet değiştirmen gerekiyorsa 2.700 €; 8 ve üzeri not için 50 € – 125 €; ayrıca gelire ve nota göre hesaplanan değişken tutar. Eşik 2: kayıt bursu, değişken tutar, ikamet değişikliği için 2.700 €, 8 ve üzeri not için 50 € – 125 €. Eşik 3: kayıt bursu ve 8 ve üzeri not için en çok 125 €.</t>
        </is>
      </c>
      <c r="S11" s="29" t="inlineStr">
        <is>
          <t>Ekonomik şart olarak 2025 yılı aile birimi geliri esas alınır. AB vatandaşıysan ve sen ya da ailen İspanya'da sürekli ikamet etmiyor veya çalıştığını göstermiyorsa yalnız kayıt bedelini alabilirsin. Alana göre sonraki yıl şartı: mühendislik, mimarlık ve fen bilimlerinde önceki yıl kredilerinin en az %65'ini, sağlık bilimlerinde en az %80'ini, sosyal ve hukuk bilimleri, sanat ve beşeri bilimlerde en az %90'ını başarmış olmak gerekir. Tutarlar Real Decreto 179/2026 ile belirlenen 2026-2027 dönemine aittir.</t>
        </is>
      </c>
      <c r="T11" s="29" t="n"/>
    </row>
    <row r="12" ht="54" customHeight="1">
      <c r="A12" s="29" t="inlineStr">
        <is>
          <t>marbella:endulus-okul-kaydi-basvuru-donemi-ve-gec-gelen-ogrenci</t>
        </is>
      </c>
      <c r="B12" s="29" t="inlineStr">
        <is>
          <t>marbella</t>
        </is>
      </c>
      <c r="C12" s="29" t="inlineStr">
        <is>
          <t>endulus-okul-kaydi-basvuru-donemi-ve-gec-gelen-ogrenci</t>
        </is>
      </c>
      <c r="D12" s="29" t="inlineStr">
        <is>
          <t>Endülüs'te okul kaydı ne zaman ve nasıl yapılır, eğitim yılı ortasında gelen çocuk nasıl kaydolur?</t>
        </is>
      </c>
      <c r="E12" s="29" t="inlineStr">
        <is>
          <t>Genel kural Mart ayı başvurusu ve Secretaría Virtual; yıl ortasında gelen öğrenci için olağanüstü usul (Decreto 21/2020 md. 51)</t>
        </is>
      </c>
      <c r="F12" s="29" t="inlineStr">
        <is>
          <t>Genel kural: Endülüs'te kamu ve devlet destekli özel (concertado) okullara başvuru Mart ayında yapılır; 2026/27 için dönem 1-31 Mart (ikisi dahil) olarak açıklanmıştır. Kesin tarihler yıldan yıla değişebilir, başvurmadan önce Junta'nın eğitim portalından güncel dönemi doğrula. Mart başvurusu 2. kademe Educación Infantil (3-5 yaş), Educación Primaria, ESO ve Bachillerato içindir. O yıl kamu ya da concertado bir okulda kayıtlı olup aynı okulda devam edecek öğrenci Mart'ta başvuru vermez. Bir etabın son sınıfında okuyup sonraki etabın ilk sınıfına bağlı (adscrito) olduğu okulda devam edecek öğrenci de Mart'ta başvuru vermez; çoklu bağlantı (adscripción múltiple) durumu bunun dışındadır. Başvuru okula kâğıtla (Anexo III) ya da elektronik olarak Secretaría Virtual üzerinden verilir; her öğrenci için tek başvuru yapılır ve süre dışı başvuru öncelik kaybettirir. Genel usul bittikten sonra gelen öğrenci (incorporación tardía) için olağanüstü usul vardır: başvuru, çocuğun kabul edilmek istendiği okula ya da eğitim idaresinin il organına yapılır; boş yer varsa okul müdürü kabul eder ve kaydı Séneca sistemiyle yapar, boş yer yoksa başvuru il organına gönderilir. İl organı yer gösterirse matrikül, bildirimden sonraki günden başlayarak iki iş günü içinde yapılmalıdır. Genelleştirilmesi zor (difícil generalización) özel kaynaklar gerektiren çocukta, okulda boş yer olsa bile başvuru yalnız okulun bu kaynakları varsa kabul edilir; yoksa başvuru il organına gönderilir ve il organı bu kaynaklara sahip bir okulda yer verir.</t>
        </is>
      </c>
      <c r="G12" s="29" t="inlineStr">
        <is>
          <t>okul kaydı, escolarización, admisión, Secretaría Virtual, incorporación tardía, procedimiento extraordinario, Decreto 21/2020, plaza escolar</t>
        </is>
      </c>
      <c r="H12" s="29" t="inlineStr">
        <is>
          <t>planning;new;settled</t>
        </is>
      </c>
      <c r="I12" s="29" t="inlineStr">
        <is>
          <t>marbella:kaynak:140;marbella:kaynak:141</t>
        </is>
      </c>
      <c r="J12" s="49" t="n">
        <v>46319</v>
      </c>
      <c r="K12" s="51" t="n">
        <v>9101</v>
      </c>
      <c r="L12" s="29" t="inlineStr">
        <is>
          <t>Hayır</t>
        </is>
      </c>
      <c r="M12" s="29" t="inlineStr">
        <is>
          <t>Taslak</t>
        </is>
      </c>
      <c r="N12" s="29" t="inlineStr">
        <is>
          <t>marbella:aile</t>
        </is>
      </c>
      <c r="O12" s="29" t="inlineStr">
        <is>
          <t>Mart ayındaki genel başvuru döneminde tek bir başvuru formu doldur ve çocuğun öncelikle istediğin okulda (prioritario) başvurusunu ver; kâğıt için Anexo III'ü doldur, elektronik için Secretaría Virtual'ı kullan. Çocuk zaten kayıtlı olduğu okulda devam edecekse ya da bağlı (adscrito) okulda sonraki etabın ilk sınıfına geçecekse (çoklu bağlantı hariç) bu başvuru gerekmez.
Başvuruda en çok dört yedek (subsidiario) okul yazabilirsin; okulun kayıtlı başvuru kopyasını sakla.
Genel usul bittikten sonra geldiysen (taşınma, evlat edinme gibi acil okullaşma ihtiyacında) başvuruyu çocuğun gireceği okula ya da il eğitim organına ver.
Okulda boş yer varsa müdür başvuruyu kabul eder ve kaydı Séneca sisteminde yapar; yer yoksa başvuru il organına gider. Çocuk genelleştirilmesi zor özel kaynaklar gerektiriyorsa başvuru yalnız okulun bu kaynakları varsa kabul edilir; yoksa il organı bu kaynaklara sahip bir okulda yer verir.
İl organı sana yer gösterirse bildirimi izleyen günden başlayarak iki iş günü içinde atanan okulda matrikül yaptır.</t>
        </is>
      </c>
      <c r="P12" s="29" t="inlineStr">
        <is>
          <t>Başvuru formu: kâğıt için Anexo III, elektronik için Secretaría Virtual</t>
        </is>
      </c>
      <c r="Q12" s="29" t="inlineStr">
        <is>
          <t>Genel başvuru: Mart ayı (2026/27 için 1-31 Mart, ikisi dahil; kesin tarihler yıldan yıla değişebilir). Yıl ortası olağanüstü usul: genel usul bittikten sonra; il organı yer gösterirse matrikül için iki iş günü.</t>
        </is>
      </c>
      <c r="R12" s="29" t="n"/>
      <c r="S12" s="29" t="inlineStr">
        <is>
          <t>Mart başvurusu genel kuraldır; her yılın kesin tarihleri değişebileceğinden güncel dönemi başvurmadan önce Junta'nın eğitim portalından doğrula. Yıl ortasındaki başvuru için belirli bir tarih yoktur; usul genel usul bittikten sonra başlar. Genelleştirilmesi zor özel kaynaklar gerektiren çocuk için başvuru yalnız okulun bu kaynakları varsa kabul edilir; yoksa başvuru il organına gönderilir ve il organı bu kaynaklara sahip bir okulda yer verir.</t>
        </is>
      </c>
      <c r="T12" s="29" t="n"/>
    </row>
    <row r="13" ht="54" customHeight="1">
      <c r="A13" s="29" t="inlineStr">
        <is>
          <t>marbella:okul-basvurusu-icin-bilgi-hatti-ve-malaga-egitim-delegasyonu</t>
        </is>
      </c>
      <c r="B13" s="29" t="inlineStr">
        <is>
          <t>marbella</t>
        </is>
      </c>
      <c r="C13" s="29" t="inlineStr">
        <is>
          <t>okul-basvurusu-icin-bilgi-hatti-ve-malaga-egitim-delegasyonu</t>
        </is>
      </c>
      <c r="D13" s="29" t="inlineStr">
        <is>
          <t>Marbella'da okul başvurusu için kime danışırım, ücretsiz bilgi hattı ve Málaga eğitim ofisi nerede?</t>
        </is>
      </c>
      <c r="E13" s="29" t="inlineStr">
        <is>
          <t>Ücretsiz hat 900 848 000 (8.00–19.00), iEscolariza uygulaması, Secretaría Virtual ve Málaga'daki Delegación Territorial de Educación adresi</t>
        </is>
      </c>
      <c r="F13" s="29" t="inlineStr">
        <is>
          <t>Marbella'da okul başvurusu Endülüs Eğitim Bakanlığı'nın (Consejería de Educación) süreci olduğu için danışacağın yer önce onun kanallarıdır. Tüm süreç için ücretsiz bir bilgi hattı vardır: 900 848 000, kesintisiz 8.00–19.00. Okulları ve konut adresine göre puanları gösteren iEscolariza akıllı telefon uygulaması ile başvuru için Secretaría Virtual (elektronik başvuru) kullanılır. Okullar boş yer listesini ve etki alanlarındaki (áreas de influencia) adresleri yayımlar. Yüz yüze işlem için Málaga ilinin eğitim ofisi Delegación Territorial de Educación en Málaga'dır: Avenida de la Aurora 47, Edificio de Servicios Múltiples, 29071 Málaga; telefon 951 038 000. Delegasyonun içinde Servicio de Planificación y Escolarización birimi bulunur.</t>
        </is>
      </c>
      <c r="G13" s="29" t="inlineStr">
        <is>
          <t>okul başvurusu, escolarización, iEscolariza, Secretaría Virtual, Delegación Territorial Málaga, 900 848 000, eğitim</t>
        </is>
      </c>
      <c r="H13" s="29" t="inlineStr">
        <is>
          <t>planning;new</t>
        </is>
      </c>
      <c r="I13" s="29" t="inlineStr">
        <is>
          <t>marbella:kaynak:170;marbella:kaynak:174</t>
        </is>
      </c>
      <c r="J13" s="49" t="n">
        <v>46323</v>
      </c>
      <c r="K13" s="51" t="n">
        <v>900</v>
      </c>
      <c r="L13" s="29" t="inlineStr">
        <is>
          <t>Hayır</t>
        </is>
      </c>
      <c r="M13" s="29" t="inlineStr">
        <is>
          <t>Taslak</t>
        </is>
      </c>
      <c r="N13" s="29" t="inlineStr">
        <is>
          <t>marbella:aile</t>
        </is>
      </c>
      <c r="O13" s="29" t="inlineStr">
        <is>
          <t>Kayıt dönemi gelmeden 900 848 000 numaralı ücretsiz bilgi hattını ara; hat 8.00–19.00 arasında kesintisiz açıktır.
iEscolariza uygulamasını telefonuna indir; okulları ve konut adresine göre puanları bu uygulamadan sorgula.
Başvurunu Secretaría Virtual üzerinden elektronik olarak ver.
Yüz yüze bilgi gerekirse Málaga'daki Delegación Territorial de Educación'a git (Avenida de la Aurora 47, 29071 Málaga) ya da 951 038 000 numaralı santrali ara.</t>
        </is>
      </c>
      <c r="P13" s="29" t="inlineStr">
        <is>
          <t>Elektronik başvuru için Secretaría Virtual erişimi
Okul başvuru formu (kâğıtla başvuracaksan)</t>
        </is>
      </c>
      <c r="Q13" s="29" t="inlineStr">
        <is>
          <t>Bilgi hattı 8.00–19.00 arasında kesintisiz açıktır.</t>
        </is>
      </c>
      <c r="R13" s="29" t="inlineStr">
        <is>
          <t>Bilgi hattı ücretsizdir.</t>
        </is>
      </c>
      <c r="S13" s="29" t="inlineStr">
        <is>
          <t>Okullar boş yer listesini ve etki alanlarındaki adres bilgisini yayımlar.</t>
        </is>
      </c>
      <c r="T13" s="29" t="n"/>
    </row>
    <row r="14" ht="54" customHeight="1">
      <c r="A14" s="29" t="inlineStr">
        <is>
          <t>marbella:okul-basvurusu-sonrasi-puan-listesi-itiraz-kura-ve-matricula</t>
        </is>
      </c>
      <c r="B14" s="29" t="inlineStr">
        <is>
          <t>marbella</t>
        </is>
      </c>
      <c r="C14" s="29" t="inlineStr">
        <is>
          <t>okul-basvurusu-sonrasi-puan-listesi-itiraz-kura-ve-matricula</t>
        </is>
      </c>
      <c r="D14" s="29" t="inlineStr">
        <is>
          <t>Okul başvurusunu verdikten sonra ne olur: puan listesi, itiraz süresi, kura ve matrícula tarihleri nelerdir (2026/27)?</t>
        </is>
      </c>
      <c r="E14" s="29" t="inlineStr">
        <is>
          <t>2026/27 takvimi: liste 21 Nisan'dan önce, 10 ders günü itiraz, kura 13 Mayıs, kesin liste 14 Mayıs, matrícula Haziran/Temmuz</t>
        </is>
      </c>
      <c r="F14" s="29" t="inlineStr">
        <is>
          <t>Endülüs'te 2026/27 için başvurular 1–31 Mart arasında alındı. Okullar puanlı başvuru listesini 21 Nisan'dan önce duyuru tahtasında yayımladı; bu tarihten sonra 10 ders günü itiraz (alegaciones) süresi açıldı. Puan eşitliğinde 13 Mayıs 2026'da yapılan kamusal kura (sorteo) sonucu uygulandı; kabul ve ret edilenlerin kesin listesi 14 Mayıs'ta çıktı. Yer verilen okula matrícula yaptırmak zorundasın: 2. kademe Infantil, Primaria ve Educación Especial için 1–8 Haziran, ESO ve Bachillerato için 1–10 Temmuz; Eylül sınavlarına bağlı terfi eden öğrenci için 8 Eylül'e kadar. İtiraz yapmamış olsan da kabul kararına karşı recurso de alzada (üst makama itiraz) verebilirsin.</t>
        </is>
      </c>
      <c r="G14" s="29" t="inlineStr">
        <is>
          <t>okul puanı, baremo, sorteo, matrícula, alegaciones, recurso de alzada, escolarización 2026/27</t>
        </is>
      </c>
      <c r="H14" s="29" t="inlineStr">
        <is>
          <t>planning;new</t>
        </is>
      </c>
      <c r="I14" s="29" t="inlineStr">
        <is>
          <t>marbella:kaynak:170;marbella:kaynak:140</t>
        </is>
      </c>
      <c r="J14" s="49" t="n">
        <v>46323</v>
      </c>
      <c r="K14" s="51" t="n">
        <v>901</v>
      </c>
      <c r="L14" s="29" t="inlineStr">
        <is>
          <t>Hayır</t>
        </is>
      </c>
      <c r="M14" s="29" t="inlineStr">
        <is>
          <t>Taslak</t>
        </is>
      </c>
      <c r="N14" s="29" t="inlineStr">
        <is>
          <t>marbella:aile</t>
        </is>
      </c>
      <c r="O14" s="29" t="inlineStr">
        <is>
          <t>Puanlı listeyi çocuğunun başvurduğu okulun duyuru tahtasında bul; 2026/27 için liste 21 Nisan'dan önce asıldı.
Puanın yanlışsa listenin yayımlandığı tarihten sonraki 10 ders günü içinde alegación ver.
Kesin kabul/ret listesini 14 Mayıs'ta (2026/27) takip et; eşitlik varsa kura sonucu uygulanır.
Yer verildiyse matrícula formunu okuldan ücretsiz al ve kendi etabının matrícula tarihinde teslim et.
Kabul kararına itirazın varsa önceden alegación vermiş olmasan da recurso de alzada verebilirsin.</t>
        </is>
      </c>
      <c r="P14" s="29" t="inlineStr">
        <is>
          <t>Matrícula formu (okul ücretsiz verir)</t>
        </is>
      </c>
      <c r="Q14" s="29" t="inlineStr">
        <is>
          <t>2026/27: puanlı liste 21 Nisan'dan önce; itiraz 10 ders günü; kura 13 Mayıs 2026; kesin liste 14 Mayıs; matrícula 1–8 Haziran (Infantil, Primaria, Educación Especial) ve 1–10 Temmuz (ESO, Bachillerato); Eylül sınavına bağlı öğrenci 8 Eylül'e kadar.</t>
        </is>
      </c>
      <c r="R14" s="29" t="inlineStr">
        <is>
          <t>Matrícula formu okullarda ücretsizdir.</t>
        </is>
      </c>
      <c r="S14" s="29" t="inlineStr">
        <is>
          <t>Portalın takvim tablosu başvuru sunumunu 7 Nisan 2026'ya kadar gösteriyor; ana duyuru metni ise başvuru dönemini 31 Mart'ta bitiriyor. Gün sayan sürelerde hafta sonu ve resmî tatiller sayılmaz.</t>
        </is>
      </c>
      <c r="T14" s="29" t="n"/>
    </row>
    <row r="15" ht="54" customHeight="1">
      <c r="A15" s="29" t="inlineStr">
        <is>
          <t>marbella:okul-etaplarina-giris-yas-ve-diploma-kosullari</t>
        </is>
      </c>
      <c r="B15" s="29" t="inlineStr">
        <is>
          <t>marbella</t>
        </is>
      </c>
      <c r="C15" s="29" t="inlineStr">
        <is>
          <t>okul-etaplarina-giris-yas-ve-diploma-kosullari</t>
        </is>
      </c>
      <c r="D15" s="29" t="inlineStr">
        <is>
          <t>Çocuğum hangi okul etabına girebilir: 3 yaş, 6 yaş ve Bachillerato için yaş ve diploma koşulları nelerdir?</t>
        </is>
      </c>
      <c r="E15" s="29" t="inlineStr">
        <is>
          <t>Infantil 2. kademe ve Primaria için 31 Aralık'a kadar 3 ve 6 yaş; ESO için Primaria bitirmek; Bachillerato için ESO diploması ya da Técnico</t>
        </is>
      </c>
      <c r="F15" s="29" t="inlineStr">
        <is>
          <t>Endülüs'te kamu ve devlet destekli özel (concertado) okulların etap koşulları şöyle: Segundo ciclo de Educación Infantil'in ilk yılı için çocuk 31 Aralık'a kadar 3 yaşını tamamlamış olmalı; Educación Primaria'nın ilk yılı için 31 Aralık'a kadar 6 yaşını tamamlamış olmalı (özel izin hariç). ESO'nun ilk yılı için Primaria'yı bitirmek yeter. Bachillerato'nun ilk yılı için Graduado en Educación Secundaria Obligatoria diploması ya da Técnico de Formación Profesional diploması gerekir; sanat modalitesinde Técnico de Artes Plásticas y Diseño diploması da kabul edilir. Mart başvurusunu ilk kez 2. kademe Infantil'e ya da ilk kez Primaria'ya girecek çocuk için sen yaparsın; ayrıca okul değiştirmek isteyen çocuk da başvurur.</t>
        </is>
      </c>
      <c r="G15" s="29" t="inlineStr">
        <is>
          <t>okul yaşı, Infantil, Primaria, ESO, Bachillerato, graduado, escolarización, yaş koşulu</t>
        </is>
      </c>
      <c r="H15" s="29" t="inlineStr">
        <is>
          <t>planning;new</t>
        </is>
      </c>
      <c r="I15" s="29" t="inlineStr">
        <is>
          <t>marbella:kaynak:140</t>
        </is>
      </c>
      <c r="J15" s="49" t="n">
        <v>46323</v>
      </c>
      <c r="K15" s="51" t="n">
        <v>902</v>
      </c>
      <c r="L15" s="29" t="inlineStr">
        <is>
          <t>Hayır</t>
        </is>
      </c>
      <c r="M15" s="29" t="inlineStr">
        <is>
          <t>Taslak</t>
        </is>
      </c>
      <c r="N15" s="29" t="inlineStr">
        <is>
          <t>marbella:aile</t>
        </is>
      </c>
      <c r="O15" s="29" t="inlineStr">
        <is>
          <t>Çocuğun doğum tarihine göre etabı belirle: 3 yaşını 31 Aralık'a kadar dolduruyorsa 2. kademe Infantil'e, 6 yaşını dolduruyorsa Primaria'ya girebilir.
İlk kez 2. kademe Infantil'e ya da ilk kez Primaria'ya girecekse Mart'taki başvuru dönemine kadar başvurunu hazırla.
Okul değiştirmek istiyorsan (şu an kayıtlı olduğu okuldan başka bir kamu ya da concertado okul) yine Mart'ta başvuru ver.
ESO için Primaria'yı bitirdiğini, Bachillerato için ESO diplomasını (Graduado) ya da Técnico de FP diplomasını hazırla.</t>
        </is>
      </c>
      <c r="P15" s="29" t="inlineStr">
        <is>
          <t>Çocuğun yaşını gösteren kimlik belgesi
ESO diploması (Graduado) ya da Técnico de FP diploması (Bachillerato için)</t>
        </is>
      </c>
      <c r="Q15" s="29" t="inlineStr">
        <is>
          <t>Yaş koşulları takvim yılının 31 Aralık tarihine göre değerlendirilir.</t>
        </is>
      </c>
      <c r="R15" s="29" t="n"/>
      <c r="S15" s="29" t="n"/>
      <c r="T15" s="29" t="n"/>
    </row>
    <row r="16" ht="54" customHeight="1">
      <c r="A16" s="29" t="inlineStr">
        <is>
          <t>marbella:okul-yerlestirme-puanlama-olcutleri-kardes-adres-gelir-aile-durumu</t>
        </is>
      </c>
      <c r="B16" s="29" t="inlineStr">
        <is>
          <t>marbella</t>
        </is>
      </c>
      <c r="C16" s="29" t="inlineStr">
        <is>
          <t>okul-yerlestirme-puanlama-olcutleri-kardes-adres-gelir-aile-durumu</t>
        </is>
      </c>
      <c r="D16" s="29" t="inlineStr">
        <is>
          <t>Okulda yer yetmezse başvurular hangi ölçütlere göre sıralanır, kardeş ve aile durumu puan getirir mi?</t>
        </is>
      </c>
      <c r="E16" s="29" t="inlineStr">
        <is>
          <t>Yer talebi karşılıyorsa herkes girer; yetmezse puanlanır: kardeş, adres, gelir, çok çocuklu ya da tek ebeveynli aile, çalışan ebeveyn, çoğul doğum</t>
        </is>
      </c>
      <c r="F16" s="29" t="inlineStr">
        <is>
          <t>Okulun boş yeri başvuru sayısına eşit ya da fazlaysa başvuran herkes kabul edilir; yalnız talebin tamamı karşılanamazsa başvurular puanlanır (baremo). Ölçütler şunlardır: okulda kayıtlı kardeş, ev ya da ebeveynin iş yerinin okula yakınlığı, engellilik, aile başına yıllık gelir, çok çocuklu aile (familia numerosa), tek ebeveynli aile (monoparental), velayet sahiplerinin ücretli çalışması, çocuğun 0–3 yaş kademesinde yetkili bir okulda kayıtlı olması, çok çocuklu ya da tek ebeveynli olmayan ailede tek kardeş olması ve çoğul doğum. Bachillerato'da bunlara ek olarak akademik not da sayılır. Farklı sınıflar için aynı okulda iki kardeş başvurursa biri kabul edildiğinde diğerlerine birleştirilemeyen 14 puan verilir; aynı sınıfa başvuran kardeşlerde biri kabul edilince hepsi kabul edilir.</t>
        </is>
      </c>
      <c r="G16" s="29" t="inlineStr">
        <is>
          <t>okul puanı, baremo, kardeş puanı, familia numerosa, monoparental, Bachillerato, admisión, Endülüs</t>
        </is>
      </c>
      <c r="H16" s="29" t="inlineStr">
        <is>
          <t>planning;new</t>
        </is>
      </c>
      <c r="I16" s="29" t="inlineStr">
        <is>
          <t>marbella:kaynak:140;marbella:kaynak:170</t>
        </is>
      </c>
      <c r="J16" s="49" t="n">
        <v>46323</v>
      </c>
      <c r="K16" s="51" t="n">
        <v>903</v>
      </c>
      <c r="L16" s="29" t="inlineStr">
        <is>
          <t>Hayır</t>
        </is>
      </c>
      <c r="M16" s="29" t="inlineStr">
        <is>
          <t>Taslak</t>
        </is>
      </c>
      <c r="N16" s="29" t="inlineStr">
        <is>
          <t>marbella:aile</t>
        </is>
      </c>
      <c r="O16" s="29" t="inlineStr">
        <is>
          <t>Başvuru dönemi gelince okulun boş yer sayısını öğren; yerler başvuru sayısına yetiyorsa puanlama yapılmaz ve başvuran girer.
Ailene uyan ölçütleri başvuruda belirt: okulda kardeş, adres ya da iş yeri yakınlığı, gelir, çok çocuklu ya da tek ebeveynli aile, çalışan velayet sahibi, çoğul doğum.
Çok çocuklu aile ve tek ebeveynli aile durumunu idare kendi kayıtlarından okuyamazsa istenen belgeleri okul müdürünün talebi üzerine teslim et.
Aynı okula farklı sınıflar için kardeş başvuruları yapıyorsan, biri kabul edilince diğerlerinin 14 puan alacağını hesaba kat.</t>
        </is>
      </c>
      <c r="P16" s="29" t="inlineStr">
        <is>
          <t>Çok çocuklu aile belgesi (título de familia numerosa, geçerli olmalı)
Libro de Familia'nın onaylı kopyası (tek ebeveynli aile ve çoğul doğum için)</t>
        </is>
      </c>
      <c r="Q16" s="29" t="inlineStr">
        <is>
          <t>Puanlama yalnız okuldaki boş yer sayısı başvuruları karşılamıyorsa yapılır.</t>
        </is>
      </c>
      <c r="R16" s="29" t="n"/>
      <c r="S16" s="29" t="n"/>
      <c r="T16" s="29" t="n"/>
    </row>
    <row r="17" ht="54" customHeight="1">
      <c r="A17" s="29" t="inlineStr">
        <is>
          <t>marbella:okul-basvurusunda-adres-kaniti-ve-marbella-empadronamiento-ofisleri</t>
        </is>
      </c>
      <c r="B17" s="29" t="inlineStr">
        <is>
          <t>marbella</t>
        </is>
      </c>
      <c r="C17" s="29" t="inlineStr">
        <is>
          <t>okul-basvurusunda-adres-kaniti-ve-marbella-empadronamiento-ofisleri</t>
        </is>
      </c>
      <c r="D17" s="29" t="inlineStr">
        <is>
          <t>Okul başvurusunda adresim nasıl kanıtlanır ve Marbella'da empadronamiento (nüfus kaydı) için hangi ofise hangi belgelerle gidilir?</t>
        </is>
      </c>
      <c r="E17" s="29" t="inlineStr">
        <is>
          <t>Adres INE'den otomatik gelir; uyuşmazsa empadronamiento belgesi istenir. Marbella'da üç ofis ve belge listesi</t>
        </is>
      </c>
      <c r="F17" s="29" t="inlineStr">
        <is>
          <t>Okul başvurusunu imzalayan, çocukla birlikte yaşayan ve velayeti olan kişi başvuruda ev adresini mi iş yerini mi esas alacağını seçer. Ev adresi bilgisi Eğitim Bakanlığı'na Instituto Nacional de Estadística (INE) tarafından elektronik yoldan verilir; verdiğin adresle uyuşmazsa okul müdürü talep edince Marbella Belediyesi'nin empadronamiento (nüfus kaydı) belgesini sunarsın. Marbella'da empadronamiento için kimlik (pasaport, ülkenin kimlik kartı ya da fotoğraflı NIE/TIE), konut belgesi (kiracıysan kira sözleşmesi ile yakın tarihli elektrik, su ya da IBI faturası; malikse tapu, geçerli nota simple ya da son IBI faturası) ve Alta y Cambio de Domicilio formu gerekir. Reşit olmayanlar için aynı belgeler istenir; çocuk İspanya'da doğduysa Libro de Familia ya da doğum belgesi eklenir. Başvuru sede electrónica'dan dijital sertifikayla ya da belediyenin Oficina de Atención al Ciudadano'sunda cita previa ile yapılır. Ofisler Concejalía de Extranjeros Residentes'in Palacio de Ferias y Congresos, Las Chapas ve Nueva Andalucía şubeleridir. Empadronamiento mali ikametgâh (residente fiscal) sayılmaz.</t>
        </is>
      </c>
      <c r="G17" s="29" t="inlineStr">
        <is>
          <t>empadronamiento, nüfus kaydı, okul adresi, INE, padrón, Marbella, Extranjeros Residentes, cita previa</t>
        </is>
      </c>
      <c r="H17" s="29" t="inlineStr">
        <is>
          <t>new;settled</t>
        </is>
      </c>
      <c r="I17" s="29" t="inlineStr">
        <is>
          <t>marbella:kaynak:140;marbella:kaynak:181</t>
        </is>
      </c>
      <c r="J17" s="49" t="n">
        <v>46323</v>
      </c>
      <c r="K17" s="51" t="n">
        <v>904</v>
      </c>
      <c r="L17" s="29" t="inlineStr">
        <is>
          <t>Evet</t>
        </is>
      </c>
      <c r="M17" s="29" t="inlineStr">
        <is>
          <t>Taslak</t>
        </is>
      </c>
      <c r="N17" s="29" t="inlineStr">
        <is>
          <t>marbella:aile</t>
        </is>
      </c>
      <c r="O17" s="29" t="inlineStr">
        <is>
          <t>Başvuru formunda ev adresini mi iş yerini mi esas alacağını seç; seçimi başvuruyu imzalayan kişi yapar.
Henüz Marbella'da kayıtlı değilsen Alta y Cambio de Domicilio formunu doldur ve belgelerini hazırla.
Belediyenin sede electrónica'sında dijital sertifikayla ya da Oficina de Atención al Ciudadano'dan cita previa alarak belgeleri teslim et.
Yüz yüze gitmek istersen Concejalía de Extranjeros Residentes ofislerinden birine git: Palacio de Ferias y Congresos (C/ José Meliá 2), Las Chapas (Calle Pinsapo s/n) ya da Nueva Andalucía (Avda. Miguel de Cervantes 15); üçü de hafta içi 09:00–14:00 açıktır.
INE'den gelen adres başvurundakiyle uyuşmazsa okul müdürü talep ettiğinde belediyenin verdiği empadronamiento belgesini sun.</t>
        </is>
      </c>
      <c r="P17" s="29" t="inlineStr">
        <is>
          <t>Pasaport, ülkenin kimlik kartı ya da fotoğraflı NIE/TIE
Kira sözleşmesi + yakın tarihli elektrik, su ya da IBI faturası (kiracı)
Tapu, geçerli nota simple ya da son IBI faturası (malik)
Alta y Cambio de Domicilio formu
Çocuk İspanya'da doğduysa Libro de Familia veya doğum belgesi (Certificado de Nacimiento)</t>
        </is>
      </c>
      <c r="Q17" s="29" t="inlineStr">
        <is>
          <t>Ofisler hafta içi 09:00–14:00 arasında açıktır.</t>
        </is>
      </c>
      <c r="R17" s="29" t="n"/>
      <c r="S17" s="29" t="inlineStr">
        <is>
          <t>Reşit olmayan çocuk için de kimlik ve konut belgeleri istenir; çocuk İspanya'da doğduysa Libro de Familia veya doğum belgesi eklenir.</t>
        </is>
      </c>
      <c r="T17" s="29" t="n"/>
    </row>
    <row r="18" ht="54" customHeight="1">
      <c r="A18" s="29" t="inlineStr">
        <is>
          <t>marbella:okul-puaninda-calisma-ve-gelir-olcutu-icin-belgeler</t>
        </is>
      </c>
      <c r="B18" s="29" t="inlineStr">
        <is>
          <t>marbella</t>
        </is>
      </c>
      <c r="C18" s="29" t="inlineStr">
        <is>
          <t>okul-puaninda-calisma-ve-gelir-olcutu-icin-belgeler</t>
        </is>
      </c>
      <c r="D18" s="29" t="inlineStr">
        <is>
          <t>Okul puanında velayet sahibinin çalışması ve aile geliri nasıl değerlendirilir, hangi belgeler istenebilir?</t>
        </is>
      </c>
      <c r="E18" s="29" t="inlineStr">
        <is>
          <t>Çalışma ölçütü: en az 6 ay kesintisiz, haftada en az 20 saat; gelir ölçütü için vergi dairesi yetkisi, yetkisizse maaş belgesi</t>
        </is>
      </c>
      <c r="F18" s="29" t="inlineStr">
        <is>
          <t>Çalışma ölçütünün puan getirmesi için çocuğun velayeti kimdeyse hepsinin ücretli çalışması gerekir: başvuru dönemi başlamadan en az altı ay kesintisiz ve haftada en az 20 saat. Maaşlı çalışanın bilgisi sosyal güvenlik kurumundan, serbest çalışanın bilgisi vergi idaresinden elektronik gelir; bu aktarıma itiraz edersen informe de situación actual (çalışma durumu raporu) ve işverenin adres ile çalışma saatini gösteren belgesi gerekir. Gelir ölçütü için vergi idaresinin (AEAT) bilgi vermesine izin imzalaman yeter; ek belge ancak vergi idaresinde bilgi yoksa, okul müdürü talep edince 16 yaşın üzerindeki her aile üyesinin maaş belgesi ya da beyanıyla istenir. Aile malvarlığı burs mevzuatının eşiklerini aşarsa gelir puanı yarıya iner. Uygulanan IPREM değeri 14 maaş için 8.400 €'dur.</t>
        </is>
      </c>
      <c r="G18" s="29" t="inlineStr">
        <is>
          <t>okul puanı, gelir, çalışma ölçütü, vida laboral, AEAT, IPREM, baremo, escolarización</t>
        </is>
      </c>
      <c r="H18" s="29" t="inlineStr">
        <is>
          <t>planning;new</t>
        </is>
      </c>
      <c r="I18" s="29" t="inlineStr">
        <is>
          <t>marbella:kaynak:140</t>
        </is>
      </c>
      <c r="J18" s="49" t="n">
        <v>46323</v>
      </c>
      <c r="K18" s="51" t="n">
        <v>905</v>
      </c>
      <c r="L18" s="29" t="inlineStr">
        <is>
          <t>Hayır</t>
        </is>
      </c>
      <c r="M18" s="29" t="inlineStr">
        <is>
          <t>Taslak</t>
        </is>
      </c>
      <c r="N18" s="29" t="inlineStr">
        <is>
          <t>marbella:aile</t>
        </is>
      </c>
      <c r="O18" s="29" t="inlineStr">
        <is>
          <t>Gelir ölçütünün değerlendirilmesini istiyorsan başvuruda vergi idaresinin (AEAT) bilgi vermesine izin imzala.
Çalışma ölçütü için velayet sahibi herkesin başvuru dönemi başlamadan en az altı aydır kesintisiz ve haftada en az 20 saat çalıştığından emin ol.
Maaşlı çalışıyorsan sosyal güvenlik bilgisinin elektronik aktarımına itiraz edersen informe de situación actual ile işveren belgesini hazırla.
Serbest çalışıyorsan itiraz halinde IAE kaydı belgesi ile bu kaydın geçerli olduğuna dair beyanını hazırla.
Okul müdürü vergi idaresinde veri bulunmadığı için belge isterse 16 yaşın üzerindeki her aile üyesinin maaş belgesini ya da beyanını teslim et.</t>
        </is>
      </c>
      <c r="P18" s="29" t="inlineStr">
        <is>
          <t>Informe de situación actual (çalışma durumu raporu) ve işveren belgesi (adres ve haftalık saat)
Informe de vida laboral (çalışma ölçütü için)
IAE kaydı belgesi ve geçerliliğine dair beyan (serbest çalışan)
Maaş belgesi ya da beyan (vergi idaresinde veri yoksa, 16 yaş üstü her aile üyesi için)</t>
        </is>
      </c>
      <c r="Q18" s="29" t="inlineStr">
        <is>
          <t>Çalışma en az 6 ay kesintisiz, haftada en az 20 saat olmalıdır; süre başvuru döneminin başlangıcından geriye sayılır.</t>
        </is>
      </c>
      <c r="R18" s="29" t="n"/>
      <c r="S18" s="29" t="inlineStr">
        <is>
          <t>Çalışma kanıtı için informe de situación actual yerine informe de vida laboral istenir.</t>
        </is>
      </c>
      <c r="T18" s="29" t="n"/>
    </row>
    <row r="19" ht="54" customHeight="1">
      <c r="A19" s="29" t="inlineStr">
        <is>
          <t>marbella:engelli-ya-da-ozel-gereksinimli-cocuk-icin-okul-puani-ve-kontenjan</t>
        </is>
      </c>
      <c r="B19" s="29" t="inlineStr">
        <is>
          <t>marbella</t>
        </is>
      </c>
      <c r="C19" s="29" t="inlineStr">
        <is>
          <t>engelli-ya-da-ozel-gereksinimli-cocuk-icin-okul-puani-ve-kontenjan</t>
        </is>
      </c>
      <c r="D19" s="29" t="inlineStr">
        <is>
          <t>Çocuğun ya da ailenin engeli okul puanını nasıl etkiler, özel eğitim gereksinimi olan çocuğa yer ayrılır mı?</t>
        </is>
      </c>
      <c r="E19" s="29" t="inlineStr">
        <is>
          <t>Çocukta %33–66 engel ya da gelişim bozukluğu 3 puan, %66 ve üzeri 4 puan; ebeveyn 2 ya da 3 puan; kardeş başına 0,5 puan (en çok 2)</t>
        </is>
      </c>
      <c r="F19" s="29" t="inlineStr">
        <is>
          <t>Endülüs'te okul başvurusunda engellilik puan getirir. Çocukta %33 ile %66 arasında bir engel ya da gelişim bozukluğu varsa 3 puan, %66 ve üzeri engel varsa 4 puan verilir; gelişim bozukluğu yalnız 2. kademe Infantil'de puanlanır ve bilgi Centro de Atención Infantil Temprana'dan elektronik gelir. Velayet sahibinde ya da yasal bakıcıda %33–66 arası engel 2 puan, %66 ve üzeri 3 puan getirir. Kardeşte ya da aynı hanede koruma altındaki çocukta en az %33 engel olursa kişi başına yarım puan verilir, toplam en çok 2 puan. Engel bilgisini Eğitim Bakanlığı kayıtlardan kendisi alır; itiraz edersen Junta de Andalucía ya da başka bir idarenin verdiği engel derecesi raporunu sunarsın. Özel eğitim gereksinimi olan öğrenciler için okula giriş kademesinde kontenjan ayrılır ve bu yerler matrícula döneminin sonuna kadar tutulur. Yüksek zekâ (altas capacidades) puana etki etmez.</t>
        </is>
      </c>
      <c r="G19" s="29" t="inlineStr">
        <is>
          <t>engelli çocuk, özel eğitim, okul puanı, discapacidad, necesidades educativas especiales, baremo, Infantil</t>
        </is>
      </c>
      <c r="H19" s="29" t="inlineStr">
        <is>
          <t>planning;new</t>
        </is>
      </c>
      <c r="I19" s="29" t="inlineStr">
        <is>
          <t>marbella:kaynak:140</t>
        </is>
      </c>
      <c r="J19" s="49" t="n">
        <v>46323</v>
      </c>
      <c r="K19" s="51" t="n">
        <v>906</v>
      </c>
      <c r="L19" s="29" t="inlineStr">
        <is>
          <t>Hayır</t>
        </is>
      </c>
      <c r="M19" s="29" t="inlineStr">
        <is>
          <t>Taslak</t>
        </is>
      </c>
      <c r="N19" s="29" t="inlineStr">
        <is>
          <t>marbella:aile</t>
        </is>
      </c>
      <c r="O19" s="29" t="inlineStr">
        <is>
          <t>Çocukta engel ya da gelişim bozukluğu varsa başvuruda belirt; 2. kademe Infantil için gelişim bozukluğu bilgisi Centro de Atención Infantil Temprana'dan elektronik gelir.
Velayet sahibinde ya da kardeşte engel varsa bunu da başvuruda işaretle; Eğitim Bakanlığı bilgiyi kayıtlardan alır.
Bilgi aktarımına itiraz edersen Junta de Andalucía ya da başka idarenin verdiği engel derecesi raporunu (dictamen) hazırla.
Özel eğitim gereksinimi olan çocuk için okulun giriş kademesindeki ayrılmış kontenjana başvur.</t>
        </is>
      </c>
      <c r="P19" s="29" t="inlineStr">
        <is>
          <t>Engel derecesi raporu (dictamen), Junta de Andalucía ya da ilgili idare tarafından verilmiş (yalnız veri aktarımına itiraz edilirse)</t>
        </is>
      </c>
      <c r="Q19" s="29" t="inlineStr">
        <is>
          <t>Özel eğitim gereksinimi olan öğrenciler için ayrılan yerler matrícula döneminin sonuna kadar tutulur.</t>
        </is>
      </c>
      <c r="R19" s="29" t="n"/>
      <c r="S19" s="29" t="inlineStr">
        <is>
          <t>Yüksek zekâ (altas capacidades) puan getirmez.</t>
        </is>
      </c>
      <c r="T19" s="29" t="n"/>
    </row>
    <row r="20" ht="54" customHeight="1">
      <c r="A20" s="29" t="inlineStr">
        <is>
          <t>marbella:zorunlu-gorev-degisikligiyle-tasinan-aile-icin-okul-onceligi</t>
        </is>
      </c>
      <c r="B20" s="29" t="inlineStr">
        <is>
          <t>marbella</t>
        </is>
      </c>
      <c r="C20" s="29" t="inlineStr">
        <is>
          <t>zorunlu-gorev-degisikligiyle-tasinan-aile-icin-okul-onceligi</t>
        </is>
      </c>
      <c r="D20" s="29" t="inlineStr">
        <is>
          <t>Zorunlu iş yeri değişikliği (movilidad forzosa) nedeniyle Marbella'ya taşınan aile okul başvurusunda öncelik alır mı, hangi belgeler istenir?</t>
        </is>
      </c>
      <c r="E20" s="29" t="inlineStr">
        <is>
          <t>Zorunlu görev değişikliği, evlat edinme, sonradan oluşan engel ve toplumsal cinsiyet şiddeti nedeniyle taşınanlara öncelik verilir; belgeler sayılı</t>
        </is>
      </c>
      <c r="F20" s="29" t="inlineStr">
        <is>
          <t>Endülüs'te okul başvurusunda, aile ebeveynlerden birinin zorunlu görev değişikliği (movilidad forzosa) nedeniyle taşınmışsa çocuğa, ev ya da iş yerinin bulunduğu bölgede öncelik verilir. Aynı öncelik evlat edinme ya da çocuk koruma tedbiri, ailede sonradan ortaya çıkan engel ve toplumsal cinsiyet şiddeti nedeniyle yer değiştirenler için de geçerlidir. Zorunlu görev değişikliğini Eğitim Bakanlığı kayıtlardan kendisi alır; itiraz edersen ya da bilgi bulunamazsa informe de vida laboral, yerleşim yerinin en çok altı ay önce değiştiğini gösteren certificado histórico de empadronamiento ve işverenin iş yeri adresi ile görevlendirme süresini gösteren belgesi gerekir. Ayrıca bağlı (adscrito) okuldan gelenler ile ebeveyni okulda haftada en az on saat çalışanlar da öncelik alır.</t>
        </is>
      </c>
      <c r="G20" s="29" t="inlineStr">
        <is>
          <t>okul önceliği, movilidad forzosa, taşınma, empadronamiento histórico, vida laboral, escolarización, öncelik</t>
        </is>
      </c>
      <c r="H20" s="29" t="inlineStr">
        <is>
          <t>new</t>
        </is>
      </c>
      <c r="I20" s="29" t="inlineStr">
        <is>
          <t>marbella:kaynak:140</t>
        </is>
      </c>
      <c r="J20" s="49" t="n">
        <v>46323</v>
      </c>
      <c r="K20" s="51" t="n">
        <v>907</v>
      </c>
      <c r="L20" s="29" t="inlineStr">
        <is>
          <t>Hayır</t>
        </is>
      </c>
      <c r="M20" s="29" t="inlineStr">
        <is>
          <t>Taslak</t>
        </is>
      </c>
      <c r="N20" s="29" t="inlineStr">
        <is>
          <t>marbella:aile</t>
        </is>
      </c>
      <c r="O20" s="29" t="inlineStr">
        <is>
          <t>Taşınmanın sebebini belirle: ebeveynin zorunlu görev değişikliği, evlat edinme/koruma tedbiri, sonradan oluşan engel ya da toplumsal cinsiyet şiddeti nedeniyle yer değiştirme.
Başvuruda bu durumu belirt; Eğitim Bakanlığı zorunlu görev değişikliği bilgisini kayıtlardan alır.
Veri aktarımına itiraz edersen informe de vida laboral, certificado histórico de empadronamiento ve işveren belgesini teslim et.
Evlat edinme ya da koruma tedbirinde, koruma konusunda yetkili Consejería'nın verdiği belgenin onaylı kopyasını hazırla.
Toplumsal cinsiyet şiddetinde koruma kararını (orden de protección) ya da mahkûmiyet kararının onaylı kopyasını sun.</t>
        </is>
      </c>
      <c r="P20" s="29" t="inlineStr">
        <is>
          <t>Informe de vida laboral
Certificado histórico de empadronamiento (yer değişikliğini gösteren)
İşveren belgesi (iş yeri adresi ve görevlendirme süresi)
Evlat edinme/koruma tedbiri belgesi (Consejería'dan, onaylı kopya)
Koruma kararı ya da mahkeme kararı (toplumsal cinsiyet şiddeti için, onaylı kopya)</t>
        </is>
      </c>
      <c r="Q20" s="29" t="inlineStr">
        <is>
          <t>Empadronamiento belgesi yer değişikliğinin en çok altı ay önce yapıldığını göstermelidir.</t>
        </is>
      </c>
      <c r="R20" s="29" t="n"/>
      <c r="S20" s="29" t="n"/>
      <c r="T20" s="29" t="n"/>
    </row>
    <row r="21" ht="54" customHeight="1">
      <c r="A21" s="29" t="inlineStr">
        <is>
          <t>marbella:okul-yemegi-erken-servis-basvurusu-ve-concertado-okul-ucretleri</t>
        </is>
      </c>
      <c r="B21" s="29" t="inlineStr">
        <is>
          <t>marbella</t>
        </is>
      </c>
      <c r="C21" s="29" t="inlineStr">
        <is>
          <t>okul-yemegi-erken-servis-basvurusu-ve-concertado-okul-ucretleri</t>
        </is>
      </c>
      <c r="D21" s="29" t="inlineStr">
        <is>
          <t>Okulda yemek ve erken servis (aula matinal) için ne zaman başvurulur, devlet destekli okul ücret isteyebilir mi?</t>
        </is>
      </c>
      <c r="E21" s="29" t="inlineStr">
        <is>
          <t>Hizmet başvurusu matrícula döneminde (Haziran/Temmuz), ücretsizlik ya da indirim başvurusu 1–7 Eylül; zorunlu ücret ve bağış istenemez</t>
        </is>
      </c>
      <c r="F21" s="29" t="inlineStr">
        <is>
          <t>Okulda yemek (comedor), erken servis (aula matinal) ve etkinlik gibi tamamlayıcı hizmetler matrícula döneminde istenir: Infantil 2. kademe, Primaria ve Educación Especial veren kamu okullarında 1–10 Haziran, ortaöğretim okullarında (institutos) 1–10 Temmuz. Bu hizmetler için ücretsizlik ya da indirim (bonificación) başvurusu 1–7 Eylül arasında yapılır. Hizmetlerin içeriği okulların duyuru tahtasında yayımlanır; hizmet isteme niyeti kabul ölçütü olarak sayılamaz. Kamu ve devlet destekli özel (concertado) okullar ücretsiz eğitim karşılığında aileden para alamaz, derneklere ya da vakıflara bağış zorunluluğu getiremez ve ücret gerektiren zorunlu hizmet koyamaz; etkinlik, tamamlayıcı faaliyet ve okul hizmetleri ise gönüllüdür.</t>
        </is>
      </c>
      <c r="G21" s="29" t="inlineStr">
        <is>
          <t>okul yemeği, comedor, aula matinal, bonificación, concertado okul ücret, servicios complementarios, matrícula</t>
        </is>
      </c>
      <c r="H21" s="29" t="inlineStr">
        <is>
          <t>new;settled</t>
        </is>
      </c>
      <c r="I21" s="29" t="inlineStr">
        <is>
          <t>marbella:kaynak:140</t>
        </is>
      </c>
      <c r="J21" s="49" t="n">
        <v>46323</v>
      </c>
      <c r="K21" s="51" t="n">
        <v>908</v>
      </c>
      <c r="L21" s="29" t="inlineStr">
        <is>
          <t>Hayır</t>
        </is>
      </c>
      <c r="M21" s="29" t="inlineStr">
        <is>
          <t>Taslak</t>
        </is>
      </c>
      <c r="N21" s="29" t="inlineStr">
        <is>
          <t>marbella:aile</t>
        </is>
      </c>
      <c r="O21" s="29" t="inlineStr">
        <is>
          <t>Matrícula döneminde okuldan hizmet formunu iste; Infantil 2. kademe, Primaria ve Educación Especial için 1–10 Haziran, institutos için 1–10 Temmuz.
Okulun duyuru tahtasında hangi hizmetlerin sunulduğuna bak.
Ücretsizlik ya da indirim istiyorsan 1–7 Eylül arasında bonificación başvurusunu ver.
Okul ücretsiz derslerle ilgili para ya da bağış zorunluluğu getirirse bunun yasal olmadığını bil; etkinlik ve tamamlayıcı hizmetler gönüllüdür.</t>
        </is>
      </c>
      <c r="P21" s="29" t="inlineStr">
        <is>
          <t>Okulun matrícula döneminde verdiği tamamlayıcı hizmet formu
Bonificación başvuru formu</t>
        </is>
      </c>
      <c r="Q21" s="29" t="inlineStr">
        <is>
          <t>Hizmetler: 1–10 Haziran (kamu Infantil 2. kademe, Primaria, Educación Especial) ya da 1–10 Temmuz (institutos). Bonificación: 1–7 Eylül.</t>
        </is>
      </c>
      <c r="R21" s="29" t="n"/>
      <c r="S21" s="29" t="n"/>
      <c r="T21" s="29" t="n"/>
    </row>
    <row r="22" ht="54" customHeight="1">
      <c r="A22" s="29" t="inlineStr">
        <is>
          <t>marbella:junta-escuela-infantil-0-3-yas-basvurusu-ve-ucretsiz-kontenjan</t>
        </is>
      </c>
      <c r="B22" s="29" t="inlineStr">
        <is>
          <t>marbella</t>
        </is>
      </c>
      <c r="C22" s="29" t="inlineStr">
        <is>
          <t>junta-escuela-infantil-0-3-yas-basvurusu-ve-ucretsiz-kontenjan</t>
        </is>
      </c>
      <c r="D22" s="29" t="inlineStr">
        <is>
          <t>Marbella'da 0–3 yaş çocuk için Junta kreşine (escuela infantil) nasıl başvurulur, 1 ve 2 yaş ücretsiz mi (2026/27)?</t>
        </is>
      </c>
      <c r="E22" s="29" t="inlineStr">
        <is>
          <t>2026/27: yeniden kayıt (reserva) 16 Mart'ta, ilk başvuru 1–30 Nisan; Junta kreşlerinde 2 yaş ve 2026/27'de 1 yaş ücretsiz</t>
        </is>
      </c>
      <c r="F22" s="29" t="inlineStr">
        <is>
          <t>Endülüs Eğitim Bakanlığı, Junta'ya ait escuelas infantiles ile Programa de ayuda a las familias'a katılan kreş ve çocuk merkezlerinde 0–3 yaş (Primer Ciclo de Educación Infantil) kayıtlarını iki aşamada alır. 2026/27 için reserva (zaten kayıtlı çocuğun aynı merkezde devamı) 16–27 Mart'ta, olağan başvuru 1–30 Nisan'da yapıldı; olağan başvuruya 16 haftalıktan 3 yaşına kadar ilk kez bir merkeze girecek çocuklar katılabilir. Eğitim teklifi 30 Mart 2026'da ilan edildi. 2025/26'dan beri 2 yaşındaki çocuklar, 2026/27'de 1 yaşındakiler de bu merkezlerde ücretsiz eğitim alıyor. Programa katılan merkezlerde aile yardımı (ayuda) ücretin bir kısmını karşılar; yardım her eğitim yılı için yeniden istenir ve rekabetli (concurrencia competitiva) olarak verilir.</t>
        </is>
      </c>
      <c r="G22" s="29" t="inlineStr">
        <is>
          <t>kreş, escuela infantil, 0-3 yaş, ayuda a las familias, ücretsiz kreş, Primer Ciclo Educación Infantil, Junta de Andalucía</t>
        </is>
      </c>
      <c r="H22" s="29" t="inlineStr">
        <is>
          <t>planning;new</t>
        </is>
      </c>
      <c r="I22" s="29" t="inlineStr">
        <is>
          <t>marbella:kaynak:171;marbella:kaynak:172</t>
        </is>
      </c>
      <c r="J22" s="49" t="n">
        <v>46323</v>
      </c>
      <c r="K22" s="51" t="n">
        <v>909</v>
      </c>
      <c r="L22" s="29" t="inlineStr">
        <is>
          <t>Evet</t>
        </is>
      </c>
      <c r="M22" s="29" t="inlineStr">
        <is>
          <t>Taslak</t>
        </is>
      </c>
      <c r="N22" s="29" t="inlineStr">
        <is>
          <t>marbella:aile</t>
        </is>
      </c>
      <c r="O22" s="29" t="inlineStr">
        <is>
          <t>Çocuğun yaşını belirle: 16 haftalıktan 3 yaşına kadar ilk kez bir merkeze girecekse olağan başvuruya, zaten kayıtlıysa reserva dönemine bak.
Başvuru dönemi için Junta eğitim portalındaki Escolarización 0 a 3 años sayfasını izle; 2026/27'de olağan başvuru 1–30 Nisan'dı.
Programa katılan merkezlerde aile yardımı (ayuda) için her eğitim yılı yeniden başvuru yap.
Yardımın hangi hizmet fiyatlarını bonifiye ettiğini Decreto 76/2025'te ve çağrı metninde bul.</t>
        </is>
      </c>
      <c r="P22" s="29" t="inlineStr">
        <is>
          <t>Başvuru formu (portalda 'Impresos' bölümünde)
Ayuda için Modelo de solicitud Programa de Ayudas</t>
        </is>
      </c>
      <c r="Q22" s="29" t="inlineStr">
        <is>
          <t>2026/27: reserva 16–27 Mart; olağan başvuru 1–30 Nisan; eğitim teklifi 30 Mart 2026'da ilan edildi.</t>
        </is>
      </c>
      <c r="R22" s="29" t="inlineStr">
        <is>
          <t>Junta'ya ait kreşlerde ve programa katılan merkezlerde 2 yaşındaki çocuk ücretsizdir; 2026/27'de 1 yaşındakiler de ücretsizdir.</t>
        </is>
      </c>
      <c r="S22" s="29" t="inlineStr">
        <is>
          <t>Portalın takvim tablosu reserva dönemini 16 Mart–6 Nisan 2026 olarak gösteriyor; ana metin 16–27 Mart diyor.</t>
        </is>
      </c>
      <c r="T22" s="29" t="n"/>
    </row>
    <row r="23" ht="54" customHeight="1">
      <c r="A23" s="29" t="inlineStr">
        <is>
          <t>marbella:belediye-escuela-infantil-basvuru-kosullari-ve-2026-27-listeleri</t>
        </is>
      </c>
      <c r="B23" s="29" t="inlineStr">
        <is>
          <t>marbella</t>
        </is>
      </c>
      <c r="C23" s="29" t="inlineStr">
        <is>
          <t>belediye-escuela-infantil-basvuru-kosullari-ve-2026-27-listeleri</t>
        </is>
      </c>
      <c r="D23" s="29" t="inlineStr">
        <is>
          <t>Marbella belediyesinin kreşlerine (escuelas infantiles municipales) kimler başvurabilir, form nereden alınır?</t>
        </is>
      </c>
      <c r="E23" s="29" t="inlineStr">
        <is>
          <t>Marbella'da kayıtlı (empadronado) ve yaşı uygun çocuklar; form Atención al Ciudadano ve ilçe ofislerinden alınır; 2026/27 listeleri yayımlandı</t>
        </is>
      </c>
      <c r="F23" s="29" t="inlineStr">
        <is>
          <t>Marbella Belediyesi'nin Las Albarizas, Pinar ve Las Chapas escuelas infantiles'ine başvuru için çocuğun Marbella'da empadronado (nüfus kayıtlı) olması ve belirlenen yaşta olması şarttır. 2019/20 dönemi duyurusuna göre başvuru resmî formla yapılır, belgeler formun arkasında sayılır; form Atención al Ciudadano, Enseñanza delegasyonu, kreşler, Las Chapas ve Nueva Andalucía ilçe ofisleri, San Pedro Tenencia de Alcaldía'sı ve belediyenin web sayfasından alınır, doldurulmuş form Registro General de Entrada'ya ya da yardımcı kayıt ofislerine teslim edilir. 2026/27 için komisyonun çocuk önerisi 4 Mayıs 2026'da, kesin liste 29 Mayıs 2026'da ve bekleme listeleri 1 Eylül 2026'da yayımlandı.</t>
        </is>
      </c>
      <c r="G23" s="29" t="inlineStr">
        <is>
          <t>belediye kreşi, escuela infantil municipal, Las Albarizas, El Pinar, Las Chapas, bekleme listesi, empadronado</t>
        </is>
      </c>
      <c r="H23" s="29" t="inlineStr">
        <is>
          <t>planning;new</t>
        </is>
      </c>
      <c r="I23" s="29" t="inlineStr">
        <is>
          <t>marbella:kaynak:178;marbella:kaynak:177</t>
        </is>
      </c>
      <c r="J23" s="49" t="n">
        <v>46323</v>
      </c>
      <c r="K23" s="51" t="n">
        <v>910</v>
      </c>
      <c r="L23" s="29" t="inlineStr">
        <is>
          <t>Hayır</t>
        </is>
      </c>
      <c r="M23" s="29" t="inlineStr">
        <is>
          <t>Taslak</t>
        </is>
      </c>
      <c r="N23" s="29" t="inlineStr">
        <is>
          <t>marbella:aile</t>
        </is>
      </c>
      <c r="O23" s="29" t="inlineStr">
        <is>
          <t>Çocuğun Marbella'da empadronado olduğundan emin ol; belediye kreşlerine kabul için bu şarttır.
Resmî başvuru formunu Atención al Ciudadano'dan, Enseñanza delegasyonundan, kreşlerden, Las Chapas ya da Nueva Andalucía ilçe ofislerinden ya da San Pedro Tenencia de Alcaldía'sından al.
Formun arkasındaki belge listesine göre belgelerini ekle ve Registro General de Entrada'ya ya da yardımcı kayıt ofislerinden birine teslim et.
Sonuçları belediyenin 2026/27 comunicado sayfasından izle: kesin liste 29 Mayıs 2026'da, bekleme listeleri 1 Eylül 2026'da yayımlandı.</t>
        </is>
      </c>
      <c r="P23" s="29" t="inlineStr">
        <is>
          <t>Resmî başvuru formu (arkasında gereken belgeler yazılı)
Empadronamiento (Marbella nüfus kaydı)</t>
        </is>
      </c>
      <c r="Q23" s="29" t="inlineStr">
        <is>
          <t>2026/27: öneri listesi 4 Mayıs 2026, kesin liste 29 Mayıs 2026, bekleme listeleri 1 Eylül 2026.</t>
        </is>
      </c>
      <c r="R23" s="29" t="n"/>
      <c r="S23" s="29" t="inlineStr">
        <is>
          <t>Başvuru kuralları belediyenin 2019/20 dönemi duyurusuna dayanır.</t>
        </is>
      </c>
      <c r="T23" s="29" t="n"/>
    </row>
    <row r="24" ht="54" customHeight="1">
      <c r="A24" s="29" t="inlineStr">
        <is>
          <t>marbella:ispanyolca-bilmeyen-cocuk-icin-okulda-dil-destegi-atal-proa-ave</t>
        </is>
      </c>
      <c r="B24" s="29" t="inlineStr">
        <is>
          <t>marbella</t>
        </is>
      </c>
      <c r="C24" s="29" t="inlineStr">
        <is>
          <t>ispanyolca-bilmeyen-cocuk-icin-okulda-dil-destegi-atal-proa-ave</t>
        </is>
      </c>
      <c r="D24" s="29" t="inlineStr">
        <is>
          <t>Okulda İspanyolca bilmeyen çocuğa destek var mı: ATAL sınıfları, öğleden sonra dil programı ve ücretsiz Aula Virtual de Español nedir?</t>
        </is>
      </c>
      <c r="E24" s="29" t="inlineStr">
        <is>
          <t>ATAL okul saatinde özel öğretmenle; öğleden sonra dil programı PROA kapsamında; AVE dört seviyeli, Instituto Cervantes ortaklığı, ücretsiz</t>
        </is>
      </c>
      <c r="F24" s="29" t="inlineStr">
        <is>
          <t>Endülüs eğitim sistemi, yaşadığı yer ne olursa olsun herkese ücretsiz eğitime erişim güvencesi verir ve yabancı çocuğa üç destek sunar. Aulas Temporales de Adaptación Lingüística (ATAL), İspanyolca bilmeyen yabancı öğrenciye okul saatinde özel öğretmenle dil öğretir ve ilkokul ile ortaöğretim okullarında yürütülür. Programa hangi okulların katılacağını her eğitim yılı başında il eğitim delegasyonları belirler; Málaga için Delegación Territorial de Educación en Málaga bu iş için başvuracağın adrestir. Programas de Apoyo Lingüístico para Inmigrantes öğleden sonra yapılan ders dışı etkinliklerdir ve PROA Andalucía kapsamındadır. Aula Virtual de Español (AVE) ise okulun bir öğretmeninin gözetiminde internetten yapılan, Instituto Cervantes ortaklığında sunulan dört seviyeli ücretsiz kurstur.</t>
        </is>
      </c>
      <c r="G24" s="29" t="inlineStr">
        <is>
          <t>ATAL, İspanyolca desteği, yabancı öğrenci, PROA Andalucía, Aula Virtual de Español, Instituto Cervantes, dil desteği</t>
        </is>
      </c>
      <c r="H24" s="29" t="inlineStr">
        <is>
          <t>new</t>
        </is>
      </c>
      <c r="I24" s="29" t="inlineStr">
        <is>
          <t>marbella:kaynak:173;marbella:kaynak:174</t>
        </is>
      </c>
      <c r="J24" s="49" t="n">
        <v>46323</v>
      </c>
      <c r="K24" s="51" t="n">
        <v>911</v>
      </c>
      <c r="L24" s="29" t="inlineStr">
        <is>
          <t>Hayır</t>
        </is>
      </c>
      <c r="M24" s="29" t="inlineStr">
        <is>
          <t>Taslak</t>
        </is>
      </c>
      <c r="N24" s="29" t="inlineStr">
        <is>
          <t>marbella:aile</t>
        </is>
      </c>
      <c r="O24" s="29" t="inlineStr">
        <is>
          <t>Okul kaydında çocuğun İspanyolca bilmediğini okula söyle; ATAL yalnız bu programa katılan ilkokul ve ortaöğretim okullarında vardır.
Hangi okulun ATAL'a katıldığını öğrenmek için Málaga'daki Delegación Territorial de Educación'a (Avenida de la Aurora 47, 29071 Málaga) başvur; telefon 951 038 000.
Genel bilgi için 012 ya da 955 012 012 numaralı Junta bilgi hattını ara.
Okul saatinden sonra destek için Programas de Apoyo Lingüístico para Inmigrantes sorusunu okula sor.
Uzaktan öğrenmek istiyorsan Aula Virtual de Español'e okulunun tutor öğretmeni aracılığıyla kaydol.</t>
        </is>
      </c>
      <c r="P24" s="29" t="inlineStr">
        <is>
          <t>Okulun AVE için görevlendireceği tutor öğretmenle görüşme</t>
        </is>
      </c>
      <c r="Q24" s="29" t="inlineStr">
        <is>
          <t>ATAL okul saatinde yürütülür; öğleden sonra dil programları ders dışı etkinliktir.</t>
        </is>
      </c>
      <c r="R24" s="29" t="inlineStr">
        <is>
          <t>Aula Virtual de Español ücretsizdir.</t>
        </is>
      </c>
      <c r="S24" s="29" t="n"/>
      <c r="T24" s="29" t="n"/>
    </row>
    <row r="25" ht="54" customHeight="1">
      <c r="A25" s="29" t="inlineStr">
        <is>
          <t>marbella:marbella-registro-civil-dogum-kaydi-adres-telefon-ve-saatler</t>
        </is>
      </c>
      <c r="B25" s="29" t="inlineStr">
        <is>
          <t>marbella</t>
        </is>
      </c>
      <c r="C25" s="29" t="inlineStr">
        <is>
          <t>marbella-registro-civil-dogum-kaydi-adres-telefon-ve-saatler</t>
        </is>
      </c>
      <c r="D25" s="29" t="inlineStr">
        <is>
          <t>Marbella'da doğan çocuğun doğum kaydı için hangi Registro Civil ofisine gidilir, adres, telefon ve saatler nedir?</t>
        </is>
      </c>
      <c r="E25" s="29" t="inlineStr">
        <is>
          <t>Oficina General del Registro Civil, Avda. Arias de Velasco 15, 29601 Marbella; hafta içi 09:00–13:00; telefon 951 914 357</t>
        </is>
      </c>
      <c r="F25" s="29" t="inlineStr">
        <is>
          <t>Marbella'da doğum kaydı için başvuracağın yer Oficina General del Registro Civil de Marbella'dır: Avda. Arias de Velasco 15, 29601 Marbella. Ofis hafta içi 09:00–13:00 arasında açıktır. Telefonla 951 914 357 ya da 662 979 824 numaralarından, e-postayla registrocivil.marbella@justicia.es adresinden ulaşılır. Adres ve telefon Adalet Bakanlığı'nın dizininde de aynıdır; dizin sayfasında cita previa (randevu) bilgisi için ayrı bir bağlantı bulunur.</t>
        </is>
      </c>
      <c r="G25" s="29" t="inlineStr">
        <is>
          <t>doğum kaydı, Registro Civil, Marbella, nüfus kaydı, cita previa, doğum, yenidoğan</t>
        </is>
      </c>
      <c r="H25" s="29" t="inlineStr">
        <is>
          <t>new</t>
        </is>
      </c>
      <c r="I25" s="29" t="inlineStr">
        <is>
          <t>marbella:kaynak:179;marbella:kaynak:180</t>
        </is>
      </c>
      <c r="J25" s="49" t="n">
        <v>46323</v>
      </c>
      <c r="K25" s="51" t="n">
        <v>912</v>
      </c>
      <c r="L25" s="29" t="inlineStr">
        <is>
          <t>Hayır</t>
        </is>
      </c>
      <c r="M25" s="29" t="inlineStr">
        <is>
          <t>Taslak</t>
        </is>
      </c>
      <c r="N25" s="29" t="inlineStr">
        <is>
          <t>marbella:aile</t>
        </is>
      </c>
      <c r="O25" s="29" t="inlineStr">
        <is>
          <t>Doğumdan sonra Avda. Arias de Velasco 15'teki Registro Civil ofisini ara (951 914 357 ya da 662 979 824) ve işlem için randevu şartını sor.
Randevu bilgisi için Adalet Bakanlığı dizin sayfasındaki cita previa bağlantısını kullan.
Yazılı soru için registrocivil.marbella@justicia.es adresine e-posta gönder.
Ofise hafta içi 09:00–13:00 arasında git.</t>
        </is>
      </c>
      <c r="P25" s="29" t="n"/>
      <c r="Q25" s="29" t="inlineStr">
        <is>
          <t>Ofis hafta içi 09:00–13:00 açıktır.</t>
        </is>
      </c>
      <c r="R25" s="29" t="n"/>
      <c r="S25" s="29" t="n"/>
      <c r="T25" s="29" t="n"/>
    </row>
    <row r="26" ht="54" customHeight="1">
      <c r="A26" s="29" t="inlineStr">
        <is>
          <t>marbella:endulus-dogum-ve-evlat-edinme-gelir-vergisi-indirimi-200-euro</t>
        </is>
      </c>
      <c r="B26" s="29" t="inlineStr">
        <is>
          <t>marbella</t>
        </is>
      </c>
      <c r="C26" s="29" t="inlineStr">
        <is>
          <t>endulus-dogum-ve-evlat-edinme-gelir-vergisi-indirimi-200-euro</t>
        </is>
      </c>
      <c r="D26" s="29" t="inlineStr">
        <is>
          <t>Çocuğum doğarsa ya da evlat edinirsem Endülüs'te gelir vergisinde ne kadar indirim alırım, gelir sınırı nedir?</t>
        </is>
      </c>
      <c r="E26" s="29" t="inlineStr">
        <is>
          <t>Çocuk başına 200 € (despoblación sorunu olan belediyede 400 €); gelir sınırı bireysel 25.000 €, ortak beyanda 30.000 €</t>
        </is>
      </c>
      <c r="F26" s="29" t="inlineStr">
        <is>
          <t>Endülüs'te vergi mükellefi, doğum, evlat edinme ya da aile yanında bakım (acogimiento familiar) yılında özerk bölge gelir vergisi (IRPF) borcundan çocuk başına 200 € indirim alır. Despoblación (nüfus kaybı) sorunu olan bir belediyede oturuyorsan indirim 400 €'dur. Çoğul doğum, evlat edinme ya da aile yanında bakımda her çocuk için 200 € eklenir. İndirimden yararlanmak için genel ve tasarruf matrahlarının toplamı bireysel beyanda 25.000 €'yu, ortak beyanda 30.000 €'yu aşmamalıdır. İndirime hak kazanan iki mükellef varsa tutar eşit bölünür. Bu indirim, uluslararası evlat edinme indirimi ve çok çocuklu aile indirimiyle birlikte kullanılamaz. Aile yanında bakımda çocuğun yıl içinde mükellefle en az 90 gün birlikte yaşaması ve mükellefin bu bakımla ilgili Endülüs idaresinden yardım almamış olması gerekir.</t>
        </is>
      </c>
      <c r="G26" s="29" t="inlineStr">
        <is>
          <t>doğum indirimi, IRPF, Endülüs, deducción por nacimiento, evlat edinme, aile yardımı, gelir vergisi</t>
        </is>
      </c>
      <c r="H26" s="29" t="inlineStr">
        <is>
          <t>new;settled</t>
        </is>
      </c>
      <c r="I26" s="29" t="inlineStr">
        <is>
          <t>marbella:kaynak:182</t>
        </is>
      </c>
      <c r="J26" s="49" t="n">
        <v>46323</v>
      </c>
      <c r="K26" s="51" t="n">
        <v>913</v>
      </c>
      <c r="L26" s="29" t="inlineStr">
        <is>
          <t>Hayır</t>
        </is>
      </c>
      <c r="M26" s="29" t="inlineStr">
        <is>
          <t>Taslak</t>
        </is>
      </c>
      <c r="N26" s="29" t="inlineStr">
        <is>
          <t>marbella:aile</t>
        </is>
      </c>
      <c r="O26" s="29" t="inlineStr">
        <is>
          <t>Çocuğun doğduğu, evlat edinildiği ya da aile yanına alındığı yılın gelir vergisi beyannamesinde Endülüs bölge indirimini kullan.
Genel ve tasarruf matrahlarının toplamının 25.000 € (bireysel) ya da 30.000 € (ortak beyan) sınırını aşmadığından emin ol.
İndirime hak kazanan iki kişi varsa tutarın eşit bölüneceğini hesaba kat.
Çok çocuklu aile ya da uluslararası evlat edinme indirimini kullanıyorsan bu indirimin onlarla birleşmediğini bil.</t>
        </is>
      </c>
      <c r="P26" s="29" t="inlineStr">
        <is>
          <t>Doğum, evlat edinme ya da aile yanında bakım belgesi</t>
        </is>
      </c>
      <c r="Q26" s="29" t="inlineStr">
        <is>
          <t>İndirim, doğum, evlat edinme ya da aile yanında bakımın gerçekleştiği vergi döneminde uygulanır.</t>
        </is>
      </c>
      <c r="R26" s="29" t="inlineStr">
        <is>
          <t>Çocuk başına 200 € (despoblación sorunu olan belediyede 400 €); çoğul doğum, evlat edinme ya da bakımda her çocuk için 200 € ek.</t>
        </is>
      </c>
      <c r="S26" s="29" t="inlineStr">
        <is>
          <t>400 € yalnızca nüfus kaybı sorunu olan belediyelerde oturanlara uygulanır.</t>
        </is>
      </c>
      <c r="T26" s="29" t="n"/>
    </row>
    <row r="27" ht="54" customHeight="1">
      <c r="A27" s="29" t="inlineStr">
        <is>
          <t>marbella:kira-sozlesmesi-suresi-ve-uzama</t>
        </is>
      </c>
      <c r="B27" s="29" t="inlineStr">
        <is>
          <t>marbella</t>
        </is>
      </c>
      <c r="C27" s="29" t="inlineStr">
        <is>
          <t>kira-sozlesmesi-suresi-ve-uzama</t>
        </is>
      </c>
      <c r="D27" s="29" t="inlineStr">
        <is>
          <t>İspanya'da konut kira sözleşmesi en az kaç yıl sürer ve nasıl uzar?</t>
        </is>
      </c>
      <c r="E27" s="29" t="inlineStr">
        <is>
          <t>Konut kirasında en az süre 5 yıl (kiraya veren tüzel kişiyse 7); sözleşme yıllık uzar, kiracı 30 gün önceden bildirerek uzamayı durdurabilir</t>
        </is>
      </c>
      <c r="F27" s="29" t="inlineStr">
        <is>
          <t>Konut kira sözleşmesinde en az süre kural olarak 5 yıldır (kiraya veren tüzel kişiyse 7 yıl): taraflar süreyi özgürce belirler, ancak süre bundan kısa yazılırsa vade gününde sözleşme, bu en az süreye ulaşana dek yıllık dönemlerle zorunlu olarak uzar. İstisnalar vardır. Kiraya veren gerçek kişiyse ve sözleşmeye baştan açıkça, kendisi ya da birinci derece (kan ya da evlat edinme yoluyla) yakınları için (kesinleşmiş ayrılık, boşanma ya da evlilik iptali kararı hâlinde eşi için de) evi kalıcı konut olarak ihtiyaç duyduğunu yazmışsa, ilk yıldan sonra nedenini belirterek en az 2 ay önceden bildirip evi geri isteyebilir; bu durumda zorunlu uzama işlemez (md. 9.3). Kiraya veren ya da yakınları evi çıkıştan sonraki 3 ay içinde kullanmazsa kiracı 30 gün içinde eve geri konulmayı ya da tazminat almayı seçebilir. Geçici konut sözleşmeleri (kiracının asıl evinden haklı ve belgelenebilir bir nedenle geçici olarak ayrı kaldığı dönemde konut ihtiyacını karşılayan kira) bu en az süre kurallarına tabi değildir; süreleri 31 günden uzun olmalı ve kural olarak 12 ayı aşmaz (md. 9 bis). Uzamasını istemiyorsan, en az süre dolana dek vade gününden en az 30 gün önce kiraya verene yenilemek istemediğini bildirirsin. Süre yazılmamışsa ya da belirsizse sözleşme bir yıllık sayılır ve yıllık uzatma hakkın yine geçerlidir. Geçici konut hükümleri 6 Ekim 2026 tarihli Real Decreto-ley 29/2026 ile geldi; kararname (Real Decreto-ley) olduğu için ileride değişebilir ve aynı hükmü getiren daha önceki Real Decreto-ley 26/2026 Meclis kararıyla kaldırılmıştı (2 Ekim 2026 tarihli Resolución). Kira yasası 2026'da değişiyor; bu kart 7 Ekim 2026 tarihli konsolide metne göre (yayım 7 Ekim, yürürlük 8 Ekim).</t>
        </is>
      </c>
      <c r="G27" s="29" t="inlineStr">
        <is>
          <t>kira sözleşmesi, alquiler, Ley de Arrendamientos Urbanos, LAU, kira süresi, prórroga, arrendamiento de vivienda</t>
        </is>
      </c>
      <c r="H27" s="29" t="inlineStr">
        <is>
          <t>planning;new</t>
        </is>
      </c>
      <c r="I27" s="29" t="inlineStr">
        <is>
          <t>marbella:kaynak:094</t>
        </is>
      </c>
      <c r="J27" s="49" t="n">
        <v>46319</v>
      </c>
      <c r="K27" s="51" t="n">
        <v>9066</v>
      </c>
      <c r="L27" s="29" t="inlineStr">
        <is>
          <t>Hayır</t>
        </is>
      </c>
      <c r="M27" s="29" t="inlineStr">
        <is>
          <t>Taslak</t>
        </is>
      </c>
      <c r="N27" s="29" t="inlineStr">
        <is>
          <t>marbella:ev</t>
        </is>
      </c>
      <c r="O27" s="29" t="inlineStr">
        <is>
          <t>Sözleşmedeki süreye bak: taraflar süreyi özgürce belirler; süre 5 yıldan (kiraya veren tüzel kişiyse 7 yıldan) kısaysa vade gününde sözleşme en az süreye ulaşana dek yıllık dönemlerle zorunlu olarak uzar.
Kiraya veren gerçek kişiyse, sözleşmede kendisi ya da birinci derece yakınları için evi kalıcı konut olarak isteme ihtiyacının baştan açıkça yazılıp yazılmadığına bak; yazılmışsa ilk yıldan sonra, nedeni belirtilerek en az 2 ay önceden yapılan bildirimle ev geri istenebilir ve zorunlu uzama işlemez.
Sürenin sözleşme tarihinden ya da ev sana teslim edildiği tarihten (hangisi sonraysa) başladığını bil; teslim tarihini ispat etmek kiracıya düşer, bu yüzden teslim tarihini gösteren bir kayıt tut.
En az süre dolmadan gelen bir vade gününde uzamak istemiyorsan, sözleşmenin bitiş tarihinden ya da yıllık uzamalardan birinin bitişinden en az 30 gün önce kiraya verene yenilemek istemediğini bildir.
Sözleşmede süre yazmıyorsa ya da süre belirsizse, sözleşmenin bir yıllık yapıldığını bil; yıllık uzatma hakkın bu durumda da geçerlidir.
Geçici konut sözleşmesi yapıyorsan en az süre kuralının işlemediğini bil: süre 31 günden uzun olmalı ve kural olarak 12 ayı aşmaz.</t>
        </is>
      </c>
      <c r="P27" s="29" t="n"/>
      <c r="Q27" s="29" t="inlineStr">
        <is>
          <t>Kira yasası 2026'da değişiyor; bu kart 7 Ekim 2026 tarihli konsolide metne göre (yayım 7 Ekim, yürürlük 8 Ekim). Geçici konut hükümleri (md. 2.3, 9.4, 9 bis) 6 Ekim 2026 tarihli Real Decreto-ley 29/2026 ile geldi; kararname (Real Decreto-ley) olduğu için ileride değişebilir. En az süre 5 yıl (kiraya veren tüzel kişiyse 7 yıl); uzamayı durdurma bildirimi vade gününden en az 30 gün önce.</t>
        </is>
      </c>
      <c r="R27" s="29" t="n"/>
      <c r="S27" s="29" t="n"/>
      <c r="T27" s="29" t="n"/>
    </row>
    <row r="28" ht="54" customHeight="1">
      <c r="A28" s="29" t="inlineStr">
        <is>
          <t>marbella:kira-depozitosu-fianza-ve-iade</t>
        </is>
      </c>
      <c r="B28" s="29" t="inlineStr">
        <is>
          <t>marbella</t>
        </is>
      </c>
      <c r="C28" s="29" t="inlineStr">
        <is>
          <t>kira-depozitosu-fianza-ve-iade</t>
        </is>
      </c>
      <c r="D28" s="29" t="inlineStr">
        <is>
          <t>İspanya'da kira depozitosu (fianza) ne kadardır ve nasıl geri alınır?</t>
        </is>
      </c>
      <c r="E28" s="29" t="inlineStr">
        <is>
          <t>Konutta fianza bir aylık kiradır; bakiye anahtar tesliminden bir ay sonra iade edilmemişse yasal faiz işler; fianza dışında ek güvence de kararlaştırılabilir</t>
        </is>
      </c>
      <c r="F28" s="29" t="inlineStr">
        <is>
          <t>Konutta fianza bir aylık kiradır ve sözleşme yapılırken para olarak verilmesi zorunludur. Sözleşme bitince iade edilecek bakiye, anahtarların tesliminden bir ay sonra hâlâ iade edilmemişse yasal faiz işler. Sözleşme bitince taraflar evin durumunu imzalı yazılı bir belgeyle kaydeder; belge hiç imzalanmazsa ya da belgede hiçbir kusur yazılmazsa, aksi ispatlanmadıkça ev uygun durumda teslim edilmiş sayılır. İlk 5 yıl (kiraya veren tüzel kişiyse ilk 7 yıl) fianza güncellenmez; her uzamada kiraya veren artırılmasını, kiracı azaltılmasını isteyebilir. Fianza dışında taraflar ek bir güvence kararlaştırabilir: konut sözleşmelerinde 5 yıla kadar (kiraya veren tüzel kişiyse 7 yıla kadar) süreli sözleşmede bu ek güvence en çok iki aylık kira, geçici kiralamalarda en çok bir aylık kiradır; kiracıdan kira ödememe sigortası ya da benzeri bir sigorta kapsamı yaptırması istenemez. Özerk bölgeler, kiraya verenin fianza'yı faizsiz olarak bölge idaresine ya da belirlenen kuruma yatırma zorunluluğu koyabilir; bu zorunluluk bölgeye göre değişir. Ek güvence sınırı ve çıkış belgesi 6 Ekim 2026 tarihli Real Decreto-ley 29/2026 ile geldi; kararname (Real Decreto-ley) olduğu için ileride değişebilir. Kira yasası 2026'da değişiyor; bu kart 7 Ekim 2026 tarihli konsolide metne göre (yayım 7 Ekim, yürürlük 8 Ekim).</t>
        </is>
      </c>
      <c r="G28" s="29" t="inlineStr">
        <is>
          <t>fianza, kira depozitosu, depozito iadesi, depósito de fianzas, alquiler, yasal faiz, LAU</t>
        </is>
      </c>
      <c r="H28" s="29" t="inlineStr">
        <is>
          <t>new;settled</t>
        </is>
      </c>
      <c r="I28" s="29" t="inlineStr">
        <is>
          <t>marbella:kaynak:094</t>
        </is>
      </c>
      <c r="J28" s="49" t="n">
        <v>46319</v>
      </c>
      <c r="K28" s="51" t="n">
        <v>9067</v>
      </c>
      <c r="L28" s="29" t="inlineStr">
        <is>
          <t>Hayır</t>
        </is>
      </c>
      <c r="M28" s="29" t="inlineStr">
        <is>
          <t>Taslak</t>
        </is>
      </c>
      <c r="N28" s="29" t="inlineStr">
        <is>
          <t>marbella:ev</t>
        </is>
      </c>
      <c r="O28" s="29" t="inlineStr">
        <is>
          <t>Sözleşmeyi imzalarken bir aylık kira tutarında fianza ver; konut kiralamada bu zorunludur.
Fianza dışında bir ek güvence kararlaştırılıyorsa sınırı bil: konutta 5 yıla kadar (kiraya veren tüzel kişiyse 7 yıla kadar) süreli sözleşmede en çok iki aylık kira, geçici kiralamalarda en çok bir aylık kira; kira ödememe sigortası ya da benzeri bir sigorta kapsamı yaptırman senden istenemez.
İlk 5 yıl (kiraya veren tüzel kişiyse ilk 7 yıl) fianza'nın güncellenmediğini bil; sözleşme uzadığında kiraya veren artırılmasını, sen azaltılmasını isteyebilirsin, tutar konutta bir aylık güncel kiraya eşitlenene dek.
Evden çıkarken evin durumunu iki tarafın imzaladığı yazılı bir belgeyle kaydet; belge imzalanmazsa ya da belgede kusur yazılmazsa, aksi ispatlanmadıkça ev uygun durumda teslim edilmiş sayılır.
Anahtarları teslim et ve teslim tarihini not et; iade edilecek fianza bakiyesi anahtar tesliminden bir ay sonra hâlâ ödenmemişse bu tutar yasal faiz işler.
Bölgende fianza'nın idareye yatırılması zorunluysa bu yükümlülük kiraya verene aittir; idare, sözleşmenin bitiminden bir ay sonra yatırılan tutarı iade etmezse tutar yasal faiz işler.</t>
        </is>
      </c>
      <c r="P28" s="29" t="n"/>
      <c r="Q28" s="29" t="inlineStr">
        <is>
          <t>Kira yasası 2026'da değişiyor; bu kart 7 Ekim 2026 tarihli konsolide metne göre (yayım 7 Ekim, yürürlük 8 Ekim). Ek güvence sınırı (md. 36.5) ve çıkış belgesi (md. 36.7) 6 Ekim 2026 tarihli Real Decreto-ley 29/2026 ile geldi; kararname (Real Decreto-ley) olduğu için ileride değişebilir. Faiz, anahtar tesliminden bir ay sonra başlar.</t>
        </is>
      </c>
      <c r="R28" s="29" t="inlineStr">
        <is>
          <t>Konutta fianza: bir aylık kira. Ek güvence (tarafların anlaşmasıyla): 5 yıla kadar (kiraya veren tüzel kişiyse 7 yıla kadar) süreli konut sözleşmesinde en çok iki aylık kira, geçici kiralamalarda en çok bir aylık kira.</t>
        </is>
      </c>
      <c r="S28" s="29" t="n"/>
      <c r="T28" s="29" t="n"/>
    </row>
    <row r="29" ht="54" customHeight="1">
      <c r="A29" s="29" t="inlineStr">
        <is>
          <t>marbella:kira-artisi-siniri-irav</t>
        </is>
      </c>
      <c r="B29" s="29" t="inlineStr">
        <is>
          <t>marbella</t>
        </is>
      </c>
      <c r="C29" s="29" t="inlineStr">
        <is>
          <t>kira-artisi-siniri-irav</t>
        </is>
      </c>
      <c r="D29" s="29" t="inlineStr">
        <is>
          <t>İspanya'da ev sahibi kirayı yılda en çok ne kadar artırabilir?</t>
        </is>
      </c>
      <c r="E29" s="29" t="inlineStr">
        <is>
          <t>Artış son yayımlanmış IRAV değişimini aşamaz; yalnız sözleşmede açıkça yazılıysa ve yıldönümünde yapılır; IRAV her ay yayımlanır</t>
        </is>
      </c>
      <c r="F29" s="29" t="inlineStr">
        <is>
          <t>Güncelleme yapılsa bile kira artışı, güncelleme tarihinde yayımlanmış son IRAV endeksinin yüzde değişimini aşamaz. Kira yalnızca sözleşmenin her yıldönümünde ve sözleşmede kararlaştırılan biçimde güncellenebilir; sözleşmede açık bir güncelleme anlaşması yoksa güncelleme uygulanmaz. IRAV'ı INE hesaplar; INE'ye göre 26 Mayıs 2023'ten sonra imzalanan sözleşmeler IRAV'a göre güncellenir, bu kart bu sözleşmeler içindir. INE sayfasında IRAV için son veri Eylül 2026'dır (14/10/2026'da yayımlandı) ve yıllık değişim %2,54'tür; bu değer her ay değişir. Konut piyasası gergin ilan edilen bölgelerde kira için ayrıca kurallar vardır; böyle bir ilanın olup olmadığı bölgeye göre değişir. Kira yasası 2026'da değişiyor; bu kart 7 Ekim 2026 tarihli konsolide metne göre (yayım 7 Ekim, yürürlük 8 Ekim). Md. 18.1, 6 Ekim 2026 tarihli Real Decreto-ley 29/2026 (art. 3.11) ile değiştirilmiştir; aynı maddeyi değiştiren daha önceki Real Decreto-ley 26/2026 (29 Eylül 2026) ise Meclisin kararnameyi yürürlükten kaldırmasıyla (2 Ekim 2026 tarihli Resolución) geçersiz kılındı. Kararnameyle yapılan değişikliğin kalıcılığı bu nedenle kesin değildir.</t>
        </is>
      </c>
      <c r="G29" s="29" t="inlineStr">
        <is>
          <t>kira artışı, IRAV, kira güncelleme, actualización de la renta, INE, zona tensionada, alquiler</t>
        </is>
      </c>
      <c r="H29" s="29" t="inlineStr">
        <is>
          <t>settled</t>
        </is>
      </c>
      <c r="I29" s="29" t="inlineStr">
        <is>
          <t>marbella:kaynak:094;marbella:kaynak:095</t>
        </is>
      </c>
      <c r="J29" s="49" t="n">
        <v>46319</v>
      </c>
      <c r="K29" s="51" t="n">
        <v>9068</v>
      </c>
      <c r="L29" s="29" t="inlineStr">
        <is>
          <t>Hayır</t>
        </is>
      </c>
      <c r="M29" s="29" t="inlineStr">
        <is>
          <t>Taslak</t>
        </is>
      </c>
      <c r="N29" s="29" t="inlineStr">
        <is>
          <t>marbella:ev</t>
        </is>
      </c>
      <c r="O29" s="29" t="inlineStr">
        <is>
          <t>Sözleşmende kira güncelleme maddesi olup olmadığına bak; açık bir anlaşma yoksa kira güncellenmez.
Güncelleme maddesi var ama endeks ya da yöntem yazmıyorsa kira IRAV'ın yıllık değişimine göre güncellenir; her durumda artış IRAV'ın yüzde değişimini aşamaz.
Referans ay olarak, güncelleme tarihinde yayımlanmış son endeksin ayı alınır; güncelleme sözleşmenin yıldönümünde yapılabilir.
Güncellenen kira, ilgili tarafın karşı tarafa yazılı bildirmesinden sonraki aydan itibaren istenebilir; kiracı isterse bildirime INE'nin uygun belgesi eklenir.
Bildirim, önceki ayın kira makbuzuna yazılan bir notla da geçerli biçimde yapılabilir.</t>
        </is>
      </c>
      <c r="P29" s="29" t="n"/>
      <c r="Q29" s="29" t="inlineStr">
        <is>
          <t>IRAV değeri her ay değişir: INE sayfasında son veri Eylül 2026 (14/10/2026'da yayımlandı), yıllık değişim %2,54. Kira yasası 2026'da değişiyor; bu kart 7 Ekim 2026 tarihli konsolide metne göre (yayım 7 Ekim, yürürlük 8 Ekim). Md. 18.1, 6 Ekim 2026 tarihli Real Decreto-ley 29/2026 ile değiştirilmiştir; daha önceki Real Decreto-ley 26/2026'nın aynı maddeye ilişkin değişikliği Meclis kararıyla kaldırıldı, bu yüzden kararnameyle yapılan değişikliğin kalıcılığı kesin değildir.</t>
        </is>
      </c>
      <c r="R29" s="29" t="n"/>
      <c r="S29" s="29" t="inlineStr">
        <is>
          <t>Konut piyasası gergin ilan edilen bölgelerde kira için ayrıca kurallar vardır; ilanın olup olmadığı bölgeye göre değişir.</t>
        </is>
      </c>
      <c r="T29" s="29" t="n"/>
    </row>
    <row r="30" ht="54" customHeight="1">
      <c r="A30" s="29" t="inlineStr">
        <is>
          <t>marbella:kirada-onarim-ve-hasar-sorumlulugu</t>
        </is>
      </c>
      <c r="B30" s="29" t="inlineStr">
        <is>
          <t>marbella</t>
        </is>
      </c>
      <c r="C30" s="29" t="inlineStr">
        <is>
          <t>kirada-onarim-ve-hasar-sorumlulugu</t>
        </is>
      </c>
      <c r="D30" s="29" t="inlineStr">
        <is>
          <t>İspanya'da kirada onarım masrafını kim öder?</t>
        </is>
      </c>
      <c r="E30" s="29" t="inlineStr">
        <is>
          <t>Yaşanabilirlik için gerekli onarımlar ev sahibine; olağan kullanımdan doğan küçük onarımlar konut kirasında kiracıya, geçici konutta ev sahibine aittir</t>
        </is>
      </c>
      <c r="F30" s="29" t="inlineStr">
        <is>
          <t>Evi yaşanabilir durumda tutmak için gereken onarımları ev sahibi yapar; konut kira sözleşmesinde bunun için kirayı artıramaz. Olağan kullanımdan doğan aşınmanın gerektirdiği küçük onarımlar konut kira sözleşmesinde kiracıya aittir; geçici konut sözleşmesinde ise bu küçük onarımlar da ev sahibine aittir (md. 21 bis). Bozulma İspanyol Medeni Kanunu'nun (Código Civil) 1563 ve 1564. maddelerine göre kiracıya yüklenebiliyorsa, o onarım ev sahibinin yükümlülüğü dışında kalır. Konut kira sözleşmesinde kiracı onarım gerektiğini en kısa sürede ev sahibine bildirir; yakın bir zarar ya da ağır bir rahatsızlık varsa ev sahibine haber vererek acil onarımı kendisi yaptırıp tutarını hemen ev sahibinden isteyebilir. Geçici konutta kiracı onarımı yine en kısa sürede bildirir; ev sahibi en çok 5 iş günü içinde yanıt vermek zorundadır, yanıt gelmezse kiracı gerekli onarımları yaptırıp tutarını hemen ev sahibinden isteyebilir; ödenmezse gerekçesini bildirdikten sonra tutarı ertesi ayın kirasından düşebilir. Geçici konut hükümleri 6 Ekim 2026 tarihli Real Decreto-ley 29/2026 ile geldi; kararname (Real Decreto-ley) olduğu için ileride değişebilir. Kira yasası 2026'da değişiyor; bu kart 7 Ekim 2026 tarihli konsolide metne göre (yayım 7 Ekim, yürürlük 8 Ekim).</t>
        </is>
      </c>
      <c r="G30" s="29" t="inlineStr">
        <is>
          <t>kira onarım, hasar sorumluluğu, conservación de la vivienda, pequeñas reparaciones, ev sahibi, kiracı, habitabilidad</t>
        </is>
      </c>
      <c r="H30" s="29" t="inlineStr">
        <is>
          <t>settled</t>
        </is>
      </c>
      <c r="I30" s="29" t="inlineStr">
        <is>
          <t>marbella:kaynak:094</t>
        </is>
      </c>
      <c r="J30" s="49" t="n">
        <v>46319</v>
      </c>
      <c r="K30" s="51" t="n">
        <v>9069</v>
      </c>
      <c r="L30" s="29" t="inlineStr">
        <is>
          <t>Hayır</t>
        </is>
      </c>
      <c r="M30" s="29" t="inlineStr">
        <is>
          <t>Taslak</t>
        </is>
      </c>
      <c r="N30" s="29" t="inlineStr">
        <is>
          <t>marbella:ev</t>
        </is>
      </c>
      <c r="O30" s="29" t="inlineStr">
        <is>
          <t>Onarım gerektiğini fark ettiğinde en kısa sürede ev sahibine bildir.
Konut kira sözleşmesinde ev sahibinin kendisinin ya da görevlendirdiği teknisyenlerin evin durumunu doğrudan görmesine izin ver.
Konut kira sözleşmesinde yaşanabilirlik için gereken onarımı ev sahibinden bekle; bunun için kira artırılamaz.
Konut kira sözleşmesinde olağan kullanımdan doğan aşınmanın gerektirdiği küçük onarımları kendin üstlen; geçici konut sözleşmesinde bunlar da ev sahibine aittir.
Konut kira sözleşmesinde yakın bir zarar ya da ağır bir rahatsızlığı önlemek için acil onarım gerekiyorsa, ev sahibine önceden haber vererek onarımı yaptır ve tutarını hemen ev sahibinden iste.
Geçici konutta ev sahibi 5 iş günü içinde yanıt vermezse gerekli onarımları yaptırabilir, tutarı hemen ev sahibinden isteyebilirsin; ödemezse gerekçeni bildirip ertesi ayın kirasından düşebilirsin.</t>
        </is>
      </c>
      <c r="P30" s="29" t="n"/>
      <c r="Q30" s="29" t="inlineStr">
        <is>
          <t>Kira yasası 2026'da değişiyor; bu kart 7 Ekim 2026 tarihli konsolide metne göre (yayım 7 Ekim, yürürlük 8 Ekim). Geçici konut hükümleri (md. 21 bis) 6 Ekim 2026 tarihli Real Decreto-ley 29/2026 ile geldi; kararname (Real Decreto-ley) olduğu için ileride değişebilir.</t>
        </is>
      </c>
      <c r="R30" s="29" t="n"/>
      <c r="S30" s="29" t="inlineStr">
        <is>
          <t>Bozulma kiracıya yüklenebiliyorsa (İspanyol Código Civil md. 1563 ve 1564) ev sahibi o onarımı yapmak zorunda değildir.</t>
        </is>
      </c>
      <c r="T30" s="29" t="n"/>
    </row>
    <row r="31" ht="54" customHeight="1">
      <c r="A31" s="29" t="inlineStr">
        <is>
          <t>marbella:kiralik-evden-cikis-ve-ihbar-suresi</t>
        </is>
      </c>
      <c r="B31" s="29" t="inlineStr">
        <is>
          <t>marbella</t>
        </is>
      </c>
      <c r="C31" s="29" t="inlineStr">
        <is>
          <t>kiralik-evden-cikis-ve-ihbar-suresi</t>
        </is>
      </c>
      <c r="D31" s="29" t="inlineStr">
        <is>
          <t>İspanya'da kiracı sözleşme bitmeden evden çıkabilir mi?</t>
        </is>
      </c>
      <c r="E31" s="29" t="inlineStr">
        <is>
          <t>Evet: konut kiracısı en az altı ay geçtikten sonra, kiraya verene en az 30 gün önceden bildirerek çıkabilir (geçici konutta: bir ay sonra, 10 gün önceden)</t>
        </is>
      </c>
      <c r="F31" s="29" t="inlineStr">
        <is>
          <t>Evet. Konut kiracısı, en az altı ay geçtikten sonra kiraya verene en az 30 gün önceden bildirmek koşuluyla kira sözleşmesinden çıkabilir (desistimiento; md. 11.1). Geçici konut sözleşmesinde çıkış, sözleşmenin yapılmasından en az bir ay sonra ve kiraya verene en az 10 gün önceden bildirmekle yapılır; bu hüküm 6 Ekim 2026 tarihli Real Decreto-ley 29/2026 ile geldi, kararname (Real Decreto-ley) olduğu için ileride değişebilir. Sözleşmenin ilk 5 yılında (kiraya veren tüzel kişiyse ilk 7 yılında) bir vade gününde ayrılmak istiyorsan, uzamayı durdurmak için vade gününden en az 30 gün önce yenilemek istemediğini bildirirsin (md. 9.1). Bugünkü metne göre (8 Ekim 2026'dan beri yürürlükte) 5 yıl (kiraya veren tüzel kişiyse 7 yıl) dolduktan sonraki vadelerde md. 10.1 geçerlidir: yenilememe isteğini kiracı en az 2 ay önceden bildirir; sonraki yıllık uzamaların bitişinde bu süre 1 aydır. 15 Kasım 2026'dan itibaren ise md. 10.1, 6 Ekim 2026 tarihli Real Decreto-ley 28/2026 ile yeni bir metne bağlanıyor ve bugünkü metnin yerine geçiyor: 5 yıl (tüzel kişi kiraya verende 7 yıl) sonrasında yenilememe bildirimini kiraya veren en az 6 ay, kiracı en az 2 ay önceden yapar; bildirim yapılmazsa sözleşme yıllık değil, 5'er (tüzel kişi kiraya verende 7'şer) yıllık sürelerle kendiliğinden uzar. Kiraya veren yenilememeyi geçerli biçimde bildirirse, kanunda sayılan istisnalar dışında kiracıya tazminat ödemek zorundadır. Bu değişikliklerin kalıcılığı kesin değildir: md. 10 ve md. 11 için daha önce çıkan 26/2026 ve 27/2026 sayılı kararnamelerin değişiklikleri, Meclisin bu kararnameleri yürürlükten kaldırması üzerine 2 Ekim 2026 tarihli Resolución'larla geçersiz kılındı. Kiraya veren, çıkıştan sonra iade etmesi gereken fianza bakiyesini anahtar tesliminden itibaren bir ay içinde iade etmezse bakiye yasal faiz işler. Kira yasası 2026'da değişiyor; bu kart 7 Ekim 2026 tarihli konsolide metne göre (yayım 7 Ekim, yürürlük 8 Ekim).</t>
        </is>
      </c>
      <c r="G31" s="29" t="inlineStr">
        <is>
          <t>evden çıkış, erken çıkış, desistimiento, ihbar süresi, kira feshi, alquiler, anahtar teslimi</t>
        </is>
      </c>
      <c r="H31" s="29" t="inlineStr">
        <is>
          <t>settled</t>
        </is>
      </c>
      <c r="I31" s="29" t="inlineStr">
        <is>
          <t>marbella:kaynak:094</t>
        </is>
      </c>
      <c r="J31" s="49" t="n">
        <v>46319</v>
      </c>
      <c r="K31" s="51" t="n">
        <v>9070</v>
      </c>
      <c r="L31" s="29" t="inlineStr">
        <is>
          <t>Hayır</t>
        </is>
      </c>
      <c r="M31" s="29" t="inlineStr">
        <is>
          <t>Taslak</t>
        </is>
      </c>
      <c r="N31" s="29" t="inlineStr">
        <is>
          <t>marbella:ev</t>
        </is>
      </c>
      <c r="O31" s="29" t="inlineStr">
        <is>
          <t>En az altı ay geçtiğinden emin ol; konut kira sözleşmesinde çıkış hakkı bu süre geçtikten sonra kullanılır (geçici konutta bir ay).
Kiraya verene çıkmak istediğini, çıkış tarihinden en az 30 gün önce bildir (geçici konutta en az 10 gün önce).
Sözleşmenin ilk 5 yılında (kiraya veren tüzel kişiyse ilk 7 yılında) bir vade gününde ayrılıyorsan, vade gününden en az 30 gün önce yenilemek istemediğini kiraya verene bildir; 5 yıl (7 yıl) dolduktan sonraki vadelerde bu bildirim kiracı için en az 2 ay önce yapılır. 15 Kasım 2026'dan sonra bu vadelerde sözleşme yıllık değil 5'er (tüzel kişi kiraya verende 7'şer) yıllık sürelerle kendiliğinden uzar; kiracının bildirimi yine en az 2 ay önce yapılır.
Anahtarları teslim ederken teslim tarihini not et; fianza bakiyesi bir ay içinde iade edilmezse yasal faiz işler.</t>
        </is>
      </c>
      <c r="P31" s="29" t="n"/>
      <c r="Q31" s="29" t="inlineStr">
        <is>
          <t>Kira yasası 2026'da değişiyor; bu kart 7 Ekim 2026 tarihli konsolide metne göre (yayım 7 Ekim, yürürlük 8 Ekim). Geçici konutta çıkış hükümü (md. 11.2) 6 Ekim 2026 tarihli Real Decreto-ley 29/2026 ile geldi; kararname (Real Decreto-ley) olduğu için ileride değişebilir; aynı konudaki önceki kararname (Real Decreto-ley 26/2026) Meclis kararıyla kaldırılmıştır. Md. 10.1'in yeni metni 15 Kasım 2026'da yürürlüğe girer (Real Decreto-ley 28/2026). Konutta çıkış bildirimi en az 30 gün önce; çıkış hakkı en az altı ay geçtikten sonra.</t>
        </is>
      </c>
      <c r="R31" s="29" t="n"/>
      <c r="S31" s="29" t="n"/>
      <c r="T31" s="29" t="n"/>
    </row>
    <row r="32" ht="54" customHeight="1">
      <c r="A32" s="29" t="inlineStr">
        <is>
          <t>marbella:kiralik-ilan-dolandiriciligini-tanima</t>
        </is>
      </c>
      <c r="B32" s="29" t="inlineStr">
        <is>
          <t>marbella</t>
        </is>
      </c>
      <c r="C32" s="29" t="inlineStr">
        <is>
          <t>kiralik-ilan-dolandiriciligini-tanima</t>
        </is>
      </c>
      <c r="D32" s="29" t="inlineStr">
        <is>
          <t>Ev ararken sahte kiralık ilan dolandırıcılığını nasıl tanırsın?</t>
        </is>
      </c>
      <c r="E32" s="29" t="inlineStr">
        <is>
          <t>Çok düşük fiyat, kopya fotoğraf, evi gösteremeyen yurtdışındaki ev sahibi, aracıyla anahtar teslimi ve acele anonim ödeme isteği uyarı işaretidir</t>
        </is>
      </c>
      <c r="F32" s="29" t="inlineStr">
        <is>
          <t>INCIBE'ye göre sahte kiralık ilanların başlıca işaretleri şunlardır: bölgedeki benzer evlere göre çok düşük fiyat, başka siteden kopyalanmış ya da başka ilanlarda da görülen fotoğraflar, yurtdışında oturduğu için evi şahsen gösteremeyen ev sahibi, anahtar ya da sözleşme teslimi için aracı önerilmesi ve acele ettirilme. MoneyGram ya da Western Union gibi anonim para gönderme hizmetiyle ödeme istenirse ya da ev sahibi görünen kişinin uyruğuyla aynı ülkeden olmayan bir bankaya havale istenirse süreci sürdürme.</t>
        </is>
      </c>
      <c r="G32" s="29" t="inlineStr">
        <is>
          <t>kiralık ilan dolandırıcılığı, estafa alquiler, sahte ilan, INCIBE, MoneyGram, Western Union, ev arama</t>
        </is>
      </c>
      <c r="H32" s="29" t="inlineStr">
        <is>
          <t>planning;new</t>
        </is>
      </c>
      <c r="I32" s="29" t="inlineStr">
        <is>
          <t>marbella:kaynak:096;marbella:kaynak:094</t>
        </is>
      </c>
      <c r="J32" s="49" t="n">
        <v>46319</v>
      </c>
      <c r="K32" s="51" t="n">
        <v>9071</v>
      </c>
      <c r="L32" s="29" t="inlineStr">
        <is>
          <t>Hayır</t>
        </is>
      </c>
      <c r="M32" s="29" t="inlineStr">
        <is>
          <t>Taslak</t>
        </is>
      </c>
      <c r="N32" s="29" t="inlineStr">
        <is>
          <t>marbella:ev</t>
        </is>
      </c>
      <c r="O32" s="29" t="inlineStr">
        <is>
          <t>Çok düşük fiyatlı ilanda dikkatli ol; ilgilendiğin yerin fiyatını bölgedeki diğer kiralarla karşılaştır.
Fotoğraflarda başka bir siteden alındığını gösteren filigran var mı ya da aynı fotoğraflar başka ilanlarda da çıkıyor mu diye bak.
Yurtdışında oturduğu için evi şahsen gösteremeyen ev sahibine güvenme.
Anahtar ya da sözleşme teslimi için aracı önerilirse güvenme; Airbnb gibi şirketlerin adı süreçle ilgisi olmadan kullanılabiliyor. Aracı şirket adına gelen e-posta Outlook ya da Gmail gibi ücretsiz bir alan adından geliyorsa bu da uyarı işaretidir.
Aceleye getirilmeye karşı dikkatli ol; dolandırıcılar anlaşmayı bir an önce kapatmak ister.
MoneyGram ya da Western Union gibi anonim para gönderme hizmetiyle ödeme istenirse süreci sürdürme; ev sahibi görünen kişinin uyruğuyla aynı ülkeden olmayan bir bankaya havale istenirse de sürdürme.
İlanın adresini Google'da ara; sonuçlarda dolandırıcılıkla ilgili haber ya da başka kullanıcıların yorumları çıkabilir.</t>
        </is>
      </c>
      <c r="P32" s="29" t="n"/>
      <c r="Q32" s="29" t="n"/>
      <c r="R32" s="29" t="n"/>
      <c r="S32" s="29" t="inlineStr">
        <is>
          <t>Bilgi olarak: İspanyol kira yasasına (LAU md. 17.3) göre kira ödemesi elektronik araçlarla yapılır; taraflardan birinin banka hesabı ya da elektronik ödeme erişimi yoksa ve onun talebi üzerine nakit ödeme kiralanan evde mümkündür. Bu bir dolandırıcılık ölçütü değildir; bu kartın ölçütleri INCIBE'nin saydığı işaretlerdir. Yasal bilgi 7 Ekim 2026 tarihli konsolide metne göre (yayım 7 Ekim, yürürlük 8 Ekim).</t>
        </is>
      </c>
      <c r="T32" s="29" t="n"/>
    </row>
    <row r="33" ht="54" customHeight="1">
      <c r="A33" s="29" t="inlineStr">
        <is>
          <t>marbella:endulus-kira-depozitosu-fianza-avra-yatirma-zorunlulugu</t>
        </is>
      </c>
      <c r="B33" s="29" t="inlineStr">
        <is>
          <t>marbella</t>
        </is>
      </c>
      <c r="C33" s="29" t="inlineStr">
        <is>
          <t>endulus-kira-depozitosu-fianza-avra-yatirma-zorunlulugu</t>
        </is>
      </c>
      <c r="D33" s="29" t="inlineStr">
        <is>
          <t>Endülüs'te kira depozitosu (fianza) AVRA'ya yatırılır mı: 24 Ocak 2026 öncesi ve sonrası sözleşmeler</t>
        </is>
      </c>
      <c r="E33" s="29" t="inlineStr">
        <is>
          <t>24 Ocak 2026 ve sonrasındaki yeni sözleşmelerde yatırma zorunluluğu kalktı; 23 Ocak 2026 dahil öncesindeki sözleşmelerde sürüyor</t>
        </is>
      </c>
      <c r="F33" s="29" t="inlineStr">
        <is>
          <t>Sözleşme tarihine bağlıdır. 24 Ocak 2026 dahil bu tarihten sonra yapılan kira sözleşmelerinde depozitoyu Endülüs yönetimine (AVRA) yatırma zorunluluğu kaldırılmıştır. 23 Ocak 2026 dahil bu tarihe kadar yapılan sözleşmelerde depozitoyu yatırma zorunluluğu sürer. Kaldırma, 16 Aralık 2025 tarihli Ley 5/2025 (Endülüs Konut Yasası) ek hüküm altıdan (Disposición Adicional Sexta) gelir.</t>
        </is>
      </c>
      <c r="G33" s="29" t="inlineStr">
        <is>
          <t>fianza, kira depozitosu, AVRA, Ley 5/2025, Endülüs konut yasası, depozito iadesi, kira sözleşmesi</t>
        </is>
      </c>
      <c r="H33" s="29" t="inlineStr">
        <is>
          <t>new;settled</t>
        </is>
      </c>
      <c r="I33" s="29" t="inlineStr">
        <is>
          <t>marbella:kaynak:137</t>
        </is>
      </c>
      <c r="J33" s="49" t="n">
        <v>46319</v>
      </c>
      <c r="K33" s="51" t="n">
        <v>9099</v>
      </c>
      <c r="L33" s="29" t="inlineStr">
        <is>
          <t>Hayır</t>
        </is>
      </c>
      <c r="M33" s="29" t="inlineStr">
        <is>
          <t>Taslak</t>
        </is>
      </c>
      <c r="N33" s="29" t="inlineStr">
        <is>
          <t>marbella:ev</t>
        </is>
      </c>
      <c r="O33" s="29" t="inlineStr">
        <is>
          <t>Kira sözleşmesinin tarihine bak: sözleşme 24 Ocak 2026 ya da sonrasındaysa depozito için AVRA'ya yatırma yükümlülüğü yoktur.
Sözleşme 23 Ocak 2026 dahil öncesine aitse depozitonun yatırılması zorunluluğu devam eder.
Eski rejimde yatırılmış bir depozitoyu geri almak için, sözleşme sona erince AVRA'ya iade talebinde bulun.</t>
        </is>
      </c>
      <c r="P33" s="29" t="n"/>
      <c r="Q33" s="29" t="inlineStr">
        <is>
          <t>Eski rejimde yatırılmış depozitonun iadesi için yönetim, iade talebinden itibaren bir ay içinde öder.</t>
        </is>
      </c>
      <c r="R33" s="29" t="n"/>
      <c r="S33" s="29" t="inlineStr">
        <is>
          <t>İki rejim: (1) Sözleşme tarihi 24 Ocak 2026 ya da sonrası: AVRA'ya yatırma zorunluluğu yok. (2) Sözleşme tarihi 23 Ocak 2026 dahil öncesi: yatırma zorunluluğu sürer. Yasaya göre Endülüs yönetimi, eski mevzuata göre yasal olarak yatırılmış depozitoları, sözleşmeler sona erdikçe ve ilgililerin talebi üzerine iade eder.</t>
        </is>
      </c>
      <c r="T33" s="29" t="n"/>
    </row>
    <row r="34" ht="54" customHeight="1">
      <c r="A34" s="29" t="inlineStr">
        <is>
          <t>marbella:korumali-konut-talep-kaydi-marbella</t>
        </is>
      </c>
      <c r="B34" s="29" t="inlineStr">
        <is>
          <t>marbella</t>
        </is>
      </c>
      <c r="C34" s="29" t="inlineStr">
        <is>
          <t>korumali-konut-talep-kaydi-marbella</t>
        </is>
      </c>
      <c r="D34" s="29" t="inlineStr">
        <is>
          <t>Marbella'da korumalı konut (vivienda protegida) için talep kaydına nasıl yazılırsın?</t>
        </is>
      </c>
      <c r="E34" s="29" t="inlineStr">
        <is>
          <t>Registro Municipal de Demandantes: kayıt sürekli açık, başvuru ofiste ya da Sede Electrónica üzerinden</t>
        </is>
      </c>
      <c r="F34" s="29" t="inlineStr">
        <is>
          <t>Korumalı konuta, alım da kiralama da olsa, ancak Marbella Belediyesi'nin Registro Municipal de Demandantes (korumalı konut talep sicili) kaydındaysan başvurabilirsin; kaydı belediyenin vatandaş hizmet ofislerinde (Oficinas Municipales de Atención a los Ciudadanos) ve giriş kayıt biriminde yüz yüze ya da Sede Electrónica bağlantısı üzerinden yaparsın. Sicil süreklidir, başvuru için kapanış tarihi yoktur. Kaydın tamamlanınca talep ettiğin konut türüne göre yapılan sorteolara katılırsın.</t>
        </is>
      </c>
      <c r="G34" s="29" t="inlineStr">
        <is>
          <t>korumalı konut, vivienda protegida, registro de demandantes, sorteo, Marbella belediyesi, sosyal konut</t>
        </is>
      </c>
      <c r="H34" s="29" t="inlineStr">
        <is>
          <t>new;settled</t>
        </is>
      </c>
      <c r="I34" s="29" t="inlineStr">
        <is>
          <t>marbella:kaynak:216;marbella:kaynak:215</t>
        </is>
      </c>
      <c r="J34" s="49" t="n">
        <v>46323</v>
      </c>
      <c r="K34" s="51" t="n">
        <v>400</v>
      </c>
      <c r="L34" s="29" t="inlineStr">
        <is>
          <t>Evet</t>
        </is>
      </c>
      <c r="M34" s="29" t="inlineStr">
        <is>
          <t>Taslak</t>
        </is>
      </c>
      <c r="N34" s="29" t="inlineStr">
        <is>
          <t>marbella:ev</t>
        </is>
      </c>
      <c r="O34" s="29" t="inlineStr">
        <is>
          <t>Belediyenin vivienda.marbella.es sitesinden 'Formulario de solicitud de inscripción en el registro municipal de demandantes de vivienda protegida' PDF formunu indirip doldur.
Yüz yüze başvuracaksan formu ve belgeleri Oficinas Municipales de Atención a los Ciudadanos'a ya da belediyenin giriş kayıt birimine (registro de entrada) ver.
Çevrimiçi başvuracaksan vivienda.marbella.es sayfasındaki Sede Electrónica bağlantısını kullan.
18 yaşından büyük her başvuru sahibinin geçerli kimliğinin fotokopisini ekle; durumun gerektiriyorsa aşağıdaki ek belgeleri de koy.
Kayıt tamamlanınca talep ettiğin türdeki sorteolara otomatik katılırsın.</t>
        </is>
      </c>
      <c r="P34" s="29" t="inlineStr">
        <is>
          <t>Geçerli kimlik belgesinin fotokopisi (18 yaşından büyük her başvuru sahibi için; 14 yaşından büyük çocuklar için DNI zorunlu)
Gerekiyorsa libro de familia (aile cüzdanı) tamamı
Gerekiyorsa boşanma ya da ayrılık kararı
Gerekiyorsa velayet için sözleşme ya da beyan (convenio regulador / declaración responsable)
Gerekiyorsa bağımlılık (dependencia) kararı
Gerekiyorsa cinsiyet temelli şiddet kararı (auto o sentencia de violencia de género)
Gerekiyorsa geri dönen göçmen belgesi (certificado de emigrante retornado)</t>
        </is>
      </c>
      <c r="Q34" s="29" t="inlineStr">
        <is>
          <t>Sicil sürekli açıktır; başvuru için son tarih yoktur.</t>
        </is>
      </c>
      <c r="R34" s="29" t="n"/>
      <c r="S34" s="29" t="n"/>
      <c r="T34" s="29" t="n"/>
    </row>
    <row r="35" ht="54" customHeight="1">
      <c r="A35" s="29" t="inlineStr">
        <is>
          <t>marbella:korumali-konut-basvuru-kosullari-gelir-sinirlari</t>
        </is>
      </c>
      <c r="B35" s="29" t="inlineStr">
        <is>
          <t>marbella</t>
        </is>
      </c>
      <c r="C35" s="29" t="inlineStr">
        <is>
          <t>korumali-konut-basvuru-kosullari-gelir-sinirlari</t>
        </is>
      </c>
      <c r="D35" s="29" t="inlineStr">
        <is>
          <t>Marbella'da korumalı konut için kimler başvurabilir: mülk ve gelir şartı nedir?</t>
        </is>
      </c>
      <c r="E35" s="29" t="inlineStr">
        <is>
          <t>Başka tam mülkiyet konut olmaması, sınırlı gelir ve San Pedro'daki 84 konutluk projede 3 ve 5,5 IPREM sınırı</t>
        </is>
      </c>
      <c r="F35" s="29" t="inlineStr">
        <is>
          <t>Marbella'da korumalı konut için başka bir konutun tam mülkiyetine (serbest ya da korumalı) sahip olmaman ve gelirinin sınırlı olması gerekir; alacağın konut da sürekli oturma yerin olacaktır. Miras yoluyla edinilmiş en çok %50'lik pay, mahkeme ya da idare kararıyla yıkık/ruin sayılan konut ya da aile büyümesi, hareket kısıtı veya bağımlılık nedeniyle uyarlanmış konut ihtiyacı istisnadır. Belediyenin San Pedro Alcántara'daki 84 konutluk projesinde belediye başkanı Marbella'da kayıtlı (empadronado) olmayı da şart olarak saymıştı; gençlere ayrılan 42 konut için 35 yaşından küçük ve gelir en çok 3 IPREM, genel rejimdeki 38 konut için gelir en çok 5,5 IPREM idi.</t>
        </is>
      </c>
      <c r="G35" s="29" t="inlineStr">
        <is>
          <t>korumalı konut, vivienda protegida, IPREM, gelir sınırı, empadronamiento, genç konut</t>
        </is>
      </c>
      <c r="H35" s="29" t="inlineStr">
        <is>
          <t>planning;new</t>
        </is>
      </c>
      <c r="I35" s="29" t="inlineStr">
        <is>
          <t>marbella:kaynak:215;marbella:kaynak:218</t>
        </is>
      </c>
      <c r="J35" s="49" t="n">
        <v>46323</v>
      </c>
      <c r="K35" s="51" t="n">
        <v>401</v>
      </c>
      <c r="L35" s="29" t="inlineStr">
        <is>
          <t>Hayır</t>
        </is>
      </c>
      <c r="M35" s="29" t="inlineStr">
        <is>
          <t>Taslak</t>
        </is>
      </c>
      <c r="N35" s="29" t="inlineStr">
        <is>
          <t>marbella:ev</t>
        </is>
      </c>
      <c r="O35" s="29" t="inlineStr">
        <is>
          <t>Adına ya da aynı hane/birlikte yaşayan kişiler adına başka bir konutun tam mülkiyeti ya da intifa hakkı olup olmadığını belirle; varsa istisna maddelerinden birine girip girmediğine bak.
Gelirinin ilgili özerk bölge konut planındaki programın üst sınırının altında kalmasını sağla; San Pedro projesinde sınır gençler için 3 IPREM, genel rejim için 5,5 IPREM idi.
Marbella'da adres kaydını (empadronamiento) yaptır; belediye başkanı bu projede Marbella'da kayıtlı olmayı şart saymıştı.
Registro Municipal de Demandantes'e yazıl; kayıt olmadan sorteoya girilmez.</t>
        </is>
      </c>
      <c r="P35" s="29" t="n"/>
      <c r="Q35" s="29" t="n"/>
      <c r="R35" s="29" t="n"/>
      <c r="S35" s="29" t="n"/>
      <c r="T35" s="29" t="n"/>
    </row>
    <row r="36" ht="54" customHeight="1">
      <c r="A36" s="29" t="inlineStr">
        <is>
          <t>marbella:san-pedro-84-korumali-konut-fiyatlari-ve-sorteo</t>
        </is>
      </c>
      <c r="B36" s="29" t="inlineStr">
        <is>
          <t>marbella</t>
        </is>
      </c>
      <c r="C36" s="29" t="inlineStr">
        <is>
          <t>san-pedro-84-korumali-konut-fiyatlari-ve-sorteo</t>
        </is>
      </c>
      <c r="D36" s="29" t="inlineStr">
        <is>
          <t>Marbella Belediyesi'nin San Pedro Alcántara'daki 84 korumalı konutu kaça sunuldu ve süreç nasıl işledi?</t>
        </is>
      </c>
      <c r="E36" s="29" t="inlineStr">
        <is>
          <t>Yardımlar sonrası 170.000, 220.000 ve 236.000 euro; 3.207 kayıtlı talep sahibi; 84 konut dağıtıldı</t>
        </is>
      </c>
      <c r="F36" s="29" t="inlineStr">
        <is>
          <t>Belediyenin San Pedro Alcántara'daki 84 korumalı konutu, 15.000 euroluk yardım düşüldükten sonra gençlere ayrılan yaklaşık 97 m² konutlarda 170.000 euro, genel rejimdeki 112 m² konutlarda 220.000 euro ve uyarlanmış konutlarda 236.000 euro fiyatla sunuldu. Yardımın 10.000 eurosunu belediye, 5.000 eurosunu inşaatı yapan Fundación Vimpyca verdi. Eylül 2025'te sicilde 3.207 kayıtlı talep sahibi vardı (1.796'sı genç rejiminde) ve bir bini aşkını belgelerini hâlâ tamamlamamıştı; belediye başkanı sorteonun yıl sonundan önce yapılacağını, ilk listeden sonra da itiraz (alegaciones) döneminin açılacağını söylemişti. Mart 2026 tarihli belediye haberi bu 84 konutun dağıtıldığını yazıyor.</t>
        </is>
      </c>
      <c r="G36" s="29" t="inlineStr">
        <is>
          <t>korumalı konut fiyatı, San Pedro Alcántara, vivienda protegida, sorteo, Vimpyca, Marbella</t>
        </is>
      </c>
      <c r="H36" s="29" t="inlineStr">
        <is>
          <t>planning;new</t>
        </is>
      </c>
      <c r="I36" s="29" t="inlineStr">
        <is>
          <t>marbella:kaynak:218;marbella:kaynak:219</t>
        </is>
      </c>
      <c r="J36" s="49" t="n">
        <v>46323</v>
      </c>
      <c r="K36" s="51" t="n">
        <v>402</v>
      </c>
      <c r="L36" s="29" t="inlineStr">
        <is>
          <t>Hayır</t>
        </is>
      </c>
      <c r="M36" s="29" t="inlineStr">
        <is>
          <t>Taslak</t>
        </is>
      </c>
      <c r="N36" s="29" t="inlineStr">
        <is>
          <t>marbella:ev</t>
        </is>
      </c>
      <c r="O36" s="29" t="inlineStr">
        <is>
          <t>Sonraki korumalı konut projeleri için Registro Municipal de Demandantes kaydını tamamla; belediye ilk listeye girmek için kayıt ve tüm şartların yerine getirilmesini zorunlu sayıyor.
Kaydındaki eksik belgeleri tamamla: Eylül 2025'te kayıtlı 3.207 kişiden bir bini aşkını belge eksiği olduğu için ilk listeye giremeyecek durumdaydı.
İlk liste yayımlanınca itiraz (alegaciones) dönemini izle; liste sonrası itiraz dönemi açılıyor.
Yeni projelerde fiyat düzeyi için San Pedro örneğini kullan: 97 m² genç konutu yaklaşık 170.000 euro, 112 m² genel rejim 220.000 euro.</t>
        </is>
      </c>
      <c r="P36" s="29" t="n"/>
      <c r="Q36" s="29" t="n"/>
      <c r="R36" s="29" t="n"/>
      <c r="S36" s="29" t="n"/>
      <c r="T36" s="29" t="n"/>
    </row>
    <row r="37" ht="54" customHeight="1">
      <c r="A37" s="29" t="inlineStr">
        <is>
          <t>marbella:genc-kiralik-konut-huerta-de-los-cristales</t>
        </is>
      </c>
      <c r="B37" s="29" t="inlineStr">
        <is>
          <t>marbella</t>
        </is>
      </c>
      <c r="C37" s="29" t="inlineStr">
        <is>
          <t>genc-kiralik-konut-huerta-de-los-cristales</t>
        </is>
      </c>
      <c r="D37" s="29" t="inlineStr">
        <is>
          <t>Marbella'da gençler için belediye kiralık konutu var mı: Huerta de los Cristales'te kira ne kadar?</t>
        </is>
      </c>
      <c r="E37" s="29" t="inlineStr">
        <is>
          <t>18 korumalı kiralık daire, 130-300 euro aylık kira, sözleşme 1 ile 5 yıl; başvuru talep siciliyle</t>
        </is>
      </c>
      <c r="F37" s="29" t="inlineStr">
        <is>
          <t>Evet: Marbella Belediyesi ile Junta de Andalucía, Travesía de Huerta de los Cristales'teki eski Escuela Oficial de Idiomas binasında gençler için 18 korumalı kiralık daire yaptı; anahtarlar Mart 2026'da teslim edildi. Daireler bir ve iki yatak odalı, aylık kira 130 ile 300 euro arasında ve mutfakları donanımlı. Kiracılar sözleşme imzalarken başka bir çözüm bulmak için bir ile beş yıl süre alıyor, yani konut geçici bir basamak. Belediye, sonraki kiralık dağıtımlar için gençleri Registro Municipal de Demandantes'e yazılmaya çağırıyor.</t>
        </is>
      </c>
      <c r="G37" s="29" t="inlineStr">
        <is>
          <t>genç kiralık konut, Huerta de los Cristales, vivienda protegida alquiler, Marbella, talep sicili</t>
        </is>
      </c>
      <c r="H37" s="29" t="inlineStr">
        <is>
          <t>planning;new</t>
        </is>
      </c>
      <c r="I37" s="29" t="inlineStr">
        <is>
          <t>marbella:kaynak:219;marbella:kaynak:216</t>
        </is>
      </c>
      <c r="J37" s="49" t="n">
        <v>46323</v>
      </c>
      <c r="K37" s="51" t="n">
        <v>403</v>
      </c>
      <c r="L37" s="29" t="inlineStr">
        <is>
          <t>Hayır</t>
        </is>
      </c>
      <c r="M37" s="29" t="inlineStr">
        <is>
          <t>Taslak</t>
        </is>
      </c>
      <c r="N37" s="29" t="inlineStr">
        <is>
          <t>marbella:ev</t>
        </is>
      </c>
      <c r="O37" s="29" t="inlineStr">
        <is>
          <t>Registro Municipal de Demandantes'e yazıl; belediye gelecek dağıtımlara katılmak için bunu şart koşuyor.
Formu ve kimlik belgelerini belediyenin vatandaş hizmet ofislerine ya da giriş kayıt birimine ver; çevrimiçi yapmak için Sede Electrónica bağlantısını kullan.
Daire alırsan sözleşmede yazan bir ile beş yıllık süre içinde bir sonraki konut çözümünü planla.
Belediyenin bildirdiği yeni projelerde (San Pedro Alcántara'da 132 kiralık konut) kayıtlı olmak için sicilde kal.</t>
        </is>
      </c>
      <c r="P37" s="29" t="inlineStr">
        <is>
          <t>Geçerli kimlik belgesinin fotokopisi (18 yaşından büyük her başvuru sahibi için)</t>
        </is>
      </c>
      <c r="Q37" s="29" t="inlineStr">
        <is>
          <t>Kiracı sözleşmede bir ile beş yıl arasında kalabiliyor.</t>
        </is>
      </c>
      <c r="R37" s="29" t="inlineStr">
        <is>
          <t>Aylık kira 130-300 euro (Mart 2026 belediye açıklaması).</t>
        </is>
      </c>
      <c r="S37" s="29" t="n"/>
      <c r="T37" s="29" t="n"/>
    </row>
    <row r="38" ht="54" customHeight="1">
      <c r="A38" s="29" t="inlineStr">
        <is>
          <t>marbella:bono-alquiler-joven-andalucia-2026-yardim-ve-durum</t>
        </is>
      </c>
      <c r="B38" s="29" t="inlineStr">
        <is>
          <t>marbella</t>
        </is>
      </c>
      <c r="C38" s="29" t="inlineStr">
        <is>
          <t>bono-alquiler-joven-andalucia-2026-yardim-ve-durum</t>
        </is>
      </c>
      <c r="D38" s="29" t="inlineStr">
        <is>
          <t>Bono Alquiler Joven nedir, Marbella'da kiracı genç ayda ne kadar yardım alır ve başvuru açık mı?</t>
        </is>
      </c>
      <c r="E38" s="29" t="inlineStr">
        <is>
          <t>35 yaşa kadar, ayda en çok 250 euro, en çok 24 ay; 2026 dönemi 22 Haziran 2026'da 15.000 başvuruyla kapandı</t>
        </is>
      </c>
      <c r="F38" s="29" t="inlineStr">
        <is>
          <t>Bono Alquiler Joven, 35 yaşına kadar kiracılara ayda en çok 250 euro ve en çok 24 ay boyunca kira yardımı veren Junta de Andalucía programıdır; 2026 başvuru dönemi 13 Ocak 2026'da yeniden açıldı ve 15.000 başvuruya ulaşılınca 22 Haziran 2026'da kapandı. Marbella Belediyesi'nin gençlik sayfasında da başvurular geçici olarak kapalı görünüyor. Başvuru yalnız çevrimiçi (VEAJA) yapılır ve FNMT'nin verdiği kişisel dijital sertifika ile Autofirma programı gerekir. Gelir sınırı tek kişide 3 IPREM (14 maaşla 25.200 euro), birden fazla kişilik hanede 4 IPREM (33.600 euro).</t>
        </is>
      </c>
      <c r="G38" s="29" t="inlineStr">
        <is>
          <t>Bono Alquiler Joven, kira yardımı, Junta de Andalucía, 250 euro, IPREM, genç kiracı, VEAJA</t>
        </is>
      </c>
      <c r="H38" s="29" t="inlineStr">
        <is>
          <t>planning;new;settled</t>
        </is>
      </c>
      <c r="I38" s="29" t="inlineStr">
        <is>
          <t>marbella:kaynak:221;marbella:kaynak:220</t>
        </is>
      </c>
      <c r="J38" s="49" t="n">
        <v>46323</v>
      </c>
      <c r="K38" s="51" t="n">
        <v>404</v>
      </c>
      <c r="L38" s="29" t="inlineStr">
        <is>
          <t>Evet</t>
        </is>
      </c>
      <c r="M38" s="29" t="inlineStr">
        <is>
          <t>Taslak</t>
        </is>
      </c>
      <c r="N38" s="29" t="inlineStr">
        <is>
          <t>marbella:ev</t>
        </is>
      </c>
      <c r="O38" s="29" t="inlineStr">
        <is>
          <t>Yaşının başvuru anında 35 ya da altı olduğunu, AB/AEA/İsviçre vatandaşı olduğunu ya da AB dışındaysan İspanya'da düzenli ikamet/kalış durumunda bulunduğunu karşıla.
Kira sözleşmenin (ya da sözleşme taahhüdünün) senin adına olduğundan ve geçen vergi döneminde gelirinin tek kişide 3 IPREM, ortak hanede 4 IPREM sınırını aşmadığından emin ol.
FNMT'den kişisel dijital sertifika al ve bilgisayarına Autofirma programını yükle.
Yeni bir çağrı açıldığında başvuruyu Junta de Andalucía'nın VEAJA (Ventanilla Electrónica) hizmetinden, Catálogo de Procedimientos y Servicios üzerinden yap.
Yardım alırsan kira ödemelerini makbuz, banka dekontu ya da otomatik ödeme kaydıyla belgele.</t>
        </is>
      </c>
      <c r="P38" s="29" t="inlineStr">
        <is>
          <t>FNMT'nin verdiği kişisel dijital sertifika (certificado digital de persona física)
Autofirma programı
Kira sözleşmesi ya da sözleşme taahhüdü (compromiso de contrato)
Düzenli gelir kaynağını gösteren belgeler
Adres kaydı (empadronamiento) belgesi</t>
        </is>
      </c>
      <c r="Q38" s="29" t="inlineStr">
        <is>
          <t>Yardım en çok 24 ay; 2026 dönemi 13 Ocak - 22 Haziran 2026 arasında açıktı ve doldu.</t>
        </is>
      </c>
      <c r="R38" s="29" t="n"/>
      <c r="S38" s="29" t="inlineStr">
        <is>
          <t>Başvurular kapalı; yeni çağrı açılana kadar başvuru yapılamıyor.</t>
        </is>
      </c>
      <c r="T38" s="29" t="n"/>
    </row>
    <row r="39" ht="54" customHeight="1">
      <c r="A39" s="29" t="inlineStr">
        <is>
          <t>marbella:bono-alquiler-joven-kira-ust-siniri-oda-ve-yukumluluk</t>
        </is>
      </c>
      <c r="B39" s="29" t="inlineStr">
        <is>
          <t>marbella</t>
        </is>
      </c>
      <c r="C39" s="29" t="inlineStr">
        <is>
          <t>bono-alquiler-joven-kira-ust-siniri-oda-ve-yukumluluk</t>
        </is>
      </c>
      <c r="D39" s="29" t="inlineStr">
        <is>
          <t>Bono Alquiler Joven'de oda kiralıyorsan ya da ev arkadaşlarıyla kalıyorsan kira üst sınırı ve yükümlülükler neler?</t>
        </is>
      </c>
      <c r="E39" s="29" t="inlineStr">
        <is>
          <t>5 sözleşme türü, 600/900 euro konut sınırı, 300/380 euro kişi başı sınır; yardım sonrası 15 gün içinde bildirim</t>
        </is>
      </c>
      <c r="F39" s="29" t="inlineStr">
        <is>
          <t>Bono Alquiler Joven kira sözleşmeni beş türden birine ayırır ve kira üst sınırı türe göre değişir. Konut sözleşmelerinde (tür 1, 2, 3 ve 4) konutun aylık kirası Plan Vive'in 1, 2 ve 3. grup belediyelerinde 900 euro, öteki Endülüs belediyelerinde 600 euroyu aşamaz; ev arkadaşlarıyla paylaştığın sözleşmede (tür 4) kişi başı kira ayrıca bu gruplarda 380, öteki belediyelerde 300 euro ile sınırlıdır. Oda sözleşmesinde (tür 5) odanın kirası 380 ya da 300 euroyu geçemez. Sözleşmede garaj, depo ve aidat ayrı yazılmamışsa kiradan yüzdelik kesinti yapılır; yardımı alırsan kira ödemelerini belgelemek ve koşullarda değişiklik olursa 15 gün içinde bildirmek zorundasın.</t>
        </is>
      </c>
      <c r="G39" s="29" t="inlineStr">
        <is>
          <t>Bono Alquiler Joven, oda kiralama, kira üst sınırı, ev arkadaşı, Plan Vive, kira yardımı, Endülüs</t>
        </is>
      </c>
      <c r="H39" s="29" t="inlineStr">
        <is>
          <t>planning;new;settled</t>
        </is>
      </c>
      <c r="I39" s="29" t="inlineStr">
        <is>
          <t>marbella:kaynak:221</t>
        </is>
      </c>
      <c r="J39" s="49" t="n">
        <v>46323</v>
      </c>
      <c r="K39" s="51" t="n">
        <v>405</v>
      </c>
      <c r="L39" s="29" t="inlineStr">
        <is>
          <t>Hayır</t>
        </is>
      </c>
      <c r="M39" s="29" t="inlineStr">
        <is>
          <t>Taslak</t>
        </is>
      </c>
      <c r="N39" s="29" t="inlineStr">
        <is>
          <t>marbella:ev</t>
        </is>
      </c>
      <c r="O39" s="29" t="inlineStr">
        <is>
          <t>Sözleşmen tek kişilik konut mu, aile/birlikte yaşayan grup mu, ev arkadaşı paylaşımı mı, yoksa oda sözleşmesi mi? Beş türden hangisine girdiğini belirle.
Kira tutarını tür sınırıyla karşılaştır: konut sözleşmelerinde 900 ya da 600 euro, paylaşımda ve odada kişi başı 380 ya da 300 euro.
Sözleşmede garaj, depo ve aidat ayrı yazılmamışsa kiradan düşülecek yüzdeyi hesaba kat: depo %5, garaj %10, garaj ve depo %15, yalnız aidat %5.
Yardımı alırsan aylık kira ödemelerini makbuz, banka dekontu ya da otomatik ödeme kaydıyla belgele.
Yardımı veren kuruma koşullarındaki değişikliği 15 gün içinde bildir.</t>
        </is>
      </c>
      <c r="P39" s="29" t="inlineStr">
        <is>
          <t>Kira sözleşmesi ya da oda sözleşmesi
Kira ödemesi makbuzu, banka dekontu ya da otomatik ödeme kaydı</t>
        </is>
      </c>
      <c r="Q39" s="29" t="inlineStr">
        <is>
          <t>Yükümlülükler yardım dönemi boyunca sürer; değişiklikler 15 gün içinde bildirilir.</t>
        </is>
      </c>
      <c r="R39" s="29" t="n"/>
      <c r="S39" s="29" t="inlineStr">
        <is>
          <t>Plan Vive grupları Decreto 91/2020'nin Ek V listesinde yer alır.</t>
        </is>
      </c>
      <c r="T39" s="29" t="n"/>
    </row>
    <row r="40" ht="54" customHeight="1">
      <c r="A40" s="29" t="inlineStr">
        <is>
          <t>marbella:kirilgan-kiraci-icin-junta-kira-yardimi</t>
        </is>
      </c>
      <c r="B40" s="29" t="inlineStr">
        <is>
          <t>marbella</t>
        </is>
      </c>
      <c r="C40" s="29" t="inlineStr">
        <is>
          <t>kirilgan-kiraci-icin-junta-kira-yardimi</t>
        </is>
      </c>
      <c r="D40" s="29" t="inlineStr">
        <is>
          <t>Tahliye tehdidi altındaysan ya da kırılgan durumdaysan Junta de Andalucía kira yardımı alabilir misin?</t>
        </is>
      </c>
      <c r="E40" s="29" t="inlineStr">
        <is>
          <t>Tahliye edilenler, cinsiyet temelli şiddet mağdurları ve evsizler için kira yardımı: kira en çok 600 euro, aidat en çok 200 euro</t>
        </is>
      </c>
      <c r="F40" s="29" t="inlineStr">
        <is>
          <t>Evet: Junta de Andalucía, cinsiyet temelli şiddet, insan ticareti ya da cinsel şiddet mağdurlarına, evinden tahliye edilen kişilere, evsizlere ve sosyal hizmetlerin özel olarak kırılgan saydığı kişilere kira yardımı veriyor. Kira sözleşmesi Ley 29/1994'e göre yapılmış, kira en çok 600 euro (gerekçeli durumda 900 euro) olmalı; aidat da en çok 200 euro/ay karşılanır. Mağdur olduğunu gösteren belge ve Endülüs'te adres kaydı (ya da Policía Local'ın bir yılı aşkın yerleşim belgesi) gerekir. Son çağrının başvuru dönemi 3 Kasım - 2 Aralık 2025 idi ve kredi bitince dönem erken kapanır; başvuru Málaga ilindeki konut için Málaga'nın konut delegasyonuna yapılır.</t>
        </is>
      </c>
      <c r="G40" s="29" t="inlineStr">
        <is>
          <t>kira yardımı, tahliye, desahucio, kırılgan kiracı, Junta de Andalucía, sosyal hizmetler, evsizler</t>
        </is>
      </c>
      <c r="H40" s="29" t="inlineStr">
        <is>
          <t>settled</t>
        </is>
      </c>
      <c r="I40" s="29" t="inlineStr">
        <is>
          <t>marbella:kaynak:222;marbella:kaynak:223</t>
        </is>
      </c>
      <c r="J40" s="49" t="n">
        <v>46323</v>
      </c>
      <c r="K40" s="51" t="n">
        <v>406</v>
      </c>
      <c r="L40" s="29" t="inlineStr">
        <is>
          <t>Hayır</t>
        </is>
      </c>
      <c r="M40" s="29" t="inlineStr">
        <is>
          <t>Taslak</t>
        </is>
      </c>
      <c r="N40" s="29" t="inlineStr">
        <is>
          <t>marbella:ev</t>
        </is>
      </c>
      <c r="O40" s="29" t="inlineStr">
        <is>
          <t>Önce Marbella Sosyal Hizmetleri'nden (Delegación de Derechos Sociales) durumunu gösteren belge ya da rapor al; yardım için mağdur ya da tahliye edilen kişi olduğunu belgelemen gerekir.
Kira sözleşmenin konutun asıl ikametgâhı için ve kirası 600 euroyu (gerekçeli durumda 900 euro) aşmayacak şekilde yapıldığından emin ol.
Başvuru formunu (Anexo I) ve kanıt belgesini Junta de Andalucía'nın konut delegasyonuna, konutun bulunduğu il için çevrimiçi ya da ley 39/2015 madde 16.4'teki kayıt yerlerinden vererek başvur.
Ön karar önerisini aldığında Anexo II ile itirazını, kabulünü ve istenen belgeleri 10 iş günü içinde teslim et.
Tahliye riskinde danışmanlık için 012 ya da 955 012 012'yi ara.</t>
        </is>
      </c>
      <c r="P40" s="29" t="inlineStr">
        <is>
          <t>Anexo I başvuru formu
Mağdur ya da tahliye edilen kişi olduğunu gösteren belge (1 Ocak 2024'ten sonra düzenlenmiş ya da güncellenmiş)
DNI/NIE ya da pasaport (ya da uluslararası koruma başvuru belgesi)
Konutun kira sözleşmesi
Adres kaydı (empadronamiento) belgesi ya da Policía Local'ın bir yılı aşkın yerleşim belgesi</t>
        </is>
      </c>
      <c r="Q40" s="29" t="inlineStr">
        <is>
          <t>Son çağrı: 3 Kasım - 2 Aralık 2025 (kredi biterse daha erken kapanır). Ek belgeler için ön karar bildiriminden sonra 10 iş günü.</t>
        </is>
      </c>
      <c r="R40" s="29" t="inlineStr">
        <is>
          <t>Kira en çok 600 euro (gerekçeli durumda 900 euro); aidat en çok 200 euro/ay yardım kapsamında.</t>
        </is>
      </c>
      <c r="S40" s="29" t="n"/>
      <c r="T40" s="29" t="n"/>
    </row>
    <row r="41" ht="54" customHeight="1">
      <c r="A41" s="29" t="inlineStr">
        <is>
          <t>marbella:tahliye-ve-ipotek-riskinde-marbella-sosyal-hizmetler</t>
        </is>
      </c>
      <c r="B41" s="29" t="inlineStr">
        <is>
          <t>marbella</t>
        </is>
      </c>
      <c r="C41" s="29" t="inlineStr">
        <is>
          <t>tahliye-ve-ipotek-riskinde-marbella-sosyal-hizmetler</t>
        </is>
      </c>
      <c r="D41" s="29" t="inlineStr">
        <is>
          <t>Marbella'da kira ya da ipotek yüzünden evini kaybetme riskin varsa nereye gidersin?</t>
        </is>
      </c>
      <c r="E41" s="29" t="inlineStr">
        <is>
          <t>Vázquez Clavel 25'teki Derechos Sociales delegasyonu, ipotek aracılık ofisi ve Junta'nın 012 hattı</t>
        </is>
      </c>
      <c r="F41" s="29" t="inlineStr">
        <is>
          <t>Marbella'da önce belediyenin Delegación de Derechos Sociales ofisine ya da Centro de Servicios Sociales Comunitarios'a git: Calle Vázquez Clavel nº 25 bajos, 29603 Marbella, telefon 952 768 700. İpotek borcun varsa aynı adreste Oficina de Intermediación Hipotecaria da çalışıyor. San Pedro Alcántara'da Calle Viento de Levante s/n adresindeki merkez (952 768 735) aynı hizmeti verir. Belediyenin hizmet şartnamesine göre sosyal çalışmacıyla ilk görüşme en geç 20 iş günü içinde yapılır; şartname 2019'da güncellenmiş. Junta de Andalucía'nın tahliye yardımları ve konut koruma danışmanlığı için 012 ya da 955 012 012'yi arayabilirsin.</t>
        </is>
      </c>
      <c r="G41" s="29" t="inlineStr">
        <is>
          <t>tahliye, desahucio, ipotek, sosyal hizmetler, Derechos Sociales, Marbella, konut kaybı</t>
        </is>
      </c>
      <c r="H41" s="29" t="inlineStr">
        <is>
          <t>settled</t>
        </is>
      </c>
      <c r="I41" s="29" t="inlineStr">
        <is>
          <t>marbella:kaynak:188;marbella:kaynak:223</t>
        </is>
      </c>
      <c r="J41" s="49" t="n">
        <v>46323</v>
      </c>
      <c r="K41" s="51" t="n">
        <v>407</v>
      </c>
      <c r="L41" s="29" t="inlineStr">
        <is>
          <t>Hayır</t>
        </is>
      </c>
      <c r="M41" s="29" t="inlineStr">
        <is>
          <t>Taslak</t>
        </is>
      </c>
      <c r="N41" s="29" t="inlineStr">
        <is>
          <t>marbella:ev</t>
        </is>
      </c>
      <c r="O41" s="29" t="inlineStr">
        <is>
          <t>Marbella'da Calle Vázquez Clavel nº 25 bajos adresindeki Delegación de Derechos Sociales'e git ya da 952 768 700'ü ara; San Pedro Alcántara'da Calle Viento de Levante s/n'deki merkez için 952 768 735'i ara.
İpotek borcun yüzünden evini kaybetme riskin varsa aynı adreste Oficina de Intermediación Hipotecaria'ya başvur.
Sosyal çalışmacıyla ilk görüşme için en geç 20 iş günü içinde randevu verilmesi hedefleniyor; e-posta ile derechossociales@marbella.es adresine de yazabilirsin.
Junta de Andalucía'nın tahliye yardımları ve konut koruma danışmanlığı için 012 ya da 955 012 012'yi ara.</t>
        </is>
      </c>
      <c r="P41" s="29" t="n"/>
      <c r="Q41" s="29" t="inlineStr">
        <is>
          <t>Sosyal çalışmacıyla ilk görüşme en geç 20 iş günü içinde; başvuru dosyası tamamlandıktan sonra belediye yardımları 14 iş günü içinde işleme alınır.</t>
        </is>
      </c>
      <c r="R41" s="29" t="n"/>
      <c r="S41" s="29" t="n"/>
      <c r="T41" s="29" t="n"/>
    </row>
    <row r="42" ht="54" customHeight="1">
      <c r="A42" s="29" t="inlineStr">
        <is>
          <t>marbella:turistik-kiralik-daire-kurallari-ve-kiraci</t>
        </is>
      </c>
      <c r="B42" s="29" t="inlineStr">
        <is>
          <t>marbella</t>
        </is>
      </c>
      <c r="C42" s="29" t="inlineStr">
        <is>
          <t>turistik-kiralik-daire-kurallari-ve-kiraci</t>
        </is>
      </c>
      <c r="D42" s="29" t="inlineStr">
        <is>
          <t>Marbella'da turistik kiralık daire (VUT) kuralları uzun dönem kiracıyı nasıl etkiler?</t>
        </is>
      </c>
      <c r="E42" s="29" t="inlineStr">
        <is>
          <t>Aynı kiracıya kesintisiz 2 aydan uzun kira VUT sayılmaz; ilan kayıtlı mı diye Registro de Turismo'da aranır</t>
        </is>
      </c>
      <c r="F42" s="29" t="inlineStr">
        <is>
          <t>Bir konutu aynı kiracıya kesintisiz iki aydan uzun süreyle kiralamak Endülüs kurallarında turistik konut (vivienda de uso turístico, VUT) sayılmaz; yani uzun dönem sözleşmenle oturuyorsan VUT kayıt kuralları senin sözleşmeni kapsamaz. Konut, rezervasyon imkânı veren turistik kanallarda ilan edilirse turistik amaçlı sayılır ve ev sahibinin Registro de Turismo de Andalucía'ya kayıtlı olması gerekir; kayıtsız işletme 'clandestina' sayılır ve ağır ihlaldir. Korumalı konutlar ve apartman tüzüğü turistik kullanımı açıkça yasaklayan binalar VUT olamaz. Marbella Belediyesi Şubat 2025'te belediye VUT sicili ve dükkân alanlarının turistik amaçla kullanımını sınırlayan yeni bir ordonans hazırladığını duyurdu.</t>
        </is>
      </c>
      <c r="G42" s="29" t="inlineStr">
        <is>
          <t>turistik kiralık, VUT, vivienda de uso turístico, Registro de Turismo de Andalucía, kısa dönem kira, Marbella</t>
        </is>
      </c>
      <c r="H42" s="29" t="inlineStr">
        <is>
          <t>planning;new;settled</t>
        </is>
      </c>
      <c r="I42" s="29" t="inlineStr">
        <is>
          <t>marbella:kaynak:191;marbella:kaynak:224</t>
        </is>
      </c>
      <c r="J42" s="49" t="n">
        <v>46323</v>
      </c>
      <c r="K42" s="51" t="n">
        <v>408</v>
      </c>
      <c r="L42" s="29" t="inlineStr">
        <is>
          <t>Hayır</t>
        </is>
      </c>
      <c r="M42" s="29" t="inlineStr">
        <is>
          <t>Taslak</t>
        </is>
      </c>
      <c r="N42" s="29" t="inlineStr">
        <is>
          <t>marbella:ev</t>
        </is>
      </c>
      <c r="O42" s="29" t="inlineStr">
        <is>
          <t>Uzun dönem sözleşmeni aynı kiracıya (sana) kesintisiz iki aydan uzun süreyle yazdır; bu durumda konut VUT sayılmaz.
Turistik kiralık ilan gördüğünde ilanın Registro de Turismo de Andalucía'da kayıtlı olup olmadığını Buscador de Establecimientos y Servicios Turísticos ile ara: kayıt numarası, ticari ad, konut adresi ya da işleten kişinin adı ile aranabilir.
Konutun korumalı konut olup olmadığına ve apartman tüzüğünün turistik kullanımı yasaklayıp yasaklamadığına bak; ikisinde de konut VUT olamaz.
Ev sahibi mevsimlik kısa dönem kiraya yönelirse bunun turistik kiralama sayılabileceğini bil: rezervasyon yapılabilen kanallarda satılan ya da gün/hafta ile kiralanan konut VUT olarak kaydedilmelidir.</t>
        </is>
      </c>
      <c r="P42" s="29" t="n"/>
      <c r="Q42" s="29" t="n"/>
      <c r="R42" s="29" t="inlineStr">
        <is>
          <t>VUT kaydı ev sahibi için ücretsizdir.</t>
        </is>
      </c>
      <c r="S42" s="29" t="n"/>
      <c r="T42" s="29" t="n"/>
    </row>
    <row r="43" ht="54" customHeight="1">
      <c r="A43" s="29" t="inlineStr">
        <is>
          <t>marbella:elektrik-aboneligi-serbest-piyasa-pvpc</t>
        </is>
      </c>
      <c r="B43" s="29" t="inlineStr">
        <is>
          <t>marbella</t>
        </is>
      </c>
      <c r="C43" s="29" t="inlineStr">
        <is>
          <t>elektrik-aboneligi-serbest-piyasa-pvpc</t>
        </is>
      </c>
      <c r="D43" s="29" t="inlineStr">
        <is>
          <t>Elektrik aboneliği nasıl yapılır; serbest piyasa ile PVPC arasındaki fark nedir?</t>
        </is>
      </c>
      <c r="E43" s="29" t="inlineStr">
        <is>
          <t>Serbest piyasa herkese açık; regüle fiyat PVPC yalnız 10 kW ve altı gerçek kişi ve mikro işletmelere</t>
        </is>
      </c>
      <c r="F43" s="29" t="inlineStr">
        <is>
          <t>Elektrik için iki yol var: serbest piyasada fiyat ve koşulları tedarikçiyle serbestçe kararlaştırırsın; regüle piyasada ise yalnız PVPC (küçük tüketici gönüllü fiyatı) sözleşmesi yaparsın. Serbest piyasa herkese açıktır; PVPC'ye yalnız sözleşmeli gücü 10 kW ve altı olan gerçek kişiler ile mikro işletmeler girebilir ve PVPC yalnız "comercializadora de referencia" (referans tedarikçi) ile yapılır. PVPC'de güç ve enerji için ayrı fiyatlar vardır; enerji fiyatı günün saatine göre değişir. Elektrik almak için hem şebeke erişim sözleşmesi (ATR) hem enerji sözleşmesi gerekir; çoğu kişi ikisini de tedarikçi üzerinden yapar.</t>
        </is>
      </c>
      <c r="G43" s="29" t="inlineStr">
        <is>
          <t>elektrik aboneliği, PVPC, serbest piyasa, mercado libre, comercializadora, CUPS, contrato de luz</t>
        </is>
      </c>
      <c r="H43" s="29" t="inlineStr">
        <is>
          <t>new</t>
        </is>
      </c>
      <c r="I43" s="29" t="inlineStr">
        <is>
          <t>marbella:kaynak:071;marbella:kaynak:072</t>
        </is>
      </c>
      <c r="J43" s="49" t="n">
        <v>46319</v>
      </c>
      <c r="K43" s="51" t="n">
        <v>9050</v>
      </c>
      <c r="L43" s="29" t="inlineStr">
        <is>
          <t>Hayır</t>
        </is>
      </c>
      <c r="M43" s="29" t="inlineStr">
        <is>
          <t>Taslak</t>
        </is>
      </c>
      <c r="N43" s="29" t="inlineStr">
        <is>
          <t>marbella:fatura</t>
        </is>
      </c>
      <c r="O43" s="29" t="inlineStr">
        <is>
          <t>Serbest piyasa mı PVPC mi istediğine karar ver; sözleşmeli gücün 10 kW'ın üzerindeyse ya da gerçek kişi veya mikro işletme değilsen PVPC'ye giremezsin.
Aboneliği kendi adına yap: kiracıysan da elektrik noktasının abonesi (sözleşme sahibi) sen olmalısın; evin sahibi kim olursa olsun fark etmez.
Seçtiğin tedarikçiye CUPS kodunu, sözleşme sahibinin adını ve DNI'sini (kimlik numarası), yeni abonelik adresini, Certificado de Instalación ya da Boletín Eléctrico'yu, istediğin gücü ve faturaların çekileceği hesabın IBAN kodunu ver.
Elektrik noktası yeniyse bunlara ek olarak ilk iskân ya da işyeri açma ruhsatını, oturulabilirlik belgesini ve mülkiyet senedi ya da kira sözleşmesini ver.
Sözleşmeyi imzalamadan önce tedarikçinin sözleşmeden ayrı gönderdiği özet belgeyi oku; ana koşullar orada sade dille yazılıdır.</t>
        </is>
      </c>
      <c r="P43" s="29" t="inlineStr">
        <is>
          <t>CUPS kodu (her elektrik faturasında yazar)
Sözleşme sahibinin adı ve DNI (kimlik numarası)
Yeni abonelik adresi
Certificado de Instalación ya da Boletín Eléctrico
Başlatmak istediğin güç
Faturaların çekileceği hesabın IBAN kodu
Elektrik noktası yeniyse: licencia de primera ocupación ya da licencia de apertura
Elektrik noktası yeniyse: cédula de habitabilidad ya da cédula de calificación definitiva
Elektrik noktası yeniyse: mülkiyet senedi ya da kira sözleşmesi</t>
        </is>
      </c>
      <c r="Q43" s="29" t="inlineStr">
        <is>
          <t>CNMC'ye göre elektriğin açılması için yasal azami süre 5 ile 7 iş günüdür; bu süre tedarikçiden bağımsızdır.</t>
        </is>
      </c>
      <c r="R43" s="29" t="n"/>
      <c r="S43" s="29" t="inlineStr">
        <is>
          <t>Sözleşme genelde bir yıllıktır ve aynı sürelerle kendiliğinden uzar. CNMC'ye göre sözleşmede taahhüt (permanencia) şartı varsa tedarikçi, bir yıl dolmadan feshe ceza uygulayabilir; bu ceza düşük gerilimde sözleşmenin kalan enerji maliyetinin %5'ini aşamaz. PVPC'yi seçersen enerjin için başka bir sözleşme biçimine başvuramazsın ve birden fazla tedarikçiyle çalışamazsın. PVPC ile serbest piyasa arasındaki geçişin kendisi, sözleşmenin teknik koşulları aynı kaldıkça ek ücret doğurmaz.</t>
        </is>
      </c>
      <c r="T43" s="29" t="n"/>
    </row>
    <row r="44" ht="54" customHeight="1">
      <c r="A44" s="29" t="inlineStr">
        <is>
          <t>marbella:elektrik-faturasi-nasil-okunur</t>
        </is>
      </c>
      <c r="B44" s="29" t="inlineStr">
        <is>
          <t>marbella</t>
        </is>
      </c>
      <c r="C44" s="29" t="inlineStr">
        <is>
          <t>elektrik-faturasi-nasil-okunur</t>
        </is>
      </c>
      <c r="D44" s="29" t="inlineStr">
        <is>
          <t>Elektrik faturası nasıl okunur: potencia, enerji ve vergiler neyi gösterir?</t>
        </is>
      </c>
      <c r="E44" s="29" t="inlineStr">
        <is>
          <t>Sabit güç bedeli, tüketime bağlı enerji bedeli, şebeke giderleri ve vergiler faturada ayrı kalemlerdir</t>
        </is>
      </c>
      <c r="F44" s="29" t="inlineStr">
        <is>
          <t>Elektrik faturası enerji maliyetinden, düzenlenmiş giderlerden (şebeke, yenilenebilir enerji teşviki gibi), tedarikçinin marjından ve vergilerden (elektrik özel vergisi ile IVA) oluşur; sayaç kirası ve ek hizmetler varsa ayrıca eklenir. Tedarikçiler bu maliyetleri genelde iki terimle yansıtır: sabit güç terimi (sözleşmeli güce bağlıdır, hiç elektrik tüketmesen de ödenir) ve değişken enerji terimi (ne kadar ve hangi saatte tükettiğine bağlıdır; serbest piyasada tedarikçiyle sabit fiyat formülü sözleşmediysen). Düzenlenmiş maliyetler şebeke erişim bedelleri (peajes) ve cargos yoluyla yansıtılır; ikisi faturada ayrı gösterilmek zorundadır. PVPC'de vergiler PVPC fiyatının içinde değil, üstüne eklenir.</t>
        </is>
      </c>
      <c r="G44" s="29" t="inlineStr">
        <is>
          <t>elektrik faturası, factura de la luz, potencia, término de energía, peajes, cargos, IVA, Entiende tu factura</t>
        </is>
      </c>
      <c r="H44" s="29" t="inlineStr">
        <is>
          <t>new;settled</t>
        </is>
      </c>
      <c r="I44" s="29" t="inlineStr">
        <is>
          <t>marbella:kaynak:072;marbella:kaynak:073</t>
        </is>
      </c>
      <c r="J44" s="49" t="n">
        <v>46319</v>
      </c>
      <c r="K44" s="51" t="n">
        <v>9051</v>
      </c>
      <c r="L44" s="29" t="inlineStr">
        <is>
          <t>Hayır</t>
        </is>
      </c>
      <c r="M44" s="29" t="inlineStr">
        <is>
          <t>Taslak</t>
        </is>
      </c>
      <c r="N44" s="29" t="inlineStr">
        <is>
          <t>marbella:fatura</t>
        </is>
      </c>
      <c r="O44" s="29" t="inlineStr">
        <is>
          <t>Faturada sözleşme sahibini, sözleşme ve fatura numarasını, CUPS kodunu ve fatura dönemini kontrol et; CNMC'ye göre bunlar faturada yazılı olmak zorundadır.
Potencia (güç) satırına bak: bu tutar sözleşmeli güce bağlıdır ve hiç elektrik tüketmesen de ödenir.
Enerji satırına bak: serbest piyasada tedarikçiyle sabit fiyat formülü sözleşmediysen tutar ne kadar ve hangi saatte tükettiğine bağlıdır.
Peajes ve cargos kalemlerinin ayrı satırda gösterildiğini kontrol et; vergileri (elektrik özel vergisi ve IVA) de faturada bul. PVPC'deysen vergiler PVPC fiyatının üstüne uygulanır.
Sayaç kirası ve bakım ya da sigorta gibi ek hizmetleri ayrı satırda ara; ek hizmetlerin bedeli faturada ayrı yazılmak zorundadır.
Anlamadığın bir kalem olursa CNMC'nin "Entiende tu factura" aracını kullan; tedarikçin kim olursa olsun faturanı anlamana yardım eder.</t>
        </is>
      </c>
      <c r="P44" s="29" t="n"/>
      <c r="Q44" s="29" t="n"/>
      <c r="R44" s="29" t="n"/>
      <c r="S44" s="29" t="inlineStr">
        <is>
          <t>PVPC'deki, bono social'deki ve geçici olarak serbest piyasa sözleşmesi olmayan tüketicilerin faturalarının biçimi ve içeriği düzenlenmiştir. Diğer tüketicilerde tedarikçi fatura tasarımını serbestçe belirler, ama sayılan kalemleri içermek zorundadır.</t>
        </is>
      </c>
      <c r="T44" s="29" t="n"/>
    </row>
    <row r="45" ht="54" customHeight="1">
      <c r="A45" s="29" t="inlineStr">
        <is>
          <t>marbella:sozlesmeli-elektrik-gucu-nasil-secilir</t>
        </is>
      </c>
      <c r="B45" s="29" t="inlineStr">
        <is>
          <t>marbella</t>
        </is>
      </c>
      <c r="C45" s="29" t="inlineStr">
        <is>
          <t>sozlesmeli-elektrik-gucu-nasil-secilir</t>
        </is>
      </c>
      <c r="D45" s="29" t="inlineStr">
        <is>
          <t>Sözleşmeli elektrik gücü (potencia contratada) nasıl seçilir ve değiştirilir?</t>
        </is>
      </c>
      <c r="E45" s="29" t="inlineStr">
        <is>
          <t>Güç bedeli tüketmesen de ödenir; gücü ihtiyacına göre tut, değişikliği tedarikçi üzerinden iste</t>
        </is>
      </c>
      <c r="F45" s="29" t="inlineStr">
        <is>
          <t>Sözleşmeli gücü (potencia contratada) fiilen ihtiyacın kadar tut: güç terimi sabittir ve hiç elektrik tüketmesen de ödenir. Aynı anda çalışan cihazları azaltmak daha düşük bir güç seçmene imkân verir. Gücü tedarikçi üzerinden değiştirirsin; 12 ayda en az bir kez güç değişikliği yapma hakkın vardır. Güç artırımı ücretli olabilir; diğer sözleşme değişiklikleri genelde ücretsizdir.</t>
        </is>
      </c>
      <c r="G45" s="29" t="inlineStr">
        <is>
          <t>potencia contratada, elektrik gücü, kW, güç artırma, güç azaltma, comercializadora, contador</t>
        </is>
      </c>
      <c r="H45" s="29" t="inlineStr">
        <is>
          <t>new;settled</t>
        </is>
      </c>
      <c r="I45" s="29" t="inlineStr">
        <is>
          <t>marbella:kaynak:072;marbella:kaynak:071</t>
        </is>
      </c>
      <c r="J45" s="49" t="n">
        <v>46319</v>
      </c>
      <c r="K45" s="51" t="n">
        <v>9052</v>
      </c>
      <c r="L45" s="29" t="inlineStr">
        <is>
          <t>Hayır</t>
        </is>
      </c>
      <c r="M45" s="29" t="inlineStr">
        <is>
          <t>Taslak</t>
        </is>
      </c>
      <c r="N45" s="29" t="inlineStr">
        <is>
          <t>marbella:fatura</t>
        </is>
      </c>
      <c r="O45" s="29" t="inlineStr">
        <is>
          <t>Dağıtım şirketinin internet sitesinden maksimum güç ve tüketim verilerine bak; dağıtım şirketini seçemezsin, CNMC bütün dağıtım şirketlerinin tüketici portalı sitelerini yayımlar.
Aynı anda çalıştırdığın cihazları gözden geçir; birlikte kullanımı azaltırsan daha düşük bir güç yeter.
Güç değişikliği talebini tedarikçine ilet; tedarikçi dağıtım şirketiyle gereken işlemleri senin adına yapar.
Gücü seçerken şunu hesaba kat: güç değişikliği hakkın 12 ayda en az bir kez tanınır.</t>
        </is>
      </c>
      <c r="P45" s="29" t="n"/>
      <c r="Q45" s="29" t="inlineStr">
        <is>
          <t>12 ayda en az bir kez güç değişikliği yapma hakkın vardır.</t>
        </is>
      </c>
      <c r="R45" s="29" t="inlineStr">
        <is>
          <t>Sözleşme değişiklikleri genelde ücretsizdir; güç artırımı ücretli olabilir.</t>
        </is>
      </c>
      <c r="S45" s="29" t="inlineStr">
        <is>
          <t>Sözleşmeli gücü 15 kW'ın altında olan ve saatlik ayrım ile uzaktan okuma yapabilen sayaca sahip tüketici gücü 0,1 kW'ın katları olarak seçebilir.</t>
        </is>
      </c>
      <c r="T45" s="29" t="n"/>
    </row>
    <row r="46" ht="54" customHeight="1">
      <c r="A46" s="29" t="inlineStr">
        <is>
          <t>marbella:dogalgaz-aboneligi-tur-ve-fatura</t>
        </is>
      </c>
      <c r="B46" s="29" t="inlineStr">
        <is>
          <t>marbella</t>
        </is>
      </c>
      <c r="C46" s="29" t="inlineStr">
        <is>
          <t>dogalgaz-aboneligi-tur-ve-fatura</t>
        </is>
      </c>
      <c r="D46" s="29" t="inlineStr">
        <is>
          <t>Doğalgaz aboneliği nasıl yapılır; TUR (regüle tarife) ile serbest piyasa arasındaki fark ve fatura kalemleri nelerdir?</t>
        </is>
      </c>
      <c r="E46" s="29" t="inlineStr">
        <is>
          <t>Yılda 50.000 kWh'a kadar tüketenler regüle TUR tarifesine girebilir; tedarikçi değişimi ücretsizdir</t>
        </is>
      </c>
      <c r="F46" s="29" t="inlineStr">
        <is>
          <t>Doğalgazda iki yol var: serbest piyasada fiyatı tedarikçiyle serbestçe kararlaştırırsın; TUR'da (tarifa de último recurso) ise fiyatı idare belirler ve fiyat üç ayda bir belirlenir. CNMC'nin güncel rehberine göre TUR'a yıllık tüketimi 50.000 kWh'a kadar olanlar (en çok 4 bar basınçta) girebilir ve TUR yalnız son çare tedarikçileriyle (comercializador de último recurso) yapılır. Sözleşme için konutuna atanmış CUPS kodu gerekir. Gazı henüz açılmamış konutta tedarikçi sözleşmesinden sonra aboneliği dağıtım şirketi açar. Tedarikçi değiştirmek ücretsizdir ve en geç 3 hafta içinde yapılır.</t>
        </is>
      </c>
      <c r="G46" s="29" t="inlineStr">
        <is>
          <t>doğalgaz, gas natural, TUR, tarifa de último recurso, mercado libre, CUPS, factura del gas</t>
        </is>
      </c>
      <c r="H46" s="29" t="inlineStr">
        <is>
          <t>new;settled</t>
        </is>
      </c>
      <c r="I46" s="29" t="inlineStr">
        <is>
          <t>marbella:kaynak:074</t>
        </is>
      </c>
      <c r="J46" s="49" t="n">
        <v>46319</v>
      </c>
      <c r="K46" s="51" t="n">
        <v>9053</v>
      </c>
      <c r="L46" s="29" t="inlineStr">
        <is>
          <t>Hayır</t>
        </is>
      </c>
      <c r="M46" s="29" t="inlineStr">
        <is>
          <t>Taslak</t>
        </is>
      </c>
      <c r="N46" s="29" t="inlineStr">
        <is>
          <t>marbella:fatura</t>
        </is>
      </c>
      <c r="O46" s="29" t="inlineStr">
        <is>
          <t>Yıllık tüketimini kWh olarak belirle; TUR kademesini yıllık tüketim belirler: TUR.1 yılda 5.000 kWh'ın altı (örneğin gaz ocağı ve/veya şofben olan konut), TUR.2 5.000 ile 15.000 kWh arası (örneğin doğalgaz kaloriferli konut), TUR.3 15.000 ile 50.000 kWh arası (örneğin kalorifer ve yüksek tüketimli konut ya da soğuk bölge).
Serbest piyasa ile TUR'u karşılaştır; TUR'u yalnız son çare tedarikçilerinden biriyle yapabilirsin ve koşulları hepsinde aynıdır.
Gazı henüz açılmamış bir konutta bireysel gaz tesisatı yapılmışsa ve yetkili kurulumcunun verdiği tesisat sertifikan varsa tedarikçini seç; tedarikçi abonelik ve hizmete alma talebini senin adına dağıtım şirketine iletir. Dağıtım şirketi talebi en çok 6 iş günü içinde doğrular, kontroller olumluysa başka en çok 6 iş günü içinde aboneliği açar. Yeni abonelikte dağıtım şirketine abonelik hakkı (derechos de alta) ve bağlantı (enganche) bedellerini, ayrıca tesisat doğrulaması bedelini ödersin; ancak tesisat için yetkili gaz kurulumcusunun boletín'inin sunulması gerekiyorsa ya da tesisatın yapımında proje ve nihai iş sertifikası sunulması gerekmişse doğrulama bedeli ödenmez. Binanın gaz şebekesine bağlantısı yoksa dağıtım şirketinden bağlantı hattı (acometida) istemen gerekir.
Sözleşmeyi tedarikçinin satış ofisinde, telefonla ya da internetten yap; evde satış yasaktır. Telefonla arandıysan ve sözleşme yapmaktan emin değilsen satıcıya banka hesap numaranı verme.
Konutuna atanmış CUPS kodunu hazırla; kod bütün gaz faturalarında yazar.
Sözleşmeyi imzalayınca yeni tedarikçi geçişi dağıtım şirketiyle yürütür; geçiş ücretsizdir ve en geç 3 hafta içinde yapılır, istersen daha uzun bir süre isteyebilirsin.
Telefon ya da internetten sözleşme yaptıysan 14 gün içinde sözleşmeden cayabilirsin; cayarsan önceki tedarikçine dönersin.</t>
        </is>
      </c>
      <c r="P46" s="29" t="inlineStr">
        <is>
          <t>CUPS kodu (gaz faturalarında yazar)</t>
        </is>
      </c>
      <c r="Q46" s="29" t="inlineStr">
        <is>
          <t>Tedarikçi değişimi en geç 3 hafta sürer. Gazı henüz açılmamış konutta dağıtım şirketi talebi doğrulamak için en çok 6, aboneliği açmak için başka en çok 6 iş günü kullanır. TUR'un değişken terimi Ocak, Nisan, Temmuz ve Ekim ayının 1'inde güncellenebilir; her yıl Ekim ayında tüketiciler son yıl tüketimine uygun TUR kademesine yeniden yerleştirilir.</t>
        </is>
      </c>
      <c r="R46" s="29" t="n"/>
      <c r="S46" s="29" t="inlineStr">
        <is>
          <t>Gaz faturası şu kalemleri içerir: sabit terim (yıllık ücret, fatura dönemindeki gün sayısına göre uygulanır), değişken terim (tüketilen kWh ile sözleşmedeki fiyatın çarpımı), hidrokarbür vergisi, tedarikçiden aldığın ek hizmetler (ayrı yazılmalıdır) ve IVA. Dağıtım şirketi sayaç tüketiciye ait değilse sayaç kirası, 5 yılda bir yapılan tesisat denetimi, ortak tesisat kirası (canon IRC) ve yeni bağlantıda bağlantı hakları gibi hizmetleri de faturalayabilir. Faturada sayaçtaki m3 okuması (gerçek mi tahmini mi olduğuyla birlikte) ve m3'ü kWh'a çeviren faktör yazılmalıdır. Konut amaçlı apartman yönetimleri (comunidad de propietarios) tüketimlerinden bağımsız olarak TUR'a girebilir; bunun için iki şartı taşımaları gerekir: bireysel kalorifer sayacı ya da maliyet paylaştırıcısı olması (teknik olarak imkânsızsa muaftır) ve enerji verimliliği denetimini süresi içinde olumlu sonuçlandırmış olması.</t>
        </is>
      </c>
      <c r="T46" s="29" t="n"/>
    </row>
    <row r="47" ht="54" customHeight="1">
      <c r="A47" s="29" t="inlineStr">
        <is>
          <t>marbella:bono-social-elektrik-kimler-alir</t>
        </is>
      </c>
      <c r="B47" s="29" t="inlineStr">
        <is>
          <t>marbella</t>
        </is>
      </c>
      <c r="C47" s="29" t="inlineStr">
        <is>
          <t>bono-social-elektrik-kimler-alir</t>
        </is>
      </c>
      <c r="D47" s="29" t="inlineStr">
        <is>
          <t>Bono social eléctrico (elektrik faturası indirimi) kimlere verilir?</t>
        </is>
      </c>
      <c r="E47" s="29" t="inlineStr">
        <is>
          <t>Oturduğun konutta PVPC sözleşmen olmalı; gelir, aile ya da emeklilik durumun resmî ölçütlerden birine uymalı</t>
        </is>
      </c>
      <c r="F47" s="29" t="inlineStr">
        <is>
          <t>Bono social (elektrik faturası indirimi) için oturduğun asıl konutta PVPC sözleşmen olmalı ve gelir ya da aile durumun MITECO'nun sıraladığı ölçütlerden birine uymalı. MITECO'nun 2026 sayfasına göre 31 Aralık 2026'ya kadar indirim savunmasız tüketicide %42,5, ağır savunmasız tüketicide %57,5'tir; olağan oranlar ise %35 ve %50'dir. İndirim enerji terimi üzerine ve yıllık kWh sınırları dahilinde uygulanır. Savunmasız sayılmak için şunlardan biri yeter: birlikte yaşayanların yıllık toplam geliri IPREM'in 1,5 katını aşmamak (sayfada 14 maaşlı 1 IPREM = 8.400 euro), büyük aile (familia numerosa) belgesi, gelir sahibi bütün hane üyelerinin Sosyal Güvenlik emeklisi olup asgari emekli maaşı alması ve başka yıllık gelirlerinin toplamda 500 euroyu aşmaması ya da hanede birinin Ingreso Mínimo Vital yararlanıcısı olması. Birlikte yaşayan her ek yetişkin için gelir çarpanı 0,3, her çocuk için 0,5 artar.</t>
        </is>
      </c>
      <c r="G47" s="29" t="inlineStr">
        <is>
          <t>bono social, bono social eléctrico, elektrik indirimi, consumidor vulnerable, IPREM, PVPC, familia numerosa</t>
        </is>
      </c>
      <c r="H47" s="29" t="inlineStr">
        <is>
          <t>new;settled</t>
        </is>
      </c>
      <c r="I47" s="29" t="inlineStr">
        <is>
          <t>marbella:kaynak:075;marbella:kaynak:076</t>
        </is>
      </c>
      <c r="J47" s="49" t="n">
        <v>46319</v>
      </c>
      <c r="K47" s="51" t="n">
        <v>9054</v>
      </c>
      <c r="L47" s="29" t="inlineStr">
        <is>
          <t>Hayır</t>
        </is>
      </c>
      <c r="M47" s="29" t="inlineStr">
        <is>
          <t>Taslak</t>
        </is>
      </c>
      <c r="N47" s="29" t="inlineStr">
        <is>
          <t>marbella:fatura</t>
        </is>
      </c>
      <c r="O47" s="29" t="inlineStr">
        <is>
          <t>Elektrik sözleşmenin oturduğun asıl konutta (vivienda habitual) ve PVPC üzerinde olduğunu kontrol et.
Savunmasız tüketici ölçütlerinden birine uyup uymadığına bak: birlikte yaşayanların toplam yıllık geliri en çok IPREM'in 1,5 katı (sayfada 14 maaşlı 1 IPREM = 8.400 euro olarak verilir; her ek yetişkin için +0,3, her çocuk için +0,5), büyük aile belgesi, gelir sahibi bütün hane üyelerinin Sosyal Güvenlik emeklisi (yaşlılık ya da kalıcı iş göremezlik) olup ilgili emeklilik türünün asgari tutarını alması ve başka yıllık gelirlerinin toplamda 500 euroyu aşmaması ya da hanede birinin Ingreso Mínimo Vital yararlanıcısı olması.
Hanende biri en az yüzde 33 oranında tanınmış engelli, cinsiyete dayalı şiddet mağduru, terör mağduru ya da II. veya III. derece bakım bağımlılığı durumundaysa, ya da tek ebeveyn ve en az bir çocuktan oluşan bir aileysen gelir sınırları 1 IPREM puanı (sayfada 8.400 euro daha) artar.
Ağır savunmasız tüketici için gelirin savunmasız eşiklerinin yarısını aşmaması gerekir; büyük ailede sınır 2 IPREM (sayfada 16.800 euro), gelir sahibi bütün üyeleri asgari emekli maaşı alan ve başka yıllık geliri toplamda 500 euroyu aşmayan hanede 1 IPREM'dir (sayfada 8.400 euro).
Ağır savunmasız ölçütlerini karşılıyorsan ve bir kamu idaresinin (özerk bölge ya da yerel) sosyal hizmetleri seni izleyip PVPC faturanın en az yüzde 50'sini finanse ediyorsa sosyal dışlanma riski altındaki tüketici sayılırsın; geçici ödeme güçlüğünde elektriğin kesilmesi yasaktır.
İndirim enerji terimi üzerine ve yıllık kWh sınırları dahilinde uygulanır. Yıllık sınırlar (Real Decreto 897/2017 Anexo I tablosu, hane bileşimine göre): bireysel talep ya da iki kişilik hane 1.587 kWh; üç kişilik hane, asgari emekli maaşı alan emekliler ya da iki kişilik ve biri çocuk olan hane 2.222 kWh; dört kişilik hane ya da üç kişilik ve ikisi çocuk olan hane 2.698 kWh; beş ve daha fazla kişilik hane, dört kişilik ve üçü çocuk olan hane ya da büyük aile 4.761 kWh.</t>
        </is>
      </c>
      <c r="P47" s="29" t="n"/>
      <c r="Q47" s="29" t="inlineStr">
        <is>
          <t>MITECO'nun 2026 sayfasına göre %42,5 ve %57,5 oranları 31 Aralık 2026'ya kadar geçerlidir.</t>
        </is>
      </c>
      <c r="R47" s="29" t="n"/>
      <c r="S47" s="29" t="inlineStr">
        <is>
          <t>IPREM, Indicador Público de Renta de Efectos Múltiples'in kısaltmasıdır; gelir sınırları bu göstergenin katları olarak verilir. MITECO sayfasında 1 IPREM (14 maaşlı) 8.400 euro, 2 IPREM 16.800 euro olarak yazılıdır.</t>
        </is>
      </c>
      <c r="T47" s="29" t="n"/>
    </row>
    <row r="48" ht="54" customHeight="1">
      <c r="A48" s="29" t="inlineStr">
        <is>
          <t>marbella:internet-mobil-hat-sozlesmesi-taahhut-cayma</t>
        </is>
      </c>
      <c r="B48" s="29" t="inlineStr">
        <is>
          <t>marbella</t>
        </is>
      </c>
      <c r="C48" s="29" t="inlineStr">
        <is>
          <t>internet-mobil-hat-sozlesmesi-taahhut-cayma</t>
        </is>
      </c>
      <c r="D48" s="29" t="inlineStr">
        <is>
          <t>İnternet ve mobil hat sözleşmesi: taahhüt süresi, süre dolmadan fesih ve 14 günlük cayma hakkı nasıl işler?</t>
        </is>
      </c>
      <c r="E48" s="29" t="inlineStr">
        <is>
          <t>Sözleşme en çok 24 ay sürer; 14 günlük cayma yalnız uzaktan ve işyeri dışı sözleşmelerde vardır ve istisnaları vardır</t>
        </is>
      </c>
      <c r="F48" s="29" t="inlineStr">
        <is>
          <t>Bireysel tüketici için internet ve mobil hat sözleşmesi en çok 24 ay sürebilir; yalnız fiziksel hat (örneğin fiber) kurulumunu ayrı bir sözleşmeyle taksitle ödediysen bu üst sınır o taksit sözleşmesine uygulanmaz. 14 günlük cayma hakkı yalnız uzaktan (telefon, internet, posta gibi) ve işyeri dışında yapılan sözleşmelerde geçerlidir; operatörün dükkânında imzaladığın sözleşmeye otomatik uygulanmaz. Cayma hakkının istisnaları vardır: hizmet tamamen verilmişse cayamazsın;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Süre dolunca sözleşme aynı süre kadar kendiliğinden uzar; bundan sonra en çok bir ay önceden haber vererek, haber süresindeki hizmet bedeli dışında maliyetsiz her an feshedebilirsin. Süre dolmadan, fesih hakkın doğmadan kendi isteğinle bitirirsen maliyet ve cezalar olabilir; operatör bunları sözleşme özetinde yazmak zorundadır.</t>
        </is>
      </c>
      <c r="G48" s="29" t="inlineStr">
        <is>
          <t>internet sözleşmesi, mobil hat, taahhüt, permanencia, cayma hakkı, desistimiento, 24 ay, operatör</t>
        </is>
      </c>
      <c r="H48" s="29" t="inlineStr">
        <is>
          <t>new;settled</t>
        </is>
      </c>
      <c r="I48" s="29" t="inlineStr">
        <is>
          <t>marbella:kaynak:077;marbella:kaynak:078</t>
        </is>
      </c>
      <c r="J48" s="49" t="n">
        <v>46319</v>
      </c>
      <c r="K48" s="51" t="n">
        <v>9055</v>
      </c>
      <c r="L48" s="29" t="inlineStr">
        <is>
          <t>Hayır</t>
        </is>
      </c>
      <c r="M48" s="29" t="inlineStr">
        <is>
          <t>Taslak</t>
        </is>
      </c>
      <c r="N48" s="29" t="inlineStr">
        <is>
          <t>marbella:fatura</t>
        </is>
      </c>
      <c r="O48" s="29" t="inlineStr">
        <is>
          <t>Sözleşmeyi nasıl yaptığını netleştir: telefon, internet ya da posta gibi uzaktan veya işyeri dışında yaptıysan 14 takvim günü içinde gerekçe göstermeden cayabilirsin; bu hakkın istisnası ve olası bir bedeli vardır (sonraki adım).
Hizmet tamamen verilmişse cayma hakkı uygulanmaz;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Cayma hakkını kullandığın için ceza koyan sözleşme hükümleri tamamen geçersizdir.
Evine istenmeden gelen satıcıyla ya da operatörün satış amaçlı düzenlediği bir gezide imzaladıysan cayma süresi 30 takvim günüdür.
Dükkânda yüz yüze imzaladıysan yasal 14 günlük cayma hakkın yoktur; ancak işyeri dışında seninle kişisel görüşme yapıldıktan hemen sonra dükkânda ya da uzaktan imzalanan sözleşmeler de bu kuralların kapsamındadır.
Sözleşme süresini kontrol et: bireysel tüketici sözleşmesi 24 aydan uzun olamaz (yalnız fiziksel hat kurulumu için ayrı yapılan taksit sözleşmesi hariç).
Otomatik uzatmadan önce operatörün gönderdiği bildirimi oku: taahhüdün bittiğini, nasıl fesih edeceğini ve en iyi tarifelerini içermek zorundadır. Süre dolmadan kendi isteğinle çıkmak istiyorsan sözleşme özetindeki fesih maliyetleri ve olası cezalar bölümüne bak.
Operatör koşulları değiştireceğini bildirirse bildirimden itibaren bir ay içinde ek maliyet ödemeden sözleşmeyi feshedebilirsin; değişiklik yalnız senin lehine, tamamen idari nitelikte ve sana olumsuz etkisi olmayan ya da mevzuatın zorunlu kıldığı bir değişiklikse bu hak doğmaz.</t>
        </is>
      </c>
      <c r="P48" s="29" t="n"/>
      <c r="Q48" s="29" t="inlineStr">
        <is>
          <t>Sözleşme en çok 24 ay sürer. Cayma süresi 14 takvim günüdür; evde istenmeyen ziyaretlerde 30 takvim günüdür. Süre dolup sözleşme uzadıktan sonra fesih için en çok bir ay önceden haber verilir.</t>
        </is>
      </c>
      <c r="R48" s="29" t="n"/>
      <c r="S48" s="29" t="inlineStr">
        <is>
          <t>Fesih hakkının kanundan doğduğu durumlarda (örneğin operatör sözleşme koşullarını değiştirdiğinde), sübvansiyonlu cihazı (terminal) elinde tutmadıkça tazminat ödemezsin. Cihazı tutarsan tazminat, cihazın orantılı değerini ya da sözleşme sonuna kalan hizmet bedelini aşamaz (hangisi daha düşükse). Hakkın doğmadan erken bitirirsen sözleşmedeki maliyet ve cezalar uygulanabilir. Dayanak: Ley 11/2022 madde 67 (BOE'de 27/12/2025 tarihli güncel metin) ve RDL 1/2007 madde 92 ile 102 ile 108 (BOE'de 28/02/2026 tarihli güncel metin).</t>
        </is>
      </c>
      <c r="T48" s="29" t="n"/>
    </row>
    <row r="49" ht="54" customHeight="1">
      <c r="A49" s="29" t="inlineStr">
        <is>
          <t>marbella:cnmc-teklif-karsilastirma-araci</t>
        </is>
      </c>
      <c r="B49" s="29" t="inlineStr">
        <is>
          <t>marbella</t>
        </is>
      </c>
      <c r="C49" s="29" t="inlineStr">
        <is>
          <t>cnmc-teklif-karsilastirma-araci</t>
        </is>
      </c>
      <c r="D49" s="29" t="inlineStr">
        <is>
          <t>CNMC karşılaştırma aracı elektrik ve doğalgaz tekliflerini nasıl karşılaştırır?</t>
        </is>
      </c>
      <c r="E49" s="29" t="inlineStr">
        <is>
          <t>Araç yalnız bilgi verir; teklifi sözleşmeye çevirmez, sözleşmeyi seçtiğin tedarikçiyle yaparsın</t>
        </is>
      </c>
      <c r="F49" s="29" t="inlineStr">
        <is>
          <t>CNMC'nin enerji teklifleri karşılaştırma aracı, kendi tüketimini piyasadaki tekliflerle karşılaştırıp profiline en uygun olanı seçmene yardım eder. Araçta regüle fiyatlı teklifler (elektrikte PVPC, gazda TUR) ile serbest fiyatlı teklifler birlikte görünür. Araç yalnızca bilgilendirir ve teklifi doğrudan sözleşmeye çevirmez; sözleşme için seçtiğin tedarikçiye ayrıca başvurursun. Elektrik ve gaz tedarikçileri tekliflerini CNMC'ye bildirmek zorundadır.</t>
        </is>
      </c>
      <c r="G49" s="29" t="inlineStr">
        <is>
          <t>CNMC karşılaştırıcı, comparador de ofertas, elektrik teklifleri, gaz teklifleri, PVPC simülatörü, tedarikçi değiştirme</t>
        </is>
      </c>
      <c r="H49" s="29" t="inlineStr">
        <is>
          <t>new;settled</t>
        </is>
      </c>
      <c r="I49" s="29" t="inlineStr">
        <is>
          <t>marbella:kaynak:079;marbella:kaynak:074</t>
        </is>
      </c>
      <c r="J49" s="49" t="n">
        <v>46319</v>
      </c>
      <c r="K49" s="51" t="n">
        <v>9056</v>
      </c>
      <c r="L49" s="29" t="inlineStr">
        <is>
          <t>Hayır</t>
        </is>
      </c>
      <c r="M49" s="29" t="inlineStr">
        <is>
          <t>Taslak</t>
        </is>
      </c>
      <c r="N49" s="29" t="inlineStr">
        <is>
          <t>marbella:fatura</t>
        </is>
      </c>
      <c r="O49" s="29" t="inlineStr">
        <is>
          <t>https://comparador.cnmc.gob.es/ adresindeki karşılaştırma aracını aç; gaz faturanda QR kod varsa aracı o kodla da açabilirsin.
Kendi tüketimini araca gir ve piyasadaki tekliflerle karşılaştır.
Regüle fiyatlı teklifleri (elektrikte PVPC, gazda TUR) ve serbest fiyatlı teklifleri birlikte incele.
Fiyatın yanında taahhüt (permanencia) şartlarına ve teklife dahil ek hizmetlere de bak.
Seçtiğin teklif için sözleşmeyi araç üzerinden yapamazsın; sözleşme için seçtiğin tedarikçiye başvur.
PVPC'de, 10 kW ve altı güçte ve referans tedarikçideysen, faturanı CNMC'nin PVPC fatura simülatörüyle simüle et; serbest piyasa sözleşmen varsa ya da gücün 10 kW'ın üzerindeyse simülatör işine yaramaz.</t>
        </is>
      </c>
      <c r="P49" s="29" t="n"/>
      <c r="Q49" s="29" t="n"/>
      <c r="R49" s="29" t="n"/>
      <c r="S49" s="29" t="inlineStr">
        <is>
          <t>Elektrik ya da gazda tedarikçi değişiminin kendisi ücretsizdir (mevcut sözleşmendeki taahhüt şartları ayrıdır); CNMC'ye göre değişim için azami süre 21 gündür ve bütün işlemleri yeni tedarikçi yürütür.</t>
        </is>
      </c>
      <c r="T49" s="29" t="n"/>
    </row>
    <row r="50" ht="54" customHeight="1">
      <c r="A50" s="29" t="inlineStr">
        <is>
          <t>marbella:elektrik-ve-telekom-sikayet-yollari</t>
        </is>
      </c>
      <c r="B50" s="29" t="inlineStr">
        <is>
          <t>marbella</t>
        </is>
      </c>
      <c r="C50" s="29" t="inlineStr">
        <is>
          <t>elektrik-ve-telekom-sikayet-yollari</t>
        </is>
      </c>
      <c r="D50" s="29" t="inlineStr">
        <is>
          <t>Elektrikte şebeke kesintisi, elektrik faturası sorunu veya telekom şikâyetinde hangi yol izlenir?</t>
        </is>
      </c>
      <c r="E50" s="29" t="inlineStr">
        <is>
          <t>Önce şirkete şikâyet et: elektrikte 15 iş günü, telekomda bir ay bekle; sonra tahkim, özerk bölge ya da OAUT</t>
        </is>
      </c>
      <c r="F50" s="29" t="inlineStr">
        <is>
          <t>Elektrikte önce sorunun muhatabı şirkete şikâyet edersin: fatura ve sözleşme için tedarikçiye (comercializadora), şebekenin kalitesi ve sürekliliği için dağıtım şirketine (distribuidora). Şirket 15 iş günü içinde yanıt vermek zorundadır; memnun kalmazsan Defensor del cliente'ye, tahkim kurullarına (Juntas Arbitrales de Consumo), akredite bir alternatif çözüm kuruluşuna ya da özerk bölgenin tüketici organına gidebilirsin. Telekomda da önce operatöre şikâyet edersin; bir ay içinde yanıt alamazsan ya da yanıt yetmezse telekomünikasyon kullanıcı bürosuna (OAUT) başvurursun. Gerçek kişiysen telekomda hakem kurullarına (Juntas Arbitrales de Consumo) da gidebilirsin; bu yol operatörün hakem sistemine katılmasına bağlıdır ve operatör reddederse OAUT'a başvuru süresi yeniden açılır.</t>
        </is>
      </c>
      <c r="G50" s="29" t="inlineStr">
        <is>
          <t>şikâyet, reclamación, kesinti, distribuidora, comercializadora, OAUT, Juntas Arbitrales de Consumo, Defensor del cliente</t>
        </is>
      </c>
      <c r="H50" s="29" t="inlineStr">
        <is>
          <t>new;settled</t>
        </is>
      </c>
      <c r="I50" s="29" t="inlineStr">
        <is>
          <t>marbella:kaynak:080;marbella:kaynak:081</t>
        </is>
      </c>
      <c r="J50" s="49" t="n">
        <v>46319</v>
      </c>
      <c r="K50" s="51" t="n">
        <v>9057</v>
      </c>
      <c r="L50" s="29" t="inlineStr">
        <is>
          <t>Hayır</t>
        </is>
      </c>
      <c r="M50" s="29" t="inlineStr">
        <is>
          <t>Taslak</t>
        </is>
      </c>
      <c r="N50" s="29" t="inlineStr">
        <is>
          <t>marbella:fatura</t>
        </is>
      </c>
      <c r="O50" s="29" t="inlineStr">
        <is>
          <t>Elektrikte şikâyetini önce ilgili şirketin tüketici hizmetine ilet: fatura ve sözleşme konusunda tedarikçiye, şebekenin kalitesi ve sürekliliği konusunda dağıtım şirketine.
Şikâyette referans numarası al; telefonla yaptıysan başvurunu ve içeriğini kanıtlayan bir belge isteme hakkın var.
Elektrikte 15 iş günü içinde memnun edici yanıt alamazsan Defensor del cliente'ye, Juntas Arbitrales de Consumo'ya, akredite bir alternatif çözüm kuruluşuna ya da özerk bölgenin tüketici organına başvur.
Defensor del cliente şikâyeti en çok 2 ayda sonuçlandırır ve kararı şirketi bağlar; şirketler bu birimi gönüllü kurduğu için hepsinde bulunmaz.
Telekomda şikâyeti önce operatöre telefonla, internetten, postayla ya da ticari ofisinde yap; operatör telefonla şikâyeti kabul etmek zorundadır ve sana referans numarası verir.
Operatörden bir ay içinde yanıt alamazsan ya da yanıt seni tatmin etmezse OAUT'a başvur; başvuruyu elektronik sertifika ya da Cl@ve ile internetten yapabilir ya da formu imzalayıp idarenin herhangi bir kayıt biriminden ya da postayla verebilirsin.
Gerçek kişiysen telekom uyuşmazlığı için Juntas Arbitrales de Consumo (tüketici hakem kurulları) yolunu da kullanabilirsin; operatörün bu hakem sistemine katılıp katılmadığını Tüketim Bakanlığı'nın internet sitesinden öğrenebilirsin. OAUT'a başvuru süresi içinde hakeme gittiysen ve operatör hakeme katılmayı reddederse, OAUT'a başvuru için 3 aylık süre yeniden açılır.</t>
        </is>
      </c>
      <c r="P50" s="29" t="n"/>
      <c r="Q50" s="29" t="inlineStr">
        <is>
          <t>Elektrikte şirketin yanıt süresi en çok 15 iş günüdür. Telekomda operatörün yanıt süresi bir aydır; OAUT'a başvuru süresi operatörün yanıtından ya da yanıt süresinin bitişinden itibaren 3 aydır ve OAUT şikâyeti başvurudan itibaren 6 ay içinde sonuçlandırır. Gerçek kişi OAUT süresi içinde hakeme gidip operatör katılmayı reddederse OAUT için 3 aylık süre yeniden açılır.</t>
        </is>
      </c>
      <c r="R50" s="29" t="n"/>
      <c r="S50" s="29" t="inlineStr">
        <is>
          <t>OAUT kararı idari yolu kapatır; karara karşı alındığı tarihten itibaren bir ay içinde itiraz (recurso de reposición) ya da iki ay içinde idari yargıya dava (recurso contencioso-administrativo) yoluna gidilebilir.</t>
        </is>
      </c>
      <c r="T50" s="29" t="n"/>
    </row>
    <row r="51" ht="54" customHeight="1">
      <c r="A51" s="29" t="inlineStr">
        <is>
          <t>marbella:apartman-yonetimi-comunidad-de-vecinos</t>
        </is>
      </c>
      <c r="B51" s="29" t="inlineStr">
        <is>
          <t>marbella</t>
        </is>
      </c>
      <c r="C51" s="29" t="inlineStr">
        <is>
          <t>apartman-yonetimi-comunidad-de-vecinos</t>
        </is>
      </c>
      <c r="D51" s="29" t="inlineStr">
        <is>
          <t>Daire sahibi için apartman yönetimi (comunidad de propietarios): ortak giderler, kurul ve yedek fon (Katalonya dışı genel kural)</t>
        </is>
      </c>
      <c r="E51" s="29" t="inlineStr">
        <is>
          <t>Katalonya dışı genel kural (Ley 49/1960): daire sahibi payı oranında ortak giderlere katılır, kurul yılda en az bir kez toplanır</t>
        </is>
      </c>
      <c r="F51" s="29" t="inlineStr">
        <is>
          <t>Aşağıdaki bilgiler Katalonya dışındaki genel kural olan Ley de Propiedad Horizontal'a (Ley 49/1960) göre, daire sahibi açısından yazılmıştır; Katalonya'da kat mülkiyeti kendi medeni kanununun 5. kitabıyla (Código Civil de Cataluña, Ley 5/2006) düzenlenir. Ley 49/1960'a göre daire ya da işyeri (local) sahibi, ortak giderlere senette (título) belirlenen ya da özel olarak kararlaştırılan katılım payına (cuota de participación) göre katılmak zorundadır. Topluluğun organları Junta de propietarios (mülk sahipleri kurulu), başkan (presidente), varsa başkan yardımcıları, sekreter ve yöneticidir (administrador); sekreter ve yönetici görevlerini, tüzük ya da kurul ayrı atamadıkça başkan yürütür. Kurul en az yılda bir kez bütçeyi ve hesapları onaylamak için toplanır. Yedek fon (fondo de reserva) Ley 49/1960'a göre son olağan bütçenin en az %10'u kadar olmalıdır; Katalonya'da ise bütçede ortak giderlerin en az %5'i yedek fon için ayrılır (Código Civil de Cataluña md. 553-6).</t>
        </is>
      </c>
      <c r="G51" s="29" t="inlineStr">
        <is>
          <t>comunidad de vecinos, propiedad horizontal, apartman yönetimi, junta de propietarios, presidente, fondo de reserva, cuota</t>
        </is>
      </c>
      <c r="H51" s="29" t="inlineStr">
        <is>
          <t>new;settled</t>
        </is>
      </c>
      <c r="I51" s="29" t="inlineStr">
        <is>
          <t>marbella:kaynak:082;marbella:kaynak:083</t>
        </is>
      </c>
      <c r="J51" s="49" t="n">
        <v>46319</v>
      </c>
      <c r="K51" s="51" t="n">
        <v>9058</v>
      </c>
      <c r="L51" s="29" t="inlineStr">
        <is>
          <t>Hayır</t>
        </is>
      </c>
      <c r="M51" s="29" t="inlineStr">
        <is>
          <t>Taslak</t>
        </is>
      </c>
      <c r="N51" s="29" t="inlineStr">
        <is>
          <t>marbella:fatura</t>
        </is>
      </c>
      <c r="O51" s="29" t="inlineStr">
        <is>
          <t>Binanın bakımı, hizmetleri ve yükleri için bireysel olarak ayrılamayan genel giderlere, senette (título) belirlenen ya da özel olarak kararlaştırılan katılım payına (cuota de participación) göre katıl.
Yedek fona (fondo de reserva) da katılım payına göre katıl.
Sekretere İspanya'daki bildirim adresini, iletimini kanıtlayan bir yolla yazılı bildir; bildirmezsen çağrılar ve bildirimler topluluktaki dairene yapılır (dairedeki kişiye teslim edilen bildirim de tam geçerlidir), ulaşılamazsa ilan panosuna asılır ve üç takvim günü sonra geçerli olur.
Kurulun gündemine konu eklemek istiyorsan başkana yazılı olarak konuyu açıkça belirt; başkan konuyu bir sonraki toplantının gündemine koyar.
Kurul toplantısına kendin ya da imzalı yazılı yetkiyle bir temsilci aracılığıyla katıl; vadesi gelmiş borcun varsa (ve borca mahkemede itiraz etmediysen ya da tutarı mahkeme veya noter aracılığıyla bırakmadıysan) görüşebilirsin ama oy kullanamazsın.
Dairenin sahibi değişirse sekretere yazılı bildir; bildirmezsen (yönetim organları değişikliği başka bir yolla öğrenmediyse) devirden sonraki borçlardan yeni malikle birlikte müteselsil sorumlu kalırsın.
Başkan seçilirsen: görev zorunludur, ama göreve geldikten sonraki bir ay içinde hakimden görevden alınmanı isteyebilirsin.</t>
        </is>
      </c>
      <c r="P51" s="29" t="n"/>
      <c r="Q51" s="29" t="inlineStr">
        <is>
          <t>Kurul en az yılda bir kez toplanır; Ley 49/1960'a göre (Katalonya dışı) olağan yıllık toplantının çağrısı en az 6 gün önceden yapılır; Katalonya'da çağrı, davet ve bildirimler en az 8 takvim günü önceden gönderilir (Código Civil de Cataluña md. 553-21.2). Tüzük aksini söylemedikçe yönetim organları bir yıl için seçilir.</t>
        </is>
      </c>
      <c r="R51" s="29" t="inlineStr">
        <is>
          <t>Ley 49/1960'a göre yedek fon, topluluğun son olağan bütçesinin en az %10'u kadar olmalıdır. Katalonya'da bütçede ortak giderlerin en az %5'i yedek fon için ayrılır (Código Civil de Cataluña md. 553-6).</t>
        </is>
      </c>
      <c r="S51" s="29" t="inlineStr">
        <is>
          <t>Bu bilgiler daire sahiplerinin yükümlülüklerine dairdir ve Ley 49/1960'ın BOE'deki 03/10/2026 tarihli güncel metnine göre yazılmıştır; Katalonya için yalnız aşağıda ayrıca etiketlenen değerler verilmiştir (Ley 5/2006'nın BOE'deki 03/07/2026 tarihli güncel metni).
Ley 49/1960 (Katalonya dışı): Daire alırsan, satın alınan daire önceki sahiplerin ortak gider borçlarından devrin yapıldığı yılın vadesi gelmiş kısmı ile önceki üç takvim yılı kadarıyla sorumludur. Satıcı, devir belgesinde borç durumunu beyan etmeli ve sekreterin verdiği borç sertifikasını sunmalıdır (alıcı onu açıkça muaf tutmadıkça); sertifika talepten itibaren en çok 7 takvim günü içinde verilir.
Katalonya (Código Civil de Cataluña): Özel bölümler, ortak giderler ve yedek fon için cari yılın vadesi gelmiş kısmından ve hemen önceki dört yıldan doğan tutarlardan sorumludur (md. 553-5.1). Toplantı çağrıları, davetler ve bildirimler, tüzük açıkça başka bir şey söylemedikçe en az 8 takvim günü önceden gönderilir (md. 553-21.2).</t>
        </is>
      </c>
      <c r="T51" s="29" t="n"/>
    </row>
    <row r="52" ht="54" customHeight="1">
      <c r="A52" s="29" t="inlineStr">
        <is>
          <t>marbella:su-sozlesmesi-islemleri-acosol-marbella</t>
        </is>
      </c>
      <c r="B52" s="29" t="inlineStr">
        <is>
          <t>marbella</t>
        </is>
      </c>
      <c r="C52" s="29" t="inlineStr">
        <is>
          <t>su-sozlesmesi-islemleri-acosol-marbella</t>
        </is>
      </c>
      <c r="D52" s="29" t="inlineStr">
        <is>
          <t>Marbella'da su şirketi Acosol ile sözleşme işlemleri nasıl yapılır?</t>
        </is>
      </c>
      <c r="E52" s="29" t="inlineStr">
        <is>
          <t>Marbella'da evlere su dağıtımı Acosol'da; işlemler Oficina Virtual'den FNMT sertifikasıyla ya da formu e-postayla göndererek</t>
        </is>
      </c>
      <c r="F52" s="29" t="inlineStr">
        <is>
          <t>Marbella'da evlere içme suyu dağıtımını (abastecimiento en baja) Acosol S.A. yürütür; su sözleşmenle ilgili işlemleri Acosol'un Oficina Virtual sayfasındaki 'Realiza aquí tus trámites' sekmesinden yaparsın. FNMT'nin verdiği dijital sertifikan varsa başvurun doğrudan kayıtlı olur ve ayrıca kimlik doğrulaması gerekmez. Sertifikan yoksa ilgili formu indirip acosol@acosol.es adresine gönderirsin; işlem bitince sonuç sana e-postayla bildirilir.</t>
        </is>
      </c>
      <c r="G52" s="29" t="inlineStr">
        <is>
          <t>su aboneliği, Acosol, Marbella, abastecimiento, Oficina Virtual, trámites, su sözleşmesi</t>
        </is>
      </c>
      <c r="H52" s="29" t="inlineStr">
        <is>
          <t>new;settled</t>
        </is>
      </c>
      <c r="I52" s="29" t="inlineStr">
        <is>
          <t>marbella:kaynak:227;marbella:kaynak:229</t>
        </is>
      </c>
      <c r="J52" s="49" t="n">
        <v>46323</v>
      </c>
      <c r="K52" s="51" t="n">
        <v>500</v>
      </c>
      <c r="L52" s="29" t="inlineStr">
        <is>
          <t>Evet</t>
        </is>
      </c>
      <c r="M52" s="29" t="inlineStr">
        <is>
          <t>Taslak</t>
        </is>
      </c>
      <c r="N52" s="29" t="inlineStr">
        <is>
          <t>marbella:fatura</t>
        </is>
      </c>
      <c r="O52" s="29" t="inlineStr">
        <is>
          <t>Acosol Oficina Virtual sayfasında 'Realiza aquí tus trámites' sekmesini aç ve işlem kataloğundan ihtiyacın olan işlemi seç.
FNMT'nin verdiği geçerli bir dijital sertifikan varsa işlemi sertifikayla yap; başvurun çevrimiçi kaydedilir ve Acosol işlemi yürütür.
Sertifikan yoksa işleme ait formu indir, doldur ve acosol@acosol.es adresine e-postayla gönder.
İşlem tamamlanınca Acosol sonucu verdiğin e-posta adresine bildirir.
Adım adım anlatım için sayfadaki 'Instrucciones sede electrónica' tutorialini indirebilir ya da videoyu izleyebilirsin.</t>
        </is>
      </c>
      <c r="P52" s="29" t="inlineStr">
        <is>
          <t>FNMT'nin verdiği dijital sertifika (varsa)
İşleme göre Acosol'un sunduğu form (indirilebilir)</t>
        </is>
      </c>
      <c r="Q52" s="29" t="n"/>
      <c r="R52" s="29" t="n"/>
      <c r="S52" s="29" t="n"/>
      <c r="T52" s="29" t="n"/>
    </row>
    <row r="53" ht="54" customHeight="1">
      <c r="A53" s="29" t="inlineStr">
        <is>
          <t>marbella:su-faturasi-acosol-oficina-virtual-ve-odeme</t>
        </is>
      </c>
      <c r="B53" s="29" t="inlineStr">
        <is>
          <t>marbella</t>
        </is>
      </c>
      <c r="C53" s="29" t="inlineStr">
        <is>
          <t>su-faturasi-acosol-oficina-virtual-ve-odeme</t>
        </is>
      </c>
      <c r="D53" s="29" t="inlineStr">
        <is>
          <t>Marbella'da su faturanı Acosol Oficina Virtual'den nasıl görür ve ödersin?</t>
        </is>
      </c>
      <c r="E53" s="29" t="inlineStr">
        <is>
          <t>Kayıt için Acosol'a kayıtlı e-posta, DNI/CIF ve abone poliçe numarası (Zona / Código); fatura kayıtsız da ödenebilir</t>
        </is>
      </c>
      <c r="F53" s="29" t="inlineStr">
        <is>
          <t>Acosol faturanı dijital görmek için önce Oficina Virtual'de kullanıcı olarak kayıt olursun: 'regístrate' düğmesine basıp Acosol'a daha önce kayıtlı e-posta adresini, DNI/CIF numaranı ve abone poliçe numaranı (Póliza del abonado: Zona / Código) yazarsın; şifre belirleme bağlantısı e-postana gelir. Dijital fatura, kâğıt faturayla aynı yasal geçerliliğe sahiptir. Faturayı kayıt olmadan ödemek için de aynı sayfada iki yol vardır: bilgileri elle girmek ya da barkod kullanmak.</t>
        </is>
      </c>
      <c r="G53" s="29" t="inlineStr">
        <is>
          <t>su faturası, Acosol, Oficina Virtual, póliza, DNI/CIF, dijital fatura, Marbella</t>
        </is>
      </c>
      <c r="H53" s="29" t="inlineStr">
        <is>
          <t>new;settled</t>
        </is>
      </c>
      <c r="I53" s="29" t="inlineStr">
        <is>
          <t>marbella:kaynak:227</t>
        </is>
      </c>
      <c r="J53" s="49" t="n">
        <v>46323</v>
      </c>
      <c r="K53" s="51" t="n">
        <v>501</v>
      </c>
      <c r="L53" s="29" t="inlineStr">
        <is>
          <t>Hayır</t>
        </is>
      </c>
      <c r="M53" s="29" t="inlineStr">
        <is>
          <t>Taslak</t>
        </is>
      </c>
      <c r="N53" s="29" t="inlineStr">
        <is>
          <t>marbella:fatura</t>
        </is>
      </c>
      <c r="O53" s="29" t="inlineStr">
        <is>
          <t>Acosol Oficina Virtual sayfasında 'DESCARGA AQUÍ SUS FACTURAS' sekmesine git ve 'regístrate'e bas.
Acosol'a daha önce kayıtlı e-posta adresini, DNI/CIF numaranı ve abone poliçe numaranı (Zona / Código) gir.
E-postana gelen bağlantıdan şifreni belirle.
Faturayı kayıt olmadan ödemek istersen 'Mi factura' bölümündeki iki bağlantıdan birini seç: bilgileri elle girerek ya da barkodla ödeme.
Zaten kullanıcıysan sayfadaki 'Área de clientes' bağlantısıyla giriş yap.</t>
        </is>
      </c>
      <c r="P53" s="29" t="inlineStr">
        <is>
          <t>Acosol'a kayıtlı e-posta adresi
DNI ya da CIF numarası
Abone poliçe numarası (Póliza del abonado: Zona / Código)</t>
        </is>
      </c>
      <c r="Q53" s="29" t="n"/>
      <c r="R53" s="29" t="n"/>
      <c r="S53" s="29" t="n"/>
      <c r="T53" s="29" t="n"/>
    </row>
    <row r="54" ht="54" customHeight="1">
      <c r="A54" s="29" t="inlineStr">
        <is>
          <t>marbella:acosol-marbella-merkez-ofisi-randevu-ve-sikayet</t>
        </is>
      </c>
      <c r="B54" s="29" t="inlineStr">
        <is>
          <t>marbella</t>
        </is>
      </c>
      <c r="C54" s="29" t="inlineStr">
        <is>
          <t>acosol-marbella-merkez-ofisi-randevu-ve-sikayet</t>
        </is>
      </c>
      <c r="D54" s="29" t="inlineStr">
        <is>
          <t>Acosol'un Marbella ofisi nerede, hangi saatlerde açık ve randevuyu nasıl alırsın?</t>
        </is>
      </c>
      <c r="E54" s="29" t="inlineStr">
        <is>
          <t>Elviria'daki merkez: Ctra. N-340 km 190,700, hafta içi 9:00-14:00, tel. 952 93 20 20; randevu WhatsApp ya da çevrimiçi</t>
        </is>
      </c>
      <c r="F54" s="29" t="inlineStr">
        <is>
          <t>Acosol'un Marbella'daki merkez ofisi Elviria'da, Ctra. N-340 P.K. 190,700, 29604 Marbella adresindedir; pazartesi-cuma 9:00-14:00 açıktır ve telefonu +34 952 93 20 20'dir. Randevu (cita previa) için çevrimiçi randevu formunu kullanabilir ya da WhatsApp'tan +34 617 55 23 36'ya yazabilirsin. Yakın ofislerde Istán'da (Plaza de Andalucía s/n) salı ve perşembe 9:00-13:00, Ojén'de (Charcas 24) pazartesi ve çarşamba 9:00-13:00 hizmet var. Şikâyet ya da öneri için aynı WhatsApp numarası, randevu ya da Acosol'un şikâyet formu açık.</t>
        </is>
      </c>
      <c r="G54" s="29" t="inlineStr">
        <is>
          <t>Acosol ofisi, Marbella, cita previa, Elviria, su şirketi, şikâyet, WhatsApp</t>
        </is>
      </c>
      <c r="H54" s="29" t="inlineStr">
        <is>
          <t>new;settled</t>
        </is>
      </c>
      <c r="I54" s="29" t="inlineStr">
        <is>
          <t>marbella:kaynak:228;marbella:kaynak:231</t>
        </is>
      </c>
      <c r="J54" s="49" t="n">
        <v>46323</v>
      </c>
      <c r="K54" s="51" t="n">
        <v>502</v>
      </c>
      <c r="L54" s="29" t="inlineStr">
        <is>
          <t>Evet</t>
        </is>
      </c>
      <c r="M54" s="29" t="inlineStr">
        <is>
          <t>Taslak</t>
        </is>
      </c>
      <c r="N54" s="29" t="inlineStr">
        <is>
          <t>marbella:fatura</t>
        </is>
      </c>
      <c r="O54" s="29" t="inlineStr">
        <is>
          <t>Elviria'daki merkez ofise git: Ctra. N-340 P.K. 190,700, Urb. Elviria, 29604 Marbella; pazartesi-cuma 9:00-14:00.
Randevu için Acosol'un sayfasındaki çevrimiçi randevu formunu doldur ya da WhatsApp'tan +34 617 55 23 36'ya yaz; telefon +34 952 93 20 20.
Istán ya da Ojén'e yakınsan oradaki ofisleri kullan: Istán salı-perşembe, Ojén pazartesi-çarşamba, 9:00-13:00.
Şikâyet ya da önerini sayfadaki forma yaz (mesaj en az 5 sözcük olmalı), WhatsApp'tan ilet ya da randevu al.</t>
        </is>
      </c>
      <c r="P54" s="29" t="n"/>
      <c r="Q54" s="29" t="inlineStr">
        <is>
          <t>Merkez ofis pazartesi-cuma 9:00-14:00; Istán ve Ojén ofisleri haftada iki gün 9:00-13:00.</t>
        </is>
      </c>
      <c r="R54" s="29" t="n"/>
      <c r="S54" s="29" t="n"/>
      <c r="T54" s="29" t="n"/>
    </row>
    <row r="55" ht="54" customHeight="1">
      <c r="A55" s="29" t="inlineStr">
        <is>
          <t>marbella:cop-konteyneri-arizasi-ve-buyuk-esya-toplama-telefonu</t>
        </is>
      </c>
      <c r="B55" s="29" t="inlineStr">
        <is>
          <t>marbella</t>
        </is>
      </c>
      <c r="C55" s="29" t="inlineStr">
        <is>
          <t>cop-konteyneri-arizasi-ve-buyuk-esya-toplama-telefonu</t>
        </is>
      </c>
      <c r="D55" s="29" t="inlineStr">
        <is>
          <t>Marbella'da bozuk çöp konteynerini ya da büyük eşya toplatmayı kime bildirirsin?</t>
        </is>
      </c>
      <c r="E55" s="29" t="inlineStr">
        <is>
          <t>Tek numara: 952 768 720, pazartesi-cuma 8:00-14:00; konteyner arızaları ve muebles y enseres toplama aynı hatta</t>
        </is>
      </c>
      <c r="F55" s="29" t="inlineStr">
        <is>
          <t>Marbella'da konteynerlerin pedalı ya da kapağı bozulduysa veya büyük eşya (muebles y enseres) toplatmak istiyorsan belediyenin Limpieza delegasyonunun 952 768 720 numaralı telefonunu arayabilirsin; hat pazartesi-cuma 8:00-14:00 arası hizmet verir. Belediye 2023'te 1.800'den fazla konteyner arızasına müdahale etti ve bunların %82,4'ü pedal ya da kapaktı.</t>
        </is>
      </c>
      <c r="G55" s="29" t="inlineStr">
        <is>
          <t>çöp konteyneri, büyük eşya, muebles y enseres, Marbella, Limpieza, 952 768 720</t>
        </is>
      </c>
      <c r="H55" s="29" t="inlineStr">
        <is>
          <t>new;settled</t>
        </is>
      </c>
      <c r="I55" s="29" t="inlineStr">
        <is>
          <t>marbella:kaynak:233</t>
        </is>
      </c>
      <c r="J55" s="49" t="n">
        <v>46323</v>
      </c>
      <c r="K55" s="51" t="n">
        <v>503</v>
      </c>
      <c r="L55" s="29" t="inlineStr">
        <is>
          <t>Hayır</t>
        </is>
      </c>
      <c r="M55" s="29" t="inlineStr">
        <is>
          <t>Taslak</t>
        </is>
      </c>
      <c r="N55" s="29" t="inlineStr">
        <is>
          <t>marbella:fatura</t>
        </is>
      </c>
      <c r="O55" s="29" t="inlineStr">
        <is>
          <t>Arızalı konteyneri ya da toplatmak istediğin büyük eşyayı 952 768 720 numaralı telefondan bildir.
Aramayı pazartesi-cuma 8:00-14:00 arasında yap.
Konteynerin yerini ve sorunu (pedal, kapak ya da başka bir hasar) net anlat.</t>
        </is>
      </c>
      <c r="P55" s="29" t="n"/>
      <c r="Q55" s="29" t="inlineStr">
        <is>
          <t>Hat pazartesi-cuma 8:00-14:00 açık.</t>
        </is>
      </c>
      <c r="R55" s="29" t="n"/>
      <c r="S55" s="29" t="n"/>
      <c r="T55" s="29" t="n"/>
    </row>
    <row r="56" ht="54" customHeight="1">
      <c r="A56" s="29" t="inlineStr">
        <is>
          <t>marbella:belediye-atik-deposu-marbella-adres-saat-ve-limitler</t>
        </is>
      </c>
      <c r="B56" s="29" t="inlineStr">
        <is>
          <t>marbella</t>
        </is>
      </c>
      <c r="C56" s="29" t="inlineStr">
        <is>
          <t>belediye-atik-deposu-marbella-adres-saat-ve-limitler</t>
        </is>
      </c>
      <c r="D56" s="29" t="inlineStr">
        <is>
          <t>Marbella'da belediye atık deposuna (Depósito municipal de residuos) ne, ne kadar ve nereye götürebilirsin?</t>
        </is>
      </c>
      <c r="E56" s="29" t="inlineStr">
        <is>
          <t>C/ Carbón, Polígono La Ermita; hafta içi 9:30-17:30 (geçici); giysi 50 kg, yağ 25 l, moloz 3 çuval</t>
        </is>
      </c>
      <c r="F56" s="29" t="inlineStr">
        <is>
          <t>Marbella'da belediyenin atık deposu C/ Carbón, Polígono La Ermita adresindedir; geçici saatleri pazartesi-cuma 9:30-17:30'dur. Telefonu +34 649 025 118, e-postası medioambiente@marbella.es. Kâğıt-karton katlanıp bağlanmışsa sınırsız, cam ve hafif ambalaj konteyner kapasitesi kadar, giysi ve ayakkabı kişi başı 50 kg, bitkisel atık yağ 25 litre plastik şişede kabul edilir. Moloz (küçük ev işlerinden) ve bahçe atığı için 3 çuval (50 kg), boya ve solvent ile elektronik cihaz için 5 adet, lamba için 10 adet, sprey için 10 adet, yazıcı kartuşu için 3 adet ve araç aküsü için 1 adet limit var.</t>
        </is>
      </c>
      <c r="G56" s="29" t="inlineStr">
        <is>
          <t>atık deposu, geri dönüşüm, moloz, atık yağ, Marbella, Depósito municipal de residuos, büyük eşya</t>
        </is>
      </c>
      <c r="H56" s="29" t="inlineStr">
        <is>
          <t>new;settled</t>
        </is>
      </c>
      <c r="I56" s="29" t="inlineStr">
        <is>
          <t>marbella:kaynak:234</t>
        </is>
      </c>
      <c r="J56" s="49" t="n">
        <v>46323</v>
      </c>
      <c r="K56" s="51" t="n">
        <v>504</v>
      </c>
      <c r="L56" s="29" t="inlineStr">
        <is>
          <t>Hayır</t>
        </is>
      </c>
      <c r="M56" s="29" t="inlineStr">
        <is>
          <t>Taslak</t>
        </is>
      </c>
      <c r="N56" s="29" t="inlineStr">
        <is>
          <t>marbella:fatura</t>
        </is>
      </c>
      <c r="O56" s="29" t="inlineStr">
        <is>
          <t>Atığını C/ Carbón, Polígono La Ermita adresindeki depoya pazartesi-cuma 9:30-17:30 arasında götür.
Götürmeden önce limitlere bak: giysi ve ayakkabı kişi başı 50 kg, bitkisel yağ 25 litre plastik şişede, moloz ve bahçe atığı 3 çuval (50 kg).
Küçük kalemlerde adet sınırı var: boya ve solvent 5, elektronik cihaz 5, lamba 10, sprey 10, yazıcı kartuşu 3, araç aküsü 1.
Kâğıt-kartonu katlayıp bağlayarak getir; bu kalemde miktar sınırı yok.
Büyük eşyayı depoya götürmek yerine toplatmak istiyorsan belediyenin çöp ve büyük eşya hattını ara.</t>
        </is>
      </c>
      <c r="P56" s="29" t="n"/>
      <c r="Q56" s="29" t="inlineStr">
        <is>
          <t>Geçici saatler: pazartesi-cuma 9:30-17:30.</t>
        </is>
      </c>
      <c r="R56" s="29" t="n"/>
      <c r="S56" s="29" t="n"/>
      <c r="T56" s="29" t="n"/>
    </row>
    <row r="57" ht="54" customHeight="1">
      <c r="A57" s="29" t="inlineStr">
        <is>
          <t>marbella:cop-tasasi-marbella-ordonans-ve-vergi-ofisleri</t>
        </is>
      </c>
      <c r="B57" s="29" t="inlineStr">
        <is>
          <t>marbella</t>
        </is>
      </c>
      <c r="C57" s="29" t="inlineStr">
        <is>
          <t>cop-tasasi-marbella-ordonans-ve-vergi-ofisleri</t>
        </is>
      </c>
      <c r="D57" s="29" t="inlineStr">
        <is>
          <t>Marbella'da çöp tasası (Tasa por Recogida de Residuos sólidos urbanos) nedir ve belediye vergi ofisleri nerede?</t>
        </is>
      </c>
      <c r="E57" s="29" t="inlineStr">
        <is>
          <t>2026 mali ordonansında 3.6 başlığı; Patronato de Recaudación Av. Ricardo Soriano 68, Gestión Tributaria Mercado Municipal'de</t>
        </is>
      </c>
      <c r="F57" s="29" t="inlineStr">
        <is>
          <t>Marbella'da çöp toplama, belediyenin ayrı bir tasasıdır: 2026 mali ordonansında (Ordenanzas fiscales 2026, 7 Ocak 2026'da yayımlandı) 3.6 başlığıyla 'Tasa por Recogida de Residuos sólidos urbanos' olarak sayılır. Ordonansın tam metni 13 MB'lık bir PDF olarak yayımlanmıştır. Belediye vergi işleri için iki ofis var: Patronato de Recaudación (Av. Ricardo Soriano 68, 29601 Marbella, tel. 951 957 285, pazartesi-cuma 9:00-13:30) ve Oficina de Gestión Tributaria (Mercado Municipal binası, C/ Francisco de Quevedo s/n girişi, tel. 952 938 818, pazartesi-cuma 9:00-14:00).</t>
        </is>
      </c>
      <c r="G57" s="29" t="inlineStr">
        <is>
          <t>çöp tasası, tasa de basura, Marbella, mali ordonans, Patronato de Recaudación, Gestión Tributaria</t>
        </is>
      </c>
      <c r="H57" s="29" t="inlineStr">
        <is>
          <t>new;settled</t>
        </is>
      </c>
      <c r="I57" s="29" t="inlineStr">
        <is>
          <t>marbella:kaynak:236;marbella:kaynak:237</t>
        </is>
      </c>
      <c r="J57" s="49" t="n">
        <v>46323</v>
      </c>
      <c r="K57" s="51" t="n">
        <v>505</v>
      </c>
      <c r="L57" s="29" t="inlineStr">
        <is>
          <t>Hayır</t>
        </is>
      </c>
      <c r="M57" s="29" t="inlineStr">
        <is>
          <t>Taslak</t>
        </is>
      </c>
      <c r="N57" s="29" t="inlineStr">
        <is>
          <t>marbella:fatura</t>
        </is>
      </c>
      <c r="O57" s="29" t="inlineStr">
        <is>
          <t>Çöp tasasının tutarı için belediyenin yayımladığı Ordenanzas fiscales 2026 PDF'inde 3.6 başlığına bak.
Vergi ve tasa işlerin için Patronato de Recaudación'a git: Av. Ricardo Soriano 68, pazartesi-cuma 9:00-13:30, tel. 951 957 285.
Belediye vergi yönetimi için Oficina de Gestión Tributaria'ya git: Mercado Municipal binası, C/ Francisco de Quevedo s/n girişi, pazartesi-cuma 9:00-14:00, tel. 952 938 818.</t>
        </is>
      </c>
      <c r="P57" s="29" t="n"/>
      <c r="Q57" s="29" t="inlineStr">
        <is>
          <t>Patronato pazartesi-cuma 9:00-13:30; Gestión Tributaria pazartesi-cuma 9:00-14:00.</t>
        </is>
      </c>
      <c r="R57" s="29" t="n"/>
      <c r="S57" s="29" t="n"/>
      <c r="T57" s="29" t="n"/>
    </row>
    <row r="58" ht="54" customHeight="1">
      <c r="A58" s="29" t="inlineStr">
        <is>
          <t>marbella:tuketici-sikayeti-omic-ve-hoja-de-reclamaciones-marbella</t>
        </is>
      </c>
      <c r="B58" s="29" t="inlineStr">
        <is>
          <t>marbella</t>
        </is>
      </c>
      <c r="C58" s="29" t="inlineStr">
        <is>
          <t>tuketici-sikayeti-omic-ve-hoja-de-reclamaciones-marbella</t>
        </is>
      </c>
      <c r="D58" s="29" t="inlineStr">
        <is>
          <t>Marbella'da fatura ya da hizmet sorununda tüketici şikâyetini nereye iletirsin: OMIC ve hoja de reclamaciones?</t>
        </is>
      </c>
      <c r="E58" s="29" t="inlineStr">
        <is>
          <t>OMIC ücretsiz bilgi ve arabuluculuk sunar; şikâyet formu hoja de reclamaciones isteyince hemen ve ücretsiz verilmek zorunda</t>
        </is>
      </c>
      <c r="F58" s="29" t="inlineStr">
        <is>
          <t>Marbella'da bir şirketle (ör. su, internet ya da mağaza) sorun yaşarsan belediyenin Oficina Municipal de Información al Consumidor (OMIC) ofisinden ücretsiz bilgi ve yönlendirme alabilir, anlaşmazlıkta dostane çözüm için arabuluculuk isteyebilirsin. Şirketten hoja de reclamaciones (resmî şikâyet formu) istediğinde form hemen, bulunduğun yerde ve ücretsiz verilmek zorundadır; formu işletmeden çıkınca doldurup sonradan da teslim edebilirsin. Dijital sertifikan varsa şikâyeti tamamen çevrimiçi yaparsın; yoksa çıktısını alıp Junta de Andalucía'nın kayıt yerlerinden birine verirsin.</t>
        </is>
      </c>
      <c r="G58" s="29" t="inlineStr">
        <is>
          <t>tüketici şikâyeti, OMIC, hoja de reclamaciones, Consumo Responde, Marbella, Junta de Andalucía</t>
        </is>
      </c>
      <c r="H58" s="29" t="inlineStr">
        <is>
          <t>new;settled</t>
        </is>
      </c>
      <c r="I58" s="29" t="inlineStr">
        <is>
          <t>marbella:kaynak:226;marbella:kaynak:238</t>
        </is>
      </c>
      <c r="J58" s="49" t="n">
        <v>46323</v>
      </c>
      <c r="K58" s="51" t="n">
        <v>506</v>
      </c>
      <c r="L58" s="29" t="inlineStr">
        <is>
          <t>Hayır</t>
        </is>
      </c>
      <c r="M58" s="29" t="inlineStr">
        <is>
          <t>Taslak</t>
        </is>
      </c>
      <c r="N58" s="29" t="inlineStr">
        <is>
          <t>marbella:fatura</t>
        </is>
      </c>
      <c r="O58" s="29" t="inlineStr">
        <is>
          <t>Sorunu önce şirkete söyle ve hoja de reclamaciones iste; şirket formu aynı yerde, hemen ve ücretsiz vermek zorunda.
Şirket formu vermezse ya da formu yoksa yetkili tüketici makamının görevlilerinden yardım isteyebilirsin.
Formu açık ve kısa doldur; işletmeden çıktıktan sonra da doldurup teslim edebilirsin.
Dijital sertifikan varsa şikâyeti çevrimiçi yap; yoksa formu yazdırıp doldur ve Junta de Andalucía'nın kayıt yerlerinden birine ver.
Bilgi ya da yönlendirme için OMIC'e başvur ya da 012 / 955 012 012'yi ara.</t>
        </is>
      </c>
      <c r="P58" s="29" t="inlineStr">
        <is>
          <t>Hoja de reclamaciones (şirketten istenir ya da Junta sayfasından kâğıt formatı indirilir)</t>
        </is>
      </c>
      <c r="Q58" s="29" t="n"/>
      <c r="R58" s="29" t="inlineStr">
        <is>
          <t>OMIC hizmeti ücretsiz; hoja de reclamaciones verilmesi ücretsiz.</t>
        </is>
      </c>
      <c r="S58" s="29" t="n"/>
      <c r="T58" s="29" t="n"/>
    </row>
    <row r="59" ht="54" customHeight="1">
      <c r="A59" s="29" t="inlineStr">
        <is>
          <t>marbella:resmi-tatiller-2027</t>
        </is>
      </c>
      <c r="B59" s="29" t="inlineStr">
        <is>
          <t>marbella</t>
        </is>
      </c>
      <c r="C59" s="29" t="inlineStr">
        <is>
          <t>resmi-tatiller-2027</t>
        </is>
      </c>
      <c r="D59" s="29" t="inlineStr">
        <is>
          <t>İspanya'da 2027'de resmî tatil günleri hangileri, hangileri bölgeye göre değişir?</t>
        </is>
      </c>
      <c r="E59" s="29" t="inlineStr">
        <is>
          <t>BOE'de 13 Ekim 2026'da yayımlandı: sekiz ulusal gün ve 6 Ocak 2027'de hiçbir bölgede değişmedi, kalanı bölgeye göre değişir; yerel tatiller belediyeye bağlıdır</t>
        </is>
      </c>
      <c r="F59" s="29" t="inlineStr">
        <is>
          <t>2027'de her bölgede tatil olan günler: bölgelerin değiştiremediği 1 Ocak (Año Nuevo), 26 Mart (Viernes Santo), 1 Mayıs (Fiesta del Trabajo), 12 Ekim (Fiesta Nacional de España), 1 Kasım (Todos los Santos), 6 Aralık (Día de la Constitución), 8 Aralık (Inmaculada Concepción) ve 25 Aralık (Natividad del Señor); bir de 6 Ocak (Epifanía del Señor), çünkü kararın tablosunda hiçbir bölge 2027 için bu günün yerine başka gün koymamıştır. Liste, BOE'de 13 Ekim 2026'da yayımlanan (8 Ekim 2026 tarihli) Dirección General de Trabajo kararındadır. Bunların dışındaki günler bölgeye göre değişir: bazı ulusal günlerin yerine bölgeler kendi geleneksel günlerini koyabilir, ayrıca bazı bölgeler kendi bölge gününü ekler (2027 tablosunda bazı bölgelerin, örneğin başkent bölgesinin sütununda bölge günü işareti yoktur; Canarias için ada günleri tablonun altındaki 1 numaralı notta verilir). Karar 17 özerk bölgenin ve Ceuta ile Melilla'nın gönderdiği listelere dayanır. Yerel tatiller belediyeye göredir ve bu kararda yer almaz.</t>
        </is>
      </c>
      <c r="G59" s="29" t="inlineStr">
        <is>
          <t>resmi tatiller 2027, fiestas laborales 2027, BOE tatil takvimi, ulusal tatil, bölge tatili, fiestas locales, Viernes Santo, Jueves Santo</t>
        </is>
      </c>
      <c r="H59" s="29" t="inlineStr">
        <is>
          <t>planning;new;settled</t>
        </is>
      </c>
      <c r="I59" s="29" t="inlineStr">
        <is>
          <t>marbella:kaynak:125</t>
        </is>
      </c>
      <c r="J59" s="49" t="n">
        <v>46319</v>
      </c>
      <c r="K59" s="51" t="n">
        <v>9091</v>
      </c>
      <c r="L59" s="29" t="inlineStr">
        <is>
          <t>Hayır</t>
        </is>
      </c>
      <c r="M59" s="29" t="inlineStr">
        <is>
          <t>Taslak</t>
        </is>
      </c>
      <c r="N59" s="29" t="inlineStr">
        <is>
          <t>marbella:gunluk</t>
        </is>
      </c>
      <c r="O59" s="29" t="inlineStr">
        <is>
          <t>1 Ocak, 6 Ocak, 26 Mart, 1 Mayıs, 12 Ekim, 1 Kasım, 6 Aralık, 8 Aralık ve 25 Aralık'ı her yerde tatil olarak planla.
19 Mart (San José), 25 Mart (Jueves Santo) ve 16 Ağustos (Asunción'dan sonraki pazartesi) için kararın ekindeki tabloda kendi bölgenin sütununa bak: bölge bu günlerin yerine başka gün koyabilir.
29 Mart (Lunes de Pascua) gibi *** işaretli günleri bölge günü olarak oku; bunlar yalnız tabloda işaretli bölgelerde tatildir.
Belediyene özgü yerel tatilleri bölgenin ya da ilin resmî gazetesinde yayımlanan listeden öğren; belediye başına yılda en çok iki gün olabilir.</t>
        </is>
      </c>
      <c r="P59" s="29" t="n"/>
      <c r="Q59" s="29" t="inlineStr">
        <is>
          <t>2027 takvim yılı</t>
        </is>
      </c>
      <c r="R59" s="29" t="n"/>
      <c r="S59" s="29" t="inlineStr">
        <is>
          <t>Bazı bölgelerde adaya ya da yöreye özgü ek veya değişik tatil günleri vardır; kararın açıklama notlarında örnekleri verilir.</t>
        </is>
      </c>
      <c r="T59" s="29" t="n"/>
    </row>
    <row r="60" ht="54" customHeight="1">
      <c r="A60" s="29" t="inlineStr">
        <is>
          <t>marbella:magaza-acilis-saatleri-cercevesi</t>
        </is>
      </c>
      <c r="B60" s="29" t="inlineStr">
        <is>
          <t>marbella</t>
        </is>
      </c>
      <c r="C60" s="29" t="inlineStr">
        <is>
          <t>magaza-acilis-saatleri-cercevesi</t>
        </is>
      </c>
      <c r="D60" s="29" t="inlineStr">
        <is>
          <t>İspanya'da mağazaların açılış saatlerini kim belirler, yasal alt sınırlar neler?</t>
        </is>
      </c>
      <c r="E60" s="29" t="inlineStr">
        <is>
          <t>Ley 1/2004 ulusal çerçeveyi çizer; saat düzenlemesi özerk bölgelerdedir, haftalık ve pazar/tatil alt sınırları kanunda yazılıdır</t>
        </is>
      </c>
      <c r="F60" s="29" t="inlineStr">
        <is>
          <t>Saat düzenlemesi özerk bölgelerin yetkisindedir; Ley 1/2004 (Horarios Comerciales) ise ortak çerçeveyi ve alt sınırları koyar (konsolide metin, 17/10/2014 sürümü; metin bilgilendirme amaçlıdır, hukuki değeri yoktur). Bu çerçevede her işletmeci açılış ve kapanış saatini, hangi tatil günlerinde açık olacağını ve günlük ya da haftalık saatini kendisi belirler. Bölge, iş günlerinde haftalık toplam açık kalma süresini 90 saatin altına indiremez. Pazar ve tatil günlerinde yıllık ulusal asgari açık kalma sayısı 16'dır; bölge bu sayıyı artırabilir ya da azaltabilir, ama 10'un altına indiremez ve hangi pazar ve tatillerde açık olunacağını bölge belirler. Bu yüzden saat ve açık pazar günleri bölgene göre değişir.</t>
        </is>
      </c>
      <c r="G60" s="29" t="inlineStr">
        <is>
          <t>mağaza saatleri, horarios comerciales, Ley 1/2004, pazar günü açık, domingos y festivos, tiendas de conveniencia, çalışma saatleri</t>
        </is>
      </c>
      <c r="H60" s="29" t="inlineStr">
        <is>
          <t>new;settled</t>
        </is>
      </c>
      <c r="I60" s="29" t="inlineStr">
        <is>
          <t>marbella:kaynak:126</t>
        </is>
      </c>
      <c r="J60" s="49" t="n">
        <v>46319</v>
      </c>
      <c r="K60" s="51" t="n">
        <v>9092</v>
      </c>
      <c r="L60" s="29" t="inlineStr">
        <is>
          <t>Hayır</t>
        </is>
      </c>
      <c r="M60" s="29" t="inlineStr">
        <is>
          <t>Taslak</t>
        </is>
      </c>
      <c r="N60" s="29" t="inlineStr">
        <is>
          <t>marbella:gunluk</t>
        </is>
      </c>
      <c r="O60" s="29" t="inlineStr">
        <is>
          <t>İşletmenin türüne bak: asıl işi pastane ve pasta, ekmek, hazır yemek, gazete, akaryakıt, çiçek ve bitki satmak olan mağazalar ile tiendas de conveniencia (500 m²'ye kadar, günde en az 18 saat açık, kitap, gazete, gıda, plak, video, oyuncak ve hediye gibi karışık ürün satan mağaza) tüm ülkede gün ve saatini serbestçe belirler. Sınır noktalarındaki, istasyon ve ulaşım araçlarındaki ve turistik yoğunluk bölgelerindeki mağazalar da serbesttir; bu bölgeleri özerk bölge belirler ve belediyenin önerisine göre ilan edilen alan ya da dönem kısıtlı olabilir.
Kullanım alanı 300 metrekarenin altındaki küçük mağazalarda da gün ve saat serbesttir; KOBİ sayılmayan şirket ve gruplara ait olanlar bunun dışındadır.
Eczane ve estanko (tütün bayii) kendi özel mevzuatına tabidir. Yukarıdakilerin dışındaki mağazalarda bölge, iş günlerindeki haftalık toplam açık kalma süresini 90 saatin altına indiremez; açılış ve kapanış saatini işletmeci seçer.
Pazar ve tatilde açık olabilecek gün sayısı ulusal çerçevede yılda en az 16'dır; bölgen bunu artırabilir ya da 10'a kadar indirebilir. Hangi günlerin açık olacağını bölge belirler.</t>
        </is>
      </c>
      <c r="P60" s="29" t="n"/>
      <c r="Q60" s="29" t="n"/>
      <c r="R60" s="29" t="n"/>
      <c r="S60" s="29" t="inlineStr">
        <is>
          <t>Bölgeler halka saatleri bildirme yükümlülükleri de koyabilir. Yukarıdaki sayılar ulusal çerçevedir; bölgenin kendi düzenlemesi bunların üzerine çıkabilir.</t>
        </is>
      </c>
      <c r="T60" s="29" t="n"/>
    </row>
    <row r="61" ht="54" customHeight="1">
      <c r="A61" s="29" t="inlineStr">
        <is>
          <t>marbella:ab-disi-paket-gumruk-iva</t>
        </is>
      </c>
      <c r="B61" s="29" t="inlineStr">
        <is>
          <t>marbella</t>
        </is>
      </c>
      <c r="C61" s="29" t="inlineStr">
        <is>
          <t>ab-disi-paket-gumruk-iva</t>
        </is>
      </c>
      <c r="D61" s="29" t="inlineStr">
        <is>
          <t>AB dışından internetten alınan 150 euroya kadarlık paket için İspanya'da IVA ve gümrük vergisi ödenir mi?</t>
        </is>
      </c>
      <c r="E61" s="29" t="inlineStr">
        <is>
          <t>IVA ödenir; 1 Temmuz 2026'dan beri 150 euroya kadar siparişte kategori başına 3 euro arancel, 1 Kasım 2026'dan itibaren ayrıca 2 euro işlem ücreti</t>
        </is>
      </c>
      <c r="F61" s="29" t="inlineStr">
        <is>
          <t>Evet, 150 euroya kadar siparişlerde. AEAT'a göre AB dışından internetten alışverişte IVA ödenir: satıcı IOSS sistemine katılıyorsa fiyata IVA dahildir, katılmıyorsa paketi İspanya'ya sokan taşıyıcı IVA'yı tahsil eder ve teslimden önce malın fiyatının %21'ini isteyebilir. 1 Temmuz 2026'dan itibaren toplam tutarı en çok 150 euro olan siparişlerde IVA'ya ek olarak her ürün kategorisi için 3 euro sabit arancel (gümrük vergisi) ödenir; kaynak AB dışı örnek olarak Çin, ABD ve Birleşik Krallık'ı verir. 1 Kasım 2026'dan önce arancel olarak yalnız bu 3 euro vardır (taşıyıcı ayrıca bazı yönetim giderleri isteyebilir); 1 Kasım 2026'dan itibaren her kategori için 2 euro işlem ücreti de arancelle birlikte ödenir. AB dışı kaynaklı paketler Correos'ta gümrük kontrolüne girer; bu tutarlar önceden ödenmemişse alıcı onları ödemeden paketi alamaz.</t>
        </is>
      </c>
      <c r="G61" s="29" t="inlineStr">
        <is>
          <t>gümrük, IVA, arancel, AB dışı paket, 150 euro, Correos, AEAT, IOSS, internetten alışveriş, aduana</t>
        </is>
      </c>
      <c r="H61" s="29" t="inlineStr">
        <is>
          <t>new;settled</t>
        </is>
      </c>
      <c r="I61" s="29" t="inlineStr">
        <is>
          <t>marbella:kaynak:127;marbella:kaynak:128</t>
        </is>
      </c>
      <c r="J61" s="49" t="n">
        <v>46319</v>
      </c>
      <c r="K61" s="51" t="n">
        <v>9093</v>
      </c>
      <c r="L61" s="29" t="inlineStr">
        <is>
          <t>Hayır</t>
        </is>
      </c>
      <c r="M61" s="29" t="inlineStr">
        <is>
          <t>Taslak</t>
        </is>
      </c>
      <c r="N61" s="29" t="inlineStr">
        <is>
          <t>marbella:gunluk</t>
        </is>
      </c>
      <c r="O61" s="29" t="inlineStr">
        <is>
          <t>Siparişten önce satıcının koşullarında fiyatın IVA ve gümrük vergisini içerip içermediğine bak.
Malın sipariş anında nereden gönderildiğine bak: gümrük vergisi için belirleyici olan, ürünün sipariş sonrası gönderildiği yerdir; ürün İspanya'da ya da başka bir AB ülkesindeyse gümrük vergisi yoktur.
Fiyata dahil değilse taşıyıcının istediği IVA ve arancel tutarını öde; teslim buna bağlı olabilir. Correos'ta bu tutarları alıcı öder.
İade edeceksen arancelin iade edilmediğini bil; arancel yalnız mal kusurluysa ya da sözleşmeye uymuyorsa geri verilir. IVA iadesi ise ayrı işler.</t>
        </is>
      </c>
      <c r="P61" s="29" t="n"/>
      <c r="Q61" s="29" t="inlineStr">
        <is>
          <t>1 Temmuz 2026'dan itibaren; işlem ücreti 1 Kasım 2026'dan itibaren</t>
        </is>
      </c>
      <c r="R61" s="29" t="inlineStr">
        <is>
          <t>Arancel: kategori başına 3 euro (150 euroya kadar siparişlerde, 1 Temmuz 2026'dan itibaren). İşlem ücreti: kategori başına 2 euro (1 Kasım 2026'dan itibaren)</t>
        </is>
      </c>
      <c r="S61" s="29" t="inlineStr">
        <is>
          <t>AEAT gümrük vergisini tüketiciden talep etmez; yalnız satıcı ya da platformun gümrük beyanı için görevlendirdiği kişiden ister. Tüketici gümrük işlemlerini kendi adına yapıyorsa kaynak bu güvenceyi vermez. Kontrol iki yönde işler: İspanya anakarasına (Península ve Baleares) AB dışından, Canarias, Ceuta ya da Melilla'dan gelen paketler ve Canarias, Ceuta ya da Melilla'ya başka bir bölgeden giren paketler Correos'ta gümrük kontrolüne tabidir. %21 oranı kaynak sayfada bölge ayrımı yapılmadan verilir; Canarias, Ceuta ve Melilla'daki IVA uygulaması bu kartın kapsamı dışındadır. Bazı ürünler kısıtlı ya da yasak olabilir; ithalatı yapan kişi şartları öğrenmekten ve gerekli belgeleri vermekten sorumludur.</t>
        </is>
      </c>
      <c r="T61" s="29" t="n"/>
    </row>
    <row r="62" ht="54" customHeight="1">
      <c r="A62" s="29" t="inlineStr">
        <is>
          <t>marbella:diger-resmi-yardim-hatlari</t>
        </is>
      </c>
      <c r="B62" s="29" t="inlineStr">
        <is>
          <t>marbella</t>
        </is>
      </c>
      <c r="C62" s="29" t="inlineStr">
        <is>
          <t>diger-resmi-yardim-hatlari</t>
        </is>
      </c>
      <c r="D62" s="29" t="inlineStr">
        <is>
          <t>İspanya'da 112 dışında hangi resmî yardım hatları var (016, 021, 028, 024)?</t>
        </is>
      </c>
      <c r="E62" s="29" t="inlineStr">
        <is>
          <t>Ministerio de Igualdad'ın 016, 021, 028, ATENPRO ve 900 19 10 10 hatları ile Ministerio de Sanidad'ın 024 intihar önleme hattı</t>
        </is>
      </c>
      <c r="F62" s="29" t="inlineStr">
        <is>
          <t>Evet, 112 dışında konuya özel resmî hatlar var: 016, 021, 028, ATENPRO, 900 19 10 10 ve 024. Ministerio de Igualdad'ın hatları: kadına yönelik şiddet için 016 (bilgi, hukuki danışmanlık ve psikososyal destek), ırksal ya da etnik ayrımcılık mağdurları için 021, LGTBI hakları ve nefret suçları için 028. Kadına şiddet mağdurları için 24 saat telefonla bakım ve koruma hizmeti ATENPRO'nun numarası 900 22 22 92, kadın haklarına dair bilgi ve danışmanlık hattı ise 900 19 10 10'dur. Ministerio de Sanidad'ın 024 hattı intihar düşüncesi ya da riski taşıyanlara ve yakınlarına yöneliktir; ülke genelinde ücretsiz, gizli ve günün 24 saati, yılın 365 günü açıktır.</t>
        </is>
      </c>
      <c r="G62" s="29" t="inlineStr">
        <is>
          <t>016, 021, 028, 024, yardım hattı, kadına şiddet, ayrımcılık, LGTBI, intihar önleme, ATENPRO</t>
        </is>
      </c>
      <c r="H62" s="29" t="inlineStr">
        <is>
          <t>new;settled</t>
        </is>
      </c>
      <c r="I62" s="29" t="inlineStr">
        <is>
          <t>marbella:kaynak:129;marbella:kaynak:130</t>
        </is>
      </c>
      <c r="J62" s="49" t="n">
        <v>46319</v>
      </c>
      <c r="K62" s="51" t="n">
        <v>9094</v>
      </c>
      <c r="L62" s="29" t="inlineStr">
        <is>
          <t>Hayır</t>
        </is>
      </c>
      <c r="M62" s="29" t="inlineStr">
        <is>
          <t>Taslak</t>
        </is>
      </c>
      <c r="N62" s="29" t="inlineStr">
        <is>
          <t>marbella:gunluk</t>
        </is>
      </c>
      <c r="O62" s="29" t="inlineStr">
        <is>
          <t>Kadına yönelik şiddet için 016'yı ara; 600 000 016 numarasına ya da 016-online@igualdad.gob.es adresine de ulaşabilirsin.
Irksal ya da etnik ayrımcılık için 021'i ara; 028 hattı LGTBI hakları ve nefret suçları içindir, chat ile de ulaşılır.
ATENPRO (şiddet mağdurları için 24 saat telefon bakım ve koruma hizmeti) 900 22 22 92 numaralı telefondur; kadın haklarına dair bilgi ve danışmanlık için 900 19 10 10'u ara.
İntihar düşüncesi ya da riski için 024'ü ara; hat sohbet ve işaret dili video çevirisiyle de açıktır.
Yaşamı hemen tehdit eden acil bir durumda doğrudan 112'yi ara.</t>
        </is>
      </c>
      <c r="P62" s="29" t="n"/>
      <c r="Q62" s="29" t="inlineStr">
        <is>
          <t>024 hattı günün 24 saati, yılın 365 günü</t>
        </is>
      </c>
      <c r="R62" s="29" t="n"/>
      <c r="S62" s="29" t="inlineStr">
        <is>
          <t>024 hattı yüz yüze bir sağlık uzmanıyla görüşmenin yerini almak için değildir; duruma göre sağlık sistemine yönlendirir ya da 112'ye aktarır.</t>
        </is>
      </c>
      <c r="T62" s="29" t="n"/>
    </row>
    <row r="63" ht="54" customHeight="1">
      <c r="A63" s="29" t="inlineStr">
        <is>
          <t>marbella:bahsis-ve-odeme-aliskanliklari</t>
        </is>
      </c>
      <c r="B63" s="29" t="inlineStr">
        <is>
          <t>marbella</t>
        </is>
      </c>
      <c r="C63" s="29" t="inlineStr">
        <is>
          <t>bahsis-ve-odeme-aliskanliklari</t>
        </is>
      </c>
      <c r="D63" s="29" t="inlineStr">
        <is>
          <t>İspanya'da bahşiş vermek zorunlu mu, nakit ve kartla ödeme nasıl işler?</t>
        </is>
      </c>
      <c r="E63" s="29" t="inlineStr">
        <is>
          <t>Bahşiş zorunlu değil, servis fiyata dahildir; bar, restoran, otel ve taksilerde yaygındır, genelde toplamın yüzde beş ile on arasıdır (spain.info)</t>
        </is>
      </c>
      <c r="F63" s="29" t="inlineStr">
        <is>
          <t>Hayır, bahşiş zorunlu değil: spain.info'ya göre işletmelerin tamamı hizmet bedelini fiyata dahil eder. Yine de bar ve restoranlarda, otellerde ve taksilerde bahşiş vermek yaygındır; tutar hesap tutarına bağlıdır ve genelde toplam tutarın yüzde beşi ile yüzde onu arasındadır. Ödemede hemen her yerde nakit geçer ve genelde yalnız euro kabul edilir; makineyle ödemede bazen kartla ödemek zorunlu olabilir. Kredi ve banka kartları yaygındır, çoğunlukla Visa ve Mastercard; kartla ödeme için yaklaşık 10 € asgari tutar istenebilir ve kartının koşullarına göre komisyon doğabilir. Etiketteki fiyatta pazarlık kabul edilmez.</t>
        </is>
      </c>
      <c r="G63" s="29" t="inlineStr">
        <is>
          <t>bahşiş, propinas, ödeme, nakit, kart, Visa, Mastercard, pazarlık, euro</t>
        </is>
      </c>
      <c r="H63" s="29" t="inlineStr">
        <is>
          <t>before;new;settled</t>
        </is>
      </c>
      <c r="I63" s="29" t="inlineStr">
        <is>
          <t>marbella:kaynak:131</t>
        </is>
      </c>
      <c r="J63" s="49" t="n">
        <v>46319</v>
      </c>
      <c r="K63" s="51" t="n">
        <v>9095</v>
      </c>
      <c r="L63" s="29" t="inlineStr">
        <is>
          <t>Hayır</t>
        </is>
      </c>
      <c r="M63" s="29" t="inlineStr">
        <is>
          <t>Taslak</t>
        </is>
      </c>
      <c r="N63" s="29" t="inlineStr">
        <is>
          <t>marbella:gunluk</t>
        </is>
      </c>
      <c r="O63" s="29" t="inlineStr">
        <is>
          <t>Servis bedeli fiyata dahil olduğu için bahşişi isteğe göre ver; bar, restoran, otel ve taksilerde yaygındır.
Verecekse hesap tutarının yüzde beşi ile yüzde onu arasında bir tutar belirle.
Yanında nakit euro bulundur; makineyle ödemede kart gerekebilir.
Kartla küçük tutar ödeyeceksen yaklaşık 10 € asgari tutar istenebileceğini ve kartının komisyon koşullarını hesaba kat.</t>
        </is>
      </c>
      <c r="P63" s="29" t="n"/>
      <c r="Q63" s="29" t="n"/>
      <c r="R63" s="29" t="n"/>
      <c r="S63" s="29" t="inlineStr">
        <is>
          <t>Kartla ödemede komisyon, kartının koşullarına bağlıdır.</t>
        </is>
      </c>
      <c r="T63" s="29" t="n"/>
    </row>
    <row r="64" ht="54" customHeight="1">
      <c r="A64" s="29" t="inlineStr">
        <is>
          <t>marbella:endulus-2027-resmi-tatilleri</t>
        </is>
      </c>
      <c r="B64" s="29" t="inlineStr">
        <is>
          <t>marbella</t>
        </is>
      </c>
      <c r="C64" s="29" t="inlineStr">
        <is>
          <t>endulus-2027-resmi-tatilleri</t>
        </is>
      </c>
      <c r="D64" s="29" t="inlineStr">
        <is>
          <t>Endülüs'te 2027'de resmî tatil günleri hangileri, Día de Andalucía ve 15 Ağustos neden kayıyor?</t>
        </is>
      </c>
      <c r="E64" s="29" t="inlineStr">
        <is>
          <t>Decreto 84/2026: Día de Andalucía 1 Mart'a, 15 Ağustos 16 Ağustos'a kayar; belediye başına iki yerel tatil ayrıca gelir</t>
        </is>
      </c>
      <c r="F64" s="29" t="inlineStr">
        <is>
          <t>Decreto 84/2026'ya göre Endülüs'te 2027'nin ücretli, telafisiz bölge tatilleri şunlardır: 1 Ocak (Cuma), 6 Ocak (Çarşamba), 1 Mart (Pazartesi, Día de Andalucía), 25 Mart Jueves Santo, 26 Mart Viernes Santo, 1 Mayıs (Cumartesi), 16 Ağustos (Pazartesi), 12 Ekim (Salı), 1 Kasım (Pazartesi), 6 Aralık (Pazartesi), 8 Aralık (Çarşamba) ve 25 Aralık (Cumartesi). Día de Andalucía (28 Şubat) ve Asunción (15 Ağustos) 2027'de Pazar'a denk geldiği için ertesi Pazartesi'ye, yani 1 Mart ve 16 Ağustos'a kaydırıldı. Bunlara ek olarak her belediyede iki yerel tatil vardır; hangi günler olduğu belediyene göre değişir.</t>
        </is>
      </c>
      <c r="G64" s="29" t="inlineStr">
        <is>
          <t>Endülüs resmî tatil 2027, fiestas laborales, Día de Andalucía, Jueves Santo, Viernes Santo, fiestas locales, Decreto 84/2026</t>
        </is>
      </c>
      <c r="H64" s="29" t="inlineStr">
        <is>
          <t>planning;new;settled</t>
        </is>
      </c>
      <c r="I64" s="29" t="inlineStr">
        <is>
          <t>marbella:kaynak:144</t>
        </is>
      </c>
      <c r="J64" s="49" t="n">
        <v>46319</v>
      </c>
      <c r="K64" s="51" t="n">
        <v>9103</v>
      </c>
      <c r="L64" s="29" t="inlineStr">
        <is>
          <t>Hayır</t>
        </is>
      </c>
      <c r="M64" s="29" t="inlineStr">
        <is>
          <t>Taslak</t>
        </is>
      </c>
      <c r="N64" s="29" t="inlineStr">
        <is>
          <t>marbella:gunluk</t>
        </is>
      </c>
      <c r="O64" s="29" t="inlineStr">
        <is>
          <t>Aşağıdaki listeyi 2027 iş planına işle.
1 Mart ve 16 Ağustos'un kaydırılmış tarihler olduğunu hesaba kat.
Belediyenin iki yerel tatil günü ayrıca belirlenir; bunları listeye ekle.</t>
        </is>
      </c>
      <c r="P64" s="29" t="n"/>
      <c r="Q64" s="29" t="inlineStr">
        <is>
          <t>2027 takvim yılı için geçerli.</t>
        </is>
      </c>
      <c r="R64" s="29" t="n"/>
      <c r="S64" s="29" t="inlineStr">
        <is>
          <t>Yıllık sınır on dört gündür; ikisi yerel tatildir. Her belediyenin en çok iki yerel tatil önerisi Consejería'ya bildirilir.</t>
        </is>
      </c>
      <c r="T64" s="29" t="n"/>
    </row>
    <row r="65" ht="54" customHeight="1">
      <c r="A65" s="29" t="inlineStr">
        <is>
          <t>marbella:marbella-yerel-acil-numaralar-ve-polis-itfaiye-koruma-adresleri</t>
        </is>
      </c>
      <c r="B65" s="29" t="inlineStr">
        <is>
          <t>marbella</t>
        </is>
      </c>
      <c r="C65" s="29" t="inlineStr">
        <is>
          <t>marbella-yerel-acil-numaralar-ve-polis-itfaiye-koruma-adresleri</t>
        </is>
      </c>
      <c r="D65" s="29" t="inlineStr">
        <is>
          <t>Marbella'da acil durumda hangi numaraları ararım, Policía Local, itfaiye ve Protección Civil nerede?</t>
        </is>
      </c>
      <c r="E65" s="29" t="inlineStr">
        <is>
          <t>Acil 112, Policía Local 092, itfaiye 080; üç birimin Marbella adresleri</t>
        </is>
      </c>
      <c r="F65" s="29" t="inlineStr">
        <is>
          <t>Marbella'da acil durumlarda 112'yi ara. Belediyenin kendi hatları da vardır: Policía Local 092, Extinción de Incendios (itfaiye) 080. Policía Local trafik gözetimi ve denetimi, denuncia (suç duyurusu) ve genel güvenlik işlerini yürütür; adresi C/ Juan de la Cierva s/n, 29603 Marbella. İtfaiye Ctra. de Ojén s/n, 29603 Marbella adresindedir. Protección Civil (sivil koruma) acil hizmetlere operasyonel destek verir ve afetten etkilenenlere yardım eder; adresi Calle Serenata 16, 29601 Marbella.</t>
        </is>
      </c>
      <c r="G65" s="29" t="inlineStr">
        <is>
          <t>112, acil numara, Policía Local, 092, itfaiye, 080, Protección Civil, Marbella</t>
        </is>
      </c>
      <c r="H65" s="29" t="inlineStr">
        <is>
          <t>planning;new;settled</t>
        </is>
      </c>
      <c r="I65" s="29" t="inlineStr">
        <is>
          <t>marbella:kaynak:257</t>
        </is>
      </c>
      <c r="J65" s="49" t="n">
        <v>46323</v>
      </c>
      <c r="K65" s="51" t="n">
        <v>1100</v>
      </c>
      <c r="L65" s="29" t="inlineStr">
        <is>
          <t>Evet</t>
        </is>
      </c>
      <c r="M65" s="29" t="inlineStr">
        <is>
          <t>Taslak</t>
        </is>
      </c>
      <c r="N65" s="29" t="inlineStr">
        <is>
          <t>marbella:gunluk</t>
        </is>
      </c>
      <c r="O65" s="29" t="inlineStr">
        <is>
          <t>Acil bir durumda 112'yi ara.
Trafik, suç duyurusu (denuncia) ya da güvenlik konusunda Policía Local'i 092'den ara; yüz yüze gitmek için C/ Juan de la Cierva s/n adresine git.
Yangın durumunda itfaiyeyi 080'den ara; itfaiye binası Ctra. de Ojén s/n adresindedir.
Afet ve acil durumda yardım ya da bilgi için Protección Civil'in Calle Serenata 16'daki merkezine başvur.</t>
        </is>
      </c>
      <c r="P65" s="29" t="n"/>
      <c r="Q65" s="29" t="n"/>
      <c r="R65" s="29" t="n"/>
      <c r="S65" s="29" t="n"/>
      <c r="T65" s="29" t="n"/>
    </row>
    <row r="66" ht="54" customHeight="1">
      <c r="A66" s="29" t="inlineStr">
        <is>
          <t>marbella:marbella-konteyner-renkleri-ve-temizlik-sorunu-bildirme-uygulamasi</t>
        </is>
      </c>
      <c r="B66" s="29" t="inlineStr">
        <is>
          <t>marbella</t>
        </is>
      </c>
      <c r="C66" s="29" t="inlineStr">
        <is>
          <t>marbella-konteyner-renkleri-ve-temizlik-sorunu-bildirme-uygulamasi</t>
        </is>
      </c>
      <c r="D66" s="29" t="inlineStr">
        <is>
          <t>Marbella'da çöp ve geri dönüşüm konteynerlerinin kapak renkleri neyi gösterir, temizlik sorununu nasıl bildiririm?</t>
        </is>
      </c>
      <c r="E66" s="29" t="inlineStr">
        <is>
          <t>Mavi kâğıt, sarı ambalaj, gri organik, yeşil cam; pil için özel konteyner; sokak temizliği sorunu için Marbella limpia uygulaması</t>
        </is>
      </c>
      <c r="F66" s="29" t="inlineStr">
        <is>
          <t>Marbella'da konteynerin kapak rengi atığın türünü gösterir. Mavi kapak kâğıt ve karton içindir. Sarı kapak metal kutu, plastik poşet ve şişe ile süt ve meyve suyu kutularını (brik) alır. Gri kapak organik atık içindir: yemek artıkları, kullanılmış bebek bezi, patates ve portakal kabukları gibi; kendi konteyneri olan malzemeler buraya atılmaz. Yeşil kapak cam şişe ve kavanoz içindir; kırık cam, ayna ve cam bardak bu konteynere atılmaz, çünkü cam geri dönüşümünü bozar. Pil için ayrı özel konteynerler vardır. Sokakta temizlik sorunu görürsen belediyenin Marbella limpia uygulamasından bildirebilirsin.</t>
        </is>
      </c>
      <c r="G66" s="29" t="inlineStr">
        <is>
          <t>çöp, geri dönüşüm, konteyner renkleri, tapa azul, tapa amarilla, Marbella limpia, pil konteyneri</t>
        </is>
      </c>
      <c r="H66" s="29" t="inlineStr">
        <is>
          <t>new;settled</t>
        </is>
      </c>
      <c r="I66" s="29" t="inlineStr">
        <is>
          <t>marbella:kaynak:232;marbella:kaynak:262</t>
        </is>
      </c>
      <c r="J66" s="49" t="n">
        <v>46323</v>
      </c>
      <c r="K66" s="51" t="n">
        <v>1101</v>
      </c>
      <c r="L66" s="29" t="inlineStr">
        <is>
          <t>Hayır</t>
        </is>
      </c>
      <c r="M66" s="29" t="inlineStr">
        <is>
          <t>Taslak</t>
        </is>
      </c>
      <c r="N66" s="29" t="inlineStr">
        <is>
          <t>marbella:gunluk</t>
        </is>
      </c>
      <c r="O66" s="29" t="inlineStr">
        <is>
          <t>Kâğıt ve kartonu mavi kapaklı konteynere at.
Metal kutu, plastik poşet ve şişe ile süt ve meyve suyu kutularını sarı kapaklı konteynere at.
Yemek artıklarını ve kullanılmış bebek bezini gri kapaklı konteynere at; kendi konteyneri olan malzemeleri buraya atma.
Cam şişe ve kavanozları yeşil kapaklı konteynere at; kırık cam, ayna ve cam bardak koyma.
Sokakta temizlik sorunu görürsen Marbella limpia uygulamasından bildir.</t>
        </is>
      </c>
      <c r="P66" s="29" t="n"/>
      <c r="Q66" s="29" t="n"/>
      <c r="R66" s="29" t="n"/>
      <c r="S66" s="29" t="n"/>
      <c r="T66" s="29" t="n"/>
    </row>
    <row r="67" ht="54" customHeight="1">
      <c r="A67" s="29" t="inlineStr">
        <is>
          <t>marbella:marbella-mobilya-ve-buyuk-esya-toplama-telefon-ve-saat</t>
        </is>
      </c>
      <c r="B67" s="29" t="inlineStr">
        <is>
          <t>marbella</t>
        </is>
      </c>
      <c r="C67" s="29" t="inlineStr">
        <is>
          <t>marbella-mobilya-ve-buyuk-esya-toplama-telefon-ve-saat</t>
        </is>
      </c>
      <c r="D67" s="29" t="inlineStr">
        <is>
          <t>Marbella'da eski mobilya ve büyük eşyayı nasıl atarım, önce kimi aramalıyım?</t>
        </is>
      </c>
      <c r="E67" s="29" t="inlineStr">
        <is>
          <t>Konteyner noktasına bırakmadan önce 952 768 720'yi ara; arama 09:00–14:00, bırakma 21:00–23:00; aramamak cezalıdır</t>
        </is>
      </c>
      <c r="F67" s="29" t="inlineStr">
        <is>
          <t>Marbella Belediyesi'nin mobilya ve eşya toplama hizmeti hafta içi çalışır. Eşyayı en yakın konteyner noktasına bırakmadan önce +34 952 768 720 numarasını aramak zorunludur. Aramayı 09:00–14:00 arasında yaparsın, eşyayı 21:00–23:00 arasında bırakırsın. Önceden aramazsan ceza (sanción) verilebilir. Eşyayı kendin götürmek istersen Depósito municipal de residuos mobilya, hurda, boru ve şilteleri kabul eder.</t>
        </is>
      </c>
      <c r="G67" s="29" t="inlineStr">
        <is>
          <t>mobilya atma, büyük eşya, muebles y enseres, çöp, 952 768 720, şilte, Marbella</t>
        </is>
      </c>
      <c r="H67" s="29" t="inlineStr">
        <is>
          <t>new;settled</t>
        </is>
      </c>
      <c r="I67" s="29" t="inlineStr">
        <is>
          <t>marbella:kaynak:259;marbella:kaynak:234</t>
        </is>
      </c>
      <c r="J67" s="49" t="n">
        <v>46323</v>
      </c>
      <c r="K67" s="51" t="n">
        <v>1102</v>
      </c>
      <c r="L67" s="29" t="inlineStr">
        <is>
          <t>Hayır</t>
        </is>
      </c>
      <c r="M67" s="29" t="inlineStr">
        <is>
          <t>Taslak</t>
        </is>
      </c>
      <c r="N67" s="29" t="inlineStr">
        <is>
          <t>marbella:gunluk</t>
        </is>
      </c>
      <c r="O67" s="29" t="inlineStr">
        <is>
          <t>09:00–14:00 arasında +34 952 768 720 numaralı hattı ara ve atacağın eşyayı bildir.
Eşyayı hafta içi, 21:00–23:00 arasında en yakın konteyner noktasına bırak.
Kendin götürmek istersen eşyayı C/ Carbón, Polígono La Ermita'daki Depósito municipal de residuos'a getir (hafta içi 9:30–17:30, geçici saat).</t>
        </is>
      </c>
      <c r="P67" s="29" t="n"/>
      <c r="Q67" s="29" t="inlineStr">
        <is>
          <t>Arama 09:00–14:00; eşya bırakma 21:00–23:00; hizmet hafta içi.</t>
        </is>
      </c>
      <c r="R67" s="29" t="n"/>
      <c r="S67" s="29" t="n"/>
      <c r="T67" s="29" t="n"/>
    </row>
    <row r="68" ht="54" customHeight="1">
      <c r="A68" s="29" t="inlineStr">
        <is>
          <t>marbella:marbella-belediye-atik-deposu-adres-saat-ve-kabul-limitleri</t>
        </is>
      </c>
      <c r="B68" s="29" t="inlineStr">
        <is>
          <t>marbella</t>
        </is>
      </c>
      <c r="C68" s="29" t="inlineStr">
        <is>
          <t>marbella-belediye-atik-deposu-adres-saat-ve-kabul-limitleri</t>
        </is>
      </c>
      <c r="D68" s="29" t="inlineStr">
        <is>
          <t>Marbella'da belediye atık deposuna (depósito municipal de residuos) ne götürülebilir, adres, saat ve miktar limitleri nedir?</t>
        </is>
      </c>
      <c r="E68" s="29" t="inlineStr">
        <is>
          <t>C/ Carbón, Polígono La Ermita; hafta içi 9:30–17:30 (geçici); giysi kişi başı 50 kg, yağ 25 litre, moloz 3 çuval</t>
        </is>
      </c>
      <c r="F68" s="29" t="inlineStr">
        <is>
          <t>Depósito municipal de residuos Marbella'da C/ Carbón, Polígono La Ermita adresindedir; geçici saat hafta içi 9:30–17:30'dur. Telefon +34 649 025 118, e-posta medioambiente@marbella.es. Kâğıt-karton katlanıp bağlanmışsa sınırsız kabul edilir. Cam ve hafif ambalaj (plastik, metal, brik) konteyner kapasitesine kadar alınır. Giysi ve ayakkabı kişi başı 50 kg, ev yağı 25 litrelik plastik şişede, moloz (küçük konut işleri) ve bahçe atığı (özel bahçeden) 3 çuval (50 kg'lık) ile sınırlıdır. Boya ve çözücü ile elektronik cihaz 5 adet, lamba 10 adet, sprey 10 adet, yazıcı mürekkebi ve toner 3 adet, araç aküsü 1 adettir. Mobilya, hurda, boru, şilte ve röntgen filmi de kabul edilir.</t>
        </is>
      </c>
      <c r="G68" s="29" t="inlineStr">
        <is>
          <t>atık deposu, depósito municipal, geri dönüşüm, moloz, elektronik atık, yağ, giysi, Marbella</t>
        </is>
      </c>
      <c r="H68" s="29" t="inlineStr">
        <is>
          <t>new;settled</t>
        </is>
      </c>
      <c r="I68" s="29" t="inlineStr">
        <is>
          <t>marbella:kaynak:234</t>
        </is>
      </c>
      <c r="J68" s="49" t="n">
        <v>46323</v>
      </c>
      <c r="K68" s="51" t="n">
        <v>1103</v>
      </c>
      <c r="L68" s="29" t="inlineStr">
        <is>
          <t>Hayır</t>
        </is>
      </c>
      <c r="M68" s="29" t="inlineStr">
        <is>
          <t>Taslak</t>
        </is>
      </c>
      <c r="N68" s="29" t="inlineStr">
        <is>
          <t>marbella:gunluk</t>
        </is>
      </c>
      <c r="O68" s="29" t="inlineStr">
        <is>
          <t>C/ Carbón, Polígono La Ermita adresine hafta içi 9:30–17:30 arasında git.
Kâğıt ve kartonu katla ve bağla; cam ve hafif ambalajı kapasite sınırına kadar getir.
Giysi ve ayakkabıyı kişi başı 50 kg'a, ev yağını 25 litrelik plastik şişeye, moloz ve bahçe atığını 3 çuvala göre hazırla.
Boya, elektronik cihaz, lamba, sprey, toner ve araç aküsü için sayı sınırlarına uy.
Soruların için +34 649 025 118 numarasını ara ya da medioambiente@marbella.es adresine yaz.</t>
        </is>
      </c>
      <c r="P68" s="29" t="n"/>
      <c r="Q68" s="29" t="inlineStr">
        <is>
          <t>Hafta içi 9:30–17:30 (geçici saat).</t>
        </is>
      </c>
      <c r="R68" s="29" t="n"/>
      <c r="S68" s="29" t="n"/>
      <c r="T68" s="29" t="n"/>
    </row>
    <row r="69" ht="54" customHeight="1">
      <c r="A69" s="29" t="inlineStr">
        <is>
          <t>marbella:marbella-punto-limpio-konumlari-ilce-ilce</t>
        </is>
      </c>
      <c r="B69" s="29" t="inlineStr">
        <is>
          <t>marbella</t>
        </is>
      </c>
      <c r="C69" s="29" t="inlineStr">
        <is>
          <t>marbella-punto-limpio-konumlari-ilce-ilce</t>
        </is>
      </c>
      <c r="D69" s="29" t="inlineStr">
        <is>
          <t>Marbella'da punto limpio (belediye temiz noktası) hangi ilçede nerelerde bulunur?</t>
        </is>
      </c>
      <c r="E69" s="29" t="inlineStr">
        <is>
          <t>Belediyenin Puntos Limpios dizini: Marbella Este, Marbella Oeste, Nueva Andalucía, San Pedro Alcántara ve Las Chapas için sokak listesi</t>
        </is>
      </c>
      <c r="F69" s="29" t="inlineStr">
        <is>
          <t>Marbella Belediyesi'nin Puntos Limpios dizini beş ilçeye ayrılır: Las Chapas, Marbella Este, Marbella Oeste, Nueva Andalucía ve San Pedro Alcántara. Las Chapas'ta noktalar Avenida España ve Calle San Manuel'dedir. Nueva Andalucía'da Avenida Miguel de Cervantes ve Urbanización Los Naranjos'ta bulunurlar. San Pedro Alcántara'da Avenida Salamanca, Calle Caravaca ve Calle Santa Leonor'dadırlar. Marbella Este'de Calle Jeddah, Avenida Arias de Velasco, Calle José Manuel Vallés, Calle Serenata, Plaza Manuel Cantos ve Camino Cristo de los Molinos'ta, Marbella Oeste'de Calle Doña Francisca Carrillo ve Bulevar Alfonso Hohenlohe dahil birkaç sokakta yer alırlar.</t>
        </is>
      </c>
      <c r="G69" s="29" t="inlineStr">
        <is>
          <t>punto limpio, temiz nokta, atık, Marbella Este, Marbella Oeste, San Pedro Alcántara, Nueva Andalucía, Las Chapas</t>
        </is>
      </c>
      <c r="H69" s="29" t="inlineStr">
        <is>
          <t>new;settled</t>
        </is>
      </c>
      <c r="I69" s="29" t="inlineStr">
        <is>
          <t>marbella:kaynak:259;marbella:kaynak:261</t>
        </is>
      </c>
      <c r="J69" s="49" t="n">
        <v>46323</v>
      </c>
      <c r="K69" s="51" t="n">
        <v>1104</v>
      </c>
      <c r="L69" s="29" t="inlineStr">
        <is>
          <t>Hayır</t>
        </is>
      </c>
      <c r="M69" s="29" t="inlineStr">
        <is>
          <t>Taslak</t>
        </is>
      </c>
      <c r="N69" s="29" t="inlineStr">
        <is>
          <t>marbella:gunluk</t>
        </is>
      </c>
      <c r="O69" s="29" t="inlineStr">
        <is>
          <t>Oturduğun ilçeyi belirle: Las Chapas, Marbella Este, Marbella Oeste, Nueva Andalucía ya da San Pedro Alcántara.
O ilçenin listesindeki sokaklardan sana en yakın olanı seç.
Marbella Este için belediyenin ilçe sayfasındaki haritadan noktanın yerini gör.</t>
        </is>
      </c>
      <c r="P69" s="29" t="n"/>
      <c r="Q69" s="29" t="n"/>
      <c r="R69" s="29" t="n"/>
      <c r="S69" s="29" t="n"/>
      <c r="T69" s="29" t="n"/>
    </row>
    <row r="70" ht="54" customHeight="1">
      <c r="A70" s="29" t="inlineStr">
        <is>
          <t>marbella:marbella-plaj-cankurtaran-hizmeti-2026-tarih-saat-ve-su-kalitesi</t>
        </is>
      </c>
      <c r="B70" s="29" t="inlineStr">
        <is>
          <t>marbella</t>
        </is>
      </c>
      <c r="C70" s="29" t="inlineStr">
        <is>
          <t>marbella-plaj-cankurtaran-hizmeti-2026-tarih-saat-ve-su-kalitesi</t>
        </is>
      </c>
      <c r="D70" s="29" t="inlineStr">
        <is>
          <t>Marbella plajlarında cankurtaran hizmeti 2026'da hangi tarih ve saatlerde çalışıyor, deniz suyu kalitesi izleniyor mu?</t>
        </is>
      </c>
      <c r="E70" s="29" t="inlineStr">
        <is>
          <t>Paskalya'dan 1 Haziran'a hafta sonu ve tatillerde, 1 Haziran–30 Eylül her gün; 12:00–19:00 ve 11:00–20:00; suyun sağlık izlemesi her yıl yapılır</t>
        </is>
      </c>
      <c r="F70" s="29" t="inlineStr">
        <is>
          <t>Marbella Belediyesi 2026 sezonunda cankurtaran ve kurtarma hizmetini Paskalya'da başlattı: Paskalya dönemi, hafta sonları ve resmî tatillerde 1 Haziran'a kadar, ardından 1 Haziran'dan 30 Eylül'e kadar her gün çalışır. Saatler düşük sezonda 12.00–19.00, yüksek sezonda 11.00–20.00'dir ve kesintisizdir. Hizmeti Socorrismo Málaga S.L. yürütür: düşük sezonda 32, yazın 55 görevli, 27 km'den uzun sahil şeridi, 19 gözetleme kulesi ve yarı otomatik defibrilatörlü (DEA) 18 yardım modülü (kurulum sürüyor). Üç kurtarma jet-ski'si San Pedro Alcántara, La Bajadilla ve Cabopino'da konuşludur; üç temel yaşam desteği ambulansı vardır; yüksek sezon hafta sonlarında kurtarma dronu çalışır. 18 hoparlör duyuruları İspanyolca ve İngilizce yapar. Banyo suyunun kalitesi için belediye her yıl sağlık izleme planı (Plan de seguimiento sanitario) onaylar.</t>
        </is>
      </c>
      <c r="G70" s="29" t="inlineStr">
        <is>
          <t>plaj, cankurtaran, socorrismo, Marbella plajları, deniz suyu kalitesi, 2026 sezonu, DEA</t>
        </is>
      </c>
      <c r="H70" s="29" t="inlineStr">
        <is>
          <t>planning;new;settled</t>
        </is>
      </c>
      <c r="I70" s="29" t="inlineStr">
        <is>
          <t>marbella:kaynak:264;marbella:kaynak:263</t>
        </is>
      </c>
      <c r="J70" s="49" t="n">
        <v>46323</v>
      </c>
      <c r="K70" s="51" t="n">
        <v>1105</v>
      </c>
      <c r="L70" s="29" t="inlineStr">
        <is>
          <t>Evet</t>
        </is>
      </c>
      <c r="M70" s="29" t="inlineStr">
        <is>
          <t>Taslak</t>
        </is>
      </c>
      <c r="N70" s="29" t="inlineStr">
        <is>
          <t>marbella:gunluk</t>
        </is>
      </c>
      <c r="O70" s="29" t="inlineStr">
        <is>
          <t>Plaja Paskalya'dan 1 Haziran'a kadar hafta sonu ve tatillerde, 1 Haziran–30 Eylül arasında her gün cankurtaran bulunduğunu hesaba kat.
Cankurtaran saatlerini düşük sezonda 12.00–19.00, yüksek sezonda 11.00–20.00 olarak planla.
Hoparlörden yapılan İspanyolca ve İngilizce duyurulara ve cankurtaran personelinin talimatlarına uy; belediye bunu güvenliğin anahtarı olarak vurguluyor.
Acil durumda 112'yi ara.</t>
        </is>
      </c>
      <c r="P70" s="29" t="n"/>
      <c r="Q70" s="29" t="inlineStr">
        <is>
          <t>2026 sezonu: Paskalya–1 Haziran hafta sonu ve tatiller; 1 Haziran–30 Eylül her gün. Düşük sezon 12.00–19.00, yüksek sezon 11.00–20.00.</t>
        </is>
      </c>
      <c r="R70" s="29" t="n"/>
      <c r="S70" s="29" t="n"/>
      <c r="T70" s="29" t="n"/>
    </row>
    <row r="71" ht="54" customHeight="1">
      <c r="A71" s="29" t="inlineStr">
        <is>
          <t>marbella:marbella-ucretsiz-ispanyolca-kurslari-escuela-de-adultos-seviyeler-ve-kayit</t>
        </is>
      </c>
      <c r="B71" s="29" t="inlineStr">
        <is>
          <t>marbella</t>
        </is>
      </c>
      <c r="C71" s="29" t="inlineStr">
        <is>
          <t>marbella-ucretsiz-ispanyolca-kurslari-escuela-de-adultos-seviyeler-ve-kayit</t>
        </is>
      </c>
      <c r="D71" s="29" t="inlineStr">
        <is>
          <t>Marbella'da ücretsiz İspanyolca kursu var mı, hangi seviyeler açılıyor, nasıl kaydolunur?</t>
        </is>
      </c>
      <c r="E71" s="29" t="inlineStr">
        <is>
          <t>Yetişkin eğitimi (Educación Adultos) kursları ücretsiz: okuma-yazma başlangıcı, A1, A2, B1; yüz yüze görüşme için konserjelikten randevu</t>
        </is>
      </c>
      <c r="F71" s="29" t="inlineStr">
        <is>
          <t>Marbella'nın Educación Adultos programında yabancılar için İspanyolca kursları ücretsizdir (Precio: gratuito). Okuma-yazmada zorluk çeken yabancılar için Formación inicial vardır (Pzt-Çar 9:30–11:30 ya da öğleden sonra). Okuma yazma bilenler için A1, A2 ve B1 seviyeleri sabah ve öğleden sonra gruplarıyla açılır; örneğin A1 sabah Pzt-Çar 11:30–13:20, öğleden sonra Sal-Per 16:00–18:00. Kayıt için yüz yüze görüşme yapılır: matrícula döneminde (Eylül) konserjelikten ilgili öğretmenle cita previa alırsın. Öğretmenlerin e-postaları: Mari Ángeles escueladeadultos2.aycmarb@marbella.es, María del Mar escueladeadultos5.aycmarb@marbella.es, José escueladeadultos9.aycmarb@marbella.es.</t>
        </is>
      </c>
      <c r="G71" s="29" t="inlineStr">
        <is>
          <t>ücretsiz İspanyolca, Educación Adultos, formación para inmigrantes, A1, A2, B1, Marbella, escuela de adultos</t>
        </is>
      </c>
      <c r="H71" s="29" t="inlineStr">
        <is>
          <t>new;settled</t>
        </is>
      </c>
      <c r="I71" s="29" t="inlineStr">
        <is>
          <t>marbella:kaynak:266</t>
        </is>
      </c>
      <c r="J71" s="49" t="n">
        <v>46323</v>
      </c>
      <c r="K71" s="51" t="n">
        <v>1106</v>
      </c>
      <c r="L71" s="29" t="inlineStr">
        <is>
          <t>Hayır</t>
        </is>
      </c>
      <c r="M71" s="29" t="inlineStr">
        <is>
          <t>Taslak</t>
        </is>
      </c>
      <c r="N71" s="29" t="inlineStr">
        <is>
          <t>marbella:gunluk</t>
        </is>
      </c>
      <c r="O71" s="29" t="inlineStr">
        <is>
          <t>Seviyeni belirle: okuma-yazma bilmiyorsan Formación inicial, biliyorsan A1, A2 ya da B1.
Eylül matrícula döneminde konserjelikten seviyene uygun öğretmenle cita previa al.
Öğretmenle yüz yüze görüşmeye git; görüşmede seviyen ve grup saatin belirlenir.
Öğretmene e-posta yazmak istersen listelenen escueladeadultos adreslerini kullan.</t>
        </is>
      </c>
      <c r="P71" s="29" t="n"/>
      <c r="Q71" s="29" t="inlineStr">
        <is>
          <t>Kayıt Eylül matrícula döneminde; dersler hafta içi sabah ve öğleden sonra.</t>
        </is>
      </c>
      <c r="R71" s="29" t="inlineStr">
        <is>
          <t>Kurslar ücretsizdir (Gratuito).</t>
        </is>
      </c>
      <c r="S71" s="29" t="n"/>
      <c r="T71" s="29" t="n"/>
    </row>
    <row r="72" ht="54" customHeight="1">
      <c r="A72" s="29" t="inlineStr">
        <is>
          <t>marbella:marbella-vatandaslik-sinavina-hazirlik-kursu-dele-a2-ve-kultur-bilgisi</t>
        </is>
      </c>
      <c r="B72" s="29" t="inlineStr">
        <is>
          <t>marbella</t>
        </is>
      </c>
      <c r="C72" s="29" t="inlineStr">
        <is>
          <t>marbella-vatandaslik-sinavina-hazirlik-kursu-dele-a2-ve-kultur-bilgisi</t>
        </is>
      </c>
      <c r="D72" s="29" t="inlineStr">
        <is>
          <t>Marbella'da İspanyol vatandaşlık sınavlarına hazırlık kursu (DELE A2 ve kültür bilgisi) var mı, ücretli mi?</t>
        </is>
      </c>
      <c r="E72" s="29" t="inlineStr">
        <is>
          <t>Educación Adultos'ta ücretsiz: dil bölümü (DELE A2) Çar-Per-Cum 11:30–13:30, kültür bilgisi bölümü Per 9:30–11:30</t>
        </is>
      </c>
      <c r="F72" s="29" t="inlineStr">
        <is>
          <t>Marbella'nın Educación Adultos programı vatandaşlık edinmek isteyen yabancılar için ücretsiz bir hazırlık kursu sunar. Kurs iki bölümdür: İspanyolca dil bölümü (DELE A2) çarşamba, perşembe ve cuma 11:30–13:30'da, kültürel bilgiler bölümü perşembe 9:30–11:30'da yapılır. Kayıt yüz yüze görüşmeyle olur; matrícula döneminde (Eylül) konserjelikten ilgili öğretmenle cita previa alırsın. Dil öğretmeninin e-postası escueladeadultos2.aycmarb@marbella.es, kültür bölümünün öğretmeninin e-postası escueladeadultos9.aycmarb@marbella.es'tir.</t>
        </is>
      </c>
      <c r="G72" s="29" t="inlineStr">
        <is>
          <t>vatandaşlık sınavı, DELE A2, CCSE, nacionalidad, ücretsiz kurs, Educación Adultos, Marbella</t>
        </is>
      </c>
      <c r="H72" s="29" t="inlineStr">
        <is>
          <t>planning;new;settled</t>
        </is>
      </c>
      <c r="I72" s="29" t="inlineStr">
        <is>
          <t>marbella:kaynak:266</t>
        </is>
      </c>
      <c r="J72" s="49" t="n">
        <v>46323</v>
      </c>
      <c r="K72" s="51" t="n">
        <v>1107</v>
      </c>
      <c r="L72" s="29" t="inlineStr">
        <is>
          <t>Hayır</t>
        </is>
      </c>
      <c r="M72" s="29" t="inlineStr">
        <is>
          <t>Taslak</t>
        </is>
      </c>
      <c r="N72" s="29" t="inlineStr">
        <is>
          <t>marbella:gunluk</t>
        </is>
      </c>
      <c r="O72" s="29" t="inlineStr">
        <is>
          <t>Kayıt için Eylül matrícula döneminde konserjelikten ilgili öğretmenle cita previa al.
Dil bölümü için çarşamba, perşembe ve cuma 11:30–13:30 derslerine katıl.
Kültürel bilgiler bölümü için perşembe 9:30–11:30 dersine katıl.
Sorularını öğretmenlerin e-posta adreslerine yaz.</t>
        </is>
      </c>
      <c r="P72" s="29" t="n"/>
      <c r="Q72" s="29" t="inlineStr">
        <is>
          <t>Dil: Çar-Per-Cum 11:30–13:30; kültürel bilgiler: Per 9:30–11:30. Kayıt Eylül matrícula döneminde.</t>
        </is>
      </c>
      <c r="R72" s="29" t="inlineStr">
        <is>
          <t>Ücretsizdir (Gratuito).</t>
        </is>
      </c>
      <c r="S72" s="29" t="n"/>
      <c r="T72" s="29" t="n"/>
    </row>
    <row r="73" ht="54" customHeight="1">
      <c r="A73" s="29" t="inlineStr">
        <is>
          <t>marbella:las-chapas-ispanyolca-kursu-seviyeler-saatler-ve-fiyat</t>
        </is>
      </c>
      <c r="B73" s="29" t="inlineStr">
        <is>
          <t>marbella</t>
        </is>
      </c>
      <c r="C73" s="29" t="inlineStr">
        <is>
          <t>las-chapas-ispanyolca-kursu-seviyeler-saatler-ve-fiyat</t>
        </is>
      </c>
      <c r="D73" s="29" t="inlineStr">
        <is>
          <t>Las Chapas'ta ücretli İspanyolca kursuna (Español para extranjeros) nasıl kaydolunur, fiyatı nedir?</t>
        </is>
      </c>
      <c r="E73" s="29" t="inlineStr">
        <is>
          <t>Tenencia de Alcaldía de Las Chapas; A1–B1, konuşma ve DELE hazırlık; kurs 180 €, tek ödemede 160 €, iki taksitte 90 €; kayıt e-postayla</t>
        </is>
      </c>
      <c r="F73" s="29" t="inlineStr">
        <is>
          <t>Marbella Belediyesi'nin Español para extranjeros kursu Las Chapas Tenencia de Alcaldía'sında (calle Pinsapo s/n) verilir. Dersler haftada iki gün toplam üç buçuk saat, yeni başlayanlar için üç saattir. Seviyeler A1, A2, B1, orta seviye konuşma ve DELE hazırlığıdır; grup saatleri 9:30–11:15, 11:15–13:00 ya da 13:15–15:00'tir. Kurs 180 €; tek ödemede 160 €, iki taksitte 90 € + 90 € olur. Kayıt çevrimiçi yapılır: espextranjeros.aycmarb@marbella.es adresine adın ve yaklaşık İspanyolca seviyenle e-posta yazarsın; yer varsa öğretmen kurs, saat ve kitaplar hakkında konuşmak için sana tarih ve saat verir. Gruplar ön kayıttan sonra seviye başına başvuru sayısına göre oluşturulur.</t>
        </is>
      </c>
      <c r="G73" s="29" t="inlineStr">
        <is>
          <t>İspanyolca kursu, Español para extranjeros, Las Chapas, DELE, kurs ücreti, Marbella, Tenencia de Alcaldía</t>
        </is>
      </c>
      <c r="H73" s="29" t="inlineStr">
        <is>
          <t>new;settled</t>
        </is>
      </c>
      <c r="I73" s="29" t="inlineStr">
        <is>
          <t>marbella:kaynak:265</t>
        </is>
      </c>
      <c r="J73" s="49" t="n">
        <v>46323</v>
      </c>
      <c r="K73" s="51" t="n">
        <v>1108</v>
      </c>
      <c r="L73" s="29" t="inlineStr">
        <is>
          <t>Hayır</t>
        </is>
      </c>
      <c r="M73" s="29" t="inlineStr">
        <is>
          <t>Taslak</t>
        </is>
      </c>
      <c r="N73" s="29" t="inlineStr">
        <is>
          <t>marbella:gunluk</t>
        </is>
      </c>
      <c r="O73" s="29" t="inlineStr">
        <is>
          <t>espextranjeros.aycmarb@marbella.es adresine adın ve yaklaşık İspanyolca seviyenle e-posta gönder.
Yer varsa öğretmenin sana verdiği tarih ve saatte kurs, saatler ve kitaplar hakkında görüş.
Grubunun ön kayıttan sonra belirlenmesini bekle.
Kursu 180 € tek ya da 90 € + 90 € iki taksitle öde; tek ödeme 160 €'dur.</t>
        </is>
      </c>
      <c r="P73" s="29" t="n"/>
      <c r="Q73" s="29" t="inlineStr">
        <is>
          <t>Haftada iki gün, toplam 3,5 saat (yeni başlayanlar 3 saat); gruplar 9:30–11:15, 11:15–13:00 ya da 13:15–15:00.</t>
        </is>
      </c>
      <c r="R73" s="29" t="inlineStr">
        <is>
          <t>Kurs 180 €; tek ödeme 160 €; iki taksit 90 € + 90 €.</t>
        </is>
      </c>
      <c r="S73" s="29" t="n"/>
      <c r="T73" s="29" t="n"/>
    </row>
    <row r="74" ht="54" customHeight="1">
      <c r="A74" s="29" t="inlineStr">
        <is>
          <t>marbella:san-pedro-ve-nueva-andalucia-ispanyolca-kurslari-seviye-saat-ve-fiyat</t>
        </is>
      </c>
      <c r="B74" s="29" t="inlineStr">
        <is>
          <t>marbella</t>
        </is>
      </c>
      <c r="C74" s="29" t="inlineStr">
        <is>
          <t>san-pedro-ve-nueva-andalucia-ispanyolca-kurslari-seviye-saat-ve-fiyat</t>
        </is>
      </c>
      <c r="D74" s="29" t="inlineStr">
        <is>
          <t>San Pedro Alcántara ve Nueva Andalucía'da İspanyolca kursları hangi gün ve saatlerde yapılıyor, fiyatı nedir?</t>
        </is>
      </c>
      <c r="E74" s="29" t="inlineStr">
        <is>
          <t>San Pedro Pzt-Çar, Nueva Andalucía Sal-Per, 3 seviye, 8:45–14:15 arası; 1. seviye için İngilizce bilgisi şart; fiyat 180 €</t>
        </is>
      </c>
      <c r="F74" s="29" t="inlineStr">
        <is>
          <t>Belediyenin Español para Extranjeros kursları San Pedro Alcántara'da (Trapiche de Guadaiza) pazartesi ve çarşamba, Nueva Andalucía'da (Centro Polivalente de usos múltiples) salı ve perşembe günleri yapılır. Her yerde üç seviye vardır: 1. seviye 8:45–10:35, 2. seviye 10:35–12:25, 3. seviye 12:25–14:15. 1. seviye için İngilizce bilmek gerekir. Kursun fiyatı 180 €'dur.</t>
        </is>
      </c>
      <c r="G74" s="29" t="inlineStr">
        <is>
          <t>İspanyolca kursu, San Pedro Alcántara, Nueva Andalucía, Trapiche de Guadaiza, Español para extranjeros, kurs ücreti</t>
        </is>
      </c>
      <c r="H74" s="29" t="inlineStr">
        <is>
          <t>new;settled</t>
        </is>
      </c>
      <c r="I74" s="29" t="inlineStr">
        <is>
          <t>marbella:kaynak:267</t>
        </is>
      </c>
      <c r="J74" s="49" t="n">
        <v>46323</v>
      </c>
      <c r="K74" s="51" t="n">
        <v>1109</v>
      </c>
      <c r="L74" s="29" t="inlineStr">
        <is>
          <t>Hayır</t>
        </is>
      </c>
      <c r="M74" s="29" t="inlineStr">
        <is>
          <t>Taslak</t>
        </is>
      </c>
      <c r="N74" s="29" t="inlineStr">
        <is>
          <t>marbella:gunluk</t>
        </is>
      </c>
      <c r="O74" s="29" t="inlineStr">
        <is>
          <t>Yaşadığın bölgeye göre San Pedro Alcántara (Pzt-Çar) ya da Nueva Andalucía (Sal-Per) grubunu seç.
Seviyeni belirle: 1. seviye 8:45, 2. seviye 10:35, 3. seviye 12:25'te başlar.
1. seviyeye yazılacaksan İngilizce bildiğinden emin ol.
Kurs ücreti olan 180 €'yu hazırla.</t>
        </is>
      </c>
      <c r="P74" s="29" t="n"/>
      <c r="Q74" s="29" t="inlineStr">
        <is>
          <t>Her seviye 1 saat 50 dakika; 1. seviye 8:45, 2. seviye 10:35, 3. seviye 12:25'te başlar.</t>
        </is>
      </c>
      <c r="R74" s="29" t="inlineStr">
        <is>
          <t>180 €</t>
        </is>
      </c>
      <c r="S74" s="29" t="n"/>
      <c r="T74" s="29" t="n"/>
    </row>
    <row r="75" ht="54" customHeight="1">
      <c r="A75" s="29" t="inlineStr">
        <is>
          <t>marbella:marbella-merkez-kutuphane-fernando-alcala-marin-saatler-ve-diger-kutuphaneler</t>
        </is>
      </c>
      <c r="B75" s="29" t="inlineStr">
        <is>
          <t>marbella</t>
        </is>
      </c>
      <c r="C75" s="29" t="inlineStr">
        <is>
          <t>marbella-merkez-kutuphane-fernando-alcala-marin-saatler-ve-diger-kutuphaneler</t>
        </is>
      </c>
      <c r="D75" s="29" t="inlineStr">
        <is>
          <t>Marbella'da merkez kütüphane (Biblioteca Central Fernando Alcalá Marín) nerede, saatleri ve çalışma salonu nedir, başka hangi kütüphaneler var?</t>
        </is>
      </c>
      <c r="E75" s="29" t="inlineStr">
        <is>
          <t>Parque de la Represa, Avenida Doctor Maíz Viñals; kış 9:00–21:00, yaz 9:00–20:00 (hafta içi); dış çalışma salonu her gün 8:00–21:00</t>
        </is>
      </c>
      <c r="F75" s="29" t="inlineStr">
        <is>
          <t>Biblioteca Central Fernando Alcalá Marín, Parque de la Represa'da, Avenida Doctor Maíz Viñals adresindedir; telefon +34 952 938 838. Kış saati hafta içi 9:00–21:00, yaz saati (21 Haziran–21 Eylül) hafta içi 9:00–20:00'dir. Dış çalışma salonu (sala de estudio exterior) yıl boyunca her gün 8:00–21:00 açıktır. Belediyenin diğer kütüphaneleri: Biblioteca San Pedro Alcántara, çocuk bölümü olan Biblioteca José Manuel Vallés y Maíz Viñals, Biblioteca J. M. Caballero Bonald, Biblioteca Camilo José Cela ve Biblioteca Antonio Gala. Centro Cultural Rosa Verde de bir çalışma salonuna sahiptir.</t>
        </is>
      </c>
      <c r="G75" s="29" t="inlineStr">
        <is>
          <t>kütüphane, Biblioteca Central, Fernando Alcalá Marín, çalışma salonu, Marbella, Parque de la Represa</t>
        </is>
      </c>
      <c r="H75" s="29" t="inlineStr">
        <is>
          <t>new;settled</t>
        </is>
      </c>
      <c r="I75" s="29" t="inlineStr">
        <is>
          <t>marbella:kaynak:268</t>
        </is>
      </c>
      <c r="J75" s="49" t="n">
        <v>46323</v>
      </c>
      <c r="K75" s="51" t="n">
        <v>1110</v>
      </c>
      <c r="L75" s="29" t="inlineStr">
        <is>
          <t>Hayır</t>
        </is>
      </c>
      <c r="M75" s="29" t="inlineStr">
        <is>
          <t>Taslak</t>
        </is>
      </c>
      <c r="N75" s="29" t="inlineStr">
        <is>
          <t>marbella:gunluk</t>
        </is>
      </c>
      <c r="O75" s="29" t="inlineStr">
        <is>
          <t>Kütüphaneye Parque de la Represa'daki Avenida Doctor Maíz Viñals adresinden git.
Kış saatinde hafta içi 9:00–21:00, 21 Haziran–21 Eylül arasında 9:00–20:00 arası gel.
Kapanış saatinden sonra çalışmak için dış çalışma salonunu kullan; her gün 8:00–21:00 açıktır.
Evine daha yakın kütüphaneyi belediyenin listesinden seç.</t>
        </is>
      </c>
      <c r="P75" s="29" t="n"/>
      <c r="Q75" s="29" t="inlineStr">
        <is>
          <t>Kış: hafta içi 9:00–21:00; yaz (21 Haziran–21 Eylül): hafta içi 9:00–20:00; dış çalışma salonu her gün 8:00–21:00.</t>
        </is>
      </c>
      <c r="R75" s="29" t="n"/>
      <c r="S75" s="29" t="n"/>
      <c r="T75" s="29" t="n"/>
    </row>
    <row r="76" ht="54" customHeight="1">
      <c r="A76" s="29" t="inlineStr">
        <is>
          <t>marbella:andalucia-2026-kalan-resmi-tatiller-ve-yerel-tatillerin-idari-surelere-etkisi</t>
        </is>
      </c>
      <c r="B76" s="29" t="inlineStr">
        <is>
          <t>marbella</t>
        </is>
      </c>
      <c r="C76" s="29" t="inlineStr">
        <is>
          <t>andalucia-2026-kalan-resmi-tatiller-ve-yerel-tatillerin-idari-surelere-etkisi</t>
        </is>
      </c>
      <c r="D76" s="29" t="inlineStr">
        <is>
          <t>Marbella'da 2026 yılının kalan resmî tatilleri hangileri, iki yerel tatil günü idari sürelere nasıl yansır?</t>
        </is>
      </c>
      <c r="E76" s="29" t="inlineStr">
        <is>
          <t>2026'da kalan günler: 2 Kasım, 7 ve 8 Aralık, 25 Aralık; belediyenin iki yerel tatil günü de idari işlemlerde iş günü sayılmaz</t>
        </is>
      </c>
      <c r="F76" s="29" t="inlineStr">
        <is>
          <t>Endülüs'ün 2026 resmî tatil takvimine (Decreto 101/2025) göre yılın kalan günleri şunlardır: 2 Kasım Pazartesi (Todos los Santos), 7 Aralık Pazartesi (Día de la Constitución Española), 8 Aralık Salı (Inmaculada Concepción) ve 25 Aralık Cuma (Natividad del Señor). Bunlara ek olarak her belediye iki yerel tatil günü ilan eder; Marbella'nın iki günü Endülüs'ün yerel tatil listesinde yayımlanır (2026 listesi 6 Ekim 2025 tarihli Resolución ile çıktı, 18 Aralık 2025 ve 12 Şubat 2026'da değiştirildi). İdari işlemlerde süre hesaplanırken yasanın geçersiz saydığı günler (días inhábiles) sayılmaz; her belediyenin iki yerel tatil günü de bu kapsamdadır.</t>
        </is>
      </c>
      <c r="G76" s="29" t="inlineStr">
        <is>
          <t>resmî tatil, 2026 tatilleri, Endülüs tatil takvimi, yerel bayram, días inhábiles, fiestas locales, Marbella</t>
        </is>
      </c>
      <c r="H76" s="29" t="inlineStr">
        <is>
          <t>planning;new;settled</t>
        </is>
      </c>
      <c r="I76" s="29" t="inlineStr">
        <is>
          <t>marbella:kaynak:269</t>
        </is>
      </c>
      <c r="J76" s="49" t="n">
        <v>46323</v>
      </c>
      <c r="K76" s="51" t="n">
        <v>1111</v>
      </c>
      <c r="L76" s="29" t="inlineStr">
        <is>
          <t>Hayır</t>
        </is>
      </c>
      <c r="M76" s="29" t="inlineStr">
        <is>
          <t>Taslak</t>
        </is>
      </c>
      <c r="N76" s="29" t="inlineStr">
        <is>
          <t>marbella:gunluk</t>
        </is>
      </c>
      <c r="O76" s="29" t="inlineStr">
        <is>
          <t>Yılın kalan resmî tatillerini 2 Kasım, 7 Aralık, 8 Aralık ve 25 Aralık olarak takvimine işle.
Marbella'nın iki yerel tatil gününü Endülüs'ün 2026 yerel tatil listesinden (Resolución de 6 de octubre de 2025 ve değişiklikleri) bul.
İdari başvurularda süre hesaplarken resmî tatillerin ve belediyenin iki yerel tatil gününün iş günü sayılmadığını hesaba kat.</t>
        </is>
      </c>
      <c r="P76" s="29" t="n"/>
      <c r="Q76" s="29" t="inlineStr">
        <is>
          <t>2026'da kalan günler: 2 Kasım, 7 Aralık, 8 Aralık, 25 Aralık.</t>
        </is>
      </c>
      <c r="R76" s="29" t="n"/>
      <c r="S76" s="29" t="n"/>
      <c r="T76" s="29" t="n"/>
    </row>
    <row r="77" ht="54" customHeight="1">
      <c r="A77" s="29" t="inlineStr">
        <is>
          <t>marbella:is-sozlesmesi-turleri</t>
        </is>
      </c>
      <c r="B77" s="29" t="inlineStr">
        <is>
          <t>marbella</t>
        </is>
      </c>
      <c r="C77" s="29" t="inlineStr">
        <is>
          <t>is-sozlesmesi-turleri</t>
        </is>
      </c>
      <c r="D77" s="29" t="inlineStr">
        <is>
          <t>İspanya'da iş sözleşmesi süresiz mi yapılır, hangi sözleşme türleri var?</t>
        </is>
      </c>
      <c r="E77" s="29" t="inlineStr">
        <is>
          <t>Kural süresiz sözleşmedir; süreli sözleşme yalnız yasada sayılan iki nedenle yapılabilir</t>
        </is>
      </c>
      <c r="F77" s="29" t="inlineStr">
        <is>
          <t>Evet, kural olarak süresizdir: iş sözleşmesinin süresiz (indefinido) yapıldığı varsayılır. Süreli sözleşme yalnızca üretimdeki dalgalanmalar (circunstancias de la producción) ya da bir işçinin yerine geçme (sustitución) nedeniyle yapılabilir ve nedenin sözleşmede açıkça yazılması gerekir. Mevsimlik ya da aralıklı işler için süresiz bir tür olan fijo-discontinuo vardır; eğitim amaçlı contrato formativo ise iki türlüdür. Bu düzen 2021 sonunda çıkan Real Decreto-ley 32/2021 iş reformuyla geldi; süreli sözleşme kuralları 30 Mart 2022'de yürürlüğe girdi.</t>
        </is>
      </c>
      <c r="G77" s="29" t="inlineStr">
        <is>
          <t>iş sözleşmesi, contrato indefinido, contrato temporal, fijo-discontinuo, contrato formativo, süresiz sözleşme, süreli sözleşme</t>
        </is>
      </c>
      <c r="H77" s="29" t="inlineStr">
        <is>
          <t>planning;new</t>
        </is>
      </c>
      <c r="I77" s="29" t="inlineStr">
        <is>
          <t>marbella:kaynak:059;marbella:kaynak:060</t>
        </is>
      </c>
      <c r="J77" s="49" t="n">
        <v>46319</v>
      </c>
      <c r="K77" s="51" t="n">
        <v>9039</v>
      </c>
      <c r="L77" s="29" t="inlineStr">
        <is>
          <t>Hayır</t>
        </is>
      </c>
      <c r="M77" s="29" t="inlineStr">
        <is>
          <t>Taslak</t>
        </is>
      </c>
      <c r="N77" s="29" t="inlineStr">
        <is>
          <t>marbella:is</t>
        </is>
      </c>
      <c r="O77" s="29" t="inlineStr">
        <is>
          <t>Sözleşmenin süresiz mi, süreli mi, formativo mu olduğuna bak; süreli sözleşmede neden (üretim ya da yerine geçme) ve nedenin süreyle bağlantısı sözleşmede açıkça yazılmış olmalı.
Üretim nedenli süreli sözleşmede süre en çok 6 aydır; sektör düzeyindeki toplu sözleşme bunu 1 yıla çıkarabilir.
Mevsimlik ya da aralıklı işte fijo-discontinuo sözleşmesi yazılı yapılır ve faaliyet döneminin süresini gösterir; çalışma süresi ve dağılımı tahmini olarak yazılabilir.
Formativo sözleşmede formación en alternancia en 3 ay ile 2 yıl arasında, práctica profesional ise 6 ay ile 1 yıl arasında sürer.
Kurallara aykırı süreli sözleşmeyle çalıştırılırsan ya da 24 ayda 18 aydan uzun süre, iki veya daha fazla üretim nedenli sözleşmeyle çalıştırılırsan kalıcı (fijo) işçi sayılırsın.</t>
        </is>
      </c>
      <c r="P77" s="29" t="n"/>
      <c r="Q77" s="29" t="inlineStr">
        <is>
          <t>Üretim nedenli süreli sözleşme: en çok 6 ay (sektör toplu sözleşmesiyle 1 yıl)
Formación en alternancia: 3 ay - 2 yıl
Práctica profesional: 6 ay - 1 yıl</t>
        </is>
      </c>
      <c r="R77" s="29" t="n"/>
      <c r="S77" s="29" t="inlineStr">
        <is>
          <t>Süreli sözleşmeli çalışanlar süresiz sözleşmeli çalışanlarla aynı haklara sahiptir; sözleşmenin sona ermesine ilişkin özel kurallar ve yasada formativo sözleşmeler için ayrıca öngörülen kurallar hariç. Hakların bir kısmı, doğasına uygun düştüğünde çalışılan süreye göre orantılı tanınır.</t>
        </is>
      </c>
      <c r="T77" s="29" t="n"/>
    </row>
    <row r="78" ht="54" customHeight="1">
      <c r="A78" s="29" t="inlineStr">
        <is>
          <t>marbella:asgari-ucret-smi-2026-calisma-saatleri</t>
        </is>
      </c>
      <c r="B78" s="29" t="inlineStr">
        <is>
          <t>marbella</t>
        </is>
      </c>
      <c r="C78" s="29" t="inlineStr">
        <is>
          <t>asgari-ucret-smi-2026-calisma-saatleri</t>
        </is>
      </c>
      <c r="D78" s="29" t="inlineStr">
        <is>
          <t>2026'da İspanya'da asgari ücret (SMI) ne kadar, haftalık çalışma süresi kaç saat?</t>
        </is>
      </c>
      <c r="E78" s="29" t="inlineStr">
        <is>
          <t>Günlük 40,70 euro ya da aylık 1.221 euro; olağan çalışma yıllık ortalamada haftada en çok 40 saat</t>
        </is>
      </c>
      <c r="F78" s="29" t="inlineStr">
        <is>
          <t>2026 için asgari ücret (SMI, salario mínimo interprofesional) günlük 40,70 euro ya da aylık 1.221 euro'dur; ücret günlük belirlenmişse günlük, aylık belirlenmişse aylık tutar geçerlidir. Olağan çalışma süresi yıllık ortalamada haftada en çok 40 saattir. Tutarlar 1 Ocak 2026'dan itibaren uygulanır, 2025'e göre %3,1 artıştır ve tarım, sanayi ve hizmetlerde yaş ve cinsiyet ayrımı olmadan geçerlidir.</t>
        </is>
      </c>
      <c r="G78" s="29" t="inlineStr">
        <is>
          <t>asgari ücret, SMI, salario mínimo, çalışma saati, haftalık 40 saat, jornada, 2026</t>
        </is>
      </c>
      <c r="H78" s="29" t="inlineStr">
        <is>
          <t>planning;new;settled</t>
        </is>
      </c>
      <c r="I78" s="29" t="inlineStr">
        <is>
          <t>marbella:kaynak:061;marbella:kaynak:059</t>
        </is>
      </c>
      <c r="J78" s="49" t="n">
        <v>46319</v>
      </c>
      <c r="K78" s="51" t="n">
        <v>9040</v>
      </c>
      <c r="L78" s="29" t="inlineStr">
        <is>
          <t>Hayır</t>
        </is>
      </c>
      <c r="M78" s="29" t="inlineStr">
        <is>
          <t>Taslak</t>
        </is>
      </c>
      <c r="N78" s="29" t="inlineStr">
        <is>
          <t>marbella:is</t>
        </is>
      </c>
      <c r="O78" s="29" t="inlineStr">
        <is>
          <t>Sözleşmendeki ücretin günlük mü aylık mı belirlendiğine bak: günlük ücrette günlük 40,70 euro, aylık ücrette aylık 1.221 euro asgari tutardır.
SMI artışı, yıllık hesapta toplamı SMI'nın üzerinde olan mevcut ücretlerin yapısını ve tutarını etkilemez; bu karşılaştırmada esas alınan yıllık asgari ücret hiçbir hâlde 17.094 euronun altında sayılamaz (RD 126/2026 madde 3).
Asgari ücrete yalnızca para olarak ödenen kısım sayılır; ayni (para dışı) ödeme tutarı düşüremez.
Yasal çalışma süresinden kısa çalışıyorsan ücretin orantılı (a prorrata) ödenir.
Aynı işverene toplam 120 günü aşmayan süreli sözleşmeyle çalışıyorsan asgari ücretle birlikte pazar ve tatil günlerinin ve iki olağanüstü ikramiyenin (her biri 30 günlük maaş) orantılı payı da ödenir; yasal iş günü başına tutar 57,82 euronun altına inemez.
Saat başı ve evde kalmadan çalışan ev hizmetlisiysen asgari tutar fiilen çalışılan saat başına 9,55 euro'dur.
Günler arasında en az 12 saat ara olmalı; olağan günlük çalışma 9 saati aşamaz (toplu sözleşme ya da işyeri anlaşması başka dağılım belirlemedikçe) ve kesintisiz günlük çalışma 6 saati geçerse en az 15 dakikalık mola verilir.</t>
        </is>
      </c>
      <c r="P78" s="29" t="n"/>
      <c r="Q78" s="29" t="inlineStr">
        <is>
          <t>Tutarlar 1 Ocak - 31 Aralık 2026 dönemi için geçerlidir</t>
        </is>
      </c>
      <c r="R78" s="29" t="inlineStr">
        <is>
          <t>Asgari ücret (2026): günlük 40,70 euro ya da aylık 1.221 euro
Süreli sözleşmede (aynı işverene 120 günü aşmayan): yasal iş günü başına en az 57,82 euro
Saatlik çalışan ev hizmetlisi: saat başına 9,55 euro</t>
        </is>
      </c>
      <c r="S78" s="29" t="inlineStr">
        <is>
          <t>Haftalık dinlenme en az bir buçuk gün kesintisizdir ve genel kural olarak cumartesi öğleden sonrasını (ya da pazartesi sabahını) ve pazar gününün tamamını kapsar.</t>
        </is>
      </c>
      <c r="T78" s="29" t="n"/>
    </row>
    <row r="79" ht="54" customHeight="1">
      <c r="A79" s="29" t="inlineStr">
        <is>
          <t>marbella:yillik-izin-ve-resmi-tatiller-2026</t>
        </is>
      </c>
      <c r="B79" s="29" t="inlineStr">
        <is>
          <t>marbella</t>
        </is>
      </c>
      <c r="C79" s="29" t="inlineStr">
        <is>
          <t>yillik-izin-ve-resmi-tatiller-2026</t>
        </is>
      </c>
      <c r="D79" s="29" t="inlineStr">
        <is>
          <t>İspanya'da yıllık izin en az kaç gün, 2026'da resmî tatiller hangi günler?</t>
        </is>
      </c>
      <c r="E79" s="29" t="inlineStr">
        <is>
          <t>Yıllık izin en az 30 takvim günü; 2026 listesine göre resmî tatiller ücretli, yılda en çok 14 gün</t>
        </is>
      </c>
      <c r="F79" s="29" t="inlineStr">
        <is>
          <t>Yıllık ücretli izin hiçbir durumda 30 takvim gününden az olamaz ve para ile karşılanamaz. Resmî tatiller (fiestas laborales) ücretli ve telafisizdir; yılda en çok 14 gün olabilir ve bunun 2'si yerel tatildir. 2026 listesinde Yılbaşı (1 Ocak), Viernes Santo (3 Nisan), 1 Mayıs, 15 Ağustos, 12 Ekim, 8 Aralık ve 25 Aralık özerk bölgelerin değiştiremediği ulusal tatillerdir ve her yerde ortaktır; bunların dışındaki tatil günleri bölgeye (yerel tatiller belediyeye) göre değişir.</t>
        </is>
      </c>
      <c r="G79" s="29" t="inlineStr">
        <is>
          <t>yıllık izin, vacaciones, 30 gün, resmi tatil, fiestas laborales, 2026 tatilleri, bayram</t>
        </is>
      </c>
      <c r="H79" s="29" t="inlineStr">
        <is>
          <t>planning;new;settled</t>
        </is>
      </c>
      <c r="I79" s="29" t="inlineStr">
        <is>
          <t>marbella:kaynak:059;marbella:kaynak:062</t>
        </is>
      </c>
      <c r="J79" s="49" t="n">
        <v>46319</v>
      </c>
      <c r="K79" s="51" t="n">
        <v>9041</v>
      </c>
      <c r="L79" s="29" t="inlineStr">
        <is>
          <t>Hayır</t>
        </is>
      </c>
      <c r="M79" s="29" t="inlineStr">
        <is>
          <t>Taslak</t>
        </is>
      </c>
      <c r="N79" s="29" t="inlineStr">
        <is>
          <t>marbella:is</t>
        </is>
      </c>
      <c r="O79" s="29" t="inlineStr">
        <is>
          <t>İznin tarihlerini işverenle ortak anlaşmayla belirlersin; anlaşamazsanız tarihi sosyal mahkeme (jurisdicción social) belirler ve kararı kesindir.
Şirketin izin takvimini, izin başlamadan en az iki ay önce öğrenirsin.
Hamilelik, doğum ya da emzirmeye bağlı rapor veya doğum ve evlat edinme izni, şirketin izin takvimine denk gelirse izni bu dönem bitince, yıl dolmuş olsa bile kullanırsın.
Başka bir hastalık raporu izni kullanmanı engellerse, rapor bittikten sonra ve iznin doğduğu yılın sonundan itibaren 18 ayı aşmadan kullanabilirsin.
Bölgenin kendi tatilleri 2026 listesinde bölgeye göre ayrı gösterilir; yerel (belediye) tatilleri ise özerk bölgenin ya da ilin resmî gazetesinde yayımlanır.</t>
        </is>
      </c>
      <c r="P79" s="29" t="n"/>
      <c r="Q79" s="29" t="inlineStr">
        <is>
          <t>Yıllık izin: en az 30 takvim günü
Resmî tatil: yılda en çok 14 gün, bunun 2'si yerel
Liste yalnızca 2026 yılı içindir</t>
        </is>
      </c>
      <c r="R79" s="29" t="n"/>
      <c r="S79" s="29" t="inlineStr">
        <is>
          <t>6 Ocak (Epifanía) 2026 listesinde yer alıyor ve hiçbir bölge bu günü değiştirmemiş; Jueves Santo (2 Nisan) ve diğer günler bölgeden bölgeye değişir. Yasa (Estatuto de los Trabajadores md. 37.2) ulusal tatil olarak her koşulda yalnızca Noel, Yılbaşı, 1 Mayıs ve 12 Ekim'in korunmasını güvence altına alır; 2026 listesinde özerk bölgelerin değiştiremediği ulusal tatil olarak işaretlenen günler ise özette sayılan 7 gündür.</t>
        </is>
      </c>
      <c r="T79" s="29" t="n"/>
    </row>
    <row r="80" ht="54" customHeight="1">
      <c r="A80" s="29" t="inlineStr">
        <is>
          <t>marbella:maas-bordrosu-nomina-icerigi</t>
        </is>
      </c>
      <c r="B80" s="29" t="inlineStr">
        <is>
          <t>marbella</t>
        </is>
      </c>
      <c r="C80" s="29" t="inlineStr">
        <is>
          <t>maas-bordrosu-nomina-icerigi</t>
        </is>
      </c>
      <c r="D80" s="29" t="inlineStr">
        <is>
          <t>Maaş bordrosu (nómina) neleri göstermek zorunda, imzalamak ne anlama gelir?</t>
        </is>
      </c>
      <c r="E80" s="29" t="inlineStr">
        <is>
          <t>Bordro aylıktır; kazançlar ve kesintiler ayrı gösterilir; imza ücreti aldığını gösterir</t>
        </is>
      </c>
      <c r="F80" s="29" t="inlineStr">
        <is>
          <t>Bordro (recibo de salarios) takvim ayına aittir ve işçinin farklı kazançlarını ile yasal kesintilerini açık ve ayrı göstermelidir. Ücret aylıktan kısa dönemlerle ödenirse bunlar, aylık bordroda kapatılacak avans olarak belgelenir. Bordroyu imzalaman ücreti aldığını gösterir, tutarı onayladığın anlamına gelmez; ücret banka havalesiyle ödenirse imzan yerine banka dekontu geçer. 2026'da genel rejimde ortak riskler (contingencias comunes) için prim oranı %28,30'dur ve bunun %4,70'i işçiye düşer. Bu oran yalnız ortak riskler içindir; bordrodaki toplam sosyal güvenlik kesintisi anlamına gelmez.</t>
        </is>
      </c>
      <c r="G80" s="29" t="inlineStr">
        <is>
          <t>maaş bordrosu, nómina, recibo de salarios, bordro imzası, sosyal güvenlik kesintisi, contingencias comunes, 2026</t>
        </is>
      </c>
      <c r="H80" s="29" t="inlineStr">
        <is>
          <t>new;settled</t>
        </is>
      </c>
      <c r="I80" s="29" t="inlineStr">
        <is>
          <t>marbella:kaynak:063;marbella:kaynak:064</t>
        </is>
      </c>
      <c r="J80" s="49" t="n">
        <v>46319</v>
      </c>
      <c r="K80" s="51" t="n">
        <v>9042</v>
      </c>
      <c r="L80" s="29" t="inlineStr">
        <is>
          <t>Hayır</t>
        </is>
      </c>
      <c r="M80" s="29" t="inlineStr">
        <is>
          <t>Taslak</t>
        </is>
      </c>
      <c r="N80" s="29" t="inlineStr">
        <is>
          <t>marbella:is</t>
        </is>
      </c>
      <c r="O80" s="29" t="inlineStr">
        <is>
          <t>Bordronun bir takvim ayına ait olduğunu kontrol et.
Kazanç kalemlerini ve kesintileri ayrı ayrı oku; ikisi açıkça birbirinden ayrılmış olmalı.
Ücret nakit, çek ya da banka çeki ile ödenirse bordronun kopyasını imzalayarak teslim al; banka havalesinde imza yerine banka dekontu geçer.
Sosyal güvenlik kesintisinde ortak riskler için işçiye düşen payın 2026'da %4,70 olduğunu bil; bu oran toplam sosyal güvenlik kesintisi değildir. İş kazası ve meslek hastalığı primleri (tarife primleri) tamamen işverene aittir.
Bordro kopyalarını sakla: işveren bordroları sosyal güvenlik bildirgeleriyle birlikte en az 5 yıl saklar.</t>
        </is>
      </c>
      <c r="P80" s="29" t="n"/>
      <c r="Q80" s="29" t="inlineStr">
        <is>
          <t>Bordro bir takvim ayını kapsar; bordrolar en az 5 yıl saklanır</t>
        </is>
      </c>
      <c r="R80" s="29" t="inlineStr">
        <is>
          <t>Ortak riskler (genel rejim, 2026): ortak riskler oranı %28,30 (yalnız bu risk için), işveren payı %23,60, işçi payı %4,70</t>
        </is>
      </c>
      <c r="S80" s="29" t="inlineStr">
        <is>
          <t>Bordro modeli toplu sözleşme ya da işveren ile işçi temsilcileri arasındaki anlaşmayla başka bir biçimde de düzenlenebilir; yine de kazançlar ve kesintiler açık ve ayrı gösterilmelidir.</t>
        </is>
      </c>
      <c r="T80" s="29" t="n"/>
    </row>
    <row r="81" ht="54" customHeight="1">
      <c r="A81" s="29" t="inlineStr">
        <is>
          <t>marbella:finiquito-isten-ayrilirken-tasfiye-belgesi</t>
        </is>
      </c>
      <c r="B81" s="29" t="inlineStr">
        <is>
          <t>marbella</t>
        </is>
      </c>
      <c r="C81" s="29" t="inlineStr">
        <is>
          <t>finiquito-isten-ayrilirken-tasfiye-belgesi</t>
        </is>
      </c>
      <c r="D81" s="29" t="inlineStr">
        <is>
          <t>İşten ayrılırken finiquito (tasfiye makbuzu) imzalamadan önce hangi güvencelere sahipsin?</t>
        </is>
      </c>
      <c r="E81" s="29" t="inlineStr">
        <is>
          <t>İşveren tasfiye belgesi önerisini bildirime eklemek zorunda; imzada işçi temsilcisini isteyebilirsin</t>
        </is>
      </c>
      <c r="F81" s="29" t="inlineStr">
        <is>
          <t>İki güvencen var: İşveren, sözleşmenin sona ermesi nedeniyle fesih ya da ön bildirim (preaviso) yaptığında, borçlu olduğu tutarların tasfiye belgesi önerisini (propuesta del documento de liquidación) bildirime eklemek zorundadır; ayrıca finiquito makbuzunu imzalarken yanında bir işçi temsilcisinin bulunmasını isteyebilirsin. İşveren temsilcinin bulunmasını engellerse bunu makbuzun üzerine yazdırabilirsin. Sözleşme karşılıklı anlaşmayla, süresinin dolmasıyla, istifayla ya da işten çıkarılmayla sona erebilir.</t>
        </is>
      </c>
      <c r="G81" s="29" t="inlineStr">
        <is>
          <t>finiquito, tasfiye belgesi, işten ayrılma, liquidación, istifa, dimisión, preaviso</t>
        </is>
      </c>
      <c r="H81" s="29" t="inlineStr">
        <is>
          <t>settled</t>
        </is>
      </c>
      <c r="I81" s="29" t="inlineStr">
        <is>
          <t>marbella:kaynak:059</t>
        </is>
      </c>
      <c r="J81" s="49" t="n">
        <v>46319</v>
      </c>
      <c r="K81" s="51" t="n">
        <v>9043</v>
      </c>
      <c r="L81" s="29" t="inlineStr">
        <is>
          <t>Hayır</t>
        </is>
      </c>
      <c r="M81" s="29" t="inlineStr">
        <is>
          <t>Taslak</t>
        </is>
      </c>
      <c r="N81" s="29" t="inlineStr">
        <is>
          <t>marbella:is</t>
        </is>
      </c>
      <c r="O81" s="29" t="inlineStr">
        <is>
          <t>Fesih bildirimini ya da ön bildirimi aldığında ekinde borçlu olunan tutarların tasfiye belgesi önerisinin bulunup bulunmadığına bak.
Finiquito makbuzunu imzalamadan önce işçi temsilcisinin (representante legal de los trabajadores) imza anında hazır bulunmasını iste.
İşveren temsilcinin bulunmasını engellerse bunu makbuzun üzerine yazdır.
Makbuzda imzanın bir işçi temsilcisinin önünde atıldığı ya da senin bu olanağı kullanmadığın yazılır.
İstifa edeceksen toplu sözleşmenin ya da yöredeki âdetin belirlediği ön bildirim süresine uy.</t>
        </is>
      </c>
      <c r="P81" s="29" t="n"/>
      <c r="Q81" s="29" t="n"/>
      <c r="R81" s="29" t="n"/>
      <c r="S81" s="29" t="inlineStr">
        <is>
          <t>Süreli sözleşme süresinin dolmasıyla biterse (formativo ve ikame sözleşmeleri hariç) her hizmet yılı için 12 günlük maaşın orantılı payı kadar (ya da uygulanabilir özel mevzuatın öngördüğü tutarda) tazminat hakkın doğar. Süresi 1 yılı aşan süreli sözleşmeyi sona erdirmek isteyen taraf diğerine en az 15 gün önce bildirir.</t>
        </is>
      </c>
      <c r="T81" s="29" t="n"/>
    </row>
    <row r="82" ht="54" customHeight="1">
      <c r="A82" s="29" t="inlineStr">
        <is>
          <t>marbella:isten-cikarilma-despido-turleri-ve-tazminat</t>
        </is>
      </c>
      <c r="B82" s="29" t="inlineStr">
        <is>
          <t>marbella</t>
        </is>
      </c>
      <c r="C82" s="29" t="inlineStr">
        <is>
          <t>isten-cikarilma-despido-turleri-ve-tazminat</t>
        </is>
      </c>
      <c r="D82" s="29" t="inlineStr">
        <is>
          <t>İşten çıkarılma (despido) türleri nelerdir, tazminat ve itiraz süresi ne kadar?</t>
        </is>
      </c>
      <c r="E82" s="29" t="inlineStr">
        <is>
          <t>Haksız çıkarmada yılda 33 gün maaş (12 Şubat 2012 ve sonrası sözleşmeler); çıkarmaya karşı dava hakkı 20 iş günü içinde kullanılır</t>
        </is>
      </c>
      <c r="F82" s="29" t="inlineStr">
        <is>
          <t>İtiraz süresi çıkarmadan sonra 20 iş günüdür; haksız çıkarmada tazminat yılda 33 gün maaştır (12 Şubat 2012 ve sonrasında yapılan sözleşmeler için). İşten çıkarma disiplin nedenli (despido disciplinario), objektif nedenli (causas objetivas) ya da toplu (despido colectivo) olabilir. Mahkeme çıkarmayı haksız (improcedente) bulursa işveren seni geri alır ya da yılda 33 gün maaş, en çok 24 aylık tazminat öder (12 Şubat 2012 ve sonrasında yapılan sözleşmeler için). Objektif nedenli çıkarma haklı (procedente) bulunursa tazminat yılda 20 gün maaş, en çok 12 aylıktır; haksız bulunursa yukarıdaki haksız çıkarma kuralı, yani yılda 33 gün maaş (en çok 24 aylık; 12 Şubat 2012 ve sonrasında yapılan sözleşmeler için) uygulanır. 12 Şubat 2012'den önce yapılan sözleşmelerde bu tarihten önceki hizmet süresi için yılda 45 gün, sonraki süre için yılda 33 gün maaş hesaplanır. Çıkarmaya karşı dava hakkın, çıkarmadan sonraki 20 iş günü içinde kullanılmazsa düşer.</t>
        </is>
      </c>
      <c r="G82" s="29" t="inlineStr">
        <is>
          <t>işten çıkarma, despido, tazminat, indemnización, despido improcedente, despido objetivo, despido colectivo, 20 iş günü</t>
        </is>
      </c>
      <c r="H82" s="29" t="inlineStr">
        <is>
          <t>settled</t>
        </is>
      </c>
      <c r="I82" s="29" t="inlineStr">
        <is>
          <t>marbella:kaynak:059</t>
        </is>
      </c>
      <c r="J82" s="49" t="n">
        <v>46319</v>
      </c>
      <c r="K82" s="51" t="n">
        <v>9044</v>
      </c>
      <c r="L82" s="29" t="inlineStr">
        <is>
          <t>Hayır</t>
        </is>
      </c>
      <c r="M82" s="29" t="inlineStr">
        <is>
          <t>Taslak</t>
        </is>
      </c>
      <c r="N82" s="29" t="inlineStr">
        <is>
          <t>marbella:is</t>
        </is>
      </c>
      <c r="O82" s="29" t="inlineStr">
        <is>
          <t>Disiplin çıkarmasında bildirimin yazılı olduğunu, olayları ve çıkarmanın etkili olacağı tarihi içerdiğini kontrol et; objektif nedenli çıkarmada çıkarma nedeni yazılı bildirilmelidir.
Objektif nedenli çıkarmada kural olarak tazminat (yılda 20 gün maaş) bildirimle aynı anda sana sunulur ve 15 günlük ön bildirim süresi tanınır.
Ön bildirim süresince ücret kaybı olmadan, yeni iş aramak için haftada 6 saatlik izin hakkın var.
Çıkarmayı kabul etmiyorsan çıkarmadan sonraki 20 iş günü içinde dava aç; uzlaştırma (conciliación) başvurusu bu süreyi keser.
Mahkeme çıkarmayı haksız bulursa işveren, kararın bildiriminden itibaren 5 gün içinde seni geri almayı ya da yılda 33 gün maaş (en çok 24 aylık; 12 Şubat 2012 ve sonrası sözleşmelerde) tazminat ödemeyi seçer.
Çıkarma geçersiz (nulo) bulunursa derhal işe geri alınır ve ödenmeyen maaşlarını alırsın; disiplin çıkarması haklı (procedente) bulunursa tazminat ve ara dönem maaşı hakkın olmaz.</t>
        </is>
      </c>
      <c r="P82" s="29" t="n"/>
      <c r="Q82" s="29" t="inlineStr">
        <is>
          <t>İtiraz süresi: çıkarmadan sonraki 20 iş günü
Tazminat ya da geri alma seçimi: karar bildiriminden itibaren 5 gün
Objektif nedenli çıkarmada ön bildirim: 15 gün</t>
        </is>
      </c>
      <c r="R82" s="29" t="inlineStr">
        <is>
          <t>Haksız çıkarma (12 Şubat 2012 ve sonrası sözleşmeler): yılda 33 gün maaş, en çok 24 aylık
12 Şubat 2012'den önceki sözleşmeler: önceki hizmet süresi için yılda 45 gün, sonraki süre için yılda 33 gün maaş; toplam en çok 720 gün maaş (eski dönem hesabı bundan fazla gün çıkarırsa o sayı üst sınır olur, en çok 42 aylık)
Objektif nedenli çıkarma haklı bulunursa: yılda 20 gün maaş, en çok 12 aylık; haksız bulunursa: yılda 33 gün maaş, en çok 24 aylık (12 Şubat 2012 ve sonrası sözleşmeler)</t>
        </is>
      </c>
      <c r="S82" s="29" t="inlineStr">
        <is>
          <t>Toplu işten çıkarma, 90 günlük dönemde 100'den az çalışanı olan şirkette en az 10, 100 ile 300 arasında çalışanı olan şirkette çalışanların %10'u, 300'den fazla çalışanı olan şirkette en az 30 kişiyi kapsayan çıkarmadır; öncesinde işçi temsilcileriyle en çok 30 takvim günü (50'den az çalışanı olan şirkette 15 gün) süren bir görüşme dönemi yapılır. Ayrımcılık ya da temel hakların ihlali nedeniyle yapılan çıkarma geçersizdir.</t>
        </is>
      </c>
      <c r="T82" s="29" t="n"/>
    </row>
    <row r="83" ht="54" customHeight="1">
      <c r="A83" s="29" t="inlineStr">
        <is>
          <t>marbella:issizlik-maasi-paro-sepe-basvurusu</t>
        </is>
      </c>
      <c r="B83" s="29" t="inlineStr">
        <is>
          <t>marbella</t>
        </is>
      </c>
      <c r="C83" s="29" t="inlineStr">
        <is>
          <t>issizlik-maasi-paro-sepe-basvurusu</t>
        </is>
      </c>
      <c r="D83" s="29" t="inlineStr">
        <is>
          <t>İşsizlik ödeneği (paro) kimlere verilir, ne kadar sürer, SEPE'ye nasıl başvurulur?</t>
        </is>
      </c>
      <c r="E83" s="29" t="inlineStr">
        <is>
          <t>Son 6 yılda en az 360 gün işsizlik primi; başvuru son çalışılan günden sonraki 15 iş günü içinde</t>
        </is>
      </c>
      <c r="F83" s="29" t="inlineStr">
        <is>
          <t>Son 6 yılda en az 360 gün işsizlik primi ödediysen ve yasal olarak işsiz kaldıysan SEPE'den primli işsizlik ödeneği (prestación contributiva por desempleo) alabilirsin. Ödenek süresi prim gününe göre 120 ile 720 gün arasında değişir; tutar, son 180 günün ortalama prim bazı olan baz matrahın (base reguladora) ilk 180 gün %70'i, 181. günden sonra %60'ıdır. Başvuruyu son çalıştığın günden sonraki 15 iş günü içinde yaparsın. Yabancı işçiler de (AB/AEA ülkesi vatandaşı olsun olmasın), İspanya'da yasal olarak oturuyor, yasal şartları karşılıyor ve iş arayan olarak kayıtlıysa primli işsizlik ödeneğine hak kazanır; yani AB dışı vatandaş olmak tek başına engel değildir, ama prim süresi gibi öteki şartlar yine aranır.</t>
        </is>
      </c>
      <c r="G83" s="29" t="inlineStr">
        <is>
          <t>işsizlik maaşı, paro, SEPE, prestación contributiva, desempleo, demandante de empleo, işsizlik ödeneği</t>
        </is>
      </c>
      <c r="H83" s="29" t="inlineStr">
        <is>
          <t>settled</t>
        </is>
      </c>
      <c r="I83" s="29" t="inlineStr">
        <is>
          <t>marbella:kaynak:065;marbella:kaynak:066</t>
        </is>
      </c>
      <c r="J83" s="49" t="n">
        <v>46319</v>
      </c>
      <c r="K83" s="51" t="n">
        <v>9045</v>
      </c>
      <c r="L83" s="29" t="inlineStr">
        <is>
          <t>Hayır</t>
        </is>
      </c>
      <c r="M83" s="29" t="inlineStr">
        <is>
          <t>Taslak</t>
        </is>
      </c>
      <c r="N83" s="29" t="inlineStr">
        <is>
          <t>marbella:is</t>
        </is>
      </c>
      <c r="O83" s="29" t="inlineStr">
        <is>
          <t>İşsizliğin yasal işsizlik hâli olduğundan emin ol, sosyal güvenlikte işsizlik primi ödenen bir rejimde kayıtlı (alta) olduğunu ve olağan emeklilik yaşına gelmediğini kontrol et.
Demandante de empleo (iş arayan) olarak kayıt ol ve ödenek boyunca kaydını sürdür.
Başvuru modelini (acuerdo de actividad dahil) doldur; kimlik belgeni, ödeneğin yatırılacağı hesabın banka belgesini ve son 6 aydaki işverenlerin şirket sertifikalarını hazırla.
Başvuruyu son çalıştığın günden sonraki 15 iş günü içinde SEPE elektronik ofisinden, randevu alarak ödenek ofisinden, herhangi bir kamu kayıt ofisinden ya da idari postayla yap.
SEPE, başvurudan sonraki 15 gün içinde karar verir ve karar tarihinden itibaren 10 gün içinde bildirir.
Ödenek 30 günlük aylık taksitler hâlinde, bir sonraki ayın 10 ile 15'i arasında, kendi adına açık banka hesabına yatırılır.</t>
        </is>
      </c>
      <c r="P83" s="29" t="inlineStr">
        <is>
          <t>Resmî başvuru modeli (acuerdo de actividad dahil)
AB vatandaşı: pasaport ya da kimlik belgesi ile NIE'yi gösteren kayıt sertifikası (veya sürekli oturum sertifikası)
AB dışı vatandaş: fotoğraflı TIE (pasaportu da yanında bulundur)
Ödeneğin yatırılacağı hesabın banka belgesi
Çocuk varsa Libro de Familia ya da doğum veya aile sicil belgesi (yabancılarda resmî İspanyolca çevirili eşdeğeri)
Son 6 aydaki işverenlerin şirket sertifikaları (işverenler SEPE'ye göndermediyse)</t>
        </is>
      </c>
      <c r="Q83" s="29" t="inlineStr">
        <is>
          <t>Prim günlerine göre ödenek süresi:
360-539 gün prim: 120 gün ödenek
540-719 gün prim: 180 gün ödenek
720-899 gün prim: 240 gün ödenek
900-1.079 gün prim: 300 gün ödenek
1.080-1.259 gün prim: 360 gün ödenek
1.260-1.439 gün prim: 420 gün ödenek
1.440-1.619 gün prim: 480 gün ödenek
1.620-1.799 gün prim: 540 gün ödenek
1.800-1.979 gün prim: 600 gün ödenek
1.980-2.159 gün prim: 660 gün ödenek
2.160 ve üzeri gün prim: 720 gün ödenek
Başvuru süresi: son çalışılan günden sonra 15 iş günü</t>
        </is>
      </c>
      <c r="R83" s="29" t="inlineStr">
        <is>
          <t>İlk 180 gün baz matrahın %70'i
181. günden sonra: baz matrahın %60'ı
Brüt tutardan sosyal güvenlik primi ve gerektiğinde IRPF stopajı (retención) düşülür</t>
        </is>
      </c>
      <c r="S83" s="29" t="inlineStr">
        <is>
          <t>Belgeler bölümündeki AB vatandaşı satırı AB vatandaşları içindir; AB serbest dolaşım rejimi Türk vatandaşına uygulanmaz, Türk vatandaşı AB dışı vatandaş satırına girer. Ödenek tutarı yasal bir üst ve alt sınıra bağlıdır; bu sınırlar bakmakla yükümlü olduğun çocuğun olup olmamasına göre değişir. Süresinden sonra başvurursan ödenek başvuru tarihinden başlar ve aradan geçen gün sayısı kadar ödenek günü kaybedersin.</t>
        </is>
      </c>
      <c r="T83" s="29" t="n"/>
    </row>
    <row r="84" ht="54" customHeight="1">
      <c r="A84" s="29" t="inlineStr">
        <is>
          <t>marbella:is-kazasi-ve-meslek-hastaligi-tanimi</t>
        </is>
      </c>
      <c r="B84" s="29" t="inlineStr">
        <is>
          <t>marbella</t>
        </is>
      </c>
      <c r="C84" s="29" t="inlineStr">
        <is>
          <t>is-kazasi-ve-meslek-hastaligi-tanimi</t>
        </is>
      </c>
      <c r="D84" s="29" t="inlineStr">
        <is>
          <t>Başkası hesabına (ücretli) çalışanda iş kazası (accidente de trabajo) ve meslek hastalığı nedir, işe gidiş-dönüş yolundaki kaza sayılır mı?</t>
        </is>
      </c>
      <c r="E84" s="29" t="inlineStr">
        <is>
          <t>Evet: işe gidiş-dönüş yolundaki kaza da iş kazasıdır; meslek hastalığı yönetmelikteki cetvele bağlıdır</t>
        </is>
      </c>
      <c r="F84" s="29" t="inlineStr">
        <is>
          <t>Evet, işe giderken ya da işten dönerken geçirdiğin kaza da iş kazası (accidente de trabajo) sayılır. Genel tanım şudur: başkası hesabına yaptığın işle bağlantılı olarak uğradığın her bedensel yaralanma iş kazasıdır. İş yerinde ve çalışma süresi içinde aldığın yaralanma, aksi ispatlanmadıkça iş kazası kabul edilir. Meslek hastalığı (enfermedad profesional) ise başkası hesabına yaptığın işten kaynaklanan ve uygulama yönetmeliklerindeki cetvelde (cuadro) sayılan faaliyetler ile etkenlere bağlı hastalıktır.</t>
        </is>
      </c>
      <c r="G84" s="29" t="inlineStr">
        <is>
          <t>iş kazası, accidente de trabajo, meslek hastalığı, enfermedad profesional, işe gidiş dönüş kazası, accidente in itinere</t>
        </is>
      </c>
      <c r="H84" s="29" t="inlineStr">
        <is>
          <t>settled</t>
        </is>
      </c>
      <c r="I84" s="29" t="inlineStr">
        <is>
          <t>marbella:kaynak:067</t>
        </is>
      </c>
      <c r="J84" s="49" t="n">
        <v>46319</v>
      </c>
      <c r="K84" s="51" t="n">
        <v>9046</v>
      </c>
      <c r="L84" s="29" t="inlineStr">
        <is>
          <t>Hayır</t>
        </is>
      </c>
      <c r="M84" s="29" t="inlineStr">
        <is>
          <t>Taslak</t>
        </is>
      </c>
      <c r="N84" s="29" t="inlineStr">
        <is>
          <t>marbella:is</t>
        </is>
      </c>
      <c r="O84" s="29" t="inlineStr">
        <is>
          <t>Yaralanmanın işini yaparken, işin sonucu olarak ya da işe gidip gelirken oluştuğunu belirle.
İş yerinde ve çalışma saatinde olduysa bu durum, aksi ispatlanmadıkça iş kazası sayılır.
Hastalıkta, hastalığın cetvelde (cuadro) sayılan faaliyet ve etkenlerle bağlantısına bak; cetvelde yer almayan bir hastalık, işin tek nedeni olduğu kanıtlanırsa iş kazası sayılır.
Önceden var olan bir hastalık ya da kusur kaza sonucu oluşan yaralanma yüzünden ağırlaşırsa bu ağırlaşma da iş kazası kapsamındadır.</t>
        </is>
      </c>
      <c r="P84" s="29" t="n"/>
      <c r="Q84" s="29" t="n"/>
      <c r="R84" s="29" t="n"/>
      <c r="S84" s="29" t="inlineStr">
        <is>
          <t>İş kazası sayılmayanlar: çalışmayla hiçbir ilgisi olmayan mücbir sebepler ve işçinin kastı ya da pervasız dikkatsizliği. Güneş çarpması, yıldırım ve benzeri doğa olayları ise çalışmayla ilgisiz mücbir sebep sayılmaz; yani bu gerekçeyle iş kazası dışında bırakılamazlar. Mesleki alışkanlıktan doğan dikkatsizlik ile işverenin, bir iş arkadaşının ya da üçüncü bir kişinin kusuru, olayın çalışmayla hiçbir ilgisi olmadığı durum dışında, kazanın iş kazası sayılmasına engel değildir. İş kazası olmayan kaza 'accidente no laboral', iş kazası ya da meslek hastalığı olmayan hastalık ise 'enfermedad común' sayılır.</t>
        </is>
      </c>
      <c r="T84" s="29" t="n"/>
    </row>
    <row r="85" ht="54" customHeight="1">
      <c r="A85" s="29" t="inlineStr">
        <is>
          <t>marbella:serbest-calisan-autonomo-kayit-ve-prim-tablosu</t>
        </is>
      </c>
      <c r="B85" s="29" t="inlineStr">
        <is>
          <t>marbella</t>
        </is>
      </c>
      <c r="C85" s="29" t="inlineStr">
        <is>
          <t>serbest-calisan-autonomo-kayit-ve-prim-tablosu</t>
        </is>
      </c>
      <c r="D85" s="29" t="inlineStr">
        <is>
          <t>İspanya'da serbest çalışan (autónomo) olarak Seguridad Social'a (RETA) alta nasıl yapılır, 2026 prim bazı tablosu nedir?</t>
        </is>
      </c>
      <c r="E85" s="29" t="inlineStr">
        <is>
          <t>Önce IAE kaydı, sonra Importass'ta 6 adımda RETA kaydı; 2026'da tablo her net gelir diliminin en düşük ve en yüksek prim bazını verir</t>
        </is>
      </c>
      <c r="F85" s="29" t="inlineStr">
        <is>
          <t>Önce Agencia Tributaria'da (ya da oturduğun yere göre foral vergi idaresinde) IAE'ye (Impuesto de Actividades Económicas) kayıt olursun; ardından Seguridad Social'ın Importass uygulamasından altı adımda otonom kaydını (alta) yaparsın. 2026'da tablo, net gelir diliminin euro/ay cinsinden en düşük ve en yüksek prim bazını verir; prim ödeyeceğin bazı kayıt sırasında kendin yazarsın ve azami baz ayda 5.101,20 euro'dur. Ortak riskler (contingencias comunes) için prim oranı %28,30'dur; bu yalnız ortak riskler oranıdır, toplam prim oranı değildir: mesleki riskler için %1,30, MEI için %0,90 ayrıca belirlenmiştir.</t>
        </is>
      </c>
      <c r="G85" s="29" t="inlineStr">
        <is>
          <t>serbest çalışan, autónomo, RETA, Importass, IAE, alta, prim bazı, tarifa plana, 2026</t>
        </is>
      </c>
      <c r="H85" s="29" t="inlineStr">
        <is>
          <t>new;settled</t>
        </is>
      </c>
      <c r="I85" s="29" t="inlineStr">
        <is>
          <t>marbella:kaynak:064;marbella:kaynak:068</t>
        </is>
      </c>
      <c r="J85" s="49" t="n">
        <v>46319</v>
      </c>
      <c r="K85" s="51" t="n">
        <v>9047</v>
      </c>
      <c r="L85" s="29" t="inlineStr">
        <is>
          <t>Hayır</t>
        </is>
      </c>
      <c r="M85" s="29" t="inlineStr">
        <is>
          <t>Taslak</t>
        </is>
      </c>
      <c r="N85" s="29" t="inlineStr">
        <is>
          <t>marbella:is</t>
        </is>
      </c>
      <c r="O85" s="29" t="inlineStr">
        <is>
          <t>IAE kaydını Agencia Tributaria'da (ya da oturduğun yere göre foral vergi idaresinde) yaptır; bu kayıt Seguridad Social kaydından önce gerekir.
Importass uygulamasında Cl@ve, dijital sertifika ya da geçerli başka bir yöntemle kimliğini doğrula.
Servicios bölümünden Altas, bajas y modificaciones, sonra Afiliación y altas de trabajadores, sonra Alta en trabajo autónomo yolunu izle ve Solicitar alta düğmesine bas.
Faaliyetinin başlangıç tarihini (prim ödemeye başlayacağın gün), faaliyetini, IAE bilgilerini (kaydın yapıldığı kurum ve IAE kodu), faaliyet adresini, beklenen aylık net gelirini ve prim ödeyeceğin bazı gir.
Tarifa plana ile diğer indirim ve teşviklerden yararlanmak istiyorsan bunu işaretle ve kapsamını yönetecek mutua'yı seç.
İletişim bilgilerini ve primlerin çekileceği banka hesabını yaz, bilgileri gözden geçirip onayla; kayıt justificante'sini indir.</t>
        </is>
      </c>
      <c r="P85" s="29" t="inlineStr">
        <is>
          <t>Önceden yapılmış IAE kaydı
Cl@ve, dijital sertifika ya da geçerli başka bir kimlik doğrulama yöntemi
Primlerin çekileceği banka hesabı</t>
        </is>
      </c>
      <c r="Q85" s="29" t="inlineStr">
        <is>
          <t>Kayıt Importass'ta 6 adımda tamamlanır
Faaliyet başlangıç tarihi, prim ödemeye başladığın gündür
Prim tablosu 2026 yılı içindir</t>
        </is>
      </c>
      <c r="R85" s="29" t="inlineStr">
        <is>
          <t>2026 prim bazı tablosu (net gelir ve baz euro/ay; ortak riskler için oran %28,30 (yalnız ortak riskler oranı, toplam değil); azami baz 5.101,20 euro/ay):
Tabla reducida, 1. dilim (net gelir ≤ 670 euro/ay): en düşük baz 653,59, en yüksek baz 718,94 euro/ay
Tabla reducida, 2. dilim (net gelir &gt; 670 ve ≤ 900 euro/ay): en düşük baz 718,95, en yüksek baz 900,00 euro/ay
Tabla reducida, 3. dilim (net gelir &gt; 900 ve &lt; 1.166,70 euro/ay): en düşük baz 849,67, en yüksek baz 1.166,70 euro/ay
Tabla general, 1. dilim (net gelir ≥ 1.166,70 ve ≤ 1.300 euro/ay): en düşük baz 950,98, en yüksek baz 1.300,00 euro/ay
Tabla general, 2. dilim (net gelir &gt; 1.300 ve ≤ 1.500 euro/ay): en düşük baz 960,78, en yüksek baz 1.500,00 euro/ay
Tabla general, 3. dilim (net gelir &gt; 1.500 ve ≤ 1.700 euro/ay): en düşük baz 960,78, en yüksek baz 1.700,00 euro/ay
Tabla general, 4. dilim (net gelir &gt; 1.700 ve ≤ 1.850 euro/ay): en düşük baz 1.143,79, en yüksek baz 1.850,00 euro/ay
Tabla general, 5. dilim (net gelir &gt; 1.850 ve ≤ 2.030 euro/ay): en düşük baz 1.209,15, en yüksek baz 2.030,00 euro/ay
Tabla general, 6. dilim (net gelir &gt; 2.030 ve ≤ 2.330 euro/ay): en düşük baz 1.274,51, en yüksek baz 2.330,00 euro/ay
Tabla general, 7. dilim (net gelir &gt; 2.330 ve ≤ 2.760 euro/ay): en düşük baz 1.356,21, en yüksek baz 2.760,00 euro/ay
Tabla general, 8. dilim (net gelir &gt; 2.760 ve ≤ 3.190 euro/ay): en düşük baz 1.437,91, en yüksek baz 3.190,00 euro/ay
Tabla general, 9. dilim (net gelir &gt; 3.190 ve ≤ 3.620 euro/ay): en düşük baz 1.519,61, en yüksek baz 3.620,00 euro/ay
Tabla general, 10. dilim (net gelir &gt; 3.620 ve ≤ 4.050 euro/ay): en düşük baz 1.601,31, en yüksek baz 4.050,00 euro/ay
Tabla general, 11. dilim (net gelir &gt; 4.050 ve ≤ 6.000 euro/ay): en düşük baz 1.732,03, en yüksek baz 5.101,20 euro/ay
Tabla general, 12. dilim (net gelir &gt; 6.000 euro/ay): en düşük baz 1.928,10, en yüksek baz 5.101,20 euro/ay</t>
        </is>
      </c>
      <c r="S85" s="29" t="inlineStr">
        <is>
          <t>Tablo iki bölümdür: net gelir 1.166,70 euro/ayın altındaysa tabla reducida, 1.166,70 euro/ay ve üzerindeyse tabla general geçerlidir.</t>
        </is>
      </c>
      <c r="T85" s="29" t="n"/>
    </row>
    <row r="86" ht="54" customHeight="1">
      <c r="A86" s="29" t="inlineStr">
        <is>
          <t>marbella:dogum-ve-babalik-izni-sureleri</t>
        </is>
      </c>
      <c r="B86" s="29" t="inlineStr">
        <is>
          <t>marbella</t>
        </is>
      </c>
      <c r="C86" s="29" t="inlineStr">
        <is>
          <t>dogum-ve-babalik-izni-sureleri</t>
        </is>
      </c>
      <c r="D86" s="29" t="inlineStr">
        <is>
          <t>İspanya'da doğum ve babalık izni kaç hafta, ödenek ne kadar?</t>
        </is>
      </c>
      <c r="E86" s="29" t="inlineStr">
        <is>
          <t>Her ebeveyne 19 hafta, tek ebeveynli ailede 32 hafta; ödenek baz matrahın %100'ü</t>
        </is>
      </c>
      <c r="F86" s="29" t="inlineStr">
        <is>
          <t>Doğum izni, biyolojik anne ve diğer ebeveyn için ayrı ayrı 19 haftadır; tek ebeveynli ailede izin 32 haftadır. Bunun 6 haftası doğumdan hemen sonra zorunludur ve tam gün kullanılır. Doğum ve bakım ödeneği (prestación por nacimiento y cuidado de menor) baz matrahın %100'üdür. Evlat edinme, evlat edinme amaçlı bakım ve koruyucu aile için de her kişiye aynı süreler tanınır.</t>
        </is>
      </c>
      <c r="G86" s="29" t="inlineStr">
        <is>
          <t>doğum izni, babalık izni, ebeveyn izni, nacimiento y cuidado de menor, 19 hafta, 32 hafta, doğum ödeneği</t>
        </is>
      </c>
      <c r="H86" s="29" t="inlineStr">
        <is>
          <t>planning;new;settled</t>
        </is>
      </c>
      <c r="I86" s="29" t="inlineStr">
        <is>
          <t>marbella:kaynak:059;marbella:kaynak:067</t>
        </is>
      </c>
      <c r="J86" s="49" t="n">
        <v>46319</v>
      </c>
      <c r="K86" s="51" t="n">
        <v>9048</v>
      </c>
      <c r="L86" s="29" t="inlineStr">
        <is>
          <t>Hayır</t>
        </is>
      </c>
      <c r="M86" s="29" t="inlineStr">
        <is>
          <t>Taslak</t>
        </is>
      </c>
      <c r="N86" s="29" t="inlineStr">
        <is>
          <t>marbella:is</t>
        </is>
      </c>
      <c r="O86" s="29" t="inlineStr">
        <is>
          <t>İlk 6 haftayı doğumdan hemen sonra, kesintisiz ve tam gün kullan; bu süre zorunludur.
11 haftalık bölümü (tek ebeveynli ailede 22 hafta), zorunlu dönemin bitiminden çocuk 12 aylık olana dek haftalık dönemler hâlinde birleştirerek ya da bölerek kullanabilirsin; biyolojik anne bu bölümü doğumun beklenen tarihinden 4 hafta öncesine kadar öne çekebilir.
Kalan 2 haftalık bölümü (tek ebeveynli ailede 4 hafta) çocuk 8 yaşına gelene kadar haftalık dönemler hâlinde kullanabilirsin.
11 ve 2 haftalık bölümleri tam gün ya da işverenle anlaşarak yarı zamanlı kullanabilirsin; kullanımı işverene en az 15 gün önceden bildir.
Bu hak kişiye bağlıdır; diğer ebeveyne devredemezsin.
Çocukta engel varsa ya da çoğul doğumda ilk çocuktan sonraki her çocuk için izin 2 hafta uzar; bu ek sürenin 1 haftası her ebeveyne düşer.</t>
        </is>
      </c>
      <c r="P86" s="29" t="n"/>
      <c r="Q86" s="29" t="inlineStr">
        <is>
          <t>Doğum izni: her ebeveyn için 19 hafta (tek ebeveynli ailede 32 hafta)
6 hafta zorunlu + 11 hafta (tek ebeveynli: 22) + 2 hafta (tek ebeveynli: 4)</t>
        </is>
      </c>
      <c r="R86" s="29" t="inlineStr">
        <is>
          <t>Doğum ve bakım ödeneği: baz matrahın %100'ü</t>
        </is>
      </c>
      <c r="S86" s="29" t="inlineStr">
        <is>
          <t>Ödenek için sosyal güvenlik primi şartı yaşa göre değişir. Evlat edinmede mahkeme kararı, koruyucu aile ve evlat edinme amaçlı bakımda idari karar tarihindeki yaş esas alınır; doğum durumunda ve uluslararası evlat edinmede ise esas alınan yaş, ilgilinin izin başlangıcında doldurduğu yaştır. Prim şartı, doğumda doğum anına, uluslararası evlat edinmede karar (resolución) anına göre doğrulanır. 21 yaşından küçüklerde şart yoktur; 21 ile 25 yaş arasında izin başlangıcından önceki son 7 yılda 90 gün (ya da çalışma hayatında toplam 180 gün), 26 yaş ve üzerinde son 7 yılda 180 gün (ya da çalışma hayatında toplam 360 gün) prim gerekir. Her izin döneminin başında sosyal güvenlikte kayıtlı (alta) olman gerekir.</t>
        </is>
      </c>
      <c r="T86" s="29" t="n"/>
    </row>
    <row r="87" ht="54" customHeight="1">
      <c r="A87" s="29" t="inlineStr">
        <is>
          <t>marbella:yabanci-diploma-denklik-okul-ve-universite</t>
        </is>
      </c>
      <c r="B87" s="29" t="inlineStr">
        <is>
          <t>marbella</t>
        </is>
      </c>
      <c r="C87" s="29" t="inlineStr">
        <is>
          <t>yabanci-diploma-denklik-okul-ve-universite</t>
        </is>
      </c>
      <c r="D87" s="29" t="inlineStr">
        <is>
          <t>Yabancı diploman İspanya'da nasıl denk sayılır? Üniversite dışı ve üniversite diplomaları için yollar</t>
        </is>
      </c>
      <c r="E87" s="29" t="inlineStr">
        <is>
          <t>Üniversite dışı diplomalar homologación ya da convalidación kurallarına, üniversite diplomaları Üniversiteler Bakanlığı'nın elektronik ofisine bağlıdır</t>
        </is>
      </c>
      <c r="F87" s="29" t="inlineStr">
        <is>
          <t>Diplomanın türüne göre iki ayrı yol var. Okul düzeyindeki (üniversite dışı) yabancı diplomalar için homologación ya da convalidación söz konusudur; yabancı üniversite diplomaları için Üniversiteler Bakanlığı'nın elektronik ofisine başvurulur ve sonuç homologación ya da declaración de equivalencia olur. Üniversitede eksik kalan veya yarım bırakılan eğitimlerin tanınması ise başvurulan İspanyol üniversitesinin işidir (convalidación).</t>
        </is>
      </c>
      <c r="G87" s="29" t="inlineStr">
        <is>
          <t>diploma denkliği, homologación, convalidación, declaración de equivalencia, yabancı diploma, apostil, DELE</t>
        </is>
      </c>
      <c r="H87" s="29" t="inlineStr">
        <is>
          <t>planning;new</t>
        </is>
      </c>
      <c r="I87" s="29" t="inlineStr">
        <is>
          <t>marbella:kaynak:069;marbella:kaynak:070</t>
        </is>
      </c>
      <c r="J87" s="49" t="n">
        <v>46319</v>
      </c>
      <c r="K87" s="51" t="n">
        <v>9049</v>
      </c>
      <c r="L87" s="29" t="inlineStr">
        <is>
          <t>Hayır</t>
        </is>
      </c>
      <c r="M87" s="29" t="inlineStr">
        <is>
          <t>Taslak</t>
        </is>
      </c>
      <c r="N87" s="29" t="inlineStr">
        <is>
          <t>marbella:is</t>
        </is>
      </c>
      <c r="O87" s="29" t="inlineStr">
        <is>
          <t>Önce diplomanın üniversite diploması mı, yoksa üniversite dışı bir diploma mı olduğunu belirle.
Üniversite dışı diplomada diplomanın ülkende resmî olması, tamamen bitirilmiş olması ve İspanyol karşılığıyla akademik düzey, süre ve içerik bakımından yeterli denkliği olması gerekir; önceki tüm sınıfları geçmiş olmalısın.
Üniversite diplomasında başvuruyu yalnızca elektronik yolla, Üniversiteler Bakanlığı'nın elektronik ofisindeki kayıt sistemi üzerinden yap.
Başvuruya kimlik ve uyruk belgeni, diplomanı (ya da düzenlenme belgesini), ders, saat ve ECTS kredilerini gösteren not belgeni, harç ödeme belgesini ve gerekiyorsa dil yeterliliği belgesini ekle.
Diplomanı ve not belgeni diplomatik yoldan ya da Lahey apostiliyle onaylat ve gerekiyorsa resmî İspanyolca çevirisini ekle; AB, AEA ya da İsviçre makamlarının verdiği belgelerde bu şart aranmaz.
Homologación başvurusunda dil yeterliliği için DELE B2 ve üzeri, resmî dil okulundan B2 ve üzeri sertifika, Certificado de Aptitud, eğitimin en az %75'inin İspanyolca görüldüğünü gösteren okul belgesi ya da üniversite öncesi eğitimin İspanyolca görüldüğünü gösteren belgeden biri gerekir.
Eğitimi yarım bıraktıysan ya da ders saydırmak istiyorsan İspanyol üniversitesine convalidación başvurusu yap; üniversitenin karar süresi kayıt tarihinden itibaren en çok 2 aydır.</t>
        </is>
      </c>
      <c r="P87" s="29" t="inlineStr">
        <is>
          <t>Kimlik ve uyruk belgesi
Diploma ya da düzenlenme belgesi
Ders, saat ve ECTS kredilerini gösteren akademik not belgesi
Diplomatik onay ya da Lahey apostili; gerekiyorsa resmî İspanyolca çeviri
Harç ödeme belgesi
Dil yeterliliği belgesi (homologación başvurusunda)</t>
        </is>
      </c>
      <c r="Q87" s="29" t="inlineStr">
        <is>
          <t>Üniversite convalidación kararı: başvuru kaydından itibaren en çok 2 ay</t>
        </is>
      </c>
      <c r="R87" s="29" t="n"/>
      <c r="S87" s="29" t="inlineStr">
        <is>
          <t>Üniversite düzeyinde, İspanya'da düzenlenmiş (regulada) bir mesleğe erişim sağlayan yabancı diplomada homologación ya da convalidación seçeneklerinden birini seçersin; ikisi aynı anda istenemez. Üniversite dışı eğitimde tek tek dersler, İspanya'da zaten alınmış diplomalar ve İspanya'da yetkisiz yabancı okullarda alınan eğitimler denklenmez. Üniversite diplomalarında AB vatandaşlarının mesleki tanıması bu düzenin dışında, AB mevzuatına tabidir; AB serbest dolaşım rejimi Türk vatandaşlarına uygulanmaz.</t>
        </is>
      </c>
      <c r="T87" s="29" t="n"/>
    </row>
    <row r="88" ht="54" customHeight="1">
      <c r="A88" s="29" t="inlineStr">
        <is>
          <t>marbella:endulus-sae-is-arayan-kaydi-demandante-de-empleo</t>
        </is>
      </c>
      <c r="B88" s="29" t="inlineStr">
        <is>
          <t>marbella</t>
        </is>
      </c>
      <c r="C88" s="29" t="inlineStr">
        <is>
          <t>endulus-sae-is-arayan-kaydi-demandante-de-empleo</t>
        </is>
      </c>
      <c r="D88" s="29" t="inlineStr">
        <is>
          <t>Endülüs'te iş arayan olarak (SAE'ye) nasıl kayıt olunur, AB dışı yabancı için izin şartı nedir?</t>
        </is>
      </c>
      <c r="E88" s="29" t="inlineStr">
        <is>
          <t>Kayıt web sitesi ya da AppSAE'deki formla yapılır; AB dışı yabancı için iş arayan kaydına izin veren idari izin aranır</t>
        </is>
      </c>
      <c r="F88" s="29" t="inlineStr">
        <is>
          <t>SAE'de iş arayan (demandante de empleo) kaydını SAE web sitesindeki ya da AppSAE'deki formu doldurarak yaparsın. Cl@ve veya dijital sertifikayla gönderirsen kaydın geçerli olur; kullanıcı adı ve şifreyle gönderirsen kimliğini doğrulamak için randevu alıp iş bürosunda (oficina de empleo) kaydı tamamlarsın. Şartlar: 16 yaşını doldurmuş olmak, Endülüs'te oturmak ve İspanyol ya da AB üyesi ülke vatandaşı olmak; AB dışı vatandaşsan, bir kamu istihdam servisine kayda izin veren idari izin (autorización administrativa) gerekir.</t>
        </is>
      </c>
      <c r="G88" s="29" t="inlineStr">
        <is>
          <t>SAE, Servicio Andaluz de Empleo, demandante de empleo, iş arayan kaydı, autorización administrativa, AppSAE, paro</t>
        </is>
      </c>
      <c r="H88" s="29" t="inlineStr">
        <is>
          <t>new;settled</t>
        </is>
      </c>
      <c r="I88" s="29" t="inlineStr">
        <is>
          <t>marbella:kaynak:138;marbella:kaynak:139</t>
        </is>
      </c>
      <c r="J88" s="49" t="n">
        <v>46319</v>
      </c>
      <c r="K88" s="51" t="n">
        <v>9100</v>
      </c>
      <c r="L88" s="29" t="inlineStr">
        <is>
          <t>Hayır</t>
        </is>
      </c>
      <c r="M88" s="29" t="inlineStr">
        <is>
          <t>Taslak</t>
        </is>
      </c>
      <c r="N88" s="29" t="inlineStr">
        <is>
          <t>marbella:is</t>
        </is>
      </c>
      <c r="O88" s="29" t="inlineStr">
        <is>
          <t>Şartları sağladığından emin ol: 16 yaş, Endülüs'te ikamet, AB dışı vatandaşsan kayda izin veren idari izin.
Formda istenen bilgileri hazırla: ad soyad, DNI, NIE veya pasaport, uyruk, adres, telefon, e-posta ve eğitim düzeyi.
SAE web sitesindeki ya da AppSAE'deki kayıt formunu doldur ve gönder.
Cl@ve veya dijital sertifikayla gönderdiysen kaydın geçerlidir. Kullanıcı adı ve şifreyle gönderdiysen AppSAE'den, SAE web sitesinden ya da 955 625 695 numarasından (08:00–20:00, Pazartesi–Cuma, resmî tatil hariç) randevu al ve iş bürosunda demandanı tamamla.
İşsizlik ödeneği için SEPE'ye başvuracaksan kaydı bundan önce yaptır.</t>
        </is>
      </c>
      <c r="P88" s="29" t="inlineStr">
        <is>
          <t>Ad soyad
DNI, NIE veya pasaport numarası
Uyruk
Adres
Telefon ve e-posta
En yüksek eğitim düzeyi
İsteğe bağlı: eğitim ve iş deneyimi belgeleri</t>
        </is>
      </c>
      <c r="Q88" s="29" t="inlineStr">
        <is>
          <t>Cl@ve veya dijital sertifikayla kayıt hemen geçerli olur; kullanıcı adı ve şifreyle yapılırsa randevuda tamamlanır.</t>
        </is>
      </c>
      <c r="R88" s="29" t="n"/>
      <c r="S88" s="29" t="inlineStr">
        <is>
          <t>Yurt dışından gelip İspanya'da çalışmak isteyen AB dışı kişi için sıra şöyledir: Ministerio de Inclusión, Seguridad Social y Migraciones'e çalışma için idari izin (autorización administrativa) başvurulur, vize yurt dışındaki konsolosluktan alınır; izin alındıktan sonra SAE'ye demanda (iş arayan kaydı) başvurusu yapılır. AB dışı vatandaş için SAE kayıt sayfası, kamu istihdam servisine kayda izin veren bir idari izin arar; hangi iznin yeterli olduğu sayfada belirtilmez. Belge yüklemek zorunlu değildir; yüklemezsen bilgi "declarativa" olarak kaydedilir ve bazı ilanlara başvurmanı engelleyebilir. SAE sayfaları 2025 tarihlidir (06/03/2025 ve 24/03/2025).</t>
        </is>
      </c>
      <c r="T88" s="29" t="n"/>
    </row>
    <row r="89" ht="54" customHeight="1">
      <c r="A89" s="29" t="inlineStr">
        <is>
          <t>marbella:marbella-sae-kayit-ofisleri-las-palomas-san-pedro</t>
        </is>
      </c>
      <c r="B89" s="29" t="inlineStr">
        <is>
          <t>marbella</t>
        </is>
      </c>
      <c r="C89" s="29" t="inlineStr">
        <is>
          <t>marbella-sae-kayit-ofisleri-las-palomas-san-pedro</t>
        </is>
      </c>
      <c r="D89" s="29" t="inlineStr">
        <is>
          <t>Marbella'da iş arayan olarak (demandante de empleo) kayıt için hangi ofise gidilir?</t>
        </is>
      </c>
      <c r="E89" s="29" t="inlineStr">
        <is>
          <t>Marbella'da iki ofis var: Las Palomas ve San Pedro Alcántara</t>
        </is>
      </c>
      <c r="F89" s="29" t="inlineStr">
        <is>
          <t>Marbella'da iş arayan olarak kayıt için ikamet adresine göre bağlı olduğun istihdam ofisine şahsen gitmen gerekir. Málaga ili ofis listesinde Marbella için iki ofis yer alıyor: Marbella - Las Palomas (Avda. Arias de Velasco 33) ve Marbella - San Pedro Alcántara (C/ Tolox, local 17, bloque B-5). Yabancıysan kimlik belgenin yanında oturum ve/veya çalışma iznini de götürürsün. Ödenek (paro) almak için bu kayıt şarttır.</t>
        </is>
      </c>
      <c r="G89" s="29" t="inlineStr">
        <is>
          <t>demandante de empleo, SAE, Servicio Andaluz de Empleo, iş arayan kaydı, Las Palomas, San Pedro Alcántara, oficina de empleo</t>
        </is>
      </c>
      <c r="H89" s="29" t="inlineStr">
        <is>
          <t>new;settled</t>
        </is>
      </c>
      <c r="I89" s="29" t="inlineStr">
        <is>
          <t>marbella:kaynak:162;marbella:kaynak:164</t>
        </is>
      </c>
      <c r="J89" s="49" t="n">
        <v>46323</v>
      </c>
      <c r="K89" s="51" t="n">
        <v>800</v>
      </c>
      <c r="L89" s="29" t="inlineStr">
        <is>
          <t>Evet</t>
        </is>
      </c>
      <c r="M89" s="29" t="inlineStr">
        <is>
          <t>Taslak</t>
        </is>
      </c>
      <c r="N89" s="29" t="inlineStr">
        <is>
          <t>marbella:is</t>
        </is>
      </c>
      <c r="O89" s="29" t="inlineStr">
        <is>
          <t>Marbella'daki iki ofisten ikamet adresine uygun olanı seç: Las Palomas (Avda. Arias de Velasco 33) ya da San Pedro Alcántara (C/ Tolox, local 17, bloque B-5).
Kimlik belgenle şahsen git; yabancıysan oturum ve/veya çalışma iznini de götür.
İspanya'da daha önce çalıştıysan Sosyal Güvenlik belgeni de götür.
Diplomanı ya da mesleki belgelerini götür.</t>
        </is>
      </c>
      <c r="P89" s="29" t="inlineStr">
        <is>
          <t>Kimlik belgesi (yabancıysan ayrıca oturum ve/veya çalışma izni)
Sosyal Güvenlik belgesi (yabancıysan yalnız İspanya'da daha önce çalıştıysan)
Mesleki ya da akademik diploma belgeleri (varsa)</t>
        </is>
      </c>
      <c r="Q89" s="29" t="n"/>
      <c r="R89" s="29" t="n"/>
      <c r="S89" s="29" t="inlineStr">
        <is>
          <t>Ödenek başvurusunda da kayıtlı iş arayan olman gerekir; kayıt ödenekten önce yapılır.</t>
        </is>
      </c>
      <c r="T89" s="29" t="n"/>
    </row>
    <row r="90" ht="54" customHeight="1">
      <c r="A90" s="29" t="inlineStr">
        <is>
          <t>marbella:belediye-is-bulma-ajansi-agencia-colocacion</t>
        </is>
      </c>
      <c r="B90" s="29" t="inlineStr">
        <is>
          <t>marbella</t>
        </is>
      </c>
      <c r="C90" s="29" t="inlineStr">
        <is>
          <t>belediye-is-bulma-ajansi-agencia-colocacion</t>
        </is>
      </c>
      <c r="D90" s="29" t="inlineStr">
        <is>
          <t>Marbella Belediyesi'nin iş bulma ajansına (Agencia Municipal de Colocación) nasıl kaydolunur?</t>
        </is>
      </c>
      <c r="E90" s="29" t="inlineStr">
        <is>
          <t>Çevrimiçi çalışır: empleo.marbella.es, tel. 952 938 853</t>
        </is>
      </c>
      <c r="F90" s="29" t="inlineStr">
        <is>
          <t>Marbella Belediyesi'nin iş bulma ajansı çevrimiçi (telemático) çalışır: profiline uygun ilanlara Portal de Empleo üzerinden, empleo.marbella.es adresinden kaydolursun. Ajans kamu istihdam servisiyle eşgüdüm içinde çalışır; profilini değerlendirir, iş arama ve mesleki yönlendirme desteği verir. Sorular için tel. 952 938 853 ya da portalempleo@marbella.es. Belediyenin İstihdam Birimi'ne (Delegación de Empleo) empleo@marbella.es ya da +34 952 768 770 üzerinden ulaşırsın; adresi José Iturbi, 29603 Marbella.</t>
        </is>
      </c>
      <c r="G90" s="29" t="inlineStr">
        <is>
          <t>Agencia Municipal de Colocación, empleo.marbella.es, Delegación de Empleo, Portal de Empleo, iş bulma ajansı, Marbella belediyesi</t>
        </is>
      </c>
      <c r="H90" s="29" t="inlineStr">
        <is>
          <t>new;settled</t>
        </is>
      </c>
      <c r="I90" s="29" t="inlineStr">
        <is>
          <t>marbella:kaynak:159;marbella:kaynak:158</t>
        </is>
      </c>
      <c r="J90" s="49" t="n">
        <v>46323</v>
      </c>
      <c r="K90" s="51" t="n">
        <v>801</v>
      </c>
      <c r="L90" s="29" t="inlineStr">
        <is>
          <t>Evet</t>
        </is>
      </c>
      <c r="M90" s="29" t="inlineStr">
        <is>
          <t>Taslak</t>
        </is>
      </c>
      <c r="N90" s="29" t="inlineStr">
        <is>
          <t>marbella:is</t>
        </is>
      </c>
      <c r="O90" s="29" t="inlineStr">
        <is>
          <t>empleo.marbella.es adresindeki Portal de Empleo'ya gir.
Profiline uygun ilanlara kaydol (inscribirse).
Takıldığın yerde 952 938 853 numarasını ara ya da portalempleo@marbella.es adresine yaz.
Yüz yüze görüşmek istersen Delegación de Empleo sitesindeki 'Cita Previa' menüsünden randevu al.</t>
        </is>
      </c>
      <c r="P90" s="29" t="n"/>
      <c r="Q90" s="29" t="n"/>
      <c r="R90" s="29" t="n"/>
      <c r="S90" s="29" t="inlineStr">
        <is>
          <t>Ajans iş arama, mesleki yönlendirme ve bilgi desteği de verir; ilanlar profiline göre eşleştirilir.</t>
        </is>
      </c>
      <c r="T90" s="29" t="n"/>
    </row>
    <row r="91" ht="54" customHeight="1">
      <c r="A91" s="29" t="inlineStr">
        <is>
          <t>marbella:plan-municipal-empleabilidad-ucretsiz-kurslar</t>
        </is>
      </c>
      <c r="B91" s="29" t="inlineStr">
        <is>
          <t>marbella</t>
        </is>
      </c>
      <c r="C91" s="29" t="inlineStr">
        <is>
          <t>plan-municipal-empleabilidad-ucretsiz-kurslar</t>
        </is>
      </c>
      <c r="D91" s="29" t="inlineStr">
        <is>
          <t>Marbella Belediyesi'nin ücretsiz kursları ve Plan Municipal de Empleabilidad nedir, kimler yararlanır?</t>
        </is>
      </c>
      <c r="E91" s="29" t="inlineStr">
        <is>
          <t>2026-2027 planı Eylül 2026'da başladı; mahallelerde konuşma, atölye ve şirket buluşmaları var</t>
        </is>
      </c>
      <c r="F91" s="29" t="inlineStr">
        <is>
          <t>Marbella Belediyesi, çalışma çağındaki kişiler için Plan Municipal de Formación para el Empleo kapsamında belediye fonlarıyla ücretsiz kurslar düzenliyor. Ayrıca 2026-2027 Plan Municipal de Empleabilidad'ı Eylül 2026'da başlattı; amaç yerel istihdam kaynaklarını vatandaşlara yaklaştırmak ve işe girme şansını artırmak. Plan mahallelerde bilgilendirme konuşmaları, atölyeler ve şirketlerle buluşmalar içeriyor; 25 Eylül 2026'da Nueva Andalucía bölgesine ulaştı. Bilgi için Delegación de Empleo: empleo@marbella.es, +34 952 768 770.</t>
        </is>
      </c>
      <c r="G91" s="29" t="inlineStr">
        <is>
          <t>Plan Municipal de Empleabilidad, Plan Municipal de Formación para el Empleo, ücretsiz kurs, Delegación de Empleo, Nueva Andalucía, Impulsa Joven</t>
        </is>
      </c>
      <c r="H91" s="29" t="inlineStr">
        <is>
          <t>new;settled</t>
        </is>
      </c>
      <c r="I91" s="29" t="inlineStr">
        <is>
          <t>marbella:kaynak:158;marbella:kaynak:160</t>
        </is>
      </c>
      <c r="J91" s="49" t="n">
        <v>46323</v>
      </c>
      <c r="K91" s="51" t="n">
        <v>802</v>
      </c>
      <c r="L91" s="29" t="inlineStr">
        <is>
          <t>Hayır</t>
        </is>
      </c>
      <c r="M91" s="29" t="inlineStr">
        <is>
          <t>Taslak</t>
        </is>
      </c>
      <c r="N91" s="29" t="inlineStr">
        <is>
          <t>marbella:is</t>
        </is>
      </c>
      <c r="O91" s="29" t="inlineStr">
        <is>
          <t>Delegación de Empleo sitesindeki 'Plan Municipal de Empleabilidad' sayfasında güncel eğitim, konuşma ve atölyeleri gör.
Oturduğun mahallede düzenlenen bilgilendirme konuşmalarına (charlas) katıl.
Kurslar için empleo@marbella.es adresine yaz ya da +34 952 768 770 numarasını ara.</t>
        </is>
      </c>
      <c r="P91" s="29" t="n"/>
      <c r="Q91" s="29" t="n"/>
      <c r="R91" s="29" t="inlineStr">
        <is>
          <t>Plan Municipal de Formación para el Empleo kapsamındaki kurslar ücretsizdir.</t>
        </is>
      </c>
      <c r="S91" s="29" t="n"/>
      <c r="T91" s="29" t="n"/>
    </row>
    <row r="92" ht="54" customHeight="1">
      <c r="A92" s="29" t="inlineStr">
        <is>
          <t>marbella:paro-basvurusu-marbella-randevu-sepe</t>
        </is>
      </c>
      <c r="B92" s="29" t="inlineStr">
        <is>
          <t>marbella</t>
        </is>
      </c>
      <c r="C92" s="29" t="inlineStr">
        <is>
          <t>paro-basvurusu-marbella-randevu-sepe</t>
        </is>
      </c>
      <c r="D92" s="29" t="inlineStr">
        <is>
          <t>Marbella'da işsizlik ödeneği (paro) başvurusu için randevu nasıl alınır, önce SAE kaydı gerekir mi?</t>
        </is>
      </c>
      <c r="E92" s="29" t="inlineStr">
        <is>
          <t>Başvuru şahsidir; çevrimiçi ya da randevuyla ödenek ofisinde yapılır</t>
        </is>
      </c>
      <c r="F92" s="29" t="inlineStr">
        <is>
          <t>Ödenek başvurusu kişisel bir yükümlülüktür. SEPE'nin e-sedesinden başvurabilirsin; bunun için dijital sertifika, DNI electrónico ya da Cl@ve kullanıcı adı ve şifresi gerekir. Yüz yüze başvuru için ikamet adresine göre bağlı olduğun ödenek ofisinden (oficina de prestaciones) randevu alırsın; randevuyu SEPE sedesinden ya da telefonla, 91 926 79 70'ten alırsın. Ödenek alabilmek için iş arayan olarak kayıtlı olman şarttır; Marbella'da kayıt Las Palomas (Avda. Arias de Velasco 33) ya da San Pedro Alcántara (C/ Tolox, local 17, bloque B-5) ofisinde şahsen yapılır. Belgeler tamsa SEPE 15 gün içinde karar verir; başvurudan üç ay sonra yanıt gelmezse başvuru reddedilmiş sayılır.</t>
        </is>
      </c>
      <c r="G92" s="29" t="inlineStr">
        <is>
          <t>paro, işsizlik ödeneği, SEPE, prestación por desempleo, cita previa, demandante de empleo, Cl@ve</t>
        </is>
      </c>
      <c r="H92" s="29" t="inlineStr">
        <is>
          <t>settled</t>
        </is>
      </c>
      <c r="I92" s="29" t="inlineStr">
        <is>
          <t>marbella:kaynak:164;marbella:kaynak:162</t>
        </is>
      </c>
      <c r="J92" s="49" t="n">
        <v>46323</v>
      </c>
      <c r="K92" s="51" t="n">
        <v>803</v>
      </c>
      <c r="L92" s="29" t="inlineStr">
        <is>
          <t>Hayır</t>
        </is>
      </c>
      <c r="M92" s="29" t="inlineStr">
        <is>
          <t>Taslak</t>
        </is>
      </c>
      <c r="N92" s="29" t="inlineStr">
        <is>
          <t>marbella:is</t>
        </is>
      </c>
      <c r="O92" s="29" t="inlineStr">
        <is>
          <t>Önce iş arayan olarak kayıt ol: Marbella - Las Palomas ya da San Pedro Alcántara ofisine şahsen git.
Dijital sertifikan, DNI electrónico'n ya da Cl@ve'in varsa SEPE e-sedesinden 'Reconoce tu prestación contributiva' bağlantısıyla başvur.
Yüz yüze başvuracaksan SEPE sedesinden ya da 91 926 79 70 numarasından randevu al.
Randevu gününde ikamet adresine bağlı ödenek ofisine git.
Sonucu SEPE sedesinden, Área Personal'den ya da telefonla takip et.</t>
        </is>
      </c>
      <c r="P92" s="29" t="n"/>
      <c r="Q92" s="29" t="inlineStr">
        <is>
          <t>SEPE, belgeler tamsa başvurudan sonra 15 gün içinde karar verir; üç ay içinde yanıt gelmezse başvuru reddedilmiş sayılır.</t>
        </is>
      </c>
      <c r="R92" s="29" t="n"/>
      <c r="S92" s="29" t="inlineStr">
        <is>
          <t>Başvuruyu temsilci aracılığıyla yapacaksan temsil yetkisini geçerli bir yolla belgelemen gerekir.</t>
        </is>
      </c>
      <c r="T92" s="29" t="n"/>
    </row>
    <row r="93" ht="54" customHeight="1">
      <c r="A93" s="29" t="inlineStr">
        <is>
          <t>marbella:cade-marbella-serbest-calisan-sirket-kurma</t>
        </is>
      </c>
      <c r="B93" s="29" t="inlineStr">
        <is>
          <t>marbella</t>
        </is>
      </c>
      <c r="C93" s="29" t="inlineStr">
        <is>
          <t>cade-marbella-serbest-calisan-sirket-kurma</t>
        </is>
      </c>
      <c r="D93" s="29" t="inlineStr">
        <is>
          <t>Marbella'da serbest çalışan (autónomo) olmak ya da şirket kurmak için nereye gidilir?</t>
        </is>
      </c>
      <c r="E93" s="29" t="inlineStr">
        <is>
          <t>CADE Marbella: Vivero de Empresas, Plaza de los Naranjos 3, tel. 951 507 269</t>
        </is>
      </c>
      <c r="F93" s="29" t="inlineStr">
        <is>
          <t>Marbella'da serbest çalışan olmak ya da şirket kurmak için ilk durak CADE Marbella'dır (Andalucía Emprende): Vivero de Empresas de Marbella, Plaza de los Naranjos 3, 29601 Marbella, tel. 951 507 269, cade.marbella@andaluciaemprende.es. Randevuyu sitedeki formla alırsın; randevu nedenleri arasında şirket kuruluşu, finansman arama, fizibilite etüdü, eğitim ve işyeri barındırma var. CADE aynı zamanda bir Punto de Atención al Emprendedor'dur (PAE): serbest çalışan ve limited şirket gibi yapıları CIRCE sistemiyle çevrimiçi kurar. İşyeri barındırma hizmeti tamamen ücretsizdir.</t>
        </is>
      </c>
      <c r="G93" s="29" t="inlineStr">
        <is>
          <t>CADE Marbella, Andalucía Emprende, autónomo, şirket kurma, PAE, CIRCE, Vivero de Empresas, constitución de la empresa</t>
        </is>
      </c>
      <c r="H93" s="29" t="inlineStr">
        <is>
          <t>planning;new</t>
        </is>
      </c>
      <c r="I93" s="29" t="inlineStr">
        <is>
          <t>marbella:kaynak:166;marbella:kaynak:167</t>
        </is>
      </c>
      <c r="J93" s="49" t="n">
        <v>46323</v>
      </c>
      <c r="K93" s="51" t="n">
        <v>804</v>
      </c>
      <c r="L93" s="29" t="inlineStr">
        <is>
          <t>Hayır</t>
        </is>
      </c>
      <c r="M93" s="29" t="inlineStr">
        <is>
          <t>Taslak</t>
        </is>
      </c>
      <c r="N93" s="29" t="inlineStr">
        <is>
          <t>marbella:is</t>
        </is>
      </c>
      <c r="O93" s="29" t="inlineStr">
        <is>
          <t>CADE Marbella sitesindeki randevu formunu doldur ve 'Constitución de la empresa' gibi uygun nedeni seç.
Randevuda iş fikrini ve fizibilite planını CADE uzmanlarıyla çalış.
Kuruluşu PAE olarak CADE'nin CIRCE sistemiyle çevrimiçi yaptır.
İşyeri gerekiyorsa ücretsiz barındırma (alojamiento empresarial) hizmetini iste.</t>
        </is>
      </c>
      <c r="P93" s="29" t="n"/>
      <c r="Q93" s="29" t="inlineStr">
        <is>
          <t>Ücretsiz barındırma altı ay ile üç yıl arası sürer: ön kuluçkada altı ay, kuluçkada ofiste iki, endüstriyel binada üç yıl.</t>
        </is>
      </c>
      <c r="R93" s="29" t="inlineStr">
        <is>
          <t>İşyeri barındırma hizmeti ücretsizdir.</t>
        </is>
      </c>
      <c r="S93" s="29" t="n"/>
      <c r="T93" s="29" t="n"/>
    </row>
    <row r="94" ht="54" customHeight="1">
      <c r="A94" s="29" t="inlineStr">
        <is>
          <t>marbella:seguridad-social-tgss-telefon-vida-laboral-autonomo</t>
        </is>
      </c>
      <c r="B94" s="29" t="inlineStr">
        <is>
          <t>marbella</t>
        </is>
      </c>
      <c r="C94" s="29" t="inlineStr">
        <is>
          <t>seguridad-social-tgss-telefon-vida-laboral-autonomo</t>
        </is>
      </c>
      <c r="D94" s="29" t="inlineStr">
        <is>
          <t>Marbella'dan Seguridad Social'a (TGSS) telefonla çalışma geçmişi raporu (vida laboral) ve serbest çalışan soruları için hangi hat aranır?</t>
        </is>
      </c>
      <c r="E94" s="29" t="inlineStr">
        <is>
          <t>TGSS hattı: 91 541 02 91 ya da 901 50 20 50; Cuma 14:30'a kadar</t>
        </is>
      </c>
      <c r="F94" s="29" t="inlineStr">
        <is>
          <t>Kayıt, serbest çalışan ve çalışma geçmişi raporu (informe de vida laboral) gibi konular için Sosyal Güvenlik Genel Hazinesi'nin (TGSS) ülke çapındaki hattı 91 541 02 91 ya da 901 50 20 50'dir. Hat pazartesi-perşembe 09:00-18:00, cuma 09:00-14:30 arasında (resmî tatiller hariç) açıktır. Menüde 2.2 numara 'IVL' çalışma geçmişi raporu, 3.1 numara serbest çalışanlara ilişkin genel bilgi içindir; 2.1 numara ise sosyal güvenlik numarası (NUSS) ataması ve kişisel veri değişikliğidir. 901 hatları operatörünün özel tarifesine göre ücretlendirilir, 91 hatları sıradan aramadır.</t>
        </is>
      </c>
      <c r="G94" s="29" t="inlineStr">
        <is>
          <t>TGSS, vida laboral, autónomo, Seguridad Social, 901 50 20 50, NUSS, informe de vida laboral</t>
        </is>
      </c>
      <c r="H94" s="29" t="inlineStr">
        <is>
          <t>new;settled</t>
        </is>
      </c>
      <c r="I94" s="29" t="inlineStr">
        <is>
          <t>marbella:kaynak:168</t>
        </is>
      </c>
      <c r="J94" s="49" t="n">
        <v>46323</v>
      </c>
      <c r="K94" s="51" t="n">
        <v>805</v>
      </c>
      <c r="L94" s="29" t="inlineStr">
        <is>
          <t>Hayır</t>
        </is>
      </c>
      <c r="M94" s="29" t="inlineStr">
        <is>
          <t>Taslak</t>
        </is>
      </c>
      <c r="N94" s="29" t="inlineStr">
        <is>
          <t>marbella:is</t>
        </is>
      </c>
      <c r="O94" s="29" t="inlineStr">
        <is>
          <t>Pazartesi-perşembe 09:00-18:00 ya da cuma 09:00-14:30 arasında 91 541 02 91 ya da 901 50 20 50 numarasını ara.
Menüde çalışma geçmişi raporu için 2'yi, ardından 2.2'yi seç.
Serbest çalışan soruları için 3'ü, ardından 3.1'i seç.
Aramadan önce kimlik belgeni (DNI ya da NIE) ve varsa sosyal güvenlik numaranı (NAF) hazır tut.</t>
        </is>
      </c>
      <c r="P94" s="29" t="n"/>
      <c r="Q94" s="29" t="n"/>
      <c r="R94" s="29" t="inlineStr">
        <is>
          <t>91 hatları sıradan arama ücretiyle, 901 hatları operatörün özel tarifesiyle ücretlendirilir.</t>
        </is>
      </c>
      <c r="S94" s="29" t="n"/>
      <c r="T94" s="29" t="n"/>
    </row>
    <row r="95" ht="54" customHeight="1">
      <c r="A95" s="29" t="inlineStr">
        <is>
          <t>marbella:marbella-issizlik-ve-serbest-calisan-rakamlari-2026</t>
        </is>
      </c>
      <c r="B95" s="29" t="inlineStr">
        <is>
          <t>marbella</t>
        </is>
      </c>
      <c r="C95" s="29" t="inlineStr">
        <is>
          <t>marbella-issizlik-ve-serbest-calisan-rakamlari-2026</t>
        </is>
      </c>
      <c r="D95" s="29" t="inlineStr">
        <is>
          <t>Marbella'da iş piyasası nasıl: kaç kişi işsiz, kaç serbest çalışan var (2026)?</t>
        </is>
      </c>
      <c r="E95" s="29" t="inlineStr">
        <is>
          <t>Eylül 2026'da 6.246 kayıtlı işsiz; Mayıs'ta 15.799 serbest çalışan</t>
        </is>
      </c>
      <c r="F95" s="29" t="inlineStr">
        <is>
          <t>Marbella'da Eylül 2026'da 6.246 kayıtlı işsiz vardı; bu sayı bir yıl öncesine göre 708 kişi (6.954'ten) ve yüzde 10,18 azalmış. Sözleşme sayısı Ağustos'a göre yüzde 9,78 arttı. Mayıs 2026'da Sosyal Güvenlik'e kayıtlı çalışan sayısı 84.589'a, serbest çalışan sayısı 15.799'a çıkarak tarihî rekor kırdı.</t>
        </is>
      </c>
      <c r="G95" s="29" t="inlineStr">
        <is>
          <t>Marbella iş piyasası, işsizlik, paro, autónomos, Seguridad Social cotizantes, Servicio Andaluz de Empleo, istihdam</t>
        </is>
      </c>
      <c r="H95" s="29" t="inlineStr">
        <is>
          <t>before;planning</t>
        </is>
      </c>
      <c r="I95" s="29" t="inlineStr">
        <is>
          <t>marbella:kaynak:158</t>
        </is>
      </c>
      <c r="J95" s="49" t="n">
        <v>46323</v>
      </c>
      <c r="K95" s="51" t="n">
        <v>806</v>
      </c>
      <c r="L95" s="29" t="inlineStr">
        <is>
          <t>Hayır</t>
        </is>
      </c>
      <c r="M95" s="29" t="inlineStr">
        <is>
          <t>Taslak</t>
        </is>
      </c>
      <c r="N95" s="29" t="inlineStr">
        <is>
          <t>marbella:is</t>
        </is>
      </c>
      <c r="O95" s="29" t="inlineStr">
        <is>
          <t>Belediyenin İstihdam Birimi sitesindeki haber bölümünden aylık işsizlik ve üyelik rakamlarını izle.
İş aramaya başlamak için belediyenin iş bulma ajansına kaydol.</t>
        </is>
      </c>
      <c r="P95" s="29" t="n"/>
      <c r="Q95" s="29" t="n"/>
      <c r="R95" s="29" t="n"/>
      <c r="S95" s="29" t="n"/>
      <c r="T95" s="29" t="n"/>
    </row>
    <row r="96" ht="54" customHeight="1">
      <c r="A96" s="29" t="inlineStr">
        <is>
          <t>marbella:marbella-eski-kent-kale-naranjos-meydani-gezi</t>
        </is>
      </c>
      <c r="B96" s="29" t="inlineStr">
        <is>
          <t>marbella</t>
        </is>
      </c>
      <c r="C96" s="29" t="inlineStr">
        <is>
          <t>marbella-eski-kent-kale-naranjos-meydani-gezi</t>
        </is>
      </c>
      <c r="D96" s="29" t="inlineStr">
        <is>
          <t>Marbella'nın eski kentinde (Casco Antiguo) kale, Naranjos Meydanı ve çevresinde neler görülür?</t>
        </is>
      </c>
      <c r="E96" s="29" t="inlineStr">
        <is>
          <t>Müslüman dönemi kalesi ve surları, Plaza de los Naranjos, Calle Ancha ve eski kentin meydanları</t>
        </is>
      </c>
      <c r="F96" s="29" t="inlineStr">
        <is>
          <t>Eski kentin merkezi Plaza de los Naranjos'tur: Fernando'nun Marbella'yı almasından sonra kentin ana ekseni olarak düzenlendi; çevresinde Ermita de Santiago, belediye binası ve Casa del Corregidor yer alır. Bugünkü adını 1941'de dikilen portakal ağaçlarından alır. Müslüman döneminden kalan en önemli yapı, 11. ve 12. yüzyıl surlarıyla Marbella Kalesi'dir (Alcazaba); çevresi Solano, Portada, Arte, Salinas, Trinidad, Carmen, Ortiz del Molinillo ve Virgen de los Dolores sokaklarıyla çizilir. Belediyenin eski kent listesinde ayrıca Plaza del Puente de Ronda, Plaza del Altamirano, Paseo de la Alameda, Calle Ancha ve Avenida del Mar var.</t>
        </is>
      </c>
      <c r="G96" s="29" t="inlineStr">
        <is>
          <t>Marbella eski kent, Casco Antiguo, Plaza de los Naranjos, Marbella kalesi, Alcazaba, Calle Ancha, gezi</t>
        </is>
      </c>
      <c r="H96" s="29" t="inlineStr">
        <is>
          <t>planning;new;settled</t>
        </is>
      </c>
      <c r="I96" s="29" t="inlineStr">
        <is>
          <t>marbella:kaynak:271;marbella:kaynak:270</t>
        </is>
      </c>
      <c r="J96" s="49" t="n">
        <v>46323</v>
      </c>
      <c r="K96" s="51" t="n">
        <v>1200</v>
      </c>
      <c r="L96" s="29" t="inlineStr">
        <is>
          <t>Evet</t>
        </is>
      </c>
      <c r="M96" s="29" t="inlineStr">
        <is>
          <t>Taslak</t>
        </is>
      </c>
      <c r="N96" s="29" t="inlineStr">
        <is>
          <t>marbella:kesif</t>
        </is>
      </c>
      <c r="O96" s="29" t="inlineStr">
        <is>
          <t>Plaza de los Naranjos'tan başla; meydanın çevresindeki Ermita de Santiago ve belediye binasına bak.
Kale surlarını Solano, Portada, Arte ve Carmen sokaklarından izleyerek yürü.
Plaza del Altamirano, Plaza del Puente de Ronda ve Calle Ancha'ya geç.
Paseo de la Alameda ve Avenida del Mar'dan yürüyerek sahile in.</t>
        </is>
      </c>
      <c r="P96" s="29" t="n"/>
      <c r="Q96" s="29" t="n"/>
      <c r="R96" s="29" t="n"/>
      <c r="S96" s="29" t="n"/>
      <c r="T96" s="29" t="n"/>
    </row>
    <row r="97" ht="54" customHeight="1">
      <c r="A97" s="29" t="inlineStr">
        <is>
          <t>marbella:marbella-eski-kent-encarnacion-kilisesi-hospital-real</t>
        </is>
      </c>
      <c r="B97" s="29" t="inlineStr">
        <is>
          <t>marbella</t>
        </is>
      </c>
      <c r="C97" s="29" t="inlineStr">
        <is>
          <t>marbella-eski-kent-encarnacion-kilisesi-hospital-real</t>
        </is>
      </c>
      <c r="D97" s="29" t="inlineStr">
        <is>
          <t>Eski kentteki Encarnación Kilisesi ile Hospital Real de la Misericordia'nın özellikleri ve adresleri neler?</t>
        </is>
      </c>
      <c r="E97" s="29" t="inlineStr">
        <is>
          <t>Kilise Plaza de la Iglesia'da, 1975 tarihli ünlü orguyla; Hospital Real Plaza Practicante Manuel Cantos'ta</t>
        </is>
      </c>
      <c r="F97" s="29" t="inlineStr">
        <is>
          <t>Iglesia de Nuestra Señora de la Encarnación muhtemelen Marbella'nın ana camisinin üzerine kurulmuştur; yeniden inşa 16. yüzyılda başladı, yan cephedeki levhada geçen 1618 yılı yapıyı tarihlendirmeye yarar. Üç nefli bazilika planlıdır, ana kapı (Puerta del Sol) 18. yüzyılın ikinci yarısından Rokoko stilindedir; içindeki 1975 tarihli Órgano del Sol Mayor, son yüzyılda İspanya'da yapılan en önemli org sayılır. Adresi Plaza de la Iglesia, 29601 Marbella. Hospital Real de la Misericordia'yı Katolik Krallar kurdu, eski adı Hospital de San Juan de Dios'tur; iki katlıdır ve kemerli bir avlunun çevresinde yükselir. Adresi Plaza Practicante Manuel Cantos, 29601 Marbella.</t>
        </is>
      </c>
      <c r="G97" s="29" t="inlineStr">
        <is>
          <t>Encarnación Kilisesi, Hospital Real de la Misericordia, Marbella tarihi yapılar, Plaza de la Iglesia, org, Casco Histórico</t>
        </is>
      </c>
      <c r="H97" s="29" t="inlineStr">
        <is>
          <t>planning;new;settled</t>
        </is>
      </c>
      <c r="I97" s="29" t="inlineStr">
        <is>
          <t>marbella:kaynak:273;marbella:kaynak:272</t>
        </is>
      </c>
      <c r="J97" s="49" t="n">
        <v>46323</v>
      </c>
      <c r="K97" s="51" t="n">
        <v>1201</v>
      </c>
      <c r="L97" s="29" t="inlineStr">
        <is>
          <t>Hayır</t>
        </is>
      </c>
      <c r="M97" s="29" t="inlineStr">
        <is>
          <t>Taslak</t>
        </is>
      </c>
      <c r="N97" s="29" t="inlineStr">
        <is>
          <t>marbella:kesif</t>
        </is>
      </c>
      <c r="O97" s="29" t="inlineStr">
        <is>
          <t>Plaza de la Iglesia'ya git; kilisenin yan cephesindeki 1618 tarihli levhaya ve Rokoko ana kapıya bak.
İçeride üç nefli planı ve 1975 tarihli orgu gör.
Plaza Practicante Manuel Cantos'taki Hospital Real'e yürü ve kemerli avluya bak.</t>
        </is>
      </c>
      <c r="P97" s="29" t="n"/>
      <c r="Q97" s="29" t="n"/>
      <c r="R97" s="29" t="n"/>
      <c r="S97" s="29" t="n"/>
      <c r="T97" s="29" t="n"/>
    </row>
    <row r="98" ht="54" customHeight="1">
      <c r="A98" s="29" t="inlineStr">
        <is>
          <t>marbella:marbella-muzeleri-grabado-cortijo-miraflores-ucret-saat</t>
        </is>
      </c>
      <c r="B98" s="29" t="inlineStr">
        <is>
          <t>marbella</t>
        </is>
      </c>
      <c r="C98" s="29" t="inlineStr">
        <is>
          <t>marbella-muzeleri-grabado-cortijo-miraflores-ucret-saat</t>
        </is>
      </c>
      <c r="D98" s="29" t="inlineStr">
        <is>
          <t>Marbella'da hangi müzeler var, giriş ücretleri ve saatleri nasıl?</t>
        </is>
      </c>
      <c r="E98" s="29" t="inlineStr">
        <is>
          <t>Museo del Grabado: tek giriş 5 €, salı-cuma 11:00-17:00; Cortijo Miraflores eski yağ değirmeni müzesi</t>
        </is>
      </c>
      <c r="F98" s="29" t="inlineStr">
        <is>
          <t>Eski kentte Museo del Grabado Español Contemporáneo, 16. yüzyıldan kalma eski Hospital Bazán'da 28 Kasım 1992'de açıldı. Giriş tek fiyatlıdır: 5 €. Salı-cuma 11:00-17:00 açıktır; son giriş kapanıştan 30 dakika önce. 1 ve 6 Ocak, Viernes Santo (Paskalya öncesi cuma), 11 Haziran, 19 Ekim ile 24, 25 ve 31 Aralık kapalıdır. Adres C/ Hospital Bazán, s/n, 29601 Marbella; tel. +34 952 938 840. 28 Mayıs-15 Kasım 2026 arasında 'Salvador Dalí, diez recetas de inmortalidad' sergisi sürer. Cortijo Miraflores ise eski şeker kamışı değirmeni ve zeytinyağı fabrikasıdır; bugün müzedir ve eski öğütme makineleriyle bir belediye resim koleksiyonu barındırır.</t>
        </is>
      </c>
      <c r="G98" s="29" t="inlineStr">
        <is>
          <t>Marbella müzeleri, Museo del Grabado, Cortijo Miraflores, müze saatleri, müze ücreti, Hospital Bazán, Dalí sergisi</t>
        </is>
      </c>
      <c r="H98" s="29" t="inlineStr">
        <is>
          <t>planning;new;settled</t>
        </is>
      </c>
      <c r="I98" s="29" t="inlineStr">
        <is>
          <t>marbella:kaynak:275;marbella:kaynak:274</t>
        </is>
      </c>
      <c r="J98" s="49" t="n">
        <v>46323</v>
      </c>
      <c r="K98" s="51" t="n">
        <v>1202</v>
      </c>
      <c r="L98" s="29" t="inlineStr">
        <is>
          <t>Evet</t>
        </is>
      </c>
      <c r="M98" s="29" t="inlineStr">
        <is>
          <t>Taslak</t>
        </is>
      </c>
      <c r="N98" s="29" t="inlineStr">
        <is>
          <t>marbella:kesif</t>
        </is>
      </c>
      <c r="O98" s="29" t="inlineStr">
        <is>
          <t>Salı-cuma günleri 11:00 ile 17:00 arasında C/ Hospital Bazán, s/n adresindeki Museo del Grabado'ya git.
Girişte tek fiyat olan 5 € öde; son giriş kapanıştan 30 dakika önce.
Kapalı günlere denk gelme: 1 ve 6 Ocak, Viernes Santo, 11 Haziran, 19 Ekim, 24, 25 ve 31 Aralık.
Soruların için +34 952 938 840'ı ara ya da info@museodelgrabado.es adresine yaz.</t>
        </is>
      </c>
      <c r="P98" s="29" t="n"/>
      <c r="Q98" s="29" t="inlineStr">
        <is>
          <t>Salı-cuma 11:00-17:00; son giriş kapanıştan 30 dakika önce</t>
        </is>
      </c>
      <c r="R98" s="29" t="inlineStr">
        <is>
          <t>Giriş tek fiyat: 5 €</t>
        </is>
      </c>
      <c r="S98" s="29" t="n"/>
      <c r="T98" s="29" t="n"/>
    </row>
    <row r="99" ht="54" customHeight="1">
      <c r="A99" s="29" t="inlineStr">
        <is>
          <t>marbella:marbella-roma-donemi-villa-romana-rio-verde-sala-arqueologica</t>
        </is>
      </c>
      <c r="B99" s="29" t="inlineStr">
        <is>
          <t>marbella</t>
        </is>
      </c>
      <c r="C99" s="29" t="inlineStr">
        <is>
          <t>marbella-roma-donemi-villa-romana-rio-verde-sala-arqueologica</t>
        </is>
      </c>
      <c r="D99" s="29" t="inlineStr">
        <is>
          <t>Marbella'da Roma dönemi izleri nerede görülür, Río Verde Roma villası ücretsiz mi?</t>
        </is>
      </c>
      <c r="E99" s="29" t="inlineStr">
        <is>
          <t>Villa Romana de Río Verde ücretsiz, cuma-pazar ve tatillerde 10:30-13:30; Cortijo Miraflores'te arkeoloji salonu</t>
        </is>
      </c>
      <c r="F99" s="29" t="inlineStr">
        <is>
          <t>Río Verde Roma Villası (2. yüzyıl) giriş ücretsizdir; cuma, cumartesi, pazar ve resmî tatillerde 10:30-13:30 arası açıktır. Adres Calle Carlos Posac Mon, Urbanización Río Verde Playa. Mozaikleri, günümüze ulaşan en önemli örnekler arasında sayılır; Medusa başlı mozaik en çok dikkat çeken parçadır. 10 kişiden büyük gruplar Cultura biriminin 952 76 87 10/11 numarasını ya da patrimoniohistorico@marbella.es adresini kullanır. Çocuklar için 'Huella Romana' adlı etkinlik defteri belediye sayfasında PDF olarak durur. Şehir merkezinde Cortijo Miraflores Kültür Merkezi'ndeki Sala Arqueológica (C/ San Pedro Alcántara s/n), Río Verde villasının, Guadalmina Hamamlarının ve Vega del Mar Bazilikası'nın maketlerini barındırır.</t>
        </is>
      </c>
      <c r="G99" s="29" t="inlineStr">
        <is>
          <t>Villa Romana Río Verde, Roma mozaiği, Sala Arqueológica, arkeoloji, Marbella çocuk etkinlik, Huella Romana, ücretsiz</t>
        </is>
      </c>
      <c r="H99" s="29" t="inlineStr">
        <is>
          <t>planning;new;settled</t>
        </is>
      </c>
      <c r="I99" s="29" t="inlineStr">
        <is>
          <t>marbella:kaynak:276;marbella:kaynak:277</t>
        </is>
      </c>
      <c r="J99" s="49" t="n">
        <v>46323</v>
      </c>
      <c r="K99" s="51" t="n">
        <v>1203</v>
      </c>
      <c r="L99" s="29" t="inlineStr">
        <is>
          <t>Hayır</t>
        </is>
      </c>
      <c r="M99" s="29" t="inlineStr">
        <is>
          <t>Taslak</t>
        </is>
      </c>
      <c r="N99" s="29" t="inlineStr">
        <is>
          <t>marbella:kesif</t>
        </is>
      </c>
      <c r="O99" s="29" t="inlineStr">
        <is>
          <t>Cuma, cumartesi, pazar ya da resmî tatil günü 10:30-13:30 arasında Calle Carlos Posac Mon, Urbanización Río Verde Playa adresine git; giriş ücretsiz.
10 kişiden büyük bir grupsan önce 952 76 87 10/11'i ara ya da patrimoniohistorico@marbella.es adresine yaz.
Çocuklarla gidiyorsan 'Huella Romana' etkinlik defterini belediye sayfasından indir.
Maketleri görmek için Cortijo Miraflores Kültür Merkezi'ndeki Sala Arqueológica'ya uğra.</t>
        </is>
      </c>
      <c r="P99" s="29" t="n"/>
      <c r="Q99" s="29" t="inlineStr">
        <is>
          <t>Villa Romana: cuma, cumartesi, pazar ve resmî tatillerde 10:30-13:30</t>
        </is>
      </c>
      <c r="R99" s="29" t="inlineStr">
        <is>
          <t>Villa Romana girişi ücretsiz</t>
        </is>
      </c>
      <c r="S99" s="29" t="n"/>
      <c r="T99" s="29" t="n"/>
    </row>
    <row r="100" ht="54" customHeight="1">
      <c r="A100" s="29" t="inlineStr">
        <is>
          <t>marbella:marbella-kentsel-biyocesitlilik-yuruyusu-sendas-alameda</t>
        </is>
      </c>
      <c r="B100" s="29" t="inlineStr">
        <is>
          <t>marbella</t>
        </is>
      </c>
      <c r="C100" s="29" t="inlineStr">
        <is>
          <t>marbella-kentsel-biyocesitlilik-yuruyusu-sendas-alameda</t>
        </is>
      </c>
      <c r="D100" s="29" t="inlineStr">
        <is>
          <t>Marbella'da Paseo de la Alameda'dan sahil yoluna uzanan kentsel biyoçeşitlilik yürüyüşü (Senda Urbana) kaç kilometre, nereden başlanır?</t>
        </is>
      </c>
      <c r="E100" s="29" t="inlineStr">
        <is>
          <t>Yaklaşık 5 km'lik neredeyse dairesel yol; 35'ten fazla tabela, çok dilli sesli rehber</t>
        </is>
      </c>
      <c r="F100" s="29" t="inlineStr">
        <is>
          <t>Marbella çekirdeğindeki Senda Urbana, yaklaşık 5 km uzunluğunda neredeyse dairesel bir yürüyüş yoludur. 35'ten fazla İspanyolca-İngilizce bilgi tabelası yirmiden fazla kentsel alanı anlatır; haritası ve birkaç dilde sesli rehberi vardır. Her noktadan başlayabilirsin; belediye başlangıç noktası olarak Paseo de la Alameda'yı ve oradan sahil yolu (paseo marítimo) yönünde devam etmeyi önerir. Durakları arasında Parque de la Constitución, La Fontanilla tatlı su çeşmesi, Plaza de los Naranjos ve Arroyo de la Represa var. Benzer yollar San Pedro ve Las Chapas'ta da bulunur.</t>
        </is>
      </c>
      <c r="G100" s="29" t="inlineStr">
        <is>
          <t>Sendas de la Biodiversidad, kentsel biyoçeşitlilik, Paseo de la Alameda, sahil yolu yürüyüşü, Marbella yürüyüş, sesli rehber, paseo marítimo</t>
        </is>
      </c>
      <c r="H100" s="29" t="inlineStr">
        <is>
          <t>planning;new;settled</t>
        </is>
      </c>
      <c r="I100" s="29" t="inlineStr">
        <is>
          <t>marbella:kaynak:281</t>
        </is>
      </c>
      <c r="J100" s="49" t="n">
        <v>46323</v>
      </c>
      <c r="K100" s="51" t="n">
        <v>1204</v>
      </c>
      <c r="L100" s="29" t="inlineStr">
        <is>
          <t>Hayır</t>
        </is>
      </c>
      <c r="M100" s="29" t="inlineStr">
        <is>
          <t>Taslak</t>
        </is>
      </c>
      <c r="N100" s="29" t="inlineStr">
        <is>
          <t>marbella:kesif</t>
        </is>
      </c>
      <c r="O100" s="29" t="inlineStr">
        <is>
          <t>Paseo de la Alameda'dan başla ve sahil yoluna doğru yürü.
Tabelalardaki haritaya bak ve sesli rehberi dilini seçerek dinle.
Rotayı istediğin noktadan bırakıp devam edebilirsin; yol neredeyse dairesel.</t>
        </is>
      </c>
      <c r="P100" s="29" t="n"/>
      <c r="Q100" s="29" t="inlineStr">
        <is>
          <t>Yaklaşık 5 km</t>
        </is>
      </c>
      <c r="R100" s="29" t="n"/>
      <c r="S100" s="29" t="n"/>
      <c r="T100" s="29" t="n"/>
    </row>
    <row r="101" ht="54" customHeight="1">
      <c r="A101" s="29" t="inlineStr">
        <is>
          <t>marbella:marbella-gozetleme-kuleleri-torre-ancon</t>
        </is>
      </c>
      <c r="B101" s="29" t="inlineStr">
        <is>
          <t>marbella</t>
        </is>
      </c>
      <c r="C101" s="29" t="inlineStr">
        <is>
          <t>marbella-gozetleme-kuleleri-torre-ancon</t>
        </is>
      </c>
      <c r="D101" s="29" t="inlineStr">
        <is>
          <t>Marbella kıyısındaki tarihî gözetleme kuleleri hangileri, Torre Ancón nasıl bir yapı?</t>
        </is>
      </c>
      <c r="E101" s="29" t="inlineStr">
        <is>
          <t>Belediye altı kuleyi listeliyor; Torre Ancón daire planlı, kesik koni biçiminde</t>
        </is>
      </c>
      <c r="F101" s="29" t="inlineStr">
        <is>
          <t>Belediye sitesi kıyıdaki gözetleme kuleleri (torres vigía) başlığı altında Torre Ancón, Torre Lance de las Cañas, Torre Ladrones, Torre de Río Real, Torre de las Bóvedas ve Torre de El Duque'yi sayar. Torre Ancón daire planlı ve kesik konidir; zeminden 6,90 m yüksekte tek odalı bir girişi vardır, odada şömine ve kubbe bulunur. Denize bakan küçük pencereden nöbetçi (torrero) gözetleme yapardı. Juan Temboury'a göre Fernando V'in ikinci naipliği döneminde (1511-1516) inşa edildi.</t>
        </is>
      </c>
      <c r="G101" s="29" t="inlineStr">
        <is>
          <t>Torre Ancón, torres vigía, gözetleme kulesi, Marbella kıyı, Río Real, Torre de las Bóvedas, tarih</t>
        </is>
      </c>
      <c r="H101" s="29" t="inlineStr">
        <is>
          <t>planning;new;settled</t>
        </is>
      </c>
      <c r="I101" s="29" t="inlineStr">
        <is>
          <t>marbella:kaynak:278</t>
        </is>
      </c>
      <c r="J101" s="49" t="n">
        <v>46323</v>
      </c>
      <c r="K101" s="51" t="n">
        <v>1205</v>
      </c>
      <c r="L101" s="29" t="inlineStr">
        <is>
          <t>Hayır</t>
        </is>
      </c>
      <c r="M101" s="29" t="inlineStr">
        <is>
          <t>Taslak</t>
        </is>
      </c>
      <c r="N101" s="29" t="inlineStr">
        <is>
          <t>marbella:kesif</t>
        </is>
      </c>
      <c r="O101" s="29" t="inlineStr">
        <is>
          <t>Belediye sitesindeki 'Torres Vigía' bölümünden kuleleri ve haritalarını gör.
Torre Ancón'u incelerken zeminden 6,90 m yüksekteki girişe ve denize bakan pencereye dikkat et.</t>
        </is>
      </c>
      <c r="P101" s="29" t="n"/>
      <c r="Q101" s="29" t="n"/>
      <c r="R101" s="29" t="n"/>
      <c r="S101" s="29" t="n"/>
      <c r="T101" s="29" t="n"/>
    </row>
    <row r="102" ht="54" customHeight="1">
      <c r="A102" s="29" t="inlineStr">
        <is>
          <t>marbella:sierra-blanca-yuruyus-agi-zirveler-natura-2000</t>
        </is>
      </c>
      <c r="B102" s="29" t="inlineStr">
        <is>
          <t>marbella</t>
        </is>
      </c>
      <c r="C102" s="29" t="inlineStr">
        <is>
          <t>sierra-blanca-yuruyus-agi-zirveler-natura-2000</t>
        </is>
      </c>
      <c r="D102" s="29" t="inlineStr">
        <is>
          <t>Sierra Blanca'da yürüyüş için nereye gidilir, zirveleri ve koruma statüsü nedir?</t>
        </is>
      </c>
      <c r="E102" s="29" t="inlineStr">
        <is>
          <t>La Concha 1.215 m, Cerro Lastonar 1.275 m; Natura 2000 alanı; belediyenin yürüyüş yolu ağı</t>
        </is>
      </c>
      <c r="F102" s="29" t="inlineStr">
        <is>
          <t>Sierra Blanca, Istán (batı), Ojén (kuzey ve doğu) ve Marbella (güney) belediyeleri arasındaki küçük bir dağ kütlesidir. Gri-beyaz rengi ve La Concha zirvesinin biçimiyle Costa del Sol'da kolayca seçilir. Başlıca yükseklikler La Concha (1.215 m), Cerro Lastonar (1.275 m) ve Pico del Juanar (1.181 m). Alan, Natura 2000 ağına dahil bir ES6170011 kodlu önem taşıyan bölge (LIC) olarak ilan edilmiştir. Marbella Belediyesi'nin 'Red de senderos de Sierra Blanca' sayfası rotaları, olay bildirim formunu ve İspanyolca ve İngilizce broşürleri sunar.</t>
        </is>
      </c>
      <c r="G102" s="29" t="inlineStr">
        <is>
          <t>Sierra Blanca, yürüyüş, senderismo, La Concha, Natura 2000, Marbella dağ, Istán, Ojén</t>
        </is>
      </c>
      <c r="H102" s="29" t="inlineStr">
        <is>
          <t>planning;new;settled</t>
        </is>
      </c>
      <c r="I102" s="29" t="inlineStr">
        <is>
          <t>marbella:kaynak:279;marbella:kaynak:280</t>
        </is>
      </c>
      <c r="J102" s="49" t="n">
        <v>46323</v>
      </c>
      <c r="K102" s="51" t="n">
        <v>1206</v>
      </c>
      <c r="L102" s="29" t="inlineStr">
        <is>
          <t>Hayır</t>
        </is>
      </c>
      <c r="M102" s="29" t="inlineStr">
        <is>
          <t>Taslak</t>
        </is>
      </c>
      <c r="N102" s="29" t="inlineStr">
        <is>
          <t>marbella:kesif</t>
        </is>
      </c>
      <c r="O102" s="29" t="inlineStr">
        <is>
          <t>Marbella Belediyesi'nin 'Red de senderos de Sierra Blanca' sayfasında rotaları ve erişim noktalarını seç.
Broşürü (İspanyolca ya da İngilizce) indir.
Yola çıkmadan önce güvenlik önerilerini oku; güney yüzündeki tüm patikalar sert eğimlidir.
Rota sırasında bir sorun görürsen sayfadaki olay formunu doldur.</t>
        </is>
      </c>
      <c r="P102" s="29" t="n"/>
      <c r="Q102" s="29" t="n"/>
      <c r="R102" s="29" t="n"/>
      <c r="S102" s="29" t="n"/>
      <c r="T102" s="29" t="n"/>
    </row>
    <row r="103" ht="54" customHeight="1">
      <c r="A103" s="29" t="inlineStr">
        <is>
          <t>marbella:sierra-blanca-yuruyusu-oncesi-guvenlik-onerileri</t>
        </is>
      </c>
      <c r="B103" s="29" t="inlineStr">
        <is>
          <t>marbella</t>
        </is>
      </c>
      <c r="C103" s="29" t="inlineStr">
        <is>
          <t>sierra-blanca-yuruyusu-oncesi-guvenlik-onerileri</t>
        </is>
      </c>
      <c r="D103" s="29" t="inlineStr">
        <is>
          <t>Sierra Blanca'da yürüyüşe çıkmadan önce hangi önlemleri almalıyım?</t>
        </is>
      </c>
      <c r="E103" s="29" t="inlineStr">
        <is>
          <t>Yeterli su, uygun ayakkabı, yalnız çıkmama; güney yüzünde sert eğimler</t>
        </is>
      </c>
      <c r="F103" s="29" t="inlineStr">
        <is>
          <t>Belediyenin önerilerine göre uygun ayakkabı ve ekipman giy, yanına yeterli su al ve rota hakkında haritadan güzergâh tarifine kadar bilgi topla. Mümkünse yalnız çıkma, planını yakınlarına bildir ve telefonunu şarjlı taşı. Sierra Blanca'nın güney yüzündeki tüm patikalarda eğim sert olduğu için iyi donanımlı çıkmak gerekir. Doğada sessiz kal ki hayvanlar rahatsız olmasın, çöpünü en yakın çöp kutusuna götür.</t>
        </is>
      </c>
      <c r="G103" s="29" t="inlineStr">
        <is>
          <t>Sierra Blanca güvenlik, yürüyüş önerileri, su, ayakkabı, yalnız yürüyüş, senderismo, doğa</t>
        </is>
      </c>
      <c r="H103" s="29" t="inlineStr">
        <is>
          <t>planning;new;settled</t>
        </is>
      </c>
      <c r="I103" s="29" t="inlineStr">
        <is>
          <t>marbella:kaynak:280</t>
        </is>
      </c>
      <c r="J103" s="49" t="n">
        <v>46323</v>
      </c>
      <c r="K103" s="51" t="n">
        <v>1207</v>
      </c>
      <c r="L103" s="29" t="inlineStr">
        <is>
          <t>Hayır</t>
        </is>
      </c>
      <c r="M103" s="29" t="inlineStr">
        <is>
          <t>Taslak</t>
        </is>
      </c>
      <c r="N103" s="29" t="inlineStr">
        <is>
          <t>marbella:kesif</t>
        </is>
      </c>
      <c r="O103" s="29" t="inlineStr">
        <is>
          <t>Rota hakkında harita ve güzergâh tarifi gibi bilgileri önceden topla.
Uygun ayakkabı ve ekipman giy; yeterli su al.
Yalnız çıkma, planını aile ve arkadaşlarına söyle, telefonunu şarjlı taşı.
Çöpünü en yakın çöp kutusuna götür; yürüdüğün alanın sessizliğini koru.</t>
        </is>
      </c>
      <c r="P103" s="29" t="n"/>
      <c r="Q103" s="29" t="n"/>
      <c r="R103" s="29" t="n"/>
      <c r="S103" s="29" t="n"/>
      <c r="T103" s="29" t="n"/>
    </row>
    <row r="104" ht="54" customHeight="1">
      <c r="A104" s="29" t="inlineStr">
        <is>
          <t>marbella:marbella-plajlari-listesi-venus-bajadilla-erisilebilir</t>
        </is>
      </c>
      <c r="B104" s="29" t="inlineStr">
        <is>
          <t>marbella</t>
        </is>
      </c>
      <c r="C104" s="29" t="inlineStr">
        <is>
          <t>marbella-plajlari-listesi-venus-bajadilla-erisilebilir</t>
        </is>
      </c>
      <c r="D104" s="29" t="inlineStr">
        <is>
          <t>Marbella'da hangi plajlar var, Venus-Bajadilla plajında engelli erişimi ve gölge var mı?</t>
        </is>
      </c>
      <c r="E104" s="29" t="inlineStr">
        <is>
          <t>Belediye plaj kataloğundaki plajlar; Venus-Bajadilla erişilebilir, gölgeli, yardımlı denize girişli</t>
        </is>
      </c>
      <c r="F104" s="29" t="inlineStr">
        <is>
          <t>Marbella Belediyesi'nin plaj kataloğunda şu plajlar yer alır: Venus-Bajadilla, San Pedro Alcántara / La Salida, Río Verde, Real de Zaragoza, Puerto Banús, Nueva Andalucía / El Duque, Nagüeles, Linda Vista, Las Chapas, Las Cañas, Las Adelfas, La Vívora, La Fontanilla, Guadalmina, El Realejo (Bahía Marbella), El Pinillo, El Faro, El Cable, El Ancón, El Alicate, Cortijo Blanco / Rodeito, Casablanca, Calahonda ve Artola / Cabopino. Venus-Bajadilla için kataloğun özellik satırı 'Erişilebilir / Gölge alanları / Yardımlı denize giriş' diyor.</t>
        </is>
      </c>
      <c r="G104" s="29" t="inlineStr">
        <is>
          <t>Marbella plajları, Venus-Bajadilla, playas de Marbella, erişilebilir plaj, Cabopino, Puerto Banús, La Fontanilla</t>
        </is>
      </c>
      <c r="H104" s="29" t="inlineStr">
        <is>
          <t>planning;new;settled</t>
        </is>
      </c>
      <c r="I104" s="29" t="inlineStr">
        <is>
          <t>marbella:kaynak:282</t>
        </is>
      </c>
      <c r="J104" s="49" t="n">
        <v>46323</v>
      </c>
      <c r="K104" s="51" t="n">
        <v>1208</v>
      </c>
      <c r="L104" s="29" t="inlineStr">
        <is>
          <t>Hayır</t>
        </is>
      </c>
      <c r="M104" s="29" t="inlineStr">
        <is>
          <t>Taslak</t>
        </is>
      </c>
      <c r="N104" s="29" t="inlineStr">
        <is>
          <t>marbella:kesif</t>
        </is>
      </c>
      <c r="O104" s="29" t="inlineStr">
        <is>
          <t>Belediyenin plaj kataloğundan gideceğin plajı seç.
Engelli erişimi ya da gölge arıyorsan Venus-Bajadilla'yı değerlendir.</t>
        </is>
      </c>
      <c r="P104" s="29" t="n"/>
      <c r="Q104" s="29" t="n"/>
      <c r="R104" s="29" t="n"/>
      <c r="S104" s="29" t="n"/>
      <c r="T104" s="29" t="n"/>
    </row>
    <row r="105" ht="54" customHeight="1">
      <c r="A105" s="29" t="inlineStr">
        <is>
          <t>marbella:marbella-cocuklarla-parklar-mediterraneo-represa</t>
        </is>
      </c>
      <c r="B105" s="29" t="inlineStr">
        <is>
          <t>marbella</t>
        </is>
      </c>
      <c r="C105" s="29" t="inlineStr">
        <is>
          <t>marbella-cocuklarla-parklar-mediterraneo-represa</t>
        </is>
      </c>
      <c r="D105" s="29" t="inlineStr">
        <is>
          <t>Marbella'da çocuklarla gidilecek parklar hangileri, Parque del Mediterráneo'da ne var?</t>
        </is>
      </c>
      <c r="E105" s="29" t="inlineStr">
        <is>
          <t>El Pinillo plajında çocuk oyun alanı, plaj voleybolu ve futbolu; her gün 09:00-22:00</t>
        </is>
      </c>
      <c r="F105" s="29" t="inlineStr">
        <is>
          <t>Parque del Mediterráneo, Playa El Pinillo'da (29603 Marbella) bir çocuk oyun alanı, 16 plaj voleybolu sahası ve 1 plaj futbolu sahası barındırır; hafta içi ve hafta sonu her gün 09:00-22:00 açıktır. Bilgi için +34 952 761 185 ya da deportes@marbella.es. Parque Arroyo de la Represa (Avda. Dr. Maíz Viñals s/n, 29601) ise 3 çok amaçlı saha ve bir kaykay parkı sunar; sitede saat bilgisi verilmemiştir.</t>
        </is>
      </c>
      <c r="G105" s="29" t="inlineStr">
        <is>
          <t>Marbella çocuk parkı, Parque del Mediterráneo, oyun alanı, plaj voleybolu, Arroyo de la Represa, El Pinillo, çocuklarla</t>
        </is>
      </c>
      <c r="H105" s="29" t="inlineStr">
        <is>
          <t>planning;new;settled</t>
        </is>
      </c>
      <c r="I105" s="29" t="inlineStr">
        <is>
          <t>marbella:kaynak:283;marbella:kaynak:285</t>
        </is>
      </c>
      <c r="J105" s="49" t="n">
        <v>46323</v>
      </c>
      <c r="K105" s="51" t="n">
        <v>1209</v>
      </c>
      <c r="L105" s="29" t="inlineStr">
        <is>
          <t>Hayır</t>
        </is>
      </c>
      <c r="M105" s="29" t="inlineStr">
        <is>
          <t>Taslak</t>
        </is>
      </c>
      <c r="N105" s="29" t="inlineStr">
        <is>
          <t>marbella:kesif</t>
        </is>
      </c>
      <c r="O105" s="29" t="inlineStr">
        <is>
          <t>Çocuklarla oyun alanı için Playa El Pinillo'daki Parque del Mediterráneo'ya git; her gün 09:00-22:00 açık.
Çok amaçlı saha ya da kaykay için Avda. Dr. Maíz Viñals s/n'deki Parque Arroyo de la Represa'yı seç.
Soru için +34 952 761 185'i ara ya da deportes@marbella.es adresine yaz.</t>
        </is>
      </c>
      <c r="P105" s="29" t="n"/>
      <c r="Q105" s="29" t="inlineStr">
        <is>
          <t>Parque del Mediterráneo her gün 09:00-22:00</t>
        </is>
      </c>
      <c r="R105" s="29" t="n"/>
      <c r="S105" s="29" t="n"/>
      <c r="T105" s="29" t="n"/>
    </row>
    <row r="106" ht="54" customHeight="1">
      <c r="A106" s="29" t="inlineStr">
        <is>
          <t>marbella:marbella-skate-parklari-urban-park-represa</t>
        </is>
      </c>
      <c r="B106" s="29" t="inlineStr">
        <is>
          <t>marbella</t>
        </is>
      </c>
      <c r="C106" s="29" t="inlineStr">
        <is>
          <t>marbella-skate-parklari-urban-park-represa</t>
        </is>
      </c>
      <c r="D106" s="29" t="inlineStr">
        <is>
          <t>Marbella'da kaykay (skate) yapacak yerler nerede?</t>
        </is>
      </c>
      <c r="E106" s="29" t="inlineStr">
        <is>
          <t>Marbella Urban Park (Avda. La Florida 6) her gün 09:00-22:00; Arroyo de la Represa'da skate parkı</t>
        </is>
      </c>
      <c r="F106" s="29" t="inlineStr">
        <is>
          <t>Marbella Urban Park Avda. La Florida 6, 29602 Marbella adresindedir ve her gün 09:00-22:00 açıktır; yalnız kaykay için ayrılmıştır. Parque Arroyo de la Represa'da (Avda. Dr. Maíz Viñals s/n) bir skate parkı ve 3 çok amaçlı saha vardır. Belediyenin tesis listesinde Pistas polideportivas Bello Horizonte de kaykay alanı olarak geçer. Bilgi için Deportes birimi: +34 952 761 185, deportes@marbella.es.</t>
        </is>
      </c>
      <c r="G106" s="29" t="inlineStr">
        <is>
          <t>Marbella skate park, Marbella Urban Park, kaykay, Arroyo de la Represa, Bello Horizonte, skateboard</t>
        </is>
      </c>
      <c r="H106" s="29" t="inlineStr">
        <is>
          <t>planning;new;settled</t>
        </is>
      </c>
      <c r="I106" s="29" t="inlineStr">
        <is>
          <t>marbella:kaynak:284;marbella:kaynak:285</t>
        </is>
      </c>
      <c r="J106" s="49" t="n">
        <v>46323</v>
      </c>
      <c r="K106" s="51" t="n">
        <v>1210</v>
      </c>
      <c r="L106" s="29" t="inlineStr">
        <is>
          <t>Hayır</t>
        </is>
      </c>
      <c r="M106" s="29" t="inlineStr">
        <is>
          <t>Taslak</t>
        </is>
      </c>
      <c r="N106" s="29" t="inlineStr">
        <is>
          <t>marbella:kesif</t>
        </is>
      </c>
      <c r="O106" s="29" t="inlineStr">
        <is>
          <t>Marbella Urban Park'a Avda. La Florida 6'dan git; her gün 09:00-22:00 açık.
Alternatif olarak Avda. Dr. Maíz Viñals s/n'deki Parque Arroyo de la Represa skate parkına git.
Soru için +34 952 761 185'i ara ya da deportes@marbella.es adresine yaz.</t>
        </is>
      </c>
      <c r="P106" s="29" t="n"/>
      <c r="Q106" s="29" t="inlineStr">
        <is>
          <t>Marbella Urban Park her gün 09:00-22:00</t>
        </is>
      </c>
      <c r="R106" s="29" t="n"/>
      <c r="S106" s="29" t="n"/>
      <c r="T106" s="29" t="n"/>
    </row>
    <row r="107" ht="54" customHeight="1">
      <c r="A107" s="29" t="inlineStr">
        <is>
          <t>marbella:marbella-belediye-spor-tesisleri-havuz-saha-kiralama</t>
        </is>
      </c>
      <c r="B107" s="29" t="inlineStr">
        <is>
          <t>marbella</t>
        </is>
      </c>
      <c r="C107" s="29" t="inlineStr">
        <is>
          <t>marbella-belediye-spor-tesisleri-havuz-saha-kiralama</t>
        </is>
      </c>
      <c r="D107" s="29" t="inlineStr">
        <is>
          <t>Marbella'da belediye spor tesisleri ve yüzme havuzları hangileri, saha kiralamak için nereye bakarım?</t>
        </is>
      </c>
      <c r="E107" s="29" t="inlineStr">
        <is>
          <t>Palacio de Deportes, Salduba havuzu, Las Chapas kapalı havuzu ve Francisco Norte kompleksi</t>
        </is>
      </c>
      <c r="F107" s="29" t="inlineStr">
        <is>
          <t>Marbella Belediyesi'nin Deportes birimi tesis listesinde şunlar öne çıkar: Palacio de Deportes Elena Benítez (basketbol, tenis, frontenis, tırmanış, voleybol), Estadio Municipal Antonio Naranjo (futbol), Piscina municipal Salduba Antonio Serrano Lima (yüzme, sutopu), Piscina cubierta Las Chapas (yüzme) ve Complejo polideportivo Francisco Norte (paten hokeyi, pádel). Tesis sayfası 'Alquiler de instalaciones deportivas' (tesis kiralama) ve 'Actividades deportivas' (spor etkinlikleri) bağlantılarını da barındırır. İletişim: +34 952 761 185 ve deportes@marbella.es.</t>
        </is>
      </c>
      <c r="G107" s="29" t="inlineStr">
        <is>
          <t>Marbella spor tesisi, Palacio de Deportes, havuz, Piscina Salduba, saha kiralama, Deportes, polideportivo</t>
        </is>
      </c>
      <c r="H107" s="29" t="inlineStr">
        <is>
          <t>planning;new;settled</t>
        </is>
      </c>
      <c r="I107" s="29" t="inlineStr">
        <is>
          <t>marbella:kaynak:286;marbella:kaynak:283</t>
        </is>
      </c>
      <c r="J107" s="49" t="n">
        <v>46323</v>
      </c>
      <c r="K107" s="51" t="n">
        <v>1211</v>
      </c>
      <c r="L107" s="29" t="inlineStr">
        <is>
          <t>Hayır</t>
        </is>
      </c>
      <c r="M107" s="29" t="inlineStr">
        <is>
          <t>Taslak</t>
        </is>
      </c>
      <c r="N107" s="29" t="inlineStr">
        <is>
          <t>marbella:kesif</t>
        </is>
      </c>
      <c r="O107" s="29" t="inlineStr">
        <is>
          <t>Belediyenin Instalaciones deportivas sayfasında spor dalına göre tesisi seç.
Saha kiralamak için sayfadaki 'Alquiler de instalaciones deportivas' bağlantısına git.
Yüzmek için Piscina municipal Salduba ya da Las Chapas'taki kapalı havuzu seç.
Soru için +34 952 761 185'i ara ya da deportes@marbella.es adresine yaz.</t>
        </is>
      </c>
      <c r="P107" s="29" t="n"/>
      <c r="Q107" s="29" t="n"/>
      <c r="R107" s="29" t="n"/>
      <c r="S107" s="29" t="n"/>
      <c r="T107" s="29" t="n"/>
    </row>
    <row r="108" ht="54" customHeight="1">
      <c r="A108" s="29" t="inlineStr">
        <is>
          <t>marbella:marbella-tiyatro-kutuphane-kultur-merkezleri</t>
        </is>
      </c>
      <c r="B108" s="29" t="inlineStr">
        <is>
          <t>marbella</t>
        </is>
      </c>
      <c r="C108" s="29" t="inlineStr">
        <is>
          <t>marbella-tiyatro-kutuphane-kultur-merkezleri</t>
        </is>
      </c>
      <c r="D108" s="29" t="inlineStr">
        <is>
          <t>Marbella'da belediye tiyatroları, kütüphaneleri ve kültür merkezleri hangileri?</t>
        </is>
      </c>
      <c r="E108" s="29" t="inlineStr">
        <is>
          <t>Teatro Ciudad de Marbella, Auditorio José Pernía Calderón, Central Kütüphane ve çocuk kütüphanesi</t>
        </is>
      </c>
      <c r="F108" s="29" t="inlineStr">
        <is>
          <t>Belediyenin kültür tesisleri listesinde tiyatrolar Teatro Ciudad de Marbella, Auditorio José Pernía Calderón ve La Alcoholera (El Ingenio) Sahne Sanatları Merkezi'dir. Kültür merkezleri arasında Trapiche de Guadaiza, Rosa Verde, Hospital Real de la Misericordia (Hospitalillo) ve Cortijo Miraflores sayılır. Müzik ve dans için Escuela Municipal de Música y Danza de Marbella vardır. Kütüphaneler: Biblioteca Central Fernando Alcalá Marín, Camilo José Cela, Antonio Gala, J. M. Caballero Bonald, San Pedro Alcántara ve çocuklara özel José Manuel Vallés y Maíz Viñals (Infantil).</t>
        </is>
      </c>
      <c r="G108" s="29" t="inlineStr">
        <is>
          <t>Marbella tiyatro, kütüphane, kültür merkezi, Teatro Ciudad de Marbella, La Alcoholera, çocuk kütüphanesi, Escuela Municipal de Música</t>
        </is>
      </c>
      <c r="H108" s="29" t="inlineStr">
        <is>
          <t>new;settled</t>
        </is>
      </c>
      <c r="I108" s="29" t="inlineStr">
        <is>
          <t>marbella:kaynak:275</t>
        </is>
      </c>
      <c r="J108" s="49" t="n">
        <v>46323</v>
      </c>
      <c r="K108" s="51" t="n">
        <v>1212</v>
      </c>
      <c r="L108" s="29" t="inlineStr">
        <is>
          <t>Hayır</t>
        </is>
      </c>
      <c r="M108" s="29" t="inlineStr">
        <is>
          <t>Taslak</t>
        </is>
      </c>
      <c r="N108" s="29" t="inlineStr">
        <is>
          <t>marbella:kesif</t>
        </is>
      </c>
      <c r="O108" s="29" t="inlineStr">
        <is>
          <t>Etkinlik için Teatro Ciudad de Marbella ya da Auditorio José Pernía Calderón'u belediyenin kültür sayfasından incele.
Kitap ödünç almak ya da çalışmak için yaşadığın bölgeye en yakın belediye kütüphanesini seç.
Çocuğun için José Manuel Vallés y Maíz Viñals (Infantil) kütüphanesine bak.</t>
        </is>
      </c>
      <c r="P108" s="29" t="n"/>
      <c r="Q108" s="29" t="n"/>
      <c r="R108" s="29" t="n"/>
      <c r="S108" s="29" t="n"/>
      <c r="T108" s="29" t="n"/>
    </row>
    <row r="109" ht="54" customHeight="1">
      <c r="A109" s="29" t="inlineStr">
        <is>
          <t>marbella:nie-nedir-ne-ise-yarar</t>
        </is>
      </c>
      <c r="B109" s="29" t="inlineStr">
        <is>
          <t>marbella</t>
        </is>
      </c>
      <c r="C109" s="29" t="inlineStr">
        <is>
          <t>nie-nedir-ne-ise-yarar</t>
        </is>
      </c>
      <c r="D109" s="29" t="inlineStr">
        <is>
          <t>NIE nedir, ne işe yarar ve nasıl istenir?</t>
        </is>
      </c>
      <c r="E109" s="29" t="inlineStr">
        <is>
          <t>NIE, yabancılara verilen kimlik numarasıdır; harcı 9,84 euro</t>
        </is>
      </c>
      <c r="F109" s="29" t="inlineStr">
        <is>
          <t>NIE (Número de Identidad de Extranjero, yabancı kimlik numarası), İspanya ile ekonomik, mesleki ya da sosyal bağı olan yabancıların Polis Genel Müdürlüğü'nden istemesi gereken numaradır. Başvuru için İspanya'da düzensiz durumda olmaman ve numarayı neden istediğini bildirmen gerekir. Dilekçe EX15 formu ve 790 kodu 012 harç belgesiyle verilir; NIE harcı 9,84 euro'dur. Yönetmelik süresi en çok beş gündür ve bu sürede cevap gelmezse başvuru reddedilmiş sayılır.</t>
        </is>
      </c>
      <c r="G109" s="29" t="inlineStr">
        <is>
          <t>NIE, número de identidad de extranjero, EX15, tasa 790 012, yabancı kimlik numarası, NIE harcı</t>
        </is>
      </c>
      <c r="H109" s="29" t="inlineStr">
        <is>
          <t>planning;new</t>
        </is>
      </c>
      <c r="I109" s="29" t="inlineStr">
        <is>
          <t>marbella:kaynak:001;marbella:kaynak:002</t>
        </is>
      </c>
      <c r="J109" s="49" t="n">
        <v>46319</v>
      </c>
      <c r="K109" s="51" t="n">
        <v>9000</v>
      </c>
      <c r="L109" s="29" t="inlineStr">
        <is>
          <t>Hayır</t>
        </is>
      </c>
      <c r="M109" s="29" t="inlineStr">
        <is>
          <t>Taslak</t>
        </is>
      </c>
      <c r="N109" s="29" t="inlineStr">
        <is>
          <t>marbella:oturum</t>
        </is>
      </c>
      <c r="O109" s="29" t="inlineStr">
        <is>
          <t>Numarayı neden istediğini (ekonomik, mesleki ya da sosyal bağını) yazılı olarak bildirmeye hazırlan; İspanya'da düzensiz durumda olmaman gerekir.
EX15 formunu (NIE ve sertifika talebi) doldur.
790 kodu 012 harç belgesini al ve 9,84 euro harcı öde; harç, hesabın olmasa da bankalarda ve tasarruf kasalarında ödenir.
Dilekçeyi Polis Genel Müdürlüğü'ne yabancılar ofisi (Oficina de Extranjería) ya da polis karakolu (Comisaría) aracılığıyla ver; İspanya dışındaysan İspanya konsoloslukları üzerinden başvur.</t>
        </is>
      </c>
      <c r="P109" s="29" t="inlineStr">
        <is>
          <t>EX15 formu (NIE ve sertifika talebi)
790 kodu 012 harç ödeme belgesi</t>
        </is>
      </c>
      <c r="Q109" s="29" t="inlineStr">
        <is>
          <t>Yönetmeliğe göre en çok beş gün; bu sürede cevap gelmezse başvuru reddedilmiş sayılır.</t>
        </is>
      </c>
      <c r="R109" s="29" t="inlineStr">
        <is>
          <t>NIE harcı 9,84 euro (Orden PJC/617/2025 tarifesi).</t>
        </is>
      </c>
      <c r="S109" s="29" t="inlineStr">
        <is>
          <t>Ret ya da cevapsızlık durumunda karara karşı 1 ay içinde aynı makama itiraz (reposición), 2 ay içinde idare mahkemesine dava yolu açıktır.</t>
        </is>
      </c>
      <c r="T109" s="29" t="n"/>
    </row>
    <row r="110" ht="54" customHeight="1">
      <c r="A110" s="29" t="inlineStr">
        <is>
          <t>marbella:ab-vatandasi-kayit-sertifikasi</t>
        </is>
      </c>
      <c r="B110" s="29" t="inlineStr">
        <is>
          <t>marbella</t>
        </is>
      </c>
      <c r="C110" s="29" t="inlineStr">
        <is>
          <t>ab-vatandasi-kayit-sertifikasi</t>
        </is>
      </c>
      <c r="D110" s="29" t="inlineStr">
        <is>
          <t>AB vatandaşı kayıt sertifikası (Certificado de Registro de Ciudadano de la UE) nasıl alınır?</t>
        </is>
      </c>
      <c r="E110" s="29" t="inlineStr">
        <is>
          <t>Üç aydan uzun kalacak AB/AEA/İsviçre vatandaşları için; başvuru üç ay içinde, belge hemen verilir</t>
        </is>
      </c>
      <c r="F110" s="29" t="inlineStr">
        <is>
          <t>Başka bir AB ya da AEA ülkesinin (ya da İsviçre'nin) vatandaşıysan ve İspanya'da üç aydan uzun kalacaksan, kalacağın ilin yabancılar ofisine ya da yetkili polis karakoluna kendin gidip Merkez Yabancılar Kaydı'na (Registro Central de Extranjeros) yazılmak zorundasın. Başvuruyu İspanya'ya girişinden itibaren üç ay içinde yaparsın; kayıt sertifikası hemen verilir ve üzerinde adın, uyruğun, adresin, NIE numaran ve kayıt tarihin yazar. Güncel resmî tarifeye göre bu belgenin harcı 12,00 euro.</t>
        </is>
      </c>
      <c r="G110" s="29" t="inlineStr">
        <is>
          <t>AB kayıt sertifikası, certificado de registro, EX18, Registro Central de Extranjeros, tasa 790 012, AB vatandaşı</t>
        </is>
      </c>
      <c r="H110" s="29" t="inlineStr">
        <is>
          <t>new</t>
        </is>
      </c>
      <c r="I110" s="29" t="inlineStr">
        <is>
          <t>marbella:kaynak:003;marbella:kaynak:004</t>
        </is>
      </c>
      <c r="J110" s="49" t="n">
        <v>46319</v>
      </c>
      <c r="K110" s="51" t="n">
        <v>9001</v>
      </c>
      <c r="L110" s="29" t="inlineStr">
        <is>
          <t>Hayır</t>
        </is>
      </c>
      <c r="M110" s="29" t="inlineStr">
        <is>
          <t>Taslak</t>
        </is>
      </c>
      <c r="N110" s="29" t="inlineStr">
        <is>
          <t>marbella:oturum</t>
        </is>
      </c>
      <c r="O110" s="29" t="inlineStr">
        <is>
          <t>Geçerli pasaportunu ya da ulusal kimlik kartını hazırla; süresi dolmuşsa onun kopyasını ve yenileme başvurusunun kopyasını götür.
Kalma hakkını gösteren belgeleri ekle; hangi belgelerin gerektiği Real Decreto 240/2007'nin 7. maddesindeki şartlara bağlı.
EX18 formunu (AB vatandaşı kaydı) doldur.
790 kodu 012 harç belgesini al ve harcı öde.
İspanya'ya girişinden sonraki üç ay içinde kalacağın ilin yabancılar ofisine ya da yetkili polis karakoluna şahsen git; kayıt sertifikanı hemen alırsın.
Beş yıl kesintisiz yasal ikametten sonra istersen kalıcı oturum hakkını gösteren sertifika talep et.</t>
        </is>
      </c>
      <c r="P110" s="29" t="inlineStr">
        <is>
          <t>Geçerli pasaport ya da ulusal kimlik kartı
EX18 formu
790 kodu 012 harç ödeme belgesi
Real Decreto 240/2007 madde 7 şartlarını karşıladığını gösteren belgeler</t>
        </is>
      </c>
      <c r="Q110" s="29" t="inlineStr">
        <is>
          <t>Başvuru İspanya'ya girişten itibaren üç ay içinde yapılır; sertifika hemen verilir.</t>
        </is>
      </c>
      <c r="R110" s="29" t="inlineStr">
        <is>
          <t>Güncel resmî tarifeye göre 12,00 euro (kayıt sertifikası harcı).</t>
        </is>
      </c>
      <c r="S110" s="29" t="inlineStr">
        <is>
          <t>Beş yıl kesintisiz yasal ikametin ardından istek üzerine kalıcı oturum hakkı sertifikası (certificado del derecho a residir con carácter permanente) verilir. Bu belge AB/AEA/İsviçre vatandaşları içindir; Türk vatandaşı bu rejimin dışındadır. AB vatandaşının aile üyesi olarak gelen yabancılar için ayrı bir kart vardır: AB vatandaşının aile üyesi oturum kartı (tarjeta de residencia de familiar de un ciudadano de la Unión); harcı bu belgeyle aynı kalemdedir, 12,00 euro.</t>
        </is>
      </c>
      <c r="T110" s="29" t="n"/>
    </row>
    <row r="111" ht="54" customHeight="1">
      <c r="A111" s="29" t="inlineStr">
        <is>
          <t>marbella:tie-yabanci-kimlik-karti</t>
        </is>
      </c>
      <c r="B111" s="29" t="inlineStr">
        <is>
          <t>marbella</t>
        </is>
      </c>
      <c r="C111" s="29" t="inlineStr">
        <is>
          <t>tie-yabanci-kimlik-karti</t>
        </is>
      </c>
      <c r="D111" s="29" t="inlineStr">
        <is>
          <t>TIE (yabancı kimlik kartı) nasıl alınır, ne zamana kadar başvurulur?</t>
        </is>
      </c>
      <c r="E111" s="29" t="inlineStr">
        <is>
          <t>Altı aydan uzun izin ya da vize için hak ve yükümlülük; başvuru bir ay içinde şahsen yapılır</t>
        </is>
      </c>
      <c r="F111" s="29" t="inlineStr">
        <is>
          <t>Altı aydan uzun süreli bir vizen ya da izninin olması halinde TIE (Tarjeta de Identidad de Extranjero, yabancı kimlik kartı) hem hakkın hem yükümlülüğündür. Kartı kendin, şahsen istemelisin: süre, İspanya'ya girişinden ya da iznin verildiği veya yürürlüğe girdiği günden (Sosyal Güvenlik kaydına göre) itibaren bir aydır. İzin yenilendiyse yenileme kararının bildirilmesinden itibaren bir ay içinde yetkili polis karakoluna başvurursun. Güncel resmî tarifeye göre harç: ilk TIE 16,08 euro, yenileme TIE'si 19,30 euro, uzun süreli ikamet TIE'si 21,87 euro.</t>
        </is>
      </c>
      <c r="G111" s="29" t="inlineStr">
        <is>
          <t>TIE, tarjeta de identidad de extranjero, yabancı kimlik kartı, oturum kartı, tasa TIE, kart yenileme</t>
        </is>
      </c>
      <c r="H111" s="29" t="inlineStr">
        <is>
          <t>new;settled</t>
        </is>
      </c>
      <c r="I111" s="29" t="inlineStr">
        <is>
          <t>marbella:kaynak:004;marbella:kaynak:005</t>
        </is>
      </c>
      <c r="J111" s="49" t="n">
        <v>46319</v>
      </c>
      <c r="K111" s="51" t="n">
        <v>9002</v>
      </c>
      <c r="L111" s="29" t="inlineStr">
        <is>
          <t>Hayır</t>
        </is>
      </c>
      <c r="M111" s="29" t="inlineStr">
        <is>
          <t>Taslak</t>
        </is>
      </c>
      <c r="N111" s="29" t="inlineStr">
        <is>
          <t>marbella:oturum</t>
        </is>
      </c>
      <c r="O111" s="29" t="inlineStr">
        <is>
          <t>Vizenin ya da izninin altı aydan uzun olup olmadığına bak; uzunsa TIE'yi almak hem hakkın hem yükümlülüğündür.
TIE'yi kendin, şahsen iste: süre İspanya'ya girişinden ya da iznin verildiği/yürürlüğe girdiği günden itibaren bir aydır.
İznin yenilendiyse, yenileme kararının bildirilmesinden sonraki bir ay içinde yetkili polis karakoluna şahsen başvur.
Harcı güncel resmî tarifeye göre öde: ilk TIE 16,08 euro, yenileme TIE'si 19,30 euro, uzun süreli ikamet TIE'si 21,87 euro.
Kartı kimseye devretme; başvuru ve teslim işlemlerini kendin yürüt ve kartı özenle sakla.</t>
        </is>
      </c>
      <c r="P111" s="29" t="n"/>
      <c r="Q111" s="29" t="inlineStr">
        <is>
          <t>İspanya'ya girişten ya da iznin verildiği veya yürürlüğe girdiği günden itibaren bir ay; yenilemede karar bildiriminden itibaren bir ay.</t>
        </is>
      </c>
      <c r="R111" s="29" t="inlineStr">
        <is>
          <t>Güncel resmî tarifeye göre ilk TIE 16,08 euro, yenileme TIE'si 19,30 euro, uzun süreli ikamet TIE'si 21,87 euro; İspanyol vatandaşlarının aile üyeleri için geçici ikamet TIE'si 12 euro.</t>
        </is>
      </c>
      <c r="S111" s="29" t="inlineStr">
        <is>
          <t>TIE'nin süresi dayandığı iznin süresiyle aynıdır. Kartla ilgili yükümlülüklere uyulmaması Ley Orgánica 4/2000'deki yaptırım rejimine tabidir.</t>
        </is>
      </c>
      <c r="T111" s="29" t="n"/>
    </row>
    <row r="112" ht="54" customHeight="1">
      <c r="A112" s="29" t="inlineStr">
        <is>
          <t>marbella:ab-vatandasi-calisma-izni-gerekli-mi</t>
        </is>
      </c>
      <c r="B112" s="29" t="inlineStr">
        <is>
          <t>marbella</t>
        </is>
      </c>
      <c r="C112" s="29" t="inlineStr">
        <is>
          <t>ab-vatandasi-calisma-izni-gerekli-mi</t>
        </is>
      </c>
      <c r="D112" s="29" t="inlineStr">
        <is>
          <t>AB vatandaşı olarak İspanya'da çalışmak için çalışma izni gerekir mi?</t>
        </is>
      </c>
      <c r="E112" s="29" t="inlineStr">
        <is>
          <t>Hayır: AB/AEA vatandaşları İspanyollarla aynı koşullarda çalışır; Türk vatandaşı bu rejimin dışındadır</t>
        </is>
      </c>
      <c r="F112" s="29" t="inlineStr">
        <is>
          <t>Hayır, AB/AEA vatandaşı olarak İspanya'da çalışmak için ayrı bir çalışma izni gerekmez: Real Decreto 240/2007 kapsamındaki AB/AEA vatandaşları ve aile üyeleri, İspanyollarla aynı koşullarda ücretli ya da serbest çalışma, hizmet sunma veya öğrenim hakkına sahiptir. Üç aydan kısa kalacaksan geçerli pasaport ya da kimlik belgesi yeterlidir. Üç aydan uzun kalmak için ücretli ya da serbest çalışan olman bir kalma dayanağıdır; yeterli gelir ve sağlık sigortası ya da öğrenci olmak da dayanak olur. Türk vatandaşı bu rejimin dışındadır; yalnız AB/AEA vatandaşının eşi, kayıtlı partneri ya da yakını olarak onunla birlikte gelirse ya da ona katılırsa kapsama girebilir.</t>
        </is>
      </c>
      <c r="G112" s="29" t="inlineStr">
        <is>
          <t>AB vatandaşı, çalışma izni, AEA, Real Decreto 240/2007, serbest çalışma, trabajador por cuenta ajena, libre circulación</t>
        </is>
      </c>
      <c r="H112" s="29" t="inlineStr">
        <is>
          <t>planning;new</t>
        </is>
      </c>
      <c r="I112" s="29" t="inlineStr">
        <is>
          <t>marbella:kaynak:006</t>
        </is>
      </c>
      <c r="J112" s="49" t="n">
        <v>46319</v>
      </c>
      <c r="K112" s="51" t="n">
        <v>9003</v>
      </c>
      <c r="L112" s="29" t="inlineStr">
        <is>
          <t>Hayır</t>
        </is>
      </c>
      <c r="M112" s="29" t="inlineStr">
        <is>
          <t>Taslak</t>
        </is>
      </c>
      <c r="N112" s="29" t="inlineStr">
        <is>
          <t>marbella:oturum</t>
        </is>
      </c>
      <c r="O112" s="29" t="inlineStr">
        <is>
          <t>Üç aydan kısa kalacaksan geçerli pasaport ya da kimlik belgenle girişin yeterlidir.
Üç aydan uzun kalacaksan kalma dayanağını belirle: ücretli ya da serbest çalışan olmak, yeterli gelir ve tüm riskleri kapsayan sağlık sigortası, tanınmış bir okula kayıtlı öğrenci olmak ya da şartları taşıyan bir AB vatandaşının aile üyesi olmak.
Çalışırken her türlü ücretli ya da serbest faaliyette İspanyollarla aynı koşullarda olduğunu bil.
Aile üyelerin AB/AEA vatandaşı değilse onlar da seninle gelirken ya da sana katılırken aynı dayanaklara bağlı olarak kalma hakkı kazanır.</t>
        </is>
      </c>
      <c r="P112" s="29" t="n"/>
      <c r="Q112" s="29" t="n"/>
      <c r="R112" s="29" t="n"/>
      <c r="S112" s="29" t="n"/>
      <c r="T112" s="29" t="n"/>
    </row>
    <row r="113" ht="54" customHeight="1">
      <c r="A113" s="29" t="inlineStr">
        <is>
          <t>marbella:oturum-izni-yenileme</t>
        </is>
      </c>
      <c r="B113" s="29" t="inlineStr">
        <is>
          <t>marbella</t>
        </is>
      </c>
      <c r="C113" s="29" t="inlineStr">
        <is>
          <t>oturum-izni-yenileme</t>
        </is>
      </c>
      <c r="D113" s="29" t="inlineStr">
        <is>
          <t>İspanya'da çalışmasız geçici oturum izni (residencia no lucrativa) nasıl yenilenir? Başvuru süresi ve harç</t>
        </is>
      </c>
      <c r="E113" s="29" t="inlineStr">
        <is>
          <t>İzin başvurusunu bitişten önceki iki ay içinde yap (16,40 euro); kartı (TIE) karardan sonra polis biriminde ayrıca alırsın (19,30 euro)</t>
        </is>
      </c>
      <c r="F113" s="29" t="inlineStr">
        <is>
          <t>Çalışmasız geçici oturum izninin yenilenmesi iki ayrı işlemdir: önce izin başvurusu, karar bildirildikten sonra kart (TIE) başvurusu. İzin başvurusunu iznin bitişinden önceki iki ay içinde, EX-01 formuyla ve Política Territorial bakanlığının elektronik sedesinden (Mercurio) yaparsın; harç 790 modeli, 052 kodu, 2.2.1 başlığıdır (16,40 euro). Bu sürede başvurursan eski izin karar çıkana kadar geçerli kalır; bitişten sonraki üç ay içinde başvursan da kalır, ama yaptırım süreci açılabilir. Karar üç ay içinde verilir; süre dolarsa başvuru kabul edilmiş sayılabilir. Yenilenen izin iki yıl geçerlidir. Karar bildirilince bir ay içinde polis biriminde yenilenen kartını (TIE) ayrıca istersin; kart harcı 19,30 euro'dur.</t>
        </is>
      </c>
      <c r="G113" s="29" t="inlineStr">
        <is>
          <t>oturum izni yenileme, renovación, residencia no lucrativa, EX-01, tasa 790 052, TIE yenileme, oficina de extranjería, Mercurio</t>
        </is>
      </c>
      <c r="H113" s="29" t="inlineStr">
        <is>
          <t>settled</t>
        </is>
      </c>
      <c r="I113" s="29" t="inlineStr">
        <is>
          <t>marbella:kaynak:007;marbella:kaynak:002</t>
        </is>
      </c>
      <c r="J113" s="49" t="n">
        <v>46319</v>
      </c>
      <c r="K113" s="51" t="n">
        <v>9004</v>
      </c>
      <c r="L113" s="29" t="inlineStr">
        <is>
          <t>Hayır</t>
        </is>
      </c>
      <c r="M113" s="29" t="inlineStr">
        <is>
          <t>Taslak</t>
        </is>
      </c>
      <c r="N113" s="29" t="inlineStr">
        <is>
          <t>marbella:oturum</t>
        </is>
      </c>
      <c r="O113" s="29" t="inlineStr">
        <is>
          <t>Şartlar: iznin geçerli olmalı ya da bitişinin üzerinden en çok üç ay geçmiş olmalı; yenilenecek dönemin tamamı boyunca, çalışmadan, kendinin ve varsa ailenin geçim ve konaklama giderlerini karşılayacak yeterli maddi imkânın olmalı; sağlık sigortanı iznin süresince sürdürmüş olmalı ve sürdürmeye devam etmelisin; zorunlu eğitim çağındaki çocukların okula kayıtlı olmalı; takvim yılında 183 günden fazla İspanya'da gerçekten yaşamış olmalısın.
İzin başvurusunu iznin bitişinden önceki iki ay içinde elektronik yap: Política Territorial bakanlığının elektronik sedesinde (Mercurio) EX-01 formunu doldurup imzala; pasaportunun tam kopyasını, maddi imkân ve sağlık sigortası belgelerini ekle; zorunlu eğitim çağında çocuğun varsa bölge yetkililerinin verdiği okula kayıt raporunu da ekle.
Harcı öde: 790 modeli, 052 kodu, 2.2.1 başlığı, 16,40 euro. Başvuruyu elektronik yaptığın için harcı başvuruyu gönderirken ödersin.
Bitiş tarihini kaçırdıysan bitişten sonraki üç ay içinde başvur; başvuru yine eski izni karar çıkana kadar uzatır ama yaptırım süreci açılabilir.
Kararı üç ay içinde bekle; bildirim yapılmadan süre dolarsa başvuru kabul edilmiş sayılabilir ve istersen yenilemeyi gösteren belgeyi yetkili makamdan talep edersin. Yenilenen izin iki yıl geçerlidir; uzun süreli ikamet izni alma hakkın doğmuşsa iki yıl uygulanmaz.
Yenileme kararı bildirilince bir ay içinde şahsen polis birimine (Comisaría de Policía ya da yetkili polis servisi) git ve yenilenen kartını (TIE) iste; kart harcı 19,30 euro.
Ücretli ya da serbest çalışma izni yeniliyorsan izin başvurusu harcı aynı tarifenin 2.2.3 başlığıdır (16,40 euro); bunun yanında 81,54 euro çalışma izni harcı vardır, ücretli çalışmada bunu işveren öder.</t>
        </is>
      </c>
      <c r="P113" s="29" t="inlineStr">
        <is>
          <t>EX-01 formu
Pasaportun tam kopyası
Yeterli maddi imkânı gösteren belgeler
Sağlık sigortası belgesi
Zorunlu eğitim çağında çocuk varsa okula kayıt raporu (bölge yetkililerinden)
Başka ülkede düzenlenen belgelerin yeminli tercümesi; apostil ya da yasallaştırma
790 modeli, 052 kodu, 2.2.1 başlığı harç ödeme belgesi</t>
        </is>
      </c>
      <c r="Q113" s="29" t="inlineStr">
        <is>
          <t>İzin başvurusu iznin bitişinden önceki iki ay içinde (bitişten sonraki üç ay içinde de yapılabilir, yaptırım riskiyle); karar üç ay içinde; yenilenen izin iki yıl; kart (TIE) başvurusu karar bildiriminden sonra bir ay içinde.</t>
        </is>
      </c>
      <c r="R113" s="29" t="inlineStr">
        <is>
          <t>İzin yenileme başvurusu (790 modeli, 052 kodu, 2.2.1 başlığı): 16,40 euro; yenilenen kart (TIE): 19,30 euro; çalışma izni yenilemesinde ayrıca 81,54 euro çalışma izni harcı (ücretli çalışmada işveren öder). Tarife: Orden PJC/617/2025.</t>
        </is>
      </c>
      <c r="S113" s="29" t="inlineStr">
        <is>
          <t>Form, belge ve başvuru yolu bilgileri çalışmasız oturum izninin yenilenmesi içindir; çalışma izni yenilemesi için bu kartta yalnız harçlar verilir.</t>
        </is>
      </c>
      <c r="T113" s="29" t="n"/>
    </row>
    <row r="114" ht="54" customHeight="1">
      <c r="A114" s="29" t="inlineStr">
        <is>
          <t>marbella:aile-birlesimi-ile-oturum</t>
        </is>
      </c>
      <c r="B114" s="29" t="inlineStr">
        <is>
          <t>marbella</t>
        </is>
      </c>
      <c r="C114" s="29" t="inlineStr">
        <is>
          <t>aile-birlesimi-ile-oturum</t>
        </is>
      </c>
      <c r="D114" s="29" t="inlineStr">
        <is>
          <t>Aile birleşimi (reagrupación familiar) ile İspanya'ya nasıl gelinir?</t>
        </is>
      </c>
      <c r="E114" s="29" t="inlineStr">
        <is>
          <t>Reagrupante en az bir yıl oturmuş olmalı; gelir şartı genel olarak IPREM'in yüzde 150'si, ek kişi başına yüzde 50</t>
        </is>
      </c>
      <c r="F114" s="29" t="inlineStr">
        <is>
          <t>İspanya'da yasal yaşayan bir yabancı (reagrupante), eşini ya da evlilik benzeri ilişkideki partnerini, çocuklarını ve belirli koşullarda bakmakla yükümlü olduğu 65 yaş üstü birinci derece üstsoyunu yanına getirebilir. Süreç üç ayrı aşamadır. Önce reagrupante, oturduğu ilin yabancılar ofisine (Oficina de Extranjería) yüz yüze ya da elektronik olarak (Mercurio) EX-02 formuyla izin başvurusu yapar; harç 790 modeli, 052 kodu, 2.1.2 başlığıdır (10,94 euro). Karar olumluysa getirilen yakın, kararın bildiriminden sonra iki ay içinde kendi bulunduğu yerdeki İspanyol konsolosluğundan vize ister. İspanya'ya girdikten sonra bir ay içinde polis biriminde kimlik kartını (TIE) ayrıca ister; ilk kart harcı 16,08 euro'dur. Başvuru, reagrupante İspanya'da en az bir yıl oturmuş ve en az bir yıl daha oturum izni istemişse yapılabilir. Genel gelir şartı iki kişilik aile birimi için aylık IPREM'in yüzde 150'si, her ek kişi için yüzde 50'sidir; aile birimi biri çocuk iki kişiyse yıllık Ingreso Mínimo Vital (asgari geçim geliri) garantili tutarının yüzde 110'u, her ek çocuk için yüzde 10 fazlası istenir.</t>
        </is>
      </c>
      <c r="G114" s="29" t="inlineStr">
        <is>
          <t>aile birleşimi, reagrupación familiar, IPREM, reagrupante, EX-02, eş, çocuk, oturum izni, tasa 790 052</t>
        </is>
      </c>
      <c r="H114" s="29" t="inlineStr">
        <is>
          <t>planning</t>
        </is>
      </c>
      <c r="I114" s="29" t="inlineStr">
        <is>
          <t>marbella:kaynak:008;marbella:kaynak:002</t>
        </is>
      </c>
      <c r="J114" s="49" t="n">
        <v>46319</v>
      </c>
      <c r="K114" s="51" t="n">
        <v>9005</v>
      </c>
      <c r="L114" s="29" t="inlineStr">
        <is>
          <t>Hayır</t>
        </is>
      </c>
      <c r="M114" s="29" t="inlineStr">
        <is>
          <t>Taslak</t>
        </is>
      </c>
      <c r="N114" s="29" t="inlineStr">
        <is>
          <t>marbella:oturum</t>
        </is>
      </c>
      <c r="O114" s="29" t="inlineStr">
        <is>
          <t>Şart: reagrupante olarak İspanya'da en az bir yıl oturmuş ve en az bir yıl daha oturum izni istemiş olmalısın. İki istisna var: İspanya'da verilmiş uzun süreli ikamet iznin varsa kendi üstsoyunu ya da eşinin/partnerinin üstsoyunu getirirken bu şart aranmaz; başka bir AB ülkesindeki uzun süreli AB ikamet statün nedeniyle İspanya'da oturuyorsan da aranmaz. Yakınına izin, senin kendi iznin fiilen yenilenmeden (ya da uzun süreli iznin verilmeden) verilmez.
Getirebileceğin yakınlar: 18 yaşından büyük eş ya da evlilik benzeri ilişkideki partner (birden fazla eş ya da partner getirilemez; partnerlik bir AB ülkesindeki resmî sicile kayıtlı olmalı ya da en az 12 ay kesintisiz birlikte yaşamayla kanıtlanmalı, ortak çocuğunuz varsa bu süre aranmaz); senin ya da eşinin/partnerinin 18 yaşından küçük çocukları ve yasal temsilcisi olduğun 18 yaş altı kişiler (reşitler yalnız desteğe ihtiyaç duyan engelliyse ya da sağlık nedeniyle kendi geçimini sağlayamıyorsa); senin ya da eşinin/partnerinin bakmakla yükümlü olduğun 65 yaş üstü birinci derece üstsoyu, İspanya'da oturmasını gerekli kılan haklı bir gerekçe varsa (insani nedenle istisnai olarak 65 yaş altı üstsoy da); bakım derecen tanınmışsa sana bakacak reşit çocuğun ya da eşinin/partnerinin reşit çocuğu.
Gelirini, konutunu ve sağlık sigortanı göster. Gelir: genel kural iki kişilik aile birimi için aylık IPREM'in yüzde 150'si, her ek kişi için yüzde 50'si; aile birimi biri çocuk iki kişiyse yıllık Ingreso Mínimo Vital (asgari geçim geliri) garantili tutarının yüzde 110'u, her ek çocuk için yüzde 10 fazlası. Konut: bölge yönetiminin (bölge yetki verdiyse belediyenin) raporu, başvuru tarihinde en çok altı aylık olmalı; rapor istekten sonra bir ay içinde verilmezse konutu başka kanıtlarla gösterebilirsin. Sağlık sigortası hem sana hem getireceğin yakınlara.
İzin başvurusunu sen yap: oturduğun ilin yabancılar ofisinde yüz yüze ya da elektronik (Mercurio); EX-02 formu; harç 790 modeli, 052 kodu, 2.1.2 başlığı, 10,94 euro. Yüz yüze başvuruda harç on iş günü içinde, elektronik başvuruda başvuru gönderilirken ödenir.
Kararı iki ay içinde bekle; bu sürede bildirim çıkmazsa başvuru reddedilmiş sayılabilir.
Olumlu kararda getirilen yakın, bildirimden sonra iki ay içinde kendi yaşadığı yerdeki İspanyol konsolosluğundan şahsen vize ister (pasaport, 18 yaş üstüne sabıka kaydı, tıbbi rapor, akrabalık belgeleri); vize kararı bir ay içinde bildirilir, vizeyi bir ay içinde alır, aldıktan sonra bir ay içinde İspanya'ya girer.
İspanya'ya girdikten sonra bir ay içinde şahsen polis birimine (Comisaría de Policía) başvurup kimlik kartını (TIE) iste; ilk kart harcı 16,08 euro. Eş, partner ve çalışma yaşındaki çocuklar ayrıca işlem yapmadan çalışabilir.</t>
        </is>
      </c>
      <c r="P114" s="29" t="inlineStr">
        <is>
          <t>EX-02 formu (reagrupante imzalar)
Reagrupante: pasaport kopyası; iş sözleşmesi ve son altı aylık bordrolar ya da faaliyet belgesi; sağlık sigortası
Eş ya da partner getiriliyorsa: İspanya'da yanında başka bir eş ya da partner yaşamadığına dair reagrupante beyanı
Konut yeterliliği için bölge yönetiminin ya da yetkili belediyenin raporu (en çok altı aylık)
Getirilecek yakın: pasaport, akrabalık ya da partnerlik belgeleri
Üstsoy için: son bir yılda ona para gönderdiğini ya da masraflarını karşıladığını ve İspanya'da oturmasını gerekli kılan gerekçeyi gösteren belgeler
Başka ülkede düzenlenen belgelerin yeminli tercümesi (İspanyolca ya da başvuru bölgesinin resmî dili); resmî belgelerde İspanyol konsolosluğu tasdiki ya da Lahey apostili
790 modeli, 052 kodu, 2.1.2 başlığı harç ödeme belgesi
Vize için: en az dört ay geçerli pasaport; 18 yaş üstü için sabıka kaydı; tıbbi rapor; akrabalık belgelerinin aslı</t>
        </is>
      </c>
      <c r="Q114" s="29" t="inlineStr">
        <is>
          <t>Karar iki ay içinde; vize başvurusu karar bildiriminden sonra iki ay içinde; vize kararı bir ay içinde; vize bir ay içinde alınır, sonra bir ay içinde İspanya'ya girilir; TIE girişten sonra bir ay içinde; izin süresi reagrupante'nin izin bitişine kadar, en az bir yıl.</t>
        </is>
      </c>
      <c r="R114" s="29" t="inlineStr">
        <is>
          <t>İzin başvurusu (790 modeli, 052 kodu, 2.1.2 başlığı): 10,94 euro; ilk kart (TIE): 16,08 euro. Tarife: Orden PJC/617/2025.</t>
        </is>
      </c>
      <c r="S114" s="29" t="inlineStr">
        <is>
          <t>Çocuk ve temsil edilen kişiler için gelir şartı düşebilir: asgari ücrete eşit ya da daha yüksek istikrarlı bir gelir kaynağı yeterli sayılır.</t>
        </is>
      </c>
      <c r="T114" s="29" t="n"/>
    </row>
    <row r="115" ht="54" customHeight="1">
      <c r="A115" s="29" t="inlineStr">
        <is>
          <t>marbella:kalici-oturum-bes-yil</t>
        </is>
      </c>
      <c r="B115" s="29" t="inlineStr">
        <is>
          <t>marbella</t>
        </is>
      </c>
      <c r="C115" s="29" t="inlineStr">
        <is>
          <t>kalici-oturum-bes-yil</t>
        </is>
      </c>
      <c r="D115" s="29" t="inlineStr">
        <is>
          <t>Kalıcı oturum (AB uzun süreli ikamet, residencia de larga duración-UE) beş yılda nasıl alınır?</t>
        </is>
      </c>
      <c r="E115" s="29" t="inlineStr">
        <is>
          <t>Önce izin için yabancılar ofisine başvurulur (21,87 euro), kimlik kartı (TIE) izin verildikten sonra ayrıca alınır (21,87 euro)</t>
        </is>
      </c>
      <c r="F115" s="29" t="inlineStr">
        <is>
          <t>Son beş yıl boyunca İspanya'da yasal ve kesintisiz oturduysan AB uzun süreli ikamet izni (residencia de larga duración-UE) hakkın doğar; bu izin İspanyollarla aynı koşullarda süresiz oturma ve çalışma hakkı verir. Süreç iki ayrı işlemdir: önce izin başvurusu, karardan sonra kimlik kartı (TIE). İspanya'daysan izin başvurusunu oturduğun ilin yabancılar ofisine (Oficina de Extranjería) yüz yüze ya da elektronik olarak (Mercurio) EX-11 formuyla yaparsın; harç 790 modeli, 052 kodu, 2.6 başlığıdır (21,87 euro). Kesintisiz 6 aya kadar ve toplam 10 aya kadar İspanya dışında kalmak süreyi bozmaz; çalışma nedeniyle ayrılıklarda toplam sınır 18 aydır. Yeterli ve düzenli gelir ile sağlık sigortası da gerekir. Karar üç ay içinde verilir. İzin verildikten sonra bir ay içinde kimlik kartını (TIE) polis biriminde ayrıca istersin; kart harcı 21,87 euro'dur.</t>
        </is>
      </c>
      <c r="G115" s="29" t="inlineStr">
        <is>
          <t>kalıcı oturum, residencia de larga duración-UE, uzun süreli ikamet, beş yıl, EX-11, oficina de extranjería, TIE, süresiz oturum</t>
        </is>
      </c>
      <c r="H115" s="29" t="inlineStr">
        <is>
          <t>settled</t>
        </is>
      </c>
      <c r="I115" s="29" t="inlineStr">
        <is>
          <t>marbella:kaynak:009;marbella:kaynak:002</t>
        </is>
      </c>
      <c r="J115" s="49" t="n">
        <v>46319</v>
      </c>
      <c r="K115" s="51" t="n">
        <v>9006</v>
      </c>
      <c r="L115" s="29" t="inlineStr">
        <is>
          <t>Hayır</t>
        </is>
      </c>
      <c r="M115" s="29" t="inlineStr">
        <is>
          <t>Taslak</t>
        </is>
      </c>
      <c r="N115" s="29" t="inlineStr">
        <is>
          <t>marbella:oturum</t>
        </is>
      </c>
      <c r="O115" s="29" t="inlineStr">
        <is>
          <t>Şart: başvurudan önceki beş yıl İspanya'da yasal ve kesintisiz oturmuş olmalısın. Kesintisiz 6 aya kadar ve toplam 10 aya kadar İspanya dışında kalmak süreyi bozmaz; çalışma nedeniyle ayrılıklarda toplam sınır 18 aydır. Öğrenci olarak kalınan dönemler, başvuru anında oturum iznin varsa, yüzde 50 sayılır.
Kendi geçimin ve varsa bakmakla yükümlü olduğun ailenin geçimi için sabit ve düzenli gelirini belgelendir; gelir kendi kaynaklarından ya da çalışmandan olabilir. Aile birimi için ölçü: iki kişilik birimde IPREM'in yüzde 150'si, her ek kişi için yüzde 50 daha. Küçükler ve temsil edilen kişiler söz konusuysa bu tutar düşürülebilir: asgari ücrete (salario mínimo interprofesional) eşit ya da daha yüksek istikrarlı gelir yeterli sayılır; aile birimi biri çocuk iki kişiyse yıllık Ingreso Mínimo Vital (asgari geçim geliri) garantili tutarının yüzde 110'u, her ek çocuk için yüzde 10 fazlası istenir. Sağlık sigortası İspanyolların kapsandığı riskleri kapsayan kamu ya da özel sigorta olmalı; özel sigorta İspanya'da faaliyet izni olan bir sigorta şirketiyle yapılmış olmalı.
İspanya'da ve son beş yıl yaşadığın ülkelerde, İspanyol hukukunda da suç sayılan fiillerden sabıkan olmamalı; kamu düzeni, güvenlik ya da halk sağlığı için tehdit sayılmamalısın.
İzin başvurusunu yap: İspanya'daysan oturduğun ilin yabancılar ofisine yüz yüze ya da elektronik (Mercurio); İspanya'da değilsen oturduğun bölgenin İspanyol konsolosluğuna şahsen (konsolosluk dosyayı ofise iletir). EX-11 formu; harç 790 modeli, 052 kodu, 2.6 başlığı, 21,87 euro. Yüz yüze başvuruda harç on iş günü içinde ödenir (Orden PJC/617/2025'e göre süre başvurudan, bakanlığın sayfasına göre başvurunun işleme kabulünden itibaren işler); Mercurio'dan elektronik başvuruda harç başvuru gönderilirken ödenir.
Karar üç ay içinde verilir; süre dolarsa başvuru kabul edilmiş sayılabilir.
İzin verilince bir ay içinde şahsen polis birimine (Comisaría de Policía) git ve kimlik kartını (TIE) iste; kart harcı 21,87 euro.
Kartı ilk kez beş yıl sonra, sonra 30 yaşına kadar her beş yılda bir, 30 yaşından sonra on yılda bir yenilet; yenileme başvurusunu kartın bitişinden önceki iki ay içinde yap.</t>
        </is>
      </c>
      <c r="P115" s="29" t="inlineStr">
        <is>
          <t>EX-11 formu
Pasaportun tam kopyası, seyahat belgesi ya da cédula de inscripción
790 modeli, 052 kodu, 2.6 başlığı harç ödeme belgesi
Yeterli ve düzenli gelir belgesi
Sağlık sigortası belgesi
Gerekiyorsa sabıka kaydı (son beş yıl yaşadığın ülkelerden)</t>
        </is>
      </c>
      <c r="Q115" s="29" t="inlineStr">
        <is>
          <t>Karar üç ay içinde; TIE kararın bildiriminden sonra bir ay içinde istenir; TIE ilk kez beş yıl sonra, sonra 30 yaşına kadar beş yılda bir, 30 yaşından sonra on yılda bir yenilenir; kart yenileme başvurusu kartın bitişinden önceki iki ay içinde.</t>
        </is>
      </c>
      <c r="R115" s="29" t="inlineStr">
        <is>
          <t>İzin başvurusu harcı 21,87 euro (790 modeli, 052 kodu, 2.6 başlığı); kimlik kartı (TIE) harcı 21,87 euro (Orden PJC/617/2025 tarifesi).</t>
        </is>
      </c>
      <c r="S115" s="29" t="inlineStr">
        <is>
          <t>Kamu düzeni, güvenlik ya da halk sağlığı için tehdit görülürse ya da İspanyol hukukunda da suç sayılan bir fiilden sabıka kaydı varsa AB uzun süreli ikamet izni verilmez.</t>
        </is>
      </c>
      <c r="T115" s="29" t="n"/>
    </row>
    <row r="116" ht="54" customHeight="1">
      <c r="A116" s="29" t="inlineStr">
        <is>
          <t>marbella:arraigo-kok-salma-oturumu</t>
        </is>
      </c>
      <c r="B116" s="29" t="inlineStr">
        <is>
          <t>marbella</t>
        </is>
      </c>
      <c r="C116" s="29" t="inlineStr">
        <is>
          <t>arraigo-kok-salma-oturumu</t>
        </is>
      </c>
      <c r="D116" s="29" t="inlineStr">
        <is>
          <t>Arraigo (kök salma) ile oturum izni almak mümkün mü?</t>
        </is>
      </c>
      <c r="E116" s="29" t="inlineStr">
        <is>
          <t>Beş tür arraigo var; çoğunda iki yıl kesintisiz İspanya'da bulunmak gerekir. Sosyal arraigoda aile bağı varsa gelir şartı toplam IPREM'in yüzde 200'ü</t>
        </is>
      </c>
      <c r="F116" s="29" t="inlineStr">
        <is>
          <t>Arraigo, İspanya'da yaşayan ve ekonomik, sosyal, ailevi, çalışma ya da eğitim bağı olan yabancılara verilen geçici oturum izni türüdür. Beş türü var: ikinci fırsat, sosyal-çalışma (sociolaboral), sosyal, sosyal-eğitim (socioformativo) ve aile (familiar) arraigosu. İzin bir yıl geçerlidir; aile arraigosunda beş yıl. Aile arraigosu yalnız başka bir AB, AEA ya da İsviçre üyesi devletin vatandaşı olan küçük çocuğun anne, baba ya da vasisi (ya da böyle bir engelli kişiye destek veren yakını) içindir; çocuk Türk vatandaşıysa bu yol açık değildir. Diğer dört türde başvurudan önceki en az iki yıl kesintisiz İspanya'da bulunmuş olmalısın; aile arraigosunda asgari kalış süresi aranmaz. Başvuru bir izin başvurusudur: oturduğun ilin yabancılar ofisine (Oficina de Extranjería) yüz yüze ya da Política Territorial bakanlığının elektronik sedesinden (Mercurio), EX-10 formuyla yapılır; harç 790 modeli, 052 kodu, 2.3.1 başlığıdır: 38,28 euro (Orden PJC/617/2025 tarifesi). Karar çıktıktan sonra kimlik kartını (TIE) polis biriminde ayrıca istersin; ilk kartın harcı 16,08 euro. Real Decreto 316/2026 ile getirilen olağanüstü arraigo düzenlemesi (arraigo extraordinario) 30 Haziran 2026'da başvuruya kapandı.</t>
        </is>
      </c>
      <c r="G116" s="29" t="inlineStr">
        <is>
          <t>arraigo, kök salma, arraigo social, arraigo sociolaboral, EX-10, tasa 790 052, circunstancias excepcionales, iki yıl, oficina de extranjería</t>
        </is>
      </c>
      <c r="H116" s="29" t="inlineStr">
        <is>
          <t>settled</t>
        </is>
      </c>
      <c r="I116" s="29" t="inlineStr">
        <is>
          <t>marbella:kaynak:005;marbella:kaynak:010;marbella:kaynak:002</t>
        </is>
      </c>
      <c r="J116" s="49" t="n">
        <v>46319</v>
      </c>
      <c r="K116" s="51" t="n">
        <v>9007</v>
      </c>
      <c r="L116" s="29" t="inlineStr">
        <is>
          <t>Hayır</t>
        </is>
      </c>
      <c r="M116" s="29" t="inlineStr">
        <is>
          <t>Taslak</t>
        </is>
      </c>
      <c r="N116" s="29" t="inlineStr">
        <is>
          <t>marbella:oturum</t>
        </is>
      </c>
      <c r="O116" s="29" t="inlineStr">
        <is>
          <t>Hangi arraigo türüne uyduğunu belirle: ikinci fırsat, sosyal-çalışma, sosyal, sosyal-eğitim ya da aile.
Genel şartlar: İspanya'da olmalı ve uluslararası koruma başvurusu sahibi olmamalısın; başvurudan önceki en az iki yıl kesintisiz İspanya'da bulunmuş olmalısın (yalnız aile arraigosunda süre şartı yok); kamu düzeni için tehdit oluşturmamalısın; İspanya'da ve İspanya'ya girişinden önceki beş yıl içinde yaşadığın ülkelerde sabıkan olmamalı; harcı ödemiş olmalısın. İspanya'da son beş yıldır kesintisiz bulunuyorsan başka ülkelerdeki sabıka kaydı istenmez. Sosyal arraigoda bu iki yıl içinde İspanya dışında kalan günlerin toplamı 90 günü geçmemeli.
Türüne özel şartı sağla: sosyal-çalışmada toplamı haftada en az yirmi saat eden bir ya da birden fazla iş sözleşmesi; ücret, başvuru anındaki asgari ücret ya da geçerli toplu sözleşme ücreti üzerinden çalışılan saatle orantılı olarak en az bu düzeyde olmalı; ikinci fırsatta başvurudan önceki iki yıl içinde, olağanüstü durum dışında verilmiş bir oturum izninin sahibi olmuş olmak (bu iznin yenilenmemesinin nedeni kamu düzeni, güvenlik ya da halk sağlığı olmamalı); sosyal-eğitimde zorunlu eğitimden sonraki lise düzeyindeki eğitime (educación secundaria postobligatoria), tam bir mesleki sertifika programına ya da yetişkinler için zorunlu eğitim derslerine kayıtlı olmak ya da İspanya'daki kamu istihdam servislerinin (Servicios Públicos de Empleo) düzenlediği, zor doldurulan meslekler kataloğundaki (catálogo de ocupaciones de difícil cobertura) işlere yönelik bir eğitimi yapmayı taahhüt etmek ve sosyal uyum raporu sunmak; kaydını izin kararının bildiriminden sonraki üç ay içinde yabancılar ofisine belgelemezsen ya da taahhüt ettiğin eğitimi yaptığını belgelemezsen izin sona erer; aile arraigosunda başka bir AB, AEA ya da İsviçre üyesi devletin vatandaşı küçük çocuğun anne, baba ya da vasisi olmak, çocuğa bakmak ve onunla birlikte yaşamak ya da velayet yükümlülüklerini yerine getirmek.
Sosyal arraigoda iki yoldan biri geçerlidir. Aile bağı yolunda İspanya'da oturum izni olan eşin ya da kayıtlı partnerin ya da birinci derece doğrudan yakının (ana, baba, çocuk) olmalı; gelir şartı toplam IPREM'in yüzde 200'üdür: bağ kurduğun yasal ikameti olan akraba için yüzde 100, arraigo isteyen sen için yüzde 100; hanede kaç kişi olursa olsun. Real Decreto 1155/2024'e göre bu gelir İspanya'da bulunmalı ve bu akrabalardan gelebilir (bakanlığın arraigo bilgi sayfası gelirin bu akrabalardan geleceğini yazar); yönetmeliğin 84. maddesindeki şartları sağlıyorsan gelirin kendi serbest çalışmandan (cuenta propia) gelebilir. Aile bağın yoksa yaşadığın yerdeki bölge yönetiminin ya da belediyenin verdiği sosyal uyum raporu gerekir; rapor istekten itibaren bir ay içinde verilir.
EX-10 formunu doldur ve belgeleri hazırla: pasaportun, seyahat belgenin ya da cédula de inscripción'un tam kopyası; iki yıllık kesintisiz kalışını gösteren belge (ör. empadronamiento, hastane ya da kamu sağlık kaydı, resmî kurum belgeleri); sabıka kaydı; sosyal arraigoda güncel aile bağı belgesi ya da uyum raporu ve gelir belgesi. Başka ülkede düzenlenen belgeleri yeminli tercümana (traductor jurado) İspanyolcaya ya da başvuru bölgesinin resmî diline çevirt; resmî belgelerde İspanyol konsolosluğu tasdiki ya da Lahey apostili gerekir.
Başvuruyu kendin yap (küçükler ve yasal ehliyetini kullanmak için desteğe ihtiyaç duyan engelliler adına yasal temsilci yapar): oturduğun ilin yabancılar ofisinde yüz yüze ya da Política Territorial bakanlığının elektronik sedesinde (Mercurio). Harcı 790 modeli, 052 kodu, 2.3.1 başlığıyla ödersin (38,28 euro, Orden PJC/617/2025 tarifesi); harç on iş günü içinde ödenir.
Sosyal arraigoda karar üç ay içinde verilir; bu sürede bildirim çıkmazsa başvuru reddedilmiş sayılabilir. İzin çalışma hakkı da verir; sosyal-eğitim arraigosunda yalnız ücretli olarak ve haftada toplam en çok otuz saat çalışabilirsin. Sosyal-çalışma arraigosunda başvurun işleme kabul edilince karar çıkana kadar geçici olarak oturabilir ve ücretli çalışabilirsin; izin verilirse, bildirimden sonra bir ay içinde Sosyal Güvenlik'e kaydolursan (alta) geçerlilik kazanır. Karar bildirilince bir ay içinde polis biriminde kimlik kartını (TIE) ayrıca iste; ilk kartın harcı 16,08 euro.</t>
        </is>
      </c>
      <c r="P116" s="29" t="inlineStr">
        <is>
          <t>EX-10 formu (olağanüstü durumlar nedeniyle ikamet/ikamet ve çalışma izni)
790 modeli, 052 kodu, 2.3.1 başlığı harç ödeme belgesi
Pasaportun, seyahat belgesinin ya da cédula de inscripción'un tam kopyası
En az iki yıllık kesintisiz kalışı gösteren belge (ör. empadronamiento, hastane ya da kamu sağlık kaydı)
İspanya'ya girişten önceki beş yıl yaşanan ülkelerden sabıka kaydı
Sosyal arraigoda: aile bağı belgesi (güncel evlilik ya da partner kaydı belgesi, doğum belgesi) ya da sosyal uyum raporu; gelir belgesi
Başka ülkede düzenlenen belgelerin yeminli tercümesi; resmî belgelerde İspanyol konsolosluğu tasdiki ya da Lahey apostili</t>
        </is>
      </c>
      <c r="Q116" s="29" t="inlineStr">
        <is>
          <t>İzin bir yıl geçerlidir; aile arraigosunda (yalnız AB/AEA/İsviçre vatandaşı çocuğun anne, baba ya da vasisi için) beş yıl. Sosyal arraigoda karar üç ay içinde; TIE karar bildiriminden sonra bir ay içinde istenir.</t>
        </is>
      </c>
      <c r="R116" s="29" t="inlineStr">
        <is>
          <t>Harç: 790 modeli, 052 kodu, 2.3.1 başlığı (arraigo izin başvurusu): 38,28 euro; başvuran öder. İzin verilince ilk kimlik kartı (TIE) harcı: 16,08 euro. Tarife: Orden PJC/617/2025.</t>
        </is>
      </c>
      <c r="S116" s="29" t="inlineStr">
        <is>
          <t>Real Decreto 316/2026 ile 16 Nisan 2026'dan itibaren geçerli bir şart daha eklendi: başvuru anında bir ikamet ya da kalış iznine sahip olmamalı ve bunların verilmesi, uzatılması, yenilenmesi ya da değiştirilmesi için süren bir işlemin tarafı olmamalısın.</t>
        </is>
      </c>
      <c r="T116" s="29" t="n"/>
    </row>
    <row r="117" ht="54" customHeight="1">
      <c r="A117" s="29" t="inlineStr">
        <is>
          <t>marbella:dijital-gocebe-vizesi</t>
        </is>
      </c>
      <c r="B117" s="29" t="inlineStr">
        <is>
          <t>marbella</t>
        </is>
      </c>
      <c r="C117" s="29" t="inlineStr">
        <is>
          <t>dijital-gocebe-vizesi</t>
        </is>
      </c>
      <c r="D117" s="29" t="inlineStr">
        <is>
          <t>Dijital göçebe (uzaktan çalışma, teletrabajo) vizesi nedir, şartları neler?</t>
        </is>
      </c>
      <c r="E117" s="29" t="inlineStr">
        <is>
          <t>Gelir şartı yıllık asgari ücretin yüzde 200'ü; İstanbul Başkonsolosluğu'nun Türkiye'ye özgü şartları da var</t>
        </is>
      </c>
      <c r="F117" s="29" t="inlineStr">
        <is>
          <t>Uzaktan çalışma (teletrabajo) vizesi, yabancı bir şirketle çalışanlar ya da kendi hesabına uzaktan çalışanlar içindir. İstanbul Başkonsolosluğu'nun sayfasına göre başvuruda şunlar aranıyor: yabancı bir şirketle en az üç aylık çalışma ya da mesleki ilişki, o şirketin gerçek ve sürekli faaliyeti, asgari ücretin (SMI) yüzde 200'ü kadar gelir (aile üyelerinden ilki için yüzde 75, diğerleri için yüzde 25), sabıka kaydı, İspanya'da yetkili bir sigortacıdan sağlık sigortası ve lisans/yüksek lisans diploması ya da en az üç yıllık mesleki deneyim. Asgari ücret (SMI) 2026'da ayda 1.221 euro, günlük 40,70 euro olarak belirlendi; aynı kararda asgari ücretin yıllık tutarı en az 17.094 euro. Yıllık tutarın yüzde 200'ü 34.188 euro eder. İstanbul Başkonsolosluğu sayfası yalnız yüzde oranını yazıyor; tutarı ya da hesap yöntemini göstermiyor.</t>
        </is>
      </c>
      <c r="G117" s="29" t="inlineStr">
        <is>
          <t>dijital göçebe, teletrabajo vizesi, nomad visa, uzaktan çalışma, Ley 14/2013, SMI, İstanbul Başkonsolosluğu</t>
        </is>
      </c>
      <c r="H117" s="29" t="inlineStr">
        <is>
          <t>planning</t>
        </is>
      </c>
      <c r="I117" s="29" t="inlineStr">
        <is>
          <t>marbella:kaynak:011;marbella:kaynak:012</t>
        </is>
      </c>
      <c r="J117" s="49" t="n">
        <v>46319</v>
      </c>
      <c r="K117" s="51" t="n">
        <v>9008</v>
      </c>
      <c r="L117" s="29" t="inlineStr">
        <is>
          <t>Hayır</t>
        </is>
      </c>
      <c r="M117" s="29" t="inlineStr">
        <is>
          <t>Taslak</t>
        </is>
      </c>
      <c r="N117" s="29" t="inlineStr">
        <is>
          <t>marbella:oturum</t>
        </is>
      </c>
      <c r="O117" s="29" t="inlineStr">
        <is>
          <t>Yabancı şirketle (kendi hesabına çalışıyorsan faaliyetinle) ilişkinin en az üç aydır sürdüğünü gösteren belgeyi hazırla; şirketin uzaktan çalışma iznini ve şirketin gerçek, sürekli faaliyetini gösteren belgeleri ekle. Faaliyet için şirketin ticaret sicil belgesi ve önceki yıla ait gelir ya da kâr beyanı belgesi (Türkiye'deyse Türk vergi dairesinden) istenir.
Gelirini göster: başvuran için yıllık asgari ücretin (SMI; 2026'da yıllık 17.094 euro) yüzde 200'ü, yani yıllık 34.188 euro; aile üyelerinden ilki için yüzde 75, diğerleri için yüzde 25. 18 yaşından büyük altsoy ve üstsoy için ayrıca kendi hanesini kurmamış olmak ve ekonomik olarak sana bağımlı olduklarını göstermek gerekir.
İspanya'da faaliyet gösterme yetkisi olan bir sigortacıdan seyahat sigortası olmayan, Ulusal Sağlık Sistemi'ne denk kapsamlı sağlık sigortası yaptır.
Sabıka kaydını (son iki yılda yaşadığın ülkelerden, onaylı) ve son beş yılda sabıkan olmadığına dair beyanı hazırla.
Lisans ya da yüksek lisans diplomanı ya da en az üç yıllık denk mesleki deneyim belgeni hazırla; düzenlenmiş bir meslekse diploma denkliğini göster.
Türkiye'den başvuruyorsan ikametgâh belgeni (Ikametgah Tezkeresi) hazırla, vize ücretini (94 USD) nakit ve tam tutar getir; Türkiye'de yabancı olarak yaşıyorsan geçerli bir uzun süreli ikamet izni göster. Pasaportun planladığın kalıştan sonra en az üç ay geçerli olmalı.
Başvuru anında NIE'ye sahip ol; başka dillerdeki belgeler yeminli tercümeyle, yabancı resmî belgeler ise onaylı ya da apostilli olmalı.</t>
        </is>
      </c>
      <c r="P117" s="29" t="inlineStr">
        <is>
          <t>Geçerli pasaport (planlanan kalıştan sonra en az üç ay geçerli)
Ikametgâh belgesi (Ikametgah Tezkeresi)
Yabancı şirketle en az üç aylık çalışma ya da mesleki ilişki belgesi ve uzaktan çalışma izni
Şirketin gerçek ve sürekli faaliyetini gösteren belgeler
Gelir belgesi (yıllık asgari ücretin yüzde 200'ü)
Sabıka kaydı (son iki yıl) ve son beş yıla ilişkin beyan
Sağlık sigortası belgesi
Diploma ya da en az üç yıllık mesleki deneyim belgesi
Yeminli tercüme ve onay/apostil (yabancı belgeler için)</t>
        </is>
      </c>
      <c r="Q117" s="29" t="n"/>
      <c r="R117" s="29" t="inlineStr">
        <is>
          <t>Vize ücreti 94 USD, nakit ve tam tutar (İstanbul Başkonsolosluğu sayfası, 7 Ocak 2025 tarihli).</t>
        </is>
      </c>
      <c r="S117" s="29" t="inlineStr">
        <is>
          <t>Şart listesi İstanbul Başkonsolosluğu'nun 7 Ocak 2025 tarihli sayfasındandır; vize ücreti ve diğer şartlar sonradan değişmiş olabilir. Asgari ücret tutarı 2026 yılı içindir.</t>
        </is>
      </c>
      <c r="T117" s="29" t="n"/>
    </row>
    <row r="118" ht="54" customHeight="1">
      <c r="A118" s="29" t="inlineStr">
        <is>
          <t>marbella:kar-amaci-gutmeyen-oturum-vizesi</t>
        </is>
      </c>
      <c r="B118" s="29" t="inlineStr">
        <is>
          <t>marbella</t>
        </is>
      </c>
      <c r="C118" s="29" t="inlineStr">
        <is>
          <t>kar-amaci-gutmeyen-oturum-vizesi</t>
        </is>
      </c>
      <c r="D118" s="29" t="inlineStr">
        <is>
          <t>Kar amacı gütmeyen oturum vizesi (NLV, non-lucrative visa) nedir, şartları neler?</t>
        </is>
      </c>
      <c r="E118" s="29" t="inlineStr">
        <is>
          <t>Çalışmadan İspanya'da yaşamak için; gelir şartı IPREM'in yüzde 400'ü, 2026'da ayda 2.400 euro</t>
        </is>
      </c>
      <c r="F118" s="29" t="inlineStr">
        <is>
          <t>Kar amacı gütmeyen oturum vizesi (visado de residencia no lucrativa), çalışma ya da meslek faaliyeti yürütmeden İspanya'da yaşamak isteyenler içindir; geçimini sağlayacak yeterli ve garantili kaynağın olması gerekir. Bu vize çalışma izni vermez. Vizeyi seninle birlikte eşin, kayıtlı partnerin ya da kanıtlanmış kalıcı partnerin ve reşit olmayan evlenmemiş çocukların da alabilir; reşit çocuklar yalnız engelliyse ya da sağlık nedeniyle kendi geçimini sağlayamıyorsa kapsanır (İstanbul Başkonsolosluğu'nun listesi). Yeni Delhi Büyükelçiliği'nin İngilizce sayfası bunlara ek olarak bakmakla yükümlü olunan ve aile biriminin parçası olan üstsoyu (ör. anne, baba) da sayar; İstanbul Başkonsolosluğu'nun listesinde anne ve baba yok, başvurunu bu listeye göre hazırla. İstanbul Başkonsolosluğu'nun sayfasına göre gelir şartı IPREM'in yüzde 400'üdür; bakmakla yükümlü olduğun her aile bireyi için IPREM'in yüzde 100'ü eklenir. 2026 için İspanyol dış temsilciliklerinden birinin sayfasında verilen tutar: başvuran için ayda 2.400 euro, her aile bireyi için ayda 600 euro. Aynı sayfa ilk yıl (12 ay) için yeterli maddi imkân ya da düzenli gelir ister.</t>
        </is>
      </c>
      <c r="G118" s="29" t="inlineStr">
        <is>
          <t>NLV, non-lucrative visa, residencia no lucrativa, çalışmadan oturum, IPREM, 2.400 euro, sağlık sigortası</t>
        </is>
      </c>
      <c r="H118" s="29" t="inlineStr">
        <is>
          <t>planning</t>
        </is>
      </c>
      <c r="I118" s="29" t="inlineStr">
        <is>
          <t>marbella:kaynak:013;marbella:kaynak:014;marbella:kaynak:002</t>
        </is>
      </c>
      <c r="J118" s="49" t="n">
        <v>46319</v>
      </c>
      <c r="K118" s="51" t="n">
        <v>9009</v>
      </c>
      <c r="L118" s="29" t="inlineStr">
        <is>
          <t>Hayır</t>
        </is>
      </c>
      <c r="M118" s="29" t="inlineStr">
        <is>
          <t>Taslak</t>
        </is>
      </c>
      <c r="N118" s="29" t="inlineStr">
        <is>
          <t>marbella:oturum</t>
        </is>
      </c>
      <c r="O118" s="29" t="inlineStr">
        <is>
          <t>Gelirini göster: ilk yıl İspanya'daki giderlerini karşılayacak maddi imkânı ya da düzenli gelir kaynağını belgele; asgari tutar IPREM'in yüzde 400'ü, bakmakla yükümlü olduğun her aile bireyi için ayrıca yüzde 100'ü (2026'da ayda 2.400 euro ve aile bireyi başına 600 euro).
İspanya'da faaliyet gösterme yetkisi olan bir sigortacıdan, İspanya kamu sağlık sisteminin kapsadığı tüm riskleri kapsayan sağlık sigortası yaptır.
Cezai ehliyet yaşındaysan (mayor de edad penal) son 5 yılda yaşadığın ülke ya da ülkelerden sabıka kaydı al; ayrıca halk sağlığı için ciddi sonuç doğuracak bir hastalığın olmadığını gösteren tıbbi rapor al.
Pasaportunun en az 1 yıl geçerli olduğundan ve iki boş sayfası bulunduğundan emin ol; 10 yıldan eski pasaport kabul edilmez.
Ulusal vize başvuru formunu ve EX-01 formunu doldur; oturum izni harcı için 790 kodu 052 formunu (2.1 başlıklı, ilk geçici oturum izni; kar amacı gütmeyen oturum için 2.1.1 alt başlığı, 10,94 euro) iki nüsha doldurup imzala ya da internetten öde. Yabancı belgeler apostilli ya da onaylı, İspanyolca değilse tercümeli olmalı.
Başvurduğun konsolosluğun bölgesinde oturduğunu belgele. İstanbul Başkonsolosluğu bölgesinde başvuru BLS International ofisine, internetten alınan ön randevuyla şahsen verilir ve BLS'ye hizmet ücreti ödenir; Yeni Delhi Büyükelçiliği'nde ise başvuru randevuyla doğrudan konsolosluk bölümüne verilir.
Vize verildikten sonra İspanya'ya girişinden itibaren 1 ay içinde yabancılar ofisinde ya da polis karakolunda kimlik kartını (TIE) iste.</t>
        </is>
      </c>
      <c r="P118" s="29" t="inlineStr">
        <is>
          <t>Ulusal vize başvuru formu ve EX-01 formu
Yakın tarihli fotoğraf
En az 1 yıl geçerli, iki boş sayfalı pasaport (aslı ve biyometrik sayfa fotokopisi)
Gelir belgeleri
Sağlık sigortası belgesi
Sabıka kaydı (son 5 yıl; cezai ehliyet yaşındaki başvuranlar)
Tıbbi rapor
Konsolosluk bölgesinde ikamet belgesi
790 kodu 052 harç formu (2.1 başlıklı)
Aile bireyleri için: nüfus kaydından doğum ya da evlilik belgesi, partnerlik kaydı ya da kayıtsız partnerliği gösteren başka belge (apostilli ya da onaylı, İspanyolca değilse tercümeli)</t>
        </is>
      </c>
      <c r="Q118" s="29" t="inlineStr">
        <is>
          <t>Karar süresi: İstanbul Başkonsolosluğu'nun sayfasına göre vize kararı, oturum izni olumlu çıktıktan sonraki günden itibaren 1 ay içinde; Yeni Delhi Büyükelçiliği'nin sayfasına göre başvurudan sonraki günden itibaren 3 ay (mülakat ya da ek belge istenirse uzayabilir). Vizenin geçerliliği: İstanbul Başkonsolosluğu'nun sayfasına göre 365 gün, Yeni Delhi Büyükelçiliği'nin sayfasına göre 90 gün. İki sayfaya göre de İspanya'ya girdikten sonra 1 ay içinde TIE istersin.</t>
        </is>
      </c>
      <c r="R118" s="29" t="inlineStr">
        <is>
          <t>Oturum izni harcı: 790 modeli, 052 kodu, 2.1 başlığı (ilk geçici oturum izni), 2.1.1 alt başlığı (kar amacı gütmeyen oturum; başvuran ve aile bireyleri): 10,94 euro (Orden PJC/617/2025 tarifesi). Yeni Delhi Büyükelçiliği'nin sayfası vize harcını ayrı bir kalem olarak sayar. İstanbul Başkonsolosluğu bölgesinde başvuru BLS International'a verildiğinde ayrıca hizmet ücreti ödenir.</t>
        </is>
      </c>
      <c r="S118" s="29" t="inlineStr">
        <is>
          <t>Vize ve ilk oturum izni başvurusu birlikte işlem görür; kimlik kartı (TIE) vize verildikten ve İspanya'ya girildikten sonra ayrı bir işlemdir. Aylık 2.400 ve 600 euro tutarları 2026 içindir.</t>
        </is>
      </c>
      <c r="T118" s="29" t="n"/>
    </row>
    <row r="119" ht="54" customHeight="1">
      <c r="A119" s="29" t="inlineStr">
        <is>
          <t>marbella:altin-vize-sona-erdi</t>
        </is>
      </c>
      <c r="B119" s="29" t="inlineStr">
        <is>
          <t>marbella</t>
        </is>
      </c>
      <c r="C119" s="29" t="inlineStr">
        <is>
          <t>altin-vize-sona-erdi</t>
        </is>
      </c>
      <c r="D119" s="29" t="inlineStr">
        <is>
          <t>Altın vize (golden visa) hâlâ geçerli mi?</t>
        </is>
      </c>
      <c r="E119" s="29" t="inlineStr">
        <is>
          <t>Hayır: yatırımcı oturum vizeleri 3 Nisan 2025'te kaldırıldı; eski başvuru ve izinler için geçiş kuralları var</t>
        </is>
      </c>
      <c r="F119" s="29" t="inlineStr">
        <is>
          <t>Hayır. Ley Orgánica 1/2025, 3 Nisan 2025'te yürürlüğe girdi ve yatırımcı oturum vizelerini tümüyle kaldırdı; 500.000 euroyu aşan gayrimenkul yatırımına bağlı oturumlar da bunun içinde. Yürürlük tarihinden önce başvuru yapmış yatırımcılar ve aileleri, başvuru tarihinde geçerli kurallara göre vize ya da izin alabiliyor. Geçerli yatırımcı vizesi ya da izni olanlar, verildikleri süre boyunca geçerliliklerini koruyor; yenileme başvuruları da ilk iznin verildiği tarihteki kurallara göre işleniyor.</t>
        </is>
      </c>
      <c r="G119" s="29" t="inlineStr">
        <is>
          <t>altın vize, golden visa, yatırımcı vizesi, Ley 14/2013, Ley Orgánica 1/2025, gayrimenkul yatırımı, 500.000 euro</t>
        </is>
      </c>
      <c r="H119" s="29" t="inlineStr">
        <is>
          <t>before;planning</t>
        </is>
      </c>
      <c r="I119" s="29" t="inlineStr">
        <is>
          <t>marbella:kaynak:015;marbella:kaynak:016</t>
        </is>
      </c>
      <c r="J119" s="49" t="n">
        <v>46319</v>
      </c>
      <c r="K119" s="51" t="n">
        <v>9010</v>
      </c>
      <c r="L119" s="29" t="inlineStr">
        <is>
          <t>Hayır</t>
        </is>
      </c>
      <c r="M119" s="29" t="inlineStr">
        <is>
          <t>Taslak</t>
        </is>
      </c>
      <c r="N119" s="29" t="inlineStr">
        <is>
          <t>marbella:oturum</t>
        </is>
      </c>
      <c r="O119" s="29" t="inlineStr">
        <is>
          <t>Gayrimenkul ya da başka bir yatırım yoluyla oturum planlıyorsan 3 Nisan 2025'ten beri yeni başvuru yolu yok; bu seçeneği planından çıkar.
3 Nisan 2025'ten önce başvuru yaptıysan başvurun, başvuru tarihinde yürürlükte olan kurallara göre sonuçlanabilir.
Geçerli bir yatırımcı vizen ya da iznin varsa verildiği süre boyunca geçerliliğini korur.
Yenileme istiyorsan başvurun, ilk iznin verildiği tarihte yürürlükte olan kurallara göre işlenir.</t>
        </is>
      </c>
      <c r="P119" s="29" t="n"/>
      <c r="Q119" s="29" t="inlineStr">
        <is>
          <t>Yürürlük tarihi: 3 Nisan 2025.</t>
        </is>
      </c>
      <c r="R119" s="29" t="n"/>
      <c r="S119" s="29" t="inlineStr">
        <is>
          <t>Kaldırılan hükümler Ley 14/2013'ün 63 ile 67. maddeleridir; Ley Orgánica 1/2025 bu maddeleri içeriksiz bıraktı.</t>
        </is>
      </c>
      <c r="T119" s="29" t="n"/>
    </row>
    <row r="120" ht="54" customHeight="1">
      <c r="A120" s="29" t="inlineStr">
        <is>
          <t>marbella:ogrenci-oturumuyla-calisma-hakki</t>
        </is>
      </c>
      <c r="B120" s="29" t="inlineStr">
        <is>
          <t>marbella</t>
        </is>
      </c>
      <c r="C120" s="29" t="inlineStr">
        <is>
          <t>ogrenci-oturumuyla-calisma-hakki</t>
        </is>
      </c>
      <c r="D120" s="29" t="inlineStr">
        <is>
          <t>Öğrenci oturumuyla İspanya'da çalışma hakkın var mı?</t>
        </is>
      </c>
      <c r="E120" s="29" t="inlineStr">
        <is>
          <t>Haftada en çok 30 saat; işin eğitimle bağdaşması ve izinde belirtilen özerk bölgeyle sınırlı olması gerekir</t>
        </is>
      </c>
      <c r="F120" s="29" t="inlineStr">
        <is>
          <t>Uzun süreli öğrenci kalış iznin varsa ücretli ya da kendi hesabına çalışmak için izin istenebilir; iş, asıl amacın olan eğitimle bağdaşmalı. Madde 52.1.a kapsamındaki (yükseköğrenim) kalış izinleri, eğitimle bağdaşan işte çalışmaya ek bir işlem olmadan otomatik izin verir. Çalışma genel olarak haftada en çok 30 saat olabilir; bu sınırı aşmak kalış izninin sona ermesine yol açar. İzin, verildiği özerk bölgeyle sınırlıdır; komşu bölgelerdeki sınır yerlerinde çalışılabilir.</t>
        </is>
      </c>
      <c r="G120" s="29" t="inlineStr">
        <is>
          <t>öğrenci izni, öğrenci vizesi, çalışma hakkı, 30 saat, estancia por estudios, Real Decreto 1155/2024, staj</t>
        </is>
      </c>
      <c r="H120" s="29" t="inlineStr">
        <is>
          <t>settled</t>
        </is>
      </c>
      <c r="I120" s="29" t="inlineStr">
        <is>
          <t>marbella:kaynak:005</t>
        </is>
      </c>
      <c r="J120" s="49" t="n">
        <v>46319</v>
      </c>
      <c r="K120" s="51" t="n">
        <v>9011</v>
      </c>
      <c r="L120" s="29" t="inlineStr">
        <is>
          <t>Hayır</t>
        </is>
      </c>
      <c r="M120" s="29" t="inlineStr">
        <is>
          <t>Taslak</t>
        </is>
      </c>
      <c r="N120" s="29" t="inlineStr">
        <is>
          <t>marbella:oturum</t>
        </is>
      </c>
      <c r="O120" s="29" t="inlineStr">
        <is>
          <t>İznin madde 52.1.a kapsamındaki yükseköğrenim izni olup olmadığına bak; öyleyse eğitimle bağdaşan işte ek işlem olmadan çalışabilirsin.
Diğer öğrenci izinlerinde işveren ya da sen çalışma izni başvurusu yap; işveren için madde 74 şartları (a, c'nin ikinci fıkrası ve h hariç) aranır.
Kendi hesabına çalışacaksan ilgili başvuruyu yap; madde 84 şartları (d ve e hariç) aranır.
Haftalık çalışmanı 30 saatin altında tut; genel kural böyledir ve aşılırsa kalış izni sona erer.
İşini, izninin verildiği özerk bölgede ya da onun komşu yerlerinde yap; başka bölgede çalışma istisnası, iş yerinin eğitimle bağdaşmayı bozacak sürekli yolculuk gerektirmemesi şartına bağlıdır.
Eğitim planının parçası olan, iş ilişkisi sayılmayan zorunlu stajlar için ek izin gerekmez.</t>
        </is>
      </c>
      <c r="P120" s="29" t="n"/>
      <c r="Q120" s="29" t="n"/>
      <c r="R120" s="29" t="n"/>
      <c r="S120" s="29" t="inlineStr">
        <is>
          <t>Meslek eğitimi (yoğun rejim) için haftalık saat sınırı ilgili sektör mevzuatına bağlıdır.</t>
        </is>
      </c>
      <c r="T120" s="29" t="n"/>
    </row>
    <row r="121" ht="54" customHeight="1">
      <c r="A121" s="29" t="inlineStr">
        <is>
          <t>marbella:ispanyol-vatandasligi-basvurusu</t>
        </is>
      </c>
      <c r="B121" s="29" t="inlineStr">
        <is>
          <t>marbella</t>
        </is>
      </c>
      <c r="C121" s="29" t="inlineStr">
        <is>
          <t>ispanyol-vatandasligi-basvurusu</t>
        </is>
      </c>
      <c r="D121" s="29" t="inlineStr">
        <is>
          <t>İspanyol vatandaşlığına nasıl başvurulur? İkamet süresi kuralları</t>
        </is>
      </c>
      <c r="E121" s="29" t="inlineStr">
        <is>
          <t>Türk vatandaşları için genel kural on yıl; DELE A2 ve CCSE sınavı gerekir, önceki uyrukluktan vazgeçme beyanı istenir</t>
        </is>
      </c>
      <c r="F121" s="29" t="inlineStr">
        <is>
          <t>İkamet yoluyla İspanyol vatandaşlığı için genel kural, başvurudan hemen önce on yıl yasal ve kesintisiz İspanya'da yaşamış olmaktır; Türk vatandaşları için de kural budur. Kısaltılmış süreler yalnız belirli gruplar içindir: mülteci statüsü alanlar için beş yıl; İber-Amerika ülkeleri, Andorra, Filipinler, Ekvator Ginesi ya da Portekiz kökenliler ve Sefarad kökenliler için iki yıl. Türkiye bu ülkeler arasında yok. Bazı durumlarda bir yıl yeter: İspanya'da doğmuş olmak, İspanyol biriyle en az bir yıldır evli ve ayrı olmamak, İspanyol bir kişinin dul eşi olmak gibi. Her durumda iyi sivil davranış ve İspanyol toplumuna yeterli uyumunu göstermen gerekir; bunun için DELE (İspanyolca diploması, en az A2) ve CCSE (anayasa ve kültür bilgisi) sınavlarını geçmelisin. Vatandaşlığa geçerken önceki vatandaşlığından vazgeçtiğini beyan etmen de gerekir. Başvuru, İspanya Adalet Bakanlığı sitesindeki standart formla elektronik uygulama üzerinden yapılır ve Adalet Bakanı karara bağlar; karar en çok bir yıl içinde verilir, bu sürede açık karar çıkmazsa başvuru reddedilmiş sayılır.</t>
        </is>
      </c>
      <c r="G121" s="29" t="inlineStr">
        <is>
          <t>İspanyol vatandaşlığı, nacionalidad por residencia, on yıl, Código Civil madde 22, carta de naturaleza, vatandaşlık süresi</t>
        </is>
      </c>
      <c r="H121" s="29" t="inlineStr">
        <is>
          <t>settled</t>
        </is>
      </c>
      <c r="I121" s="29" t="inlineStr">
        <is>
          <t>marbella:kaynak:017;marbella:kaynak:018</t>
        </is>
      </c>
      <c r="J121" s="49" t="n">
        <v>46319</v>
      </c>
      <c r="K121" s="51" t="n">
        <v>9012</v>
      </c>
      <c r="L121" s="29" t="inlineStr">
        <is>
          <t>Hayır</t>
        </is>
      </c>
      <c r="M121" s="29" t="inlineStr">
        <is>
          <t>Taslak</t>
        </is>
      </c>
      <c r="N121" s="29" t="inlineStr">
        <is>
          <t>marbella:oturum</t>
        </is>
      </c>
      <c r="O121" s="29" t="inlineStr">
        <is>
          <t>Hangi gruba girdiğini belirle: Türk vatandaşları için genel kural 10 yıl; mülteci 5 yıl; İber-Amerika/Andorra/Filipinler/Ekvator Ginesi/Portekiz ya da Sefarad kökenli 2 yıl; belirli durumlarda 1 yıl (İspanya'da doğmak, süresinde seçim hakkını kullanmamış olmak, iki yıl İspanyol kişi ya da kurumun vesayetinde bulunmak, İspanyol eşle bir yıldır evli olmak, İspanyol bir kişinin dul eşi olmak ya da yurtdışında İspanyol kökenli ebeveyn ya da büyükanne/büyükbabadan doğmak).
İkametinin yasal, kesintisiz ve başvurudan hemen önceki dönem olduğundan emin ol; İspanyol bir kişinin dul eşiysen 1 yıl şartı ölümde yasal ya da fiilî ayrılık yoksa geçerlidir.
Başvuru dosyasında iyi sivil davranışını ve İspanyol toplumuna yeterli uyumunu gösterecek şekilde hazırlan; Instituto Cervantes'in DELE (en az A2) ve CCSE sınavlarını geçmen gerekir. Bu sınavların ücreti başvuru harcına dahil değildir.
Önceki vatandaşlığından vazgeçtiğini beyan etmeye hazırlan; bu şart yalnız İber-Amerika, Andorra, Filipinler, Ekvator Ginesi ve Portekiz uyruklularıyla İspanya kökenli Sefaradlar için aranmaz.
Başvuruyu Adalet Bakanlığı sitesindeki standart formla elektronik uygulama üzerinden yap; başvuru harcını ödeme formuyla öde ve ödeme belgesini dosyaya ekle.
Karar en çok bir yıl içinde bildirilir; bu sürede açık karar çıkmazsa başvuru reddedilmiş sayılır.
Karar olumluysa bildirimden sonraki 180 gün içinde Registro Civil'de Kral'a bağlılık ve Anayasa'ya ve yasalara uyma yemini ya da sözünü ver (14 yaşından büyüksen), gerekiyorsa önceki vatandaşlıktan vazgeçme beyanını yap ve kayıt iste; bunlar süresinde yapılmazsa karar etkisiz kalır.</t>
        </is>
      </c>
      <c r="P121" s="29" t="n"/>
      <c r="Q121" s="29" t="inlineStr">
        <is>
          <t>Türk vatandaşları için genel kural 10 yıl; mülteci 5 yıl; belirli ülke/köken grupları 2 yıl; belirli durumlarda 1 yıl. Karar en çok bir yıl içinde verilir, açık karar çıkmazsa başvuru reddedilmiş sayılır; olumlu karardan sonra yemin ve vazgeçme beyanı için 180 gün vardır.</t>
        </is>
      </c>
      <c r="R121" s="29" t="inlineStr">
        <is>
          <t>Başvuru için harç ödenir (ödeme formu Adalet Bakanlığı sitesindedir); DELE ve CCSE sınav ücretleri bu harca dahil değildir, Instituto Cervantes'in kendi tarifesine tabidir.</t>
        </is>
      </c>
      <c r="S121" s="29" t="inlineStr">
        <is>
          <t>Carta de naturaleza ile vatandaşlık, Hükümetin Real Decreto ile takdire bağlı olarak verdiği bir yoldur ve olağanüstü koşullara bağlıdır. İkamet yoluyla vatandaşlığı Adalet Bakanı verir; kamu düzeni ya da ulusal çıkar gerekçesiyle gerekçeli olarak reddedebilir.</t>
        </is>
      </c>
      <c r="T121" s="29" t="n"/>
    </row>
    <row r="122" ht="54" customHeight="1">
      <c r="A122" s="29" t="inlineStr">
        <is>
          <t>marbella:brexit-sonrasi-ingiliz-oturumu</t>
        </is>
      </c>
      <c r="B122" s="29" t="inlineStr">
        <is>
          <t>marbella</t>
        </is>
      </c>
      <c r="C122" s="29" t="inlineStr">
        <is>
          <t>brexit-sonrasi-ingiliz-oturumu</t>
        </is>
      </c>
      <c r="D122" s="29" t="inlineStr">
        <is>
          <t>İngiliz vatandaşı için Brexit sonrası İspanya'da oturum belgesi nasıl alınır?</t>
        </is>
      </c>
      <c r="E122" s="29" t="inlineStr">
        <is>
          <t>31 Aralık 2020'den önce yerleşenler Çekilme Anlaşması hakları ve 18.4 maddesi belgesiyle; anlaşma kapsamında olmayan İngilizler genel yabancılar rejiminde</t>
        </is>
      </c>
      <c r="F122" s="29" t="inlineStr">
        <is>
          <t>Birleşik Krallık 31 Ocak 2020'de AB'den ayrıldı. 31 Aralık 2020'den önce İspanya'ya yerleşenlerin oturum, serbest dolaşım ve sosyal güvenlik hakları Çekilme Anlaşması'na göre sürüyor; bunların yeni bir oturum statüsü başvurusu yapma zorunluluğu yok, ama Anlaşma'nın 18.4 maddesi uyarınca belge alma hakları var. Elinde geçici ya da kalıcı kayıt sertifikası (certificado de registro) varsa tek adımda polis birimine EX23 formu, geçerli pasaport, 790 kodu 012 harç belgesi ve fotoğrafla başvurursun. Kayıt sertifikan yoksa önce yabancılar ofisine EX20 formuyla başvurur, karar çıkınca bir ay içinde polis birimine gidip belgeni istersin. Geçici belge beş yıl, kalıcı belge on yıl geçerlidir. Geçiş döneminden sonra gelip Çekilme Anlaşması kapsamına girmeyen İngilizler üçüncü ülke vatandaşı sayılır ve genel yabancılar rejimine (vize ve oturum izni) tabidir. Üç aylık başvuru süresi yalnız anlaşmanın II. Başlığı kapsamındaki oturma hakkı geçiş döneminden sonra başlayanlar içindir. Güncel resmî tarifeye göre bu belgenin harcı 12,00 euro.</t>
        </is>
      </c>
      <c r="G122" s="29" t="inlineStr">
        <is>
          <t>Brexit, İngiliz vatandaşı, Çekilme Anlaşması, artículo 18.4, EX23, oturum belgesi, residencia temporal, kalıcı oturum</t>
        </is>
      </c>
      <c r="H122" s="29" t="inlineStr">
        <is>
          <t>settled</t>
        </is>
      </c>
      <c r="I122" s="29" t="inlineStr">
        <is>
          <t>marbella:kaynak:004;marbella:kaynak:019</t>
        </is>
      </c>
      <c r="J122" s="49" t="n">
        <v>46319</v>
      </c>
      <c r="K122" s="51" t="n">
        <v>9013</v>
      </c>
      <c r="L122" s="29" t="inlineStr">
        <is>
          <t>Hayır</t>
        </is>
      </c>
      <c r="M122" s="29" t="inlineStr">
        <is>
          <t>Taslak</t>
        </is>
      </c>
      <c r="N122" s="29" t="inlineStr">
        <is>
          <t>marbella:oturum</t>
        </is>
      </c>
      <c r="O122" s="29" t="inlineStr">
        <is>
          <t>31 Aralık 2020'den önce İspanya'da yaşıyor muydun, buna bak: öyleyse Çekilme Anlaşması'nın haklarına sahipsin ve yeni bir oturum statüsü istemen gerekmiyor.
Elinde geçici ya da kalıcı kayıt sertifikası varsa Anlaşma'nın 18.4 maddesi belgesini şahsen polis birimine başvurarak iste (tek adım); kayıt sertifikan yoksa önce yabancılar ofisine başvurman gerekir (iki adım).
Tek adımda EX23 formunu, geçerli pasaportunu (süresi dolduysa kopyasını ve yenileme başvurusunu), 790 kodu 012 harç belgesini ve kimlik belgesi kurallarına uygun fotoğrafı götür.
İki adımda önce oturduğun ya da oturacağın ilin yabancılar ofisine şahsen, temsilcinle ya da elektronik olarak başvur; ofise en az EX20 formunu, geçerli pasaportunu ve İspanya'da ikametinin başladığını gösteren belgeyi ver (her hukuki kanıt kabul edilir). Karar en çok üç ay içinde bildirilir; bildirimden sonra bir ay içinde polis birimine şahsen gidip EX23 formu, pasaport, 790 kodu 012 harç belgesi ve fotoğrafla belgeni iste.
Beş yıllık yasal ikameti dolduysan geçici belgenin süresi bitmeden kalıcı ikamet belgesi iste; kalıcı belge on yıl geçerlidir.
Çekilme Anlaşması'nın II. Başlığı kapsamındaki oturma hakkın geçiş döneminden sonra başlıyorsa, İspanya'ya varışından ya da doğumundan itibaren üç ay içinde başvur; süre geçtiyse yabancılar ofisi gerekçeni değerlendirir, haklıysa yeterli ek süre verir. Yüz yüze işlem için ön randevu gerekir.
Anlaşma kapsamında olmayan bir İngilizsen bu belgeyi alamazsın; genel yabancılar rejimine göre vize ve oturum izni almalısın.</t>
        </is>
      </c>
      <c r="P122" s="29" t="inlineStr">
        <is>
          <t>Kayıt sertifikan varsa (tek adım, polis birimi): EX23 formu (kart talebi, Çekilme Anlaşması 18.4), geçerli pasaport, 790 kodu 012 harç ödeme belgesi, kimlik belgesi kurallarına uygun fotoğraf
Kayıt sertifikan yoksa 1. adım (yabancılar ofisi): EX20 formu (Çekilme Anlaşması 18.4 belge talebi), geçerli pasaport ve ikametinin İspanya'da başladığını gösteren belge
Kayıt sertifikan yoksa 2. adım (karardan sonra polis birimi): EX23 formu, geçerli pasaport, 790 kodu 012 harç ödeme belgesi, fotoğraf
Pasaportun süresi dolduysa pasaport kopyası ve yenileme başvurusu</t>
        </is>
      </c>
      <c r="Q122" s="29" t="inlineStr">
        <is>
          <t>Geçici belge beş yıl, kalıcı belge on yıl geçerli; kayıt sertifikası olmayanlarda ofis kararı en çok üç ay içinde, ardından polis birimine başvuru bir ay içinde; oturma hakkı geçiş döneminden sonra başlayanlar için başvuru İspanya'ya varıştan ya da doğumdan itibaren üç ay içinde.</t>
        </is>
      </c>
      <c r="R122" s="29" t="inlineStr">
        <is>
          <t>Güncel resmî tarifeye göre 12,00 euro (Çekilme Anlaşması kapsamındaki TIE).</t>
        </is>
      </c>
      <c r="S122" s="29" t="inlineStr">
        <is>
          <t>Belgenin türü alanında geçici kartta 'Temporal', kalıcı kartta 'Permanente' yazar. Süreç 2 Temmuz 2020 tarihli ortak talimata dayanıyor. Anlaşma kapsamındaki İngiliz vatandaşının Türk dahil üçüncü ülke vatandaşı aile üyeleri de bu belgeyi isteyebilir.</t>
        </is>
      </c>
      <c r="T122" s="29" t="n"/>
    </row>
    <row r="123" ht="54" customHeight="1">
      <c r="A123" s="29" t="inlineStr">
        <is>
          <t>marbella:marbella-nie-tie-polis-ofisi-randevu</t>
        </is>
      </c>
      <c r="B123" s="29" t="inlineStr">
        <is>
          <t>marbella</t>
        </is>
      </c>
      <c r="C123" s="29" t="inlineStr">
        <is>
          <t>marbella-nie-tie-polis-ofisi-randevu</t>
        </is>
      </c>
      <c r="D123" s="29" t="inlineStr">
        <is>
          <t>Marbella'da NIE ve TIE parmak izi için hangi ofise gidilir, randevu nasıl alınır?</t>
        </is>
      </c>
      <c r="E123" s="29" t="inlineStr">
        <is>
          <t>Randevuyu polis sedesinde 'Cuerpo de Policía Nacional' seçeneğiyle alırsın</t>
        </is>
      </c>
      <c r="F123" s="29" t="inlineStr">
        <is>
          <t>Marbella'da NIE ataması ve TIE işlemleri Polis Genel Müdürlüğü'ne (Cuerpo Nacional de Policía) bağlı karakolda görülür. Polis sedesi, NIE ataması ve TIE çıkarma işlemlerini Marbella Karakolu'nun (Comisaría de Marbella, Avda. Arias de Velasco 25, tel. 952 867 241) işleri arasında sayar. Randevuyu sedede 'Trámites Cuerpo de Policía Nacional' seçeneğiyle alırsın; 'Trámites en Oficina de Extranjería' seçeneği Málaga'daki ofis içindir. Belediyenin yabancılar sitesi ise Oficina Extranjería CNP'yi Avda. Duque de Lerma / Edif. España Local 2 adresinde gösteriyor (hafta içi 09:00-14:00, tel. 952 820 561).</t>
        </is>
      </c>
      <c r="G123" s="29" t="inlineStr">
        <is>
          <t>NIE, TIE, toma de huella, cita previa, Comisaría de Marbella, parmak izi randevusu, Cuerpo Nacional de Policía</t>
        </is>
      </c>
      <c r="H123" s="29" t="inlineStr">
        <is>
          <t>planning;new</t>
        </is>
      </c>
      <c r="I123" s="29" t="inlineStr">
        <is>
          <t>marbella:kaynak:203;marbella:kaynak:189</t>
        </is>
      </c>
      <c r="J123" s="49" t="n">
        <v>46323</v>
      </c>
      <c r="K123" s="51" t="n">
        <v>200</v>
      </c>
      <c r="L123" s="29" t="inlineStr">
        <is>
          <t>Evet</t>
        </is>
      </c>
      <c r="M123" s="29" t="inlineStr">
        <is>
          <t>Taslak</t>
        </is>
      </c>
      <c r="N123" s="29" t="inlineStr">
        <is>
          <t>marbella:oturum</t>
        </is>
      </c>
      <c r="O123" s="29" t="inlineStr">
        <is>
          <t>Polis sedesinde cita previa (ön randevu) ekranında 'Trámites Cuerpo de Policía Nacional' seçeneğini seç; Marbella'daki NIE ve TIE işlemleri bu gruptadır.
NIE için EX-15 formunu doldur ve NIE'ye neden ihtiyacın olduğunu gösteren belgeyi (banka ya da idari form gibi) hazırla.
TIE için önce 'toma de huella (expedición de tarjeta)' yani parmak izi randevusu al.
Parmak izi işlemi bitince 'recogida de tarjeta de identidad de extranjero (TIE)' yani kart teslimi için ayrı bir randevu daha al.
Başvuruyu evine en yakın polis ofisinde, mümkünse kendin yap.</t>
        </is>
      </c>
      <c r="P123" s="29" t="inlineStr">
        <is>
          <t>EX-15 formu (NIE için)
Pasaport ya da ülkendeki geçerli kimlik belgesi (aslı ve bir fotokopisi)
NIE'ye neden ihtiyacın olduğunu gösteren belge (ör. banka ya da idari form)</t>
        </is>
      </c>
      <c r="Q123" s="29" t="inlineStr">
        <is>
          <t>NIE sertifikası, başvurudan sonra yaklaşık iki hafta içinde elden teslim edilir.</t>
        </is>
      </c>
      <c r="R123" s="29" t="n"/>
      <c r="S123" s="29" t="inlineStr">
        <is>
          <t>Polis sedesi ile belediye sitesi Marbella ofisi için farklı adres veriyor; gitmeden önce 952 867 241 ya da 952 820 561 numarasını arayıp işlemin hangi adreste yapıldığını sor.</t>
        </is>
      </c>
      <c r="T123" s="29" t="n"/>
    </row>
    <row r="124" ht="54" customHeight="1">
      <c r="A124" s="29" t="inlineStr">
        <is>
          <t>marbella:malaga-yenileme-marbella-polis-ayrimi</t>
        </is>
      </c>
      <c r="B124" s="29" t="inlineStr">
        <is>
          <t>marbella</t>
        </is>
      </c>
      <c r="C124" s="29" t="inlineStr">
        <is>
          <t>malaga-yenileme-marbella-polis-ayrimi</t>
        </is>
      </c>
      <c r="D124" s="29" t="inlineStr">
        <is>
          <t>Oturum belgesi yenilemesi için Marbella'dan Málaga'ya gitmek gerekir mi?</t>
        </is>
      </c>
      <c r="E124" s="29" t="inlineStr">
        <is>
          <t>Kısa süreli belgelerde her yenileme, uzun süreli belgelerde ilk yenileme Málaga'da</t>
        </is>
      </c>
      <c r="F124" s="29" t="inlineStr">
        <is>
          <t>Evet, bazı yenilemeler için Málaga'ya gitmen gerekir. Marbella Belediyesi'nin yabancılar sitesine göre kısa süreli kalış belgeleri iki yıl geçerlidir ve bütün yenilemeleri Málaga'da yapılır; uzun süreli kalış belgeleri beş yıl geçerlidir ve ilk yenileme Málaga'da yapılır. Polis sedesinde Málaga'daki Brigada Provincial de Extranjería y Fronteras (Pl. Manuel Azaña 3, tel. 952 046 468) kalış uzatması, öğrenci ve çalışmasız oturum (no lucrativa) gibi işlemleri listeler. NIE ataması ve TIE çıkarma ise Marbella Karakolu'nda görülür.</t>
        </is>
      </c>
      <c r="G124" s="29" t="inlineStr">
        <is>
          <t>Málaga, Oficina de Extranjería, oturum yenileme, Brigada Provincial de Extranjería, prórroga de estancia, residencia no lucrativa</t>
        </is>
      </c>
      <c r="H124" s="29" t="inlineStr">
        <is>
          <t>new;settled</t>
        </is>
      </c>
      <c r="I124" s="29" t="inlineStr">
        <is>
          <t>marbella:kaynak:203;marbella:kaynak:189</t>
        </is>
      </c>
      <c r="J124" s="49" t="n">
        <v>46323</v>
      </c>
      <c r="K124" s="51" t="n">
        <v>201</v>
      </c>
      <c r="L124" s="29" t="inlineStr">
        <is>
          <t>Hayır</t>
        </is>
      </c>
      <c r="M124" s="29" t="inlineStr">
        <is>
          <t>Taslak</t>
        </is>
      </c>
      <c r="N124" s="29" t="inlineStr">
        <is>
          <t>marbella:oturum</t>
        </is>
      </c>
      <c r="O124" s="29" t="inlineStr">
        <is>
          <t>Belgenin türüne bak: kısa süreli kalış belgesi iki, uzun süreli kalış belgesi beş yıl geçerlidir.
Kısa süreli belgede her yenileme için, uzun süreli belgede ilk yenileme için Málaga'daki birime başvuracağını bil.
Randevu ekranında 'Trámites en Oficina de Extranjería' seçeneğini seç; bu grup Málaga'daki ofis içindir.
Kalış uzatması, öğrenci ya da çalışmasız oturum işleri için Málaga'daki Brigada Provincial de Extranjería y Fronteras'ın telefonunu ara: 952 046 468.</t>
        </is>
      </c>
      <c r="P124" s="29" t="n"/>
      <c r="Q124" s="29" t="n"/>
      <c r="R124" s="29" t="n"/>
      <c r="S124" s="29" t="inlineStr">
        <is>
          <t>NIE ve TIE parmak izi gibi işlemler için Málaga'ya gitmen gerekmez; bunlar Marbella Karakolu'nun işleri arasında sayılıyor.</t>
        </is>
      </c>
      <c r="T124" s="29" t="n"/>
    </row>
    <row r="125" ht="54" customHeight="1">
      <c r="A125" s="29" t="inlineStr">
        <is>
          <t>marbella:yabancilar-birimi-extranjeros-residentes</t>
        </is>
      </c>
      <c r="B125" s="29" t="inlineStr">
        <is>
          <t>marbella</t>
        </is>
      </c>
      <c r="C125" s="29" t="inlineStr">
        <is>
          <t>yabancilar-birimi-extranjeros-residentes</t>
        </is>
      </c>
      <c r="D125" s="29" t="inlineStr">
        <is>
          <t>Marbella'da yabancılara yardım eden belediye birimi (Extranjeros Residentes) nerede?</t>
        </is>
      </c>
      <c r="E125" s="29" t="inlineStr">
        <is>
          <t>Palacio de Ferias'ta, hafta içi 09:00-14:00; izinleri polis verir</t>
        </is>
      </c>
      <c r="F125" s="29" t="inlineStr">
        <is>
          <t>Marbella Belediyesi'nin Yabancı Sakinler Birimi (Concejalía de Extranjeros Residentes) Palacio de Ferias y Congresos 'Adolfo Suárez'te, C/ José Meliá 2'dedir; hafta içi 09:00-14:00 açıktır, tel. 952 768 766. Yabancılarla ilgili işlemlerin yetkisi İçişleri Bakanlığı'nda ve polistedir; belediye birimi Marbella'da yaşayan yabancılara bu işlemlerde yardımcı olur, izin vermez. Las Chapas (Calle Pinsapo s/n, tel. 952 768 730 dahili 3209) ve Nueva Andalucía'da (Avda. Miguel de Cervantes 15, tel. 952 761 600 dahili 1603) da aynı saatlerde iki şube vardır.</t>
        </is>
      </c>
      <c r="G125" s="29" t="inlineStr">
        <is>
          <t>Extranjeros Residentes, Concejalía, yabancılar birimi, Palacio de Ferias, Marbella belediyesi, Las Chapas, Nueva Andalucía</t>
        </is>
      </c>
      <c r="H125" s="29" t="inlineStr">
        <is>
          <t>planning;new;settled</t>
        </is>
      </c>
      <c r="I125" s="29" t="inlineStr">
        <is>
          <t>marbella:kaynak:187;marbella:kaynak:203</t>
        </is>
      </c>
      <c r="J125" s="49" t="n">
        <v>46323</v>
      </c>
      <c r="K125" s="51" t="n">
        <v>202</v>
      </c>
      <c r="L125" s="29" t="inlineStr">
        <is>
          <t>Evet</t>
        </is>
      </c>
      <c r="M125" s="29" t="inlineStr">
        <is>
          <t>Taslak</t>
        </is>
      </c>
      <c r="N125" s="29" t="inlineStr">
        <is>
          <t>marbella:oturum</t>
        </is>
      </c>
      <c r="O125" s="29" t="inlineStr">
        <is>
          <t>Merkez ofise gitmek için Palacio de Ferias y Congresos'a, C/ José Meliá 2'ye git; hafta içi 09:00-14:00 arası açık.
Önce aramak istersen 952 768 766 numarasını ara.
Doğuda yaşıyorsan Las Chapas şubesini (Calle Pinsapo s/n), batıda yaşıyorsan Nueva Andalucía şubesini (Avda. Miguel de Cervantes 15) seç.
Yazılı sormak için belediyenin iletişim sayfasındaki formu doldur.</t>
        </is>
      </c>
      <c r="P125" s="29" t="n"/>
      <c r="Q125" s="29" t="n"/>
      <c r="R125" s="29" t="n"/>
      <c r="S125" s="29" t="inlineStr">
        <is>
          <t>Pasaport, NIE, TIE ve yenileme dilekçeleri polis birimlerinde işlenir; belediye birimi bu yolda sana eşlik eder.</t>
        </is>
      </c>
      <c r="T125" s="29" t="n"/>
    </row>
    <row r="126" ht="54" customHeight="1">
      <c r="A126" s="29" t="inlineStr">
        <is>
          <t>marbella:ucretsiz-avukat-justicia-gratuita</t>
        </is>
      </c>
      <c r="B126" s="29" t="inlineStr">
        <is>
          <t>marbella</t>
        </is>
      </c>
      <c r="C126" s="29" t="inlineStr">
        <is>
          <t>ucretsiz-avukat-justicia-gratuita</t>
        </is>
      </c>
      <c r="D126" s="29" t="inlineStr">
        <is>
          <t>Marbella'da yabancı olarak ücretsiz avukat desteği (justicia gratuita) için nasıl başvurulur?</t>
        </is>
      </c>
      <c r="E126" s="29" t="inlineStr">
        <is>
          <t>İspanya'daki yabancılar da başvurabilir; gelir sınırı 14.400 euro'dan başlıyor</t>
        </is>
      </c>
      <c r="F126" s="29" t="inlineStr">
        <is>
          <t>İspanya'da bulunan yabancılar ücretsiz hukuki yardım (asistencia jurídica gratuita) için başvurabilir; standart bir form ve gelirinin yetmediğini gösteren belgeler gerekir. Ailenin yıllık brüt geliri tek kişide 14.400 euro'yu, iki ya da üç kişide 18.000 euro'yu, dört kişiden fazlada 21.600 euro'yu aşmamalıdır. Başvuru, davanın görüleceği mahkemenin bulunduğu yerdeki baro hukuk danışma servisine (SOJ) verilir; dava henüz açılmamışsa oturduğun yerin mahkemesine de verilebilir.</t>
        </is>
      </c>
      <c r="G126" s="29" t="inlineStr">
        <is>
          <t>justicia gratuita, asistencia jurídica gratuita, SOJ, ücretsiz avukat, baro, IPREM, Servicio de Orientación Jurídica</t>
        </is>
      </c>
      <c r="H126" s="29" t="inlineStr">
        <is>
          <t>new;settled</t>
        </is>
      </c>
      <c r="I126" s="29" t="inlineStr">
        <is>
          <t>marbella:kaynak:201;marbella:kaynak:202</t>
        </is>
      </c>
      <c r="J126" s="49" t="n">
        <v>46323</v>
      </c>
      <c r="K126" s="51" t="n">
        <v>203</v>
      </c>
      <c r="L126" s="29" t="inlineStr">
        <is>
          <t>Hayır</t>
        </is>
      </c>
      <c r="M126" s="29" t="inlineStr">
        <is>
          <t>Taslak</t>
        </is>
      </c>
      <c r="N126" s="29" t="inlineStr">
        <is>
          <t>marbella:oturum</t>
        </is>
      </c>
      <c r="O126" s="29" t="inlineStr">
        <is>
          <t>Standart başvuru formunu (modelo normalizado) Junta'nın başvuru kataloğundan doldur.
Gelirinin yetmediğini gösteren belgeleri forma ekle.
Formu, davanın görüleceği mahkemenin bulunduğu yerdeki baro hukuk danışma servisine (SOJ) ver; dava açılmamışsa oturduğun yerin mahkemesine verebilirsin.
Hakkın tanınıp tanınmadığına il komisyonu (Comisión de Asistencia Jurídica Gratuita) karar verir.</t>
        </is>
      </c>
      <c r="P126" s="29" t="inlineStr">
        <is>
          <t>Standart başvuru formu (modelo normalizado)
Ekonomik kaynakların yetersizliğini gösteren belgeler</t>
        </is>
      </c>
      <c r="Q126" s="29" t="n"/>
      <c r="R126" s="29" t="n"/>
      <c r="S126" s="29" t="inlineStr">
        <is>
          <t>Cinsiyet temelli şiddet, terör ve insan ticareti mağdurları ile istismar mağduru çocuk ve engelliler bu davalarda gelir kanıtlamak zorunda değildir.</t>
        </is>
      </c>
      <c r="T126" s="29" t="n"/>
    </row>
    <row r="127" ht="54" customHeight="1">
      <c r="A127" s="29" t="inlineStr">
        <is>
          <t>marbella:turk-konsoloslugu-madrid-buyukelcilik</t>
        </is>
      </c>
      <c r="B127" s="29" t="inlineStr">
        <is>
          <t>marbella</t>
        </is>
      </c>
      <c r="C127" s="29" t="inlineStr">
        <is>
          <t>turk-konsoloslugu-madrid-buyukelcilik</t>
        </is>
      </c>
      <c r="D127" s="29" t="inlineStr">
        <is>
          <t>Türkiye'nin Marbella'ya bağlı temsilciliği hangisi, konsolosluk işleri için nereye başvurulur?</t>
        </is>
      </c>
      <c r="E127" s="29" t="inlineStr">
        <is>
          <t>Endülüs, Madrid Büyükelçiliği'nin görev bölgesinde</t>
        </is>
      </c>
      <c r="F127" s="29" t="inlineStr">
        <is>
          <t>Marbella'nın içinde olduğu Endülüs, T.C. Madrid Büyükelçiliği'nin görev bölgesindedir. Büyükelçilik Rafael Calvo 18, 2ºA-B, 28010 Madrid adresindedir (tel. +34 913 103 904); konsolosluk şubesi hafta içi 09:30-12:30 arası çalışır. Randevuyu büyükelçilik sitesindeki 'Randevu Al' menüsünden alırsın. Sitede ayrıca bir Malaga Fahri Başkonsolosluğu da sayılıyor.</t>
        </is>
      </c>
      <c r="G127" s="29" t="inlineStr">
        <is>
          <t>Türk konsolosluğu, Madrid Büyükelçiliği, Endülüs, konsolosluk randevusu, Malaga Fahri Başkonsolosluğu, pasaport, Marbella</t>
        </is>
      </c>
      <c r="H127" s="29" t="inlineStr">
        <is>
          <t>planning;new;settled</t>
        </is>
      </c>
      <c r="I127" s="29" t="inlineStr">
        <is>
          <t>marbella:kaynak:199;marbella:kaynak:198</t>
        </is>
      </c>
      <c r="J127" s="49" t="n">
        <v>46323</v>
      </c>
      <c r="K127" s="51" t="n">
        <v>204</v>
      </c>
      <c r="L127" s="29" t="inlineStr">
        <is>
          <t>Hayır</t>
        </is>
      </c>
      <c r="M127" s="29" t="inlineStr">
        <is>
          <t>Taslak</t>
        </is>
      </c>
      <c r="N127" s="29" t="inlineStr">
        <is>
          <t>marbella:oturum</t>
        </is>
      </c>
      <c r="O127" s="29" t="inlineStr">
        <is>
          <t>Büyükelçilik sitesindeki 'Randevu Al' menüsünden Türk vatandaşları için konsolosluk işlemleri randevusu al.
Randevu günü Rafael Calvo 18, 2ºA-B, 28010 Madrid adresindeki konsolosluk şubesine git; şube hafta içi 09:30-12:30 arası açık.
Mesai dışı acil durumda nöbetçi telefonu ara: +34 629 476 693.
Genel konsolosluk soruları için 7/24 çalışan çağrı merkezini ara: +90 312 292 29 29.</t>
        </is>
      </c>
      <c r="P127" s="29" t="n"/>
      <c r="Q127" s="29" t="n"/>
      <c r="R127" s="29" t="n"/>
      <c r="S127" s="29" t="inlineStr">
        <is>
          <t>Büyükelçilik 2026'da 29 Ekim Cumhuriyet Bayramı'nda kapalıdır.</t>
        </is>
      </c>
      <c r="T127" s="29" t="n"/>
    </row>
    <row r="128" ht="54" customHeight="1">
      <c r="A128" s="29" t="inlineStr">
        <is>
          <t>marbella:sosyal-hizmetler-derechos-sociales-basvuru</t>
        </is>
      </c>
      <c r="B128" s="29" t="inlineStr">
        <is>
          <t>marbella</t>
        </is>
      </c>
      <c r="C128" s="29" t="inlineStr">
        <is>
          <t>sosyal-hizmetler-derechos-sociales-basvuru</t>
        </is>
      </c>
      <c r="D128" s="29" t="inlineStr">
        <is>
          <t>Marbella'da belediye sosyal hizmetlerine (Derechos Sociales) nereden başvurulur?</t>
        </is>
      </c>
      <c r="E128" s="29" t="inlineStr">
        <is>
          <t>Merkez Calle Vázquez Clavel 25'te; ilk görüşme için hedef 20 iş günü</t>
        </is>
      </c>
      <c r="F128" s="29" t="inlineStr">
        <is>
          <t>Marbella Belediyesi'nin Sosyal Haklar Birimi (Delegación de Derechos Sociales) Calle Vázquez Clavel 25 bajos, 29603 Marbella adresinde, tel. 952 768 700. San Pedro Alcántara'da Calle Viento de Levante s/n adresinde, tel. 952 768 735. Birimin hizmet şartnamesi, sosyal hizmet uzmanıyla ilk görüşme için en çok 20 iş günü, değerlendirme gerektiren belediye yardımlarının belgeler tamamlandıktan sonra 14 iş günü içinde işlenmesini taahhüt eder. Mahalle merkezleri Miraflores, Las Chapas ve Nueva Andalucía'dadır.</t>
        </is>
      </c>
      <c r="G128" s="29" t="inlineStr">
        <is>
          <t>Derechos Sociales, servicios sociales, trabajador social, Vázquez Clavel, sosyal hizmet, Miraflores, San Pedro Alcántara</t>
        </is>
      </c>
      <c r="H128" s="29" t="inlineStr">
        <is>
          <t>new;settled</t>
        </is>
      </c>
      <c r="I128" s="29" t="inlineStr">
        <is>
          <t>marbella:kaynak:188;marbella:kaynak:200</t>
        </is>
      </c>
      <c r="J128" s="49" t="n">
        <v>46323</v>
      </c>
      <c r="K128" s="51" t="n">
        <v>205</v>
      </c>
      <c r="L128" s="29" t="inlineStr">
        <is>
          <t>Hayır</t>
        </is>
      </c>
      <c r="M128" s="29" t="inlineStr">
        <is>
          <t>Taslak</t>
        </is>
      </c>
      <c r="N128" s="29" t="inlineStr">
        <is>
          <t>marbella:oturum</t>
        </is>
      </c>
      <c r="O128" s="29" t="inlineStr">
        <is>
          <t>Oturduğun bölgeye göre merkezi seç: Marbella (Calle Vázquez Clavel 25 bajos), San Pedro Alcántara (Calle Viento de Levante s/n), Miraflores, Las Chapas ya da Nueva Andalucía.
Telefonla ilk görüşme iste: Marbella 952 768 700, San Pedro Alcántara 952 768 735.
Sosyal hizmet uzmanıyla ilk görüşmeye git; şartname bunu en çok 20 iş günü içinde vermeyi taahhüt ediyor.
Yardım için değerlendirme gerekiyorsa belgelerini tamamla; tamamlanmış dosya 14 iş günü içinde işlenir.</t>
        </is>
      </c>
      <c r="P128" s="29" t="n"/>
      <c r="Q128" s="29" t="inlineStr">
        <is>
          <t>İlk görüşme en çok 20 iş günü; değerlendirme gerektiren yardımlar belgeler tamamlandıktan sonra 14 iş günü.</t>
        </is>
      </c>
      <c r="R128" s="29" t="n"/>
      <c r="S128" s="29" t="inlineStr">
        <is>
          <t>Taahhüt edilen süreler birimin 2019'da güncellenen hizmet şartnamesinden alınmıştır.</t>
        </is>
      </c>
      <c r="T128" s="29" t="n"/>
    </row>
    <row r="129" ht="54" customHeight="1">
      <c r="A129" s="29" t="inlineStr">
        <is>
          <t>marbella:banka-hesabi-acma-ve-temel-odeme-hesabi</t>
        </is>
      </c>
      <c r="B129" s="29" t="inlineStr">
        <is>
          <t>marbella</t>
        </is>
      </c>
      <c r="C129" s="29" t="inlineStr">
        <is>
          <t>banka-hesabi-acma-ve-temel-odeme-hesabi</t>
        </is>
      </c>
      <c r="D129" s="29" t="inlineStr">
        <is>
          <t>İspanya'da banka hesabı açmayı banka reddederse ne yapabilirsin?</t>
        </is>
      </c>
      <c r="E129" s="29" t="inlineStr">
        <is>
          <t>Banka uyruk ya da oturduğun yer gerekçesiyle reddedemez; AB'de yasal oturan, sığınma başvurucusu ve sınır dışı edilemeyen temel ödeme hesabı isteyebilir</t>
        </is>
      </c>
      <c r="F129" s="29" t="inlineStr">
        <is>
          <t>Banka hesap açmayı reddederse bunu uyruğun, oturduğun yer, doğduğun ülke ya da yaşın gibi ayrımcı gerekçelerle yapamaz (Banco de España'nın 11 Kasım 2025 tarihli sayfasına göre). Bunun dışında bankalar genel olarak kendi iç politikalarına göre hesap açıp açmamaya serbestçe karar verir; hesap açmak otomatik bir işlem değildir ve koşullarda hem senin hem bankanın anlaşması gerekir. Olağan hesabı açtıramazsan temel ödeme hesabı (cuenta de pago básica) isteme hakkın yalnızca üç gruba aittir: AB'de yasal olarak oturanlar (sabit adresleri olmasa bile), sığınma başvurusu yapanlar ve oturum izni olmayan ama sınır dışı edilmesi mümkün olmayanlar. Bu gruplardaysan ödeme hesabı sunan her kredi kuruluşu sana temel ödeme hesabı sunmak zorundadır. Bu hesapla para yatırıp çekebilir, otomatik ödeme talimatı verebilir, banka ya da ön ödemeli kartla ödeme yapabilir ve havale gönderebilirsin.</t>
        </is>
      </c>
      <c r="G129" s="29" t="inlineStr">
        <is>
          <t>banka hesabı, cuenta de pago básica, temel ödeme hesabı, hesap açma, Banco de España, ayrımcılık yasağı, kara para aklama</t>
        </is>
      </c>
      <c r="H129" s="29" t="inlineStr">
        <is>
          <t>new;settled</t>
        </is>
      </c>
      <c r="I129" s="29" t="inlineStr">
        <is>
          <t>marbella:kaynak:038;marbella:kaynak:039</t>
        </is>
      </c>
      <c r="J129" s="49" t="n">
        <v>46319</v>
      </c>
      <c r="K129" s="51" t="n">
        <v>9027</v>
      </c>
      <c r="L129" s="29" t="inlineStr">
        <is>
          <t>Hayır</t>
        </is>
      </c>
      <c r="M129" s="29" t="inlineStr">
        <is>
          <t>Taslak</t>
        </is>
      </c>
      <c r="N129" s="29" t="inlineStr">
        <is>
          <t>marbella:para</t>
        </is>
      </c>
      <c r="O129" s="29" t="inlineStr">
        <is>
          <t>Hesap açmak istediğin bankaya başvur; banka kendi politikasına göre karar verir ve hesap sözleşmesi için senin de bankanın da koşulları kabul etmesi gerekir.
Bankanın kara para aklamayı ve terörün finansmanını önleme yükümlülükleri için istediği bilgileri ver; vermezsen banka temel ödeme hesabı başvurunu reddedebilir.
Ret gerekçesi uyruğun, oturduğun yer ya da doğduğun ülke gibi bir ölçütse bu ayrımcılıktır; banka böyle bir gerekçeyle başvurunu reddedemez.
AB'de yasal olarak oturuyorsan (sabit adresin olmasa bile), sığınma başvurusu yapmışsan ya da oturum iznin yok ama sınır dışı edilmen mümkün değilse ve olağan hesabı açtıramadıysan kredi kuruluşundan temel ödeme hesabı iste.</t>
        </is>
      </c>
      <c r="P129" s="29" t="n"/>
      <c r="Q129" s="29" t="n"/>
      <c r="R129" s="29" t="inlineStr">
        <is>
          <t>Temel ödeme hesabı, ekonomik durumun zorsa hiç ücretsiz olabilir.</t>
        </is>
      </c>
      <c r="S129" s="29" t="inlineStr">
        <is>
          <t>Banka temel ödeme hesabını şu durumlarda reddedebilir: İspanya'da zaten bir cari hesabın varsa; hesabın açılması ulusal güvenlik ya da kamu düzenine aykırıysa; kara para aklama ve terörün finansmanını önleme yükümlülükleri için istediği bilgiyi vermezsen.</t>
        </is>
      </c>
      <c r="T129" s="29" t="n"/>
    </row>
    <row r="130" ht="54" customHeight="1">
      <c r="A130" s="29" t="inlineStr">
        <is>
          <t>marbella:iban-ve-sepa-havalesi</t>
        </is>
      </c>
      <c r="B130" s="29" t="inlineStr">
        <is>
          <t>marbella</t>
        </is>
      </c>
      <c r="C130" s="29" t="inlineStr">
        <is>
          <t>iban-ve-sepa-havalesi</t>
        </is>
      </c>
      <c r="D130" s="29" t="inlineStr">
        <is>
          <t>İspanya'da IBAN nedir ve SEPA havalesi nasıl çalışır?</t>
        </is>
      </c>
      <c r="E130" s="29" t="inlineStr">
        <is>
          <t>IBAN hesabı tanımlar; SEPA bölgesinde euro ödemeleri yurt içi ve sınır ötesi aynı koşullarda yapılır</t>
        </is>
      </c>
      <c r="F130" s="29" t="inlineStr">
        <is>
          <t>IBAN, hesabı tanımlayan harf ve rakamlardan oluşan bir koddur; uluslararası bir standarda dayanır ve İspanya'da 24 karakterdir. Banka havaleyi girdiğin IBAN'a göre yürütür; havale doğru yapılmış sayılır ve geri alınamaz, bu yüzden numarayı doğru girmek çok önemlidir (Banco de España, 19 Şubat 2026 tarihli sayfa). Aynı sayfaya göre (sayfa tarihi 19 Şubat 2026) ödeme hizmeti sağlayıcıları geçen 9 Ekim'den beri ücretsiz bir alıcı doğrulaması sunmak zorundadır: IBAN'ı girince, para gitmeden önce bankan girdiğin alıcı adının hesap sahibiyle uyuşup uyuşmadığını (uyuşuyor, kısmen uyuşuyor, uyuşmuyor) bildirir; uyarıya rağmen devam edersen havale gönderilir. SEPA bölgesi 27 AB üyesi ile İzlanda, Lihtenştayn ve Norveç'ten oluşur; şemalara AEA dışı bazı ülke ve bölgeler de dahil edilir. Bu bölgede euro ödemeleri yurt içi de olsa sınır ötesi de olsa aynı koşullarda gönderilir ve alınır.</t>
        </is>
      </c>
      <c r="G130" s="29" t="inlineStr">
        <is>
          <t>IBAN, SEPA, havale, transferencia, anlık havale, transferencia inmediata, euro ödemesi, Banco de España</t>
        </is>
      </c>
      <c r="H130" s="29" t="inlineStr">
        <is>
          <t>new;settled</t>
        </is>
      </c>
      <c r="I130" s="29" t="inlineStr">
        <is>
          <t>marbella:kaynak:040;marbella:kaynak:041</t>
        </is>
      </c>
      <c r="J130" s="49" t="n">
        <v>46319</v>
      </c>
      <c r="K130" s="51" t="n">
        <v>9028</v>
      </c>
      <c r="L130" s="29" t="inlineStr">
        <is>
          <t>Hayır</t>
        </is>
      </c>
      <c r="M130" s="29" t="inlineStr">
        <is>
          <t>Taslak</t>
        </is>
      </c>
      <c r="N130" s="29" t="inlineStr">
        <is>
          <t>marbella:para</t>
        </is>
      </c>
      <c r="O130" s="29" t="inlineStr">
        <is>
          <t>Alıcının IBAN'ını eksiksiz ve doğru gir; banka havaleyi bu numaraya göre yürütür.
IBAN'ı girdikten sonra bankan alıcı adının hesap sahibiyle uyuşup uyuşmadığını bildirir; uyuşmuyor ya da kısmen uyuşuyor sonucuna rağmen devam edersen havale gönderilir. Doğrulama teknik nedenle yapılamadıysa Banco de España devam etmemenin daha ihtiyatlı olacağını söylüyor.
Bankan anlık havale sunuyorsa normal havale ile anlık havale arasında seçebilirsin: normal havale alıcı bankanın fonları almasından sonraki iş gününe ulaşır, anlık havale en çok 10 saniyede hesaba geçer.
Masrafların paylaşıldığını bil: gönderen banka kendi masrafını gönderene, alıcı banka kendi masrafını alıcıya yansıtır.</t>
        </is>
      </c>
      <c r="P130" s="29" t="n"/>
      <c r="Q130" s="29" t="inlineStr">
        <is>
          <t>Normal havale: alıcı bankanın fonları almasından sonraki iş günü (kâğıt emirde bir gün daha uzayabilir). Anlık havale: en çok 10 saniye, günün 24 saati, yılın her günü.</t>
        </is>
      </c>
      <c r="R130" s="29" t="inlineStr">
        <is>
          <t>Masraflar gönderen ile alıcı arasında paylaşılır; anlık havalenin maliyeti, eşdeğer koşullarda normal havaleyi aşmaz.</t>
        </is>
      </c>
      <c r="S130" s="29" t="n"/>
      <c r="T130" s="29" t="n"/>
    </row>
    <row r="131" ht="54" customHeight="1">
      <c r="A131" s="29" t="inlineStr">
        <is>
          <t>marbella:gelir-vergisi-irpf-devlet-dilimleri</t>
        </is>
      </c>
      <c r="B131" s="29" t="inlineStr">
        <is>
          <t>marbella</t>
        </is>
      </c>
      <c r="C131" s="29" t="inlineStr">
        <is>
          <t>gelir-vergisi-irpf-devlet-dilimleri</t>
        </is>
      </c>
      <c r="D131" s="29" t="inlineStr">
        <is>
          <t>İspanya'da gelir vergisi (IRPF) dilimleri nelerdir?</t>
        </is>
      </c>
      <c r="E131" s="29" t="inlineStr">
        <is>
          <t>Devlet ölçeği %9,50 ile %24,50 arasında; bölgesel kısım ortak rejimdeki (régimen común) bölgelere göre değişir</t>
        </is>
      </c>
      <c r="F131" s="29" t="inlineStr">
        <is>
          <t>Renta 2025 kılavuzuna göre (2025 geliri, 2026'da verilen beyan) IRPF devlet ölçeği şöyledir: 12.450 euroya kadar %9,50, 12.450-20.200 euro arası %12, 20.200-35.200 euro arası %15, 35.200-60.000 euro arası %18,50, 60.000-300.000 euro arası %22,50, 300.000 euro üstü %24,50. Kılavuz bu ölçeği oturulan yerden bağımsız uygulanan ölçek olarak veriyor. Genel vergi matrahına buna ek olarak bölgesel ölçek uygulanır; kılavuzun kapsamı ortak rejimdeki (régimen común) özerk bölgeler ve özerklik statülü şehirlerdir (Ceuta, Melilla) ve bölgesel ölçeği ilgili özerk bölge kendisi onaylar, bu yüzden toplam oran bölgeye göre değişir.</t>
        </is>
      </c>
      <c r="G131" s="29" t="inlineStr">
        <is>
          <t>IRPF, gelir vergisi, vergi dilimleri, devlet ölçeği, escala estatal, escala autonómica, Renta 2025, Agencia Tributaria</t>
        </is>
      </c>
      <c r="H131" s="29" t="inlineStr">
        <is>
          <t>planning;new;settled</t>
        </is>
      </c>
      <c r="I131" s="29" t="inlineStr">
        <is>
          <t>marbella:kaynak:042;marbella:kaynak:043</t>
        </is>
      </c>
      <c r="J131" s="49" t="n">
        <v>46319</v>
      </c>
      <c r="K131" s="51" t="n">
        <v>9029</v>
      </c>
      <c r="L131" s="29" t="inlineStr">
        <is>
          <t>Hayır</t>
        </is>
      </c>
      <c r="M131" s="29" t="inlineStr">
        <is>
          <t>Taslak</t>
        </is>
      </c>
      <c r="N131" s="29" t="inlineStr">
        <is>
          <t>marbella:para</t>
        </is>
      </c>
      <c r="O131" s="29" t="inlineStr">
        <is>
          <t>Devlet ölçeğini vergi matrahının ilgili dilimlerine uygula (%9,50'den %24,50'ye).
Ortak rejimdeki bölgelerde sana hangi özerk bölgenin ölçeğinin uygulanacağını belirle.
Bölgesel ölçeği aynı matraha ekle; rakamlar özerk bölgeden bölgeye farklıdır.</t>
        </is>
      </c>
      <c r="P131" s="29" t="n"/>
      <c r="Q131" s="29" t="inlineStr">
        <is>
          <t>Dilimler Renta 2025 kılavuzundandır (2025 geliri, 2026'da verilen beyan).</t>
        </is>
      </c>
      <c r="R131" s="29" t="n"/>
      <c r="S131" s="29" t="inlineStr">
        <is>
          <t>Ceuta ya da Melilla'da oturanlar için ayrı bir bölgesel ölçek vardır.</t>
        </is>
      </c>
      <c r="T131" s="29" t="n"/>
    </row>
    <row r="132" ht="54" customHeight="1">
      <c r="A132" s="29" t="inlineStr">
        <is>
          <t>marbella:kdv-iva-oranlari</t>
        </is>
      </c>
      <c r="B132" s="29" t="inlineStr">
        <is>
          <t>marbella</t>
        </is>
      </c>
      <c r="C132" s="29" t="inlineStr">
        <is>
          <t>kdv-iva-oranlari</t>
        </is>
      </c>
      <c r="D132" s="29" t="inlineStr">
        <is>
          <t>İspanya'da KDV (IVA) oranları kaç?</t>
        </is>
      </c>
      <c r="E132" s="29" t="inlineStr">
        <is>
          <t>Genel oran %21, azaltılmış oranlar %10 ve %4; Canarias, Ceuta ve Melilla'da İspanyol KDV'si uygulanmaz</t>
        </is>
      </c>
      <c r="F132" s="29" t="inlineStr">
        <is>
          <t>İspanya'da genel KDV (IVA) oranı %21'dir; azaltılmış oranlar %10 ve %4'tür ve belirli işlemlere %0 uygulanır (AEAT'nin güncel oran sayfasına göre). İspanyol KDV'si Yarımada ve Baleares'te uygulanır; Canarias, Ceuta ve Melilla bu verginin kapsamı dışındadır, bu kart bu bölgeleri kapsamaz.</t>
        </is>
      </c>
      <c r="G132" s="29" t="inlineStr">
        <is>
          <t>KDV, IVA, IVA oranları, genel oran, azaltılmış oran, tipo reducido, Agencia Tributaria, Canarias</t>
        </is>
      </c>
      <c r="H132" s="29" t="inlineStr">
        <is>
          <t>planning;new;settled</t>
        </is>
      </c>
      <c r="I132" s="29" t="inlineStr">
        <is>
          <t>marbella:kaynak:044;marbella:kaynak:045</t>
        </is>
      </c>
      <c r="J132" s="49" t="n">
        <v>46319</v>
      </c>
      <c r="K132" s="51" t="n">
        <v>9030</v>
      </c>
      <c r="L132" s="29" t="inlineStr">
        <is>
          <t>Hayır</t>
        </is>
      </c>
      <c r="M132" s="29" t="inlineStr">
        <is>
          <t>Taslak</t>
        </is>
      </c>
      <c r="N132" s="29" t="inlineStr">
        <is>
          <t>marbella:para</t>
        </is>
      </c>
      <c r="O132" s="29" t="inlineStr">
        <is>
          <t>Yarımada ve Baleares'te yapılan alışverişlerde genel oran olan %21'i hesaba kat.
Azaltılmış orana tabi mal ve hizmetlerde %10 ya da %4 ödediğini, bazı işlemlerde ise %0 uygulandığını bil.
Canarias, Ceuta ve Melilla'da İspanyol KDV'sinin (IVA) uygulanmadığını bil; bu kart bu bölgeleri kapsamaz.</t>
        </is>
      </c>
      <c r="P132" s="29" t="n"/>
      <c r="Q132" s="29" t="n"/>
      <c r="R132" s="29" t="inlineStr">
        <is>
          <t>Genel oran %21; azaltılmış oranlar %10 ve %4; belirli işlemlerde %0 (AEAT'nin güncel oran sayfasına göre).</t>
        </is>
      </c>
      <c r="S132" s="29" t="n"/>
      <c r="T132" s="29" t="n"/>
    </row>
    <row r="133" ht="54" customHeight="1">
      <c r="A133" s="29" t="inlineStr">
        <is>
          <t>marbella:yillik-gelir-vergisi-beyani-renta</t>
        </is>
      </c>
      <c r="B133" s="29" t="inlineStr">
        <is>
          <t>marbella</t>
        </is>
      </c>
      <c r="C133" s="29" t="inlineStr">
        <is>
          <t>yillik-gelir-vergisi-beyani-renta</t>
        </is>
      </c>
      <c r="D133" s="29" t="inlineStr">
        <is>
          <t>Yıllık gelir vergisi beyanı (Renta) ne zaman verilir, kim vermek zorunda?</t>
        </is>
      </c>
      <c r="E133" s="29" t="inlineStr">
        <is>
          <t>Renta 2025 kampanyası 8 Nisan - 30 Haziran 2026 arasındaydı ve kapandı; iş gelirinde sınır 22.000 euro, bazı durumlarda 15.876 euro</t>
        </is>
      </c>
      <c r="F133" s="29" t="inlineStr">
        <is>
          <t>Renta 2025 (2025 geliri) için beyan ve taslak verme süresi, sonucu ne olursa olsun, 8 Nisan 2026 ile 30 Haziran 2026 arasıydı (ikisi dahil) ve kapandı; banka talimatıyla ödeme için son gün 25 Haziran 2026'ydı. Renta 2025 kılavuzuna göre beyan zorunluluğu tek ölçüte bağlı değildir: gelir türüne göre tutar sınırları vardır (aşağıda), ayrıca gelirin tutarı ve türü ne olursa olsun beyan vermek zorunda olanlar da vardır; bunlar, konut yatırımı indiriminin geçiş rejiminden ya da uluslararası çifte vergilendirme indiriminden yararlanma hakkı olanlar ile engelli kişilerin korunan varlıklarına, emeklilik planlarına, güvenceli öngörü planlarına, işyeri sosyal öngörü planlarına, bağımlılık sigortalarına ya da karşılıklı öngörü sandıklarına matrahı düşüren katkı yapıp bu hakkı kullananlardır. Yalnızca iş gelirinden (emekli maaşları dahil, yurtdışından gelenler de) oluşan gelirde sınır yıllık 22.000 euro'dur. Sınır 15.876 euro olur: iş geliri birden fazla ödeyiciden geliyorsa (ikinci ve sonraki ödeyicilerden gelen toplam yılda 1.500 euroyu geçmiyorsa sınır yine 22.000 euro kalır); iş gelirini ödeyen gelirden kaynağında vergi kesmek (stopaj) zorunda değilse; eşten pensión compensatoria (eş nafakası) ya da vergiden muaf olmayan nafaka alınıyorsa; ya da iş geliri sabit oranlı stopaja tabiyse. Örneğin İspanya'da mukim olup tek geliri yurtdışından gelen bir emekli maaşı olan kişide, maaşı ödeyen yurtdışındaki kurum İspanya'da faaliyet göstermiyorsa stopaj yapmak zorunda olmadığından sınır 22.000 değil 15.876 euro'dur (2024 ve sonraki dönemler). Sermaye ve diğer gelirlerde sınırlar daha düşüktür: stopaj yapılmış sermaye geliri ve kazançlar için yıllık toplam 1.600 euro; konut sahipliğinden hesaplanan gelir (imputed), Letras del Tesoro faizi ve devlet yardımı kaynaklı kazançlar için toplam 1.000 euro; iş, taşınır ya da taşınmaz sermaye (kira geliri gibi) ve ekonomik faaliyet gelirleri ile kazançlar bir arada ise toplam 1.000 euro (zarar 500 euro altında). 2023'ten beri, vergi dönemi içinde herhangi bir anda RETA'ya (autónomo rejimine) ya da Denizciler özel rejimine kendi hesabına çalışan olarak kayıtlı olan herkes geliri ne kadar olursa olsun beyan verir. Vergiden muaf gelirler zorunluluk hesabına katılmaz. Kampanyada beyan internetten, telefonla ya da AEAT ofislerinde randevuyla, yalnızca AEAT'nin koşullarını sağlayanlar için şahsen verilebiliyordu.</t>
        </is>
      </c>
      <c r="G133" s="29" t="inlineStr">
        <is>
          <t>Renta, declaración de la renta, yıllık gelir vergisi beyanı, Renta WEB, IRPF beyanı, beyan süresi, 22.000 euro, Cl@ve Móvil</t>
        </is>
      </c>
      <c r="H133" s="29" t="inlineStr">
        <is>
          <t>new;settled</t>
        </is>
      </c>
      <c r="I133" s="29" t="inlineStr">
        <is>
          <t>marbella:kaynak:046;marbella:kaynak:047</t>
        </is>
      </c>
      <c r="J133" s="49" t="n">
        <v>46319</v>
      </c>
      <c r="K133" s="51" t="n">
        <v>9031</v>
      </c>
      <c r="L133" s="29" t="inlineStr">
        <is>
          <t>Hayır</t>
        </is>
      </c>
      <c r="M133" s="29" t="inlineStr">
        <is>
          <t>Taslak</t>
        </is>
      </c>
      <c r="N133" s="29" t="inlineStr">
        <is>
          <t>marbella:para</t>
        </is>
      </c>
      <c r="O133" s="29" t="inlineStr">
        <is>
          <t>Renta 2025 kampanyasında beyan ya da taslak onayı 8 Nisan - 30 Haziran 2026 arasında verilebiliyordu; bu süre sonucu ne olursa olsun geçerliydi.
İnternetten verenler Agencia Tributaria'nın elektronik merkezine tanınmış elektronik sertifika, Cl@ve Móvil, referans numarası ya da eIDAS ile giriyordu.
Ödenecek tutarın bankadan otomatik çekilmesini isteyenler bunu Renta 2025 için 25 Haziran 2026'ya kadar bildiriyordu.
Beyan kabul edilince ekranda çıkan, güvenli doğrulama koduyla onaylı sunum belgesinin (justificante) yazdırılması ya da saklanması gerekiyordu.</t>
        </is>
      </c>
      <c r="P133" s="29" t="n"/>
      <c r="Q133" s="29" t="inlineStr">
        <is>
          <t>Renta 2025 (kapandı): 8 Nisan - 30 Haziran 2026 (ikisi dahil); banka talimatıyla ödeme: 25 Haziran 2026'ya kadar.</t>
        </is>
      </c>
      <c r="R133" s="29" t="n"/>
      <c r="S133" s="29" t="inlineStr">
        <is>
          <t>Zorunluluk sınırlarının altında kalsan bile IRPF mevzuatından doğan bir iade (örneğin kesintiler ya da annelik, kalabalık aile ve bakmakla yükümlü engelli indirimleri nedeniyle) istiyorsan beyan vermen gerekir. Telefonla ya da şahsen beyan, sonuç ödenecek tutarsa ve banka talimatı verilmediyse kullanılamıyordu; bu durumda ödeme bankadaki ödeme belgesiyle yapılıyordu.</t>
        </is>
      </c>
      <c r="T133" s="29" t="n"/>
    </row>
    <row r="134" ht="54" customHeight="1">
      <c r="A134" s="29" t="inlineStr">
        <is>
          <t>marbella:vergi-iadesi-devolucion-renta</t>
        </is>
      </c>
      <c r="B134" s="29" t="inlineStr">
        <is>
          <t>marbella</t>
        </is>
      </c>
      <c r="C134" s="29" t="inlineStr">
        <is>
          <t>vergi-iadesi-devolucion-renta</t>
        </is>
      </c>
      <c r="D134" s="29" t="inlineStr">
        <is>
          <t>Vergi iadesi (devolución de Renta) nasıl alınır, ne kadar sürer?</t>
        </is>
      </c>
      <c r="E134" s="29" t="inlineStr">
        <is>
          <t>İade, beyanda yazdığın ve adına kayıtlı banka hesabına havale edilir; idarenin altı ayı vardır</t>
        </is>
      </c>
      <c r="F134" s="29" t="inlineStr">
        <is>
          <t>Beyanın sonucu iade çıktıysa, iade genel olarak ödeme ya da iade belgesinde (documento de ingreso o devolución) belirttiğin ve adına kayıtlı olan banka hesabına havale edilir. Agencia Tributaria iadeyi ödemek ya da talep edilen iadeyi incelemek için beyan süresinin bitiminden (süre dışı verildiyse beyan tarihinden) itibaren altı aya sahiptir. İdarenin kendisinden kaynaklanan bir nedenle altı ay dolduğu hâlde ödeme emri verilmemişse, sen istemeden gecikme faizi ödenir. İadenin durumunu Renta WEB üzerinden dosyana girerek sorgulayabilirsin.</t>
        </is>
      </c>
      <c r="G134" s="29" t="inlineStr">
        <is>
          <t>vergi iadesi, devolución, devolución de Renta, Renta WEB, iade durumu, gecikme faizi, Agencia Tributaria, IRPF iadesi</t>
        </is>
      </c>
      <c r="H134" s="29" t="inlineStr">
        <is>
          <t>new;settled</t>
        </is>
      </c>
      <c r="I134" s="29" t="inlineStr">
        <is>
          <t>marbella:kaynak:048</t>
        </is>
      </c>
      <c r="J134" s="49" t="n">
        <v>46319</v>
      </c>
      <c r="K134" s="51" t="n">
        <v>9032</v>
      </c>
      <c r="L134" s="29" t="inlineStr">
        <is>
          <t>Hayır</t>
        </is>
      </c>
      <c r="M134" s="29" t="inlineStr">
        <is>
          <t>Taslak</t>
        </is>
      </c>
      <c r="N134" s="29" t="inlineStr">
        <is>
          <t>marbella:para</t>
        </is>
      </c>
      <c r="O134" s="29" t="inlineStr">
        <is>
          <t>Beyanda iade çıkarsa, ödeme ya da iade belgesinde iadenin yatırılacağı adına kayıtlı hesabı belirt.
İadenin durumunu Renta WEB'deki taslak/beyan işlem hizmetinde dosyana girerek sorgula.
Agencia Tributaria'nın iadeyi ödemek ya da talep edilen iadeyi inceleme prosedürünü başlatmak için altı ayı vardır; ödeme ya da inceleme en geç bu süre içinde gelir.
İdarenin kendisinden kaynaklanan bir nedenle süre dolduğu hâlde ödeme emri verilmemişse gecikme faizi kendiliğinden hesabına gelir; ayrıca talep etmen gerekmez.</t>
        </is>
      </c>
      <c r="P134" s="29" t="n"/>
      <c r="Q134" s="29" t="inlineStr">
        <is>
          <t>Agencia Tributaria'nın iade için altı ayı vardır: süre, beyan verme süresinin bitiminden (süre dışı verilen beyanda beyan tarihinden) başlar.</t>
        </is>
      </c>
      <c r="R134" s="29" t="n"/>
      <c r="S134" s="29" t="inlineStr">
        <is>
          <t>Gecikme faizi, idarenin sonunda kabul ettiği iade tutarı üzerinden hesaplanır; bu tutar, talep ettiğin tutar da olabilir, inceleme sonucu çıkan tutar da.</t>
        </is>
      </c>
      <c r="T134" s="29" t="n"/>
    </row>
    <row r="135" ht="54" customHeight="1">
      <c r="A135" s="29" t="inlineStr">
        <is>
          <t>marbella:gestor-asesor-vergi-beyani-temsil</t>
        </is>
      </c>
      <c r="B135" s="29" t="inlineStr">
        <is>
          <t>marbella</t>
        </is>
      </c>
      <c r="C135" s="29" t="inlineStr">
        <is>
          <t>gestor-asesor-vergi-beyani-temsil</t>
        </is>
      </c>
      <c r="D135" s="29" t="inlineStr">
        <is>
          <t>Gelir vergisi beyanı için gestor ya da asesör gerekir mi, senin adına beyanı kim verebilir?</t>
        </is>
      </c>
      <c r="E135" s="29" t="inlineStr">
        <is>
          <t>Beyanı kendin de verebilirsin; istersen colaborador social ya da vekil biri senin adına verebilir</t>
        </is>
      </c>
      <c r="F135" s="29" t="inlineStr">
        <is>
          <t>Gelir vergisi beyanını mükellef kendisi internetten verebilir; bunun yanında senin adına verecek bir temsilci de kullanabilirsin. Agencia Tributaria ile anlaşması olan bir meslek kuruluşuna (colegio ya da asociación) üye ve bireysel katılım belgesini imzalamış vergi hizmeti veren bir profesyonel, colaborador social olarak beyanı senin adına elektronik verebilir. Colaborador social olmayan biri de Registro de apoderamientos yoluyla verilen bir vekâletle senin adına internetten işlem yapabilir. Colaborador social olarak yapılan temsil yalnızca beyanın elektronik verilmesini kapsar; Agencia Tributaria'nın diğer işlemlerinde ya da yazışmalarında seni temsil etme yetkisi vermez.</t>
        </is>
      </c>
      <c r="G135" s="29" t="inlineStr">
        <is>
          <t>gestor, asesor, colaborador social, colaboración social, vergi beyanı temsilcisi, apoderamiento, Renta, Agencia Tributaria</t>
        </is>
      </c>
      <c r="H135" s="29" t="inlineStr">
        <is>
          <t>new;settled</t>
        </is>
      </c>
      <c r="I135" s="29" t="inlineStr">
        <is>
          <t>marbella:kaynak:046;marbella:kaynak:049</t>
        </is>
      </c>
      <c r="J135" s="49" t="n">
        <v>46319</v>
      </c>
      <c r="K135" s="51" t="n">
        <v>9033</v>
      </c>
      <c r="L135" s="29" t="inlineStr">
        <is>
          <t>Hayır</t>
        </is>
      </c>
      <c r="M135" s="29" t="inlineStr">
        <is>
          <t>Taslak</t>
        </is>
      </c>
      <c r="N135" s="29" t="inlineStr">
        <is>
          <t>marbella:para</t>
        </is>
      </c>
      <c r="O135" s="29" t="inlineStr">
        <is>
          <t>Beyanı kendin vermek istiyorsan Agencia Tributaria'nın elektronik merkezine tanınmış elektronik sertifika, Cl@ve Móvil, referans numarası ya da eIDAS ile gir.
Temsilci kullanacaksan colaborador social olarak yetkili bir profesyoneli seç: beyanı senin adına elektronik verir ve bunu kendi elektronik sertifikasıyla yapar.
Profesyonel colaborador social değilse ona Registro de apoderamientos yoluyla vekâlet ver.</t>
        </is>
      </c>
      <c r="P135" s="29" t="n"/>
      <c r="Q135" s="29" t="n"/>
      <c r="R135" s="29" t="n"/>
      <c r="S135" s="29" t="inlineStr">
        <is>
          <t>Colaborador social, Agencia Tributaria ile işbirliği anlaşması imzalamış kuruluşlara bağlı meslek mensuplarıdır; temsilin kapsamı elektronik sunumun mekanik ve idari işlemleriyle sınırlıdır.</t>
        </is>
      </c>
      <c r="T135" s="29" t="n"/>
    </row>
    <row r="136" ht="54" customHeight="1">
      <c r="A136" s="29" t="inlineStr">
        <is>
          <t>marbella:arac-sigortasi-zorunlulugu-ve-hipotek-sigortalari</t>
        </is>
      </c>
      <c r="B136" s="29" t="inlineStr">
        <is>
          <t>marbella</t>
        </is>
      </c>
      <c r="C136" s="29" t="inlineStr">
        <is>
          <t>arac-sigortasi-zorunlulugu-ve-hipotek-sigortalari</t>
        </is>
      </c>
      <c r="D136" s="29" t="inlineStr">
        <is>
          <t>İspanya'da araç sigortası zorunlu mu, hipotek alırken hangi sigortalar istenir?</t>
        </is>
      </c>
      <c r="E136" s="29" t="inlineStr">
        <is>
          <t>İspanya'da park edilen her motorlu araç için sorumluluk sigortası zorunlu; hipotekte Banco de España'ya göre yangın sigortası zorunlu</t>
        </is>
      </c>
      <c r="F136" s="29" t="inlineStr">
        <is>
          <t>Evet, İspanya'da alışılmış park yeri İspanya olan her motorlu aracın sahibi, her araç için ayrı bir sorumluluk sigortası sözleşmesi yaptırmak ve yürürlükte tutmak zorundadır (BOE, Real Decreto Legislativo 8/2004, madde 2). İspanyol plakası olan araç bu kapsama girer. Hipotek başvurusunda bankanın bir sigortayı koşul olarak koyması sık görülür; böyle bir koşul hipotek ön bilgi formunda (FIPRE) ve standart bilgi formunda (FEIN) yer almalıdır. Banco de España'ya göre yangın (ya da konut multirriesgo) sigortası hipotek yaptırırken zorunludur; hayat ve ödeme koruma sigortaları da hipotekle sık birlikte anılır ve aynı sayfa bankanın koşul koyduğu sigortaları yaptırmanın zorunlu olmadığını, ama yaptırırsan faiz farkının (diferencial) genellikle düştüğünü söylüyor.</t>
        </is>
      </c>
      <c r="G136" s="29" t="inlineStr">
        <is>
          <t>araç sigortası, seguro obligatorio, sorumluluk sigortası, hipotek sigortası, seguro de hogar, multirriesgo, FEIN, FIPRE</t>
        </is>
      </c>
      <c r="H136" s="29" t="inlineStr">
        <is>
          <t>planning;new;settled</t>
        </is>
      </c>
      <c r="I136" s="29" t="inlineStr">
        <is>
          <t>marbella:kaynak:050;marbella:kaynak:051</t>
        </is>
      </c>
      <c r="J136" s="49" t="n">
        <v>46319</v>
      </c>
      <c r="K136" s="51" t="n">
        <v>9034</v>
      </c>
      <c r="L136" s="29" t="inlineStr">
        <is>
          <t>Hayır</t>
        </is>
      </c>
      <c r="M136" s="29" t="inlineStr">
        <is>
          <t>Taslak</t>
        </is>
      </c>
      <c r="N136" s="29" t="inlineStr">
        <is>
          <t>marbella:para</t>
        </is>
      </c>
      <c r="O136" s="29" t="inlineStr">
        <is>
          <t>Aracın sahibi olarak her araç için ayrı bir sorumluluk sigortası sözleşmesi yap ve yürürlükte tut.
Başka bir AEA ülkesinden araç ithal ettiysen: teslimi kabul ettiğin günden itibaren en çok otuz gün boyunca araç, İspanyol plakası olmasa da İspanya'da park edilmiş sayılır; bu sürede sigortayı kayıt devletinde ya da İspanya'da yaptırabilirsin, sınırda geçici sigorta (seguro en frontera) da yapılabilir.
Hipotek alıyorsan bankanın koşul koyduğu sigortaları FIPRE ve FEIN formlarında oku; yangın sigortası hipotek için zorunludur (Banco de España); FEIN sana ücretsiz, hipotek senedinin (escritura) imzasından en az on takvim günü önce verilir.
Banka kendi sigorta şirketini önerebilir; hasar sigortası ya da yükümlülük teminatı poliçesinde alternatif poliçeleri kabul etmek zorundadır.</t>
        </is>
      </c>
      <c r="P136" s="29" t="n"/>
      <c r="Q136" s="29" t="inlineStr">
        <is>
          <t>Hipotekte FEIN formu, hipotek senedinin (escritura) imzasından en az on takvim günü önce verilir.</t>
        </is>
      </c>
      <c r="R136" s="29" t="inlineStr">
        <is>
          <t>FEIN formu ücretsiz verilir.</t>
        </is>
      </c>
      <c r="S136" s="29" t="inlineStr">
        <is>
          <t>Sigortayı, sigorta ettirmekte yararı olan başka bir kişi yaptırırsa ve hangi sıfatla yaptırdığını belirtirse araç sahibi bu yükümlülükten kurtulur. AEA üyesi olmayan bir ülkeden gelen ve ulusal sigorta büroları anlaşmasına bağlı olmayan yabancı araçlarda İspanyol gümrük makamları, araç İspanya'ya girerken İspanyol mevzuatının koşullarını karşılayan zorunlu sigortayı arayabilir; sigorta yoksa girişi reddetmek zorundadır.</t>
        </is>
      </c>
      <c r="T136" s="29" t="n"/>
    </row>
    <row r="137" ht="54" customHeight="1">
      <c r="A137" s="29" t="inlineStr">
        <is>
          <t>marbella:emeklilik-yasi-ve-prim-suresi</t>
        </is>
      </c>
      <c r="B137" s="29" t="inlineStr">
        <is>
          <t>marbella</t>
        </is>
      </c>
      <c r="C137" s="29" t="inlineStr">
        <is>
          <t>emeklilik-yasi-ve-prim-suresi</t>
        </is>
      </c>
      <c r="D137" s="29" t="inlineStr">
        <is>
          <t>İspanya'da emeklilik yaşı kaç, emekli olmak için kaç yıl prim gerekir?</t>
        </is>
      </c>
      <c r="E137" s="29" t="inlineStr">
        <is>
          <t>2026'da emeklilik yaşı 65 ya da 66 yıl 10 ay; en az 15 yıl prim gerekir</t>
        </is>
      </c>
      <c r="F137" s="29" t="inlineStr">
        <is>
          <t>Genel rejimde (Régimen General) olağan emeklilik yaşı 2026 için, 38 yıl 3 ay ya da daha fazla prim ödeyenlerde 65, daha az prim ödeyenlerde 66 yıl 10 aydır; 2027'den itibaren sınır 38 yıl 6 ay olur ve altındakiler için yaş 67'dir (Seguridad Social sayfasına göre; tablo 1 Ocak 2013'ten sonraki genel kuraldır, 1 Ocak 2013'ten önceki mevzuata tabi olanlarda 65 yaş korunur). Emeklilik hakkı için asgari prim süresi 15 yıldır (5.475 gün); bunun 2 yılı, hakkın doğduğu andan önceki 15 yıl içinde olmalıdır. 2026 için genel rejimde ortak riskler (contingencias comunes) primi toplam yüzde 28,30'dur; yüzde 23,60'ı işveren, yüzde 4,70'i işçi öder (BOE, Orden PJC/297/2026, 1 Ocak 2026'dan itibaren 2026 yılı için). Bu yalnızca ortak riskler payıdır: aynı BOE emri kuşaklar arası denge mekanizması primini ek olarak 0,90 puan belirler; işsizlik, ücret garanti fonu ve meslek eğitimi primleri de aynı emirde ayrıca düzenlenir; iş kazası ve meslek hastalığı primi ise tamamen işverene aittir. Belirli özel durumlarda emeklilik yaşı düşürülebilir.</t>
        </is>
      </c>
      <c r="G137" s="29" t="inlineStr">
        <is>
          <t>emeklilik, jubilación, emeklilik yaşı, prim süresi, Seguridad Social, ortak riskler primi, cotización, Régimen General</t>
        </is>
      </c>
      <c r="H137" s="29" t="inlineStr">
        <is>
          <t>planning;settled</t>
        </is>
      </c>
      <c r="I137" s="29" t="inlineStr">
        <is>
          <t>marbella:kaynak:052;marbella:kaynak:053</t>
        </is>
      </c>
      <c r="J137" s="49" t="n">
        <v>46319</v>
      </c>
      <c r="K137" s="51" t="n">
        <v>9035</v>
      </c>
      <c r="L137" s="29" t="inlineStr">
        <is>
          <t>Hayır</t>
        </is>
      </c>
      <c r="M137" s="29" t="inlineStr">
        <is>
          <t>Taslak</t>
        </is>
      </c>
      <c r="N137" s="29" t="inlineStr">
        <is>
          <t>marbella:para</t>
        </is>
      </c>
      <c r="O137" s="29" t="inlineStr">
        <is>
          <t>Prim süreni yıl ve ay olarak belirle: 2026 için 38 yıl 3 ay ve üstü 65 yaşta, altı 66 yıl 10 ayda emeklilik anlamına gelir.
En az 15 yıl (5.475 gün) prim biriktir; bunun 2 yılı hakkın doğduğu andan önceki 15 yıl içinde olmalı.
Prim hesabında yalnızca fiilen ödenen ya da yasal olarak ona eşdeğer sayılan primlerin geçerli olduğunu bil.
2026'da genel rejimde ortak riskler priminde işçi payı yüzde 4,70, işveren payı yüzde 23,60'tır; bu işçinin toplam kesintisi değildir, kuşaklar arası denge primi ve işsizlik primi ayrıca uygulanır.</t>
        </is>
      </c>
      <c r="P137" s="29" t="n"/>
      <c r="Q137" s="29" t="inlineStr">
        <is>
          <t>2026 için: 38 yıl 3 ay ve üstü prim: 65 yaş; daha az: 66 yıl 10 ay. 2027'den itibaren: 38 yıl 6 ay ve üstü: 65 yaş; daha az: 67 yaş.</t>
        </is>
      </c>
      <c r="R137" s="29" t="inlineStr">
        <is>
          <t>2026 için genel rejimde ortak riskler primi toplam yüzde 28,30: işveren yüzde 23,60, işçi yüzde 4,70. Ek olarak kuşaklar arası denge mekanizması primi 0,90 puan; işsizlik, ücret garanti fonu ve meslek eğitimi primleri ayrıca düzenlenir.</t>
        </is>
      </c>
      <c r="S137" s="29" t="inlineStr">
        <is>
          <t>Emeklilik yaşı yalnızca prim ödeyen (kayıtlı ya da kayıtlıya eşdeğer) çalışanlar için belirli özel durumlarda düşürülebilir ya da öne çekilebilir. Örnekler: mutualista olmayanlar için 61 yaştan erken emeklilik, kısmi emeklilik ve yüzde 45 ya da 65 ve üstü engellilik.</t>
        </is>
      </c>
      <c r="T137" s="29" t="n"/>
    </row>
    <row r="138" ht="54" customHeight="1">
      <c r="A138" s="29" t="inlineStr">
        <is>
          <t>marbella:bizum-nedir-nasil-kullanilir</t>
        </is>
      </c>
      <c r="B138" s="29" t="inlineStr">
        <is>
          <t>marbella</t>
        </is>
      </c>
      <c r="C138" s="29" t="inlineStr">
        <is>
          <t>bizum-nedir-nasil-kullanilir</t>
        </is>
      </c>
      <c r="D138" s="29" t="inlineStr">
        <is>
          <t>Bizum nedir, nasıl kullanılır, yanlış kişiye gönderirsem geri alabilir miyim?</t>
        </is>
      </c>
      <c r="E138" s="29" t="inlineStr">
        <is>
          <t>Bizum hesabı telefon numarana bağlar; Banco de España'nın 2021 tarihli yazısına göre bankalar komisyon almıyordu, işlem geri alınamaz</t>
        </is>
      </c>
      <c r="F138" s="29" t="inlineStr">
        <is>
          <t>Bizum, hesap numaranı cep telefonu numarana bağlayarak ödemeyi kolaylaştıran bir sistemdir. Banco de España'nın 20 Temmuz 2021 tarihli yazısına göre İspanyol bankalarının neredeyse tamamı bu hizmeti sunuyordu ve hiçbiri kullanım için komisyon uygulamıyordu; aynı yazıya göre ayrı bir Bizum uygulaması yoktur, hizmet her bankanın kendi uygulamasına entegredir ve ödemelerde banka uygulamasına girip SMS ile gelen OTP kodunu da girmek gerekiyordu. Aynı yazıya göre yanlış kişiye gönderdiğin Bizum geri alınamaz: tek seçenek o kişiyle iletişime geçip parayı geri göndermesini istemek ya da bankana başvurup parayı geri almak için gerekli girişimi yapmasını istemektir. Bu bilgiler 2021 tarihlidir.</t>
        </is>
      </c>
      <c r="G138" s="29" t="inlineStr">
        <is>
          <t>Bizum, anlık ödeme, telefon numarasıyla ödeme, Banco de España, OTP, ödeme yöntemleri, yanlış transfer</t>
        </is>
      </c>
      <c r="H138" s="29" t="inlineStr">
        <is>
          <t>new;settled</t>
        </is>
      </c>
      <c r="I138" s="29" t="inlineStr">
        <is>
          <t>marbella:kaynak:054</t>
        </is>
      </c>
      <c r="J138" s="49" t="n">
        <v>46319</v>
      </c>
      <c r="K138" s="51" t="n">
        <v>9036</v>
      </c>
      <c r="L138" s="29" t="inlineStr">
        <is>
          <t>Hayır</t>
        </is>
      </c>
      <c r="M138" s="29" t="inlineStr">
        <is>
          <t>Taslak</t>
        </is>
      </c>
      <c r="N138" s="29" t="inlineStr">
        <is>
          <t>marbella:para</t>
        </is>
      </c>
      <c r="O138" s="29" t="inlineStr">
        <is>
          <t>Banco de España'nın 2021 tarihli yazısına göre Bizum bankanın kendi mobil uygulamasından kullanılır; ayrı bir Bizum uygulaması yoktur.
Aynı yazıya göre ödemede banka uygulamasına girilir ve 2021'de SMS ile gelen OTP kodu da yazılıyordu.
Alıcıyı rehberinden seç; telefon numarasını elle yazmak yerine rehberden seçmen önerilir.
İki farklı telefon numaran varsa her birini farklı bir bankaya bağlayabilirsin (2021 tarihli yazıya göre).</t>
        </is>
      </c>
      <c r="P138" s="29" t="n"/>
      <c r="Q138" s="29" t="n"/>
      <c r="R138" s="29" t="inlineStr">
        <is>
          <t>Banco de España'nın 20 Temmuz 2021 tarihli yazısına göre bankalar Bizum kullanımı için komisyon uygulamıyordu.</t>
        </is>
      </c>
      <c r="S138" s="29" t="inlineStr">
        <is>
          <t>Banco de España'nın 2021 tarihli yazısına göre işlem tutarı en az 0,50, en çok 1.000 euro olabiliyordu ve ayda en çok 60 işlem alabiliyordun; bankalar bu sınırlardan daha düşük limit koyabilir.</t>
        </is>
      </c>
      <c r="T138" s="29" t="n"/>
    </row>
    <row r="139" ht="54" customHeight="1">
      <c r="A139" s="29" t="inlineStr">
        <is>
          <t>marbella:banka-ucretleri-ve-seffaflik-haklari</t>
        </is>
      </c>
      <c r="B139" s="29" t="inlineStr">
        <is>
          <t>marbella</t>
        </is>
      </c>
      <c r="C139" s="29" t="inlineStr">
        <is>
          <t>banka-ucretleri-ve-seffaflik-haklari</t>
        </is>
      </c>
      <c r="D139" s="29" t="inlineStr">
        <is>
          <t>Banka ücretleri (komisyonlar) serbest mi, bankalar bunları açıklamak zorunda mı?</t>
        </is>
      </c>
      <c r="E139" s="29" t="inlineStr">
        <is>
          <t>Komisyonlar serbest ama bankalar sık kullanılan hizmetlerin ücretini yayımlamak zorunda; temel ödeme hesabında üst sınır var</t>
        </is>
      </c>
      <c r="F139" s="29" t="inlineStr">
        <is>
          <t>Evet, banka komisyonları serbesttir: bir norm tutarı sınırlamadıkça (örneğin ipoteğin ya da tüketici kredisinin erken kapatılmasında) bankalar diledikleri tutarı alabilir. Bankalar müşterilerine en sık sundukları hizmetlerin alışılmış komisyonlarını internet sitelerinde ve ticari şubelerinde yayımlamak zorundadır; bu, karşılaştırmayı kolaylaştırmak içindir. Temel ödeme hesabında (cuenta de pago básica) kredi kuruluşunun alabileceği tek ve toplam komisyon ayda en çok 3 euro'dur; Banco de España bu tutarı iki yılda bir güncelleyebilir. Bu tutar hesabın açılışı, kullanımı ve kapatılması, euro nakit yatırma, ATM'den euro çekme, banka ya da ön ödemeli kartla ödeme ile AB içinde euro olarak yılda 120 ödeme işlemini (otomatik ödeme ve havale) kapsar.</t>
        </is>
      </c>
      <c r="G139" s="29" t="inlineStr">
        <is>
          <t>banka komisyonları, comisiones bancarias, banka ücretleri, cuenta de pago básica, temel ödeme hesabı, Banco de España, şeffaflık</t>
        </is>
      </c>
      <c r="H139" s="29" t="inlineStr">
        <is>
          <t>new;settled</t>
        </is>
      </c>
      <c r="I139" s="29" t="inlineStr">
        <is>
          <t>marbella:kaynak:055;marbella:kaynak:056</t>
        </is>
      </c>
      <c r="J139" s="49" t="n">
        <v>46319</v>
      </c>
      <c r="K139" s="51" t="n">
        <v>9037</v>
      </c>
      <c r="L139" s="29" t="inlineStr">
        <is>
          <t>Hayır</t>
        </is>
      </c>
      <c r="M139" s="29" t="inlineStr">
        <is>
          <t>Taslak</t>
        </is>
      </c>
      <c r="N139" s="29" t="inlineStr">
        <is>
          <t>marbella:para</t>
        </is>
      </c>
      <c r="O139" s="29" t="inlineStr">
        <is>
          <t>Hesap açmadan önce bankaların internet sitelerinde ve şubelerinde yayımladığı sık kullanılan hizmetlerin komisyon bilgilerini karşılaştır.
Komisyonun bir normla sınırlı olabileceğini bil: ipoteğin ve tüketici kredisinin erken kapatılması bunlardandır.
Temel ödeme hesabında bankanın alabileceği tek ve toplam komisyonun ayda 3 euro'yu aşamayacağını hatırla.
Temel ödeme hesabında yılda 120 ödeme işlemini aşarsan bankanın, yıl boyunca toplamda o işlem türü için uyguladığı ortalama komisyon ya da masraftan fazlasını sana yansıtamayacağını bil.</t>
        </is>
      </c>
      <c r="P139" s="29" t="n"/>
      <c r="Q139" s="29" t="n"/>
      <c r="R139" s="29" t="inlineStr">
        <is>
          <t>Temel ödeme hesabı: ayda en çok 3 euro (güncel tarife; Banco de España iki yılda bir güncelleyebilir). Diğer hesaplarda komisyonlar serbesttir.</t>
        </is>
      </c>
      <c r="S139" s="29" t="inlineStr">
        <is>
          <t>Temel ödeme hesabında bankan, başka bir bankanın ATM'sinden nakit çekmen nedeniyle o bankaya ödemesi gereken komisyonları sana yansıtabilir.</t>
        </is>
      </c>
      <c r="T139" s="29" t="n"/>
    </row>
    <row r="140" ht="54" customHeight="1">
      <c r="A140" s="29" t="inlineStr">
        <is>
          <t>marbella:beckham-yasasi-ozel-vergi-rejimi</t>
        </is>
      </c>
      <c r="B140" s="29" t="inlineStr">
        <is>
          <t>marbella</t>
        </is>
      </c>
      <c r="C140" s="29" t="inlineStr">
        <is>
          <t>beckham-yasasi-ozel-vergi-rejimi</t>
        </is>
      </c>
      <c r="D140" s="29" t="inlineStr">
        <is>
          <t>Beckham yasası (özel vergi rejimi) kimlere uygulanır, kaç yıl sürer?</t>
        </is>
      </c>
      <c r="E140" s="29" t="inlineStr">
        <is>
          <t>Taşınma yılı ile sonraki beş vergi dönemi boyunca uygulanır; son beş yılda İspanya'da mukim olmamak gerekir</t>
        </is>
      </c>
      <c r="F140" s="29" t="inlineStr">
        <is>
          <t>Özel vergi rejimi, taşınma yılı ile sonraki beş vergi dönemi boyunca uygulanır (Renta 2025 kılavuzuna göre). Rejim, taşınmaları sonucu İspanya'da vergi mukimi olan ve gelir vergisini Mukim Olmayanlar Gelir Vergisi'nin özel kurallarıyla ödemeyi seçen kişiler içindir; bu süre boyunca IRPF mükellefi kalırlar. Taşınmadan önceki beş vergi döneminde İspanya'da mukim olmamış olmak gerekir; bu beş dönem hesabında taşınma yılı değil, İspanya'da mukimlik kazanılan yıl esas alınır ve süre 1 Ocak 2023'ten beri on yıldan beş yıla indirildi. Taşınma bir iş sözleşmesi, uzaktan çalışma, şirket yöneticiliği, girişimci faaliyet ya da yüksek nitelikli uzman olarak çalışma nedeniyle olmalıdır. Genel gelir tabanına 600.000 euroya kadar yüzde 24, üstüne yüzde 47 oranı uygulanır.</t>
        </is>
      </c>
      <c r="G140" s="29" t="inlineStr">
        <is>
          <t>Beckham yasası, özel vergi rejimi, trabajadores desplazados, yerleşik olmayan vergisi, IRNR, uzaktan çalışma vizesi, ENISA, Renta 2025</t>
        </is>
      </c>
      <c r="H140" s="29" t="inlineStr">
        <is>
          <t>planning;new</t>
        </is>
      </c>
      <c r="I140" s="29" t="inlineStr">
        <is>
          <t>marbella:kaynak:057;marbella:kaynak:058</t>
        </is>
      </c>
      <c r="J140" s="49" t="n">
        <v>46319</v>
      </c>
      <c r="K140" s="51" t="n">
        <v>9038</v>
      </c>
      <c r="L140" s="29" t="inlineStr">
        <is>
          <t>Hayır</t>
        </is>
      </c>
      <c r="M140" s="29" t="inlineStr">
        <is>
          <t>Taslak</t>
        </is>
      </c>
      <c r="N140" s="29" t="inlineStr">
        <is>
          <t>marbella:para</t>
        </is>
      </c>
      <c r="O140" s="29" t="inlineStr">
        <is>
          <t>Taşınmadan önceki beş vergi döneminde İspanya'da vergi mukimi olmadığını kontrol et.
Taşınma nedeninin şartlardan biri olduğundan emin ol: İspanya'daki işverenle başlayan iş ilişkisi, işverenin görevlendirme mektubuyla emri, yalnızca bilişim ve telekomünikasyon araçlarıyla uzaktan çalışma (ücretli çalışanlar için uluslararası uzaktan çalışma vizesi olanlar dahil), şirket yöneticiliği, girişimci faaliyet ya da yüksek nitelikli uzman çalışması.
Girişimci faaliyet için taşınacaksan ENISA'nın olumlu raporunu al.
Girişimci faaliyet için taşınacaksan oturum iznin taşınmadan önce alınmış olmalıdır. Yüksek nitelikli uzmanda AEAT kılavuzu şunu söylüyor: taşınmadan önce oturum izni varsa nitelik şartı sağlanmış sayılır.
İspanya'daki kalıcı işyeri (establecimiento permanente) yoluyla elde edilen gelirin olmamasına dikkat et; girişimci ve yüksek nitelikli uzman faaliyetleri bunun istisnasıdır.</t>
        </is>
      </c>
      <c r="P140" s="29" t="inlineStr">
        <is>
          <t>İşverenin görevlendirme mektubu (işverenin emriyle taşınmada)
ENISA'nın olumlu raporu (girişimci faaliyet için)
Oturum izni (girişimci faaliyet için taşınmadan önce; yüksek nitelikli uzmanda taşınmadan önce varsa nitelik şartı sağlanmış sayılır)</t>
        </is>
      </c>
      <c r="Q140" s="29" t="inlineStr">
        <is>
          <t>Taşınma yılı ile sonraki beş vergi dönemi (Renta 2025 kılavuzuna göre).</t>
        </is>
      </c>
      <c r="R140" s="29" t="inlineStr">
        <is>
          <t>Genel gelir tabanı: 600.000 euroya kadar yüzde 24, 600.000,01 euro ve üstü yüzde 47. Tasarruf gelirleri (temettü, faiz, değer artış kazançları) için ayrı ölçek: yüzde 19'dan yüzde 30'a.</t>
        </is>
      </c>
      <c r="S140" s="29" t="inlineStr">
        <is>
          <t>Yüksek nitelikli uzman iki koldan biriyle girer: (a) Ley 28/2022'deki yeni girişim şirketlerine (empresa emergente) hizmet veren uzman; (b) eğitim, araştırma, geliştirme ve yenilik faaliyeti yürüten ve bu faaliyetten aldığı ücret işletme, serbest meslek ve ücret gelirlerinin toplamının yüzde 40'ından fazla olan uzman. Şirket yöneticiliğinde şirket varlık yönetim şirketi (entidad patrimonial) ise yöneticinin sermaye payı yüzde 25'ten az olmalıdır.</t>
        </is>
      </c>
      <c r="T140" s="29" t="n"/>
    </row>
    <row r="141" ht="54" customHeight="1">
      <c r="A141" s="29" t="inlineStr">
        <is>
          <t>marbella:endulus-gelir-vergisi-irpf-bolge-dilimleri-ve-indirimleri</t>
        </is>
      </c>
      <c r="B141" s="29" t="inlineStr">
        <is>
          <t>marbella</t>
        </is>
      </c>
      <c r="C141" s="29" t="inlineStr">
        <is>
          <t>endulus-gelir-vergisi-irpf-bolge-dilimleri-ve-indirimleri</t>
        </is>
      </c>
      <c r="D141" s="29" t="inlineStr">
        <is>
          <t>Endülüs'te gelir vergisinin (IRPF) bölge dilimleri nelerdir, bölgesel indirimler hangileri?</t>
        </is>
      </c>
      <c r="E141" s="29" t="inlineStr">
        <is>
          <t>Genel matraha beş dilimli bölge cetveli uygulanır (%9,5 ile %22,5 arası); Renta 2025 için bölgesel indirimler listelidir</t>
        </is>
      </c>
      <c r="F141" s="29" t="inlineStr">
        <is>
          <t>Endülüs, genel matrah (base liquidable general) için beş dilimli bir bölge cetveli uygular: 13.000 euroya kadar %9,5; 13.000 ile 21.100 euro arası %12; 21.100 ile 35.200 euro arası %15; 35.200 ile 60.000 euro arası %18,5; 60.000 euronun üstü %22,5. Cetvel Ley 5/2021 md. 23'tedir ve Decreto-ley 7/2022 ile değişen hâliyle 1 Ocak 2022'den beri etkilidir. Junta'nın Renta 2025 sayfası (beyan dönemi 8 Nisan – 30 Haziran 2026) bölgesel indirimleri sayar: konut kirası, doğum ve evlat edinme, büyük aile, eğitim giderleri, engellilik, spor, veteriner gideri ve diğerleri.</t>
        </is>
      </c>
      <c r="G141" s="29" t="inlineStr">
        <is>
          <t>IRPF, gelir vergisi, Endülüs bölge dilimi, escala autonómica, deducciones autonómicas, Renta 2025, Ley 5/2021</t>
        </is>
      </c>
      <c r="H141" s="29" t="inlineStr">
        <is>
          <t>planning;new;settled</t>
        </is>
      </c>
      <c r="I141" s="29" t="inlineStr">
        <is>
          <t>marbella:kaynak:134;marbella:kaynak:135</t>
        </is>
      </c>
      <c r="J141" s="49" t="n">
        <v>46319</v>
      </c>
      <c r="K141" s="51" t="n">
        <v>9097</v>
      </c>
      <c r="L141" s="29" t="inlineStr">
        <is>
          <t>Hayır</t>
        </is>
      </c>
      <c r="M141" s="29" t="inlineStr">
        <is>
          <t>Taslak</t>
        </is>
      </c>
      <c r="N141" s="29" t="inlineStr">
        <is>
          <t>marbella:para</t>
        </is>
      </c>
      <c r="O141" s="29" t="inlineStr">
        <is>
          <t>Gelirinin genel matrahını (base liquidable general) belirle ve Endülüs cetvelinin dilimlerine göre yerleştir.
Renta 2025 beyanında Junta'nın listelediği bölgesel indirimlerden durumuna uyanları seç: kira, doğum ve evlat edinme, büyük aile, eğitim, engellilik, spor, veteriner gideri ve diğerleri.
Her indirimin şartları ve tutarı Ley 5/2021 md. 9–23 bis'te yazılıdır; indirimin hangi maddede olduğuna Junta sayfasındaki BOE konsolide metin bağlantılarından ulaş.</t>
        </is>
      </c>
      <c r="P141" s="29" t="n"/>
      <c r="Q141" s="29" t="inlineStr">
        <is>
          <t>Renta 2025: beyan sunumu 8 Nisan – 30 Haziran 2026. Bölge cetveli 1 Ocak 2022'den beri geçerli.</t>
        </is>
      </c>
      <c r="R141" s="29" t="n"/>
      <c r="S141" s="29" t="inlineStr">
        <is>
          <t>Bu cetvel yalnız genel matraha uygulanan bölgesel paydır. Gelir vergisi devlet vergisidir; tahsilatının %50'si ortak rejimdeki özerk bölgelere devredilmiştir (Endülüs'e özgü bir oran değildir). Endülüs'ün bu vergideki yetkileri Ley 5/2021 md. 9–23 bis'te düzenlenir; kişisel ve ailevi asgari tutarlar da bunlara dahildir. İndirim tutarları Junta sayfasında yoktur; her indirim için tutar ve şart ilgili madde metnindedir.</t>
        </is>
      </c>
      <c r="T141" s="29" t="n"/>
    </row>
    <row r="142" ht="54" customHeight="1">
      <c r="A142" s="29" t="inlineStr">
        <is>
          <t>marbella:endulus-ikinci-el-konut-alimi-itp-indirimli-oranlar</t>
        </is>
      </c>
      <c r="B142" s="29" t="inlineStr">
        <is>
          <t>marbella</t>
        </is>
      </c>
      <c r="C142" s="29" t="inlineStr">
        <is>
          <t>endulus-ikinci-el-konut-alimi-itp-indirimli-oranlar</t>
        </is>
      </c>
      <c r="D142" s="29" t="inlineStr">
        <is>
          <t>Endülüs'te konut alırken devir vergisinde (ITP) hangi indirimli oranlar var, şartları nedir?</t>
        </is>
      </c>
      <c r="E142" s="29" t="inlineStr">
        <is>
          <t>Yerleşik konut olması ve değer sınırı şartıyla %6 ve %3,5 oranları; sınır 150.000 ya da 250.000 euro; borrasca hasarı için ayrı %0 oranı</t>
        </is>
      </c>
      <c r="F142" s="29" t="inlineStr">
        <is>
          <t>Evet, şartla indirimli oran var. Devir vergisinin (Impuesto sobre Transmisiones Patrimoniales y Actos Jurídicos Documentados) Transmisiones Patrimoniales Onerosas (ITP) modalitesinde, konut alıcının yerleşik konutu (vivienda habitual) olacaksa ve değeri 150.000 euroyu aşmıyorsa oran %6'dır. %3,5 oranı üç ayrı maddede geçer. Birincisi: alıcı 35 yaşından küçükse ya da aile içi şiddet veya terör mağduruysa, konut yerleşik konutu olmalı ve değeri en çok 150.000 euro olmalı; satın alınan taşınmaz nüfus kaybı sorunu olan bir belediyede bulunuyorsa da aynı %3,5 oranı için konut yerleşik konutu olmalı ve değeri en çok 150.000 euro olmalı. İkincisi: alıcı ya da çekirdek ailesinden biri engelliyse, konut yerleşik konutu olmalı ve değeri en çok 250.000 euro olmalı. Üçüncüsü: alıcı büyük aile (familia numerosa) üyesiyse, konut ailesinin yerleşik konutu olmalı ve değeri en çok 250.000 euro olmalı. Decreto-ley 1/26 (borrasca hasarı için vergi desteği) ayrıca %0 oran getirir: hasar nedeniyle onarılamayan konutun yerine alınan ve alıcının yerleşik konutu olacak konut için. Konut dışı kullanım için hasarlı yapının yerine alınan taşınmazlarda ise oran %3,5'tir. Bu iki istisna Decreto-ley'in kapsadığı bölgedeki hasarlar için geçerlidir.</t>
        </is>
      </c>
      <c r="G142" s="29" t="inlineStr">
        <is>
          <t>ITP, devir vergisi, konut alımı, indirimli oran, vivienda habitual, 35 yaş altı, familia numerosa, Endülüs</t>
        </is>
      </c>
      <c r="H142" s="29" t="inlineStr">
        <is>
          <t>planning;new</t>
        </is>
      </c>
      <c r="I142" s="29" t="inlineStr">
        <is>
          <t>marbella:kaynak:136;marbella:kaynak:134</t>
        </is>
      </c>
      <c r="J142" s="49" t="n">
        <v>46319</v>
      </c>
      <c r="K142" s="51" t="n">
        <v>9098</v>
      </c>
      <c r="L142" s="29" t="inlineStr">
        <is>
          <t>Hayır</t>
        </is>
      </c>
      <c r="M142" s="29" t="inlineStr">
        <is>
          <t>Taslak</t>
        </is>
      </c>
      <c r="N142" s="29" t="inlineStr">
        <is>
          <t>marbella:para</t>
        </is>
      </c>
      <c r="O142" s="29" t="inlineStr">
        <is>
          <t>Konutu yerleşik konut olarak kullanıp kullanmayacağını ve konutun değerinin sınırların altında kalıp kalmadığını belirle.
Durumuna uyan oranı seç: %6 için değer en çok 150.000 euro; %3,5 için 35 yaş altı, mağdur ya da taşınmazın nüfus kaybı sorunu olan bir belediyede bulunması durumunda 150.000 euro, engelli ve büyük aile durumunda 250.000 euro.
Birden fazla kişiyle alıyorsan indirimli oran, şartı taşıyanın payına uygulanır; evli çiftte ya da kayıtlı partnerlerde yaş ve engellilik şartını eşlerden en az birinin taşıması yeterlidir.
Hasar nedeniyle onarılamayan bir konutun yerine yerleşik konut alıyorsan Decreto-ley 1/26'nın %0 oranı için yeni konutun senin yerleşik konutun olacağını ve yerine geçtiği konutun hasar nedeniyle onarılamaz olduğunu (tamamen ya da kısmen yıkılmış, ruin ilan edilmiş ya da yıkılması gereken) kontrol et.</t>
        </is>
      </c>
      <c r="P142" s="29" t="n"/>
      <c r="Q142" s="29" t="inlineStr">
        <is>
          <t>2026 işlemleri için; sayfada tarih belirtilmemiştir.</t>
        </is>
      </c>
      <c r="R142" s="29" t="inlineStr">
        <is>
          <t>%6, %3,5 ya da (Decreto-ley 1/26 kapsamında) %0 oranı (şarta göre)</t>
        </is>
      </c>
      <c r="S142" s="29" t="inlineStr">
        <is>
          <t>Bu kart yalnız indirimli oranları anlatır; genel oran kartta yer almaz. Nüfus kaybı riski taşıyan belediyeler her yıl bir kararda (Resolución) listelenir; 2026 işlemleri için de liste vardır.</t>
        </is>
      </c>
      <c r="T142" s="29" t="n"/>
    </row>
    <row r="143" ht="54" customHeight="1">
      <c r="A143" s="29" t="inlineStr">
        <is>
          <t>marbella:marbella-vergi-dairesi-agencia-tributaria-ofisi</t>
        </is>
      </c>
      <c r="B143" s="29" t="inlineStr">
        <is>
          <t>marbella</t>
        </is>
      </c>
      <c r="C143" s="29" t="inlineStr">
        <is>
          <t>marbella-vergi-dairesi-agencia-tributaria-ofisi</t>
        </is>
      </c>
      <c r="D143" s="29" t="inlineStr">
        <is>
          <t>Marbella'da vergi dairesi (Agencia Tributaria) ofisi nerede, beyanname ve vergi işleri için nereye gidersin?</t>
        </is>
      </c>
      <c r="E143" s="29" t="inlineStr">
        <is>
          <t>Marbella ofisi Avenida Jacinto Benavente 27'de; ilin geri kalan işleri için Málaga şehrindeki birimler var</t>
        </is>
      </c>
      <c r="F143" s="29" t="inlineStr">
        <is>
          <t>Marbella'daki vergi ofisi Agencia Tributaria'nın Administración Marbella birimidir: Avenida Jacinto Benavente, 27, 29601 Marbella. Gelir vergisi beyanı (Renta) gibi işlerde ulusal vergi idaresine bağlı bu ofise gidebilirsin. Gestión ve Recaudación birimleri (vergi yönetimi ve tahsilat) ile mükellef bilgi ve yardım birimi ise Málaga şehrinde, Calle Héroe de Sostoa, 11-13, 29002 adresindedir. Agencia Tributaria ofis listesi sayfasında asistans hizmetleri ve randevu (cita) isteme bölümü de yer alır.</t>
        </is>
      </c>
      <c r="G143" s="29" t="inlineStr">
        <is>
          <t>Agencia Tributaria, vergi dairesi, Marbella, Renta, cita previa, Administración Marbella, vergi ofisi</t>
        </is>
      </c>
      <c r="H143" s="29" t="inlineStr">
        <is>
          <t>new;settled</t>
        </is>
      </c>
      <c r="I143" s="29" t="inlineStr">
        <is>
          <t>marbella:kaynak:242</t>
        </is>
      </c>
      <c r="J143" s="49" t="n">
        <v>46323</v>
      </c>
      <c r="K143" s="51" t="n">
        <v>600</v>
      </c>
      <c r="L143" s="29" t="inlineStr">
        <is>
          <t>Hayır</t>
        </is>
      </c>
      <c r="M143" s="29" t="inlineStr">
        <is>
          <t>Taslak</t>
        </is>
      </c>
      <c r="N143" s="29" t="inlineStr">
        <is>
          <t>marbella:para</t>
        </is>
      </c>
      <c r="O143" s="29" t="inlineStr">
        <is>
          <t>Ofis listesi sayfasında Málaga ilini aç ve Marbella için Administración Marbella kaydını bul.
İşin için asistans gerekiyorsa aynı sayfadaki 'Asistencia y Cita' bölümünden randevu iste.
Vergi yönetimi ve tahsilat işlerinde ya da mükellef bilgi biriminde Málaga şehrindeki Calle Héroe de Sostoa, 11-13 adresine git.</t>
        </is>
      </c>
      <c r="P143" s="29" t="n"/>
      <c r="Q143" s="29" t="n"/>
      <c r="R143" s="29" t="n"/>
      <c r="S143" s="29" t="inlineStr">
        <is>
          <t>Renta'nın verilme tarihleri ve kimin beyan vermesi gerektiği İspanya geneli için geçerlidir; Marbella'ya özgü değildir.</t>
        </is>
      </c>
      <c r="T143" s="29" t="n"/>
    </row>
    <row r="144" ht="54" customHeight="1">
      <c r="A144" s="29" t="inlineStr">
        <is>
          <t>marbella:marbella-belediye-vergileri-patronato-recaudacion</t>
        </is>
      </c>
      <c r="B144" s="29" t="inlineStr">
        <is>
          <t>marbella</t>
        </is>
      </c>
      <c r="C144" s="29" t="inlineStr">
        <is>
          <t>marbella-belediye-vergileri-patronato-recaudacion</t>
        </is>
      </c>
      <c r="D144" s="29" t="inlineStr">
        <is>
          <t>Marbella'da belediye vergileri (IBI, araç vergisi) ve çöp tasası için nereye gidilir?</t>
        </is>
      </c>
      <c r="E144" s="29" t="inlineStr">
        <is>
          <t>Tahsilat Patronato de Recaudación'da (Av. Ricardo Soriano 68), vergi yönetimi Oficina de Gestión Tributaria'da</t>
        </is>
      </c>
      <c r="F144" s="29" t="inlineStr">
        <is>
          <t>Marbella belediye vergileri için iki adres kullanırsın: Patronato de Recaudación, Av. Ricardo Soriano, 68, 29601 Marbella (tel. 951 957 285, pazartesi-cuma 09:00-13:30) ve Oficina de Gestión Tributaria, Mercado Municipal binası, giriş C/Francisco de Quevedo s/n (tel. 952 938 818, pazartesi-cuma 09:00-14:00). Belediyenin 2026 mali ordonansları (Ordenanzas fiscales 2026) 7 Ocak 2026'da yayımlandı; içinde taşınmaz (emlak) vergisi IBI, araç vergisi IVTM ve çöp toplama tasası var. Ordonans metni 13 MB'lık bir PDF olarak sayfadan indirilir.</t>
        </is>
      </c>
      <c r="G144" s="29" t="inlineStr">
        <is>
          <t>IBI, IVTM, araç vergisi, emlak vergisi, çöp tasası, Patronato de Recaudación, Marbella, ordenanzas fiscales</t>
        </is>
      </c>
      <c r="H144" s="29" t="inlineStr">
        <is>
          <t>new;settled</t>
        </is>
      </c>
      <c r="I144" s="29" t="inlineStr">
        <is>
          <t>marbella:kaynak:237;marbella:kaynak:236</t>
        </is>
      </c>
      <c r="J144" s="49" t="n">
        <v>46323</v>
      </c>
      <c r="K144" s="51" t="n">
        <v>601</v>
      </c>
      <c r="L144" s="29" t="inlineStr">
        <is>
          <t>Hayır</t>
        </is>
      </c>
      <c r="M144" s="29" t="inlineStr">
        <is>
          <t>Taslak</t>
        </is>
      </c>
      <c r="N144" s="29" t="inlineStr">
        <is>
          <t>marbella:para</t>
        </is>
      </c>
      <c r="O144" s="29" t="inlineStr">
        <is>
          <t>Tahsilat işi için Patronato de Recaudación'a Av. Ricardo Soriano, 68 adresinde git ya da 951 957 285 numarasını ara.
Vergi yönetimi işleri için Mercado Municipal binasındaki Oficina de Gestión Tributaria'ya git; giriş C/Francisco de Quevedo tarafından.
Vergi türünün kuralları için sayfadaki Ordenanzas fiscales 2026 PDF'ini indir.</t>
        </is>
      </c>
      <c r="P144" s="29" t="n"/>
      <c r="Q144" s="29" t="n"/>
      <c r="R144" s="29" t="n"/>
      <c r="S144" s="29" t="n"/>
      <c r="T144" s="29" t="n"/>
    </row>
    <row r="145" ht="54" customHeight="1">
      <c r="A145" s="29" t="inlineStr">
        <is>
          <t>marbella:marbella-sosyal-hizmetler-merkezleri-belediye-yardimi</t>
        </is>
      </c>
      <c r="B145" s="29" t="inlineStr">
        <is>
          <t>marbella</t>
        </is>
      </c>
      <c r="C145" s="29" t="inlineStr">
        <is>
          <t>marbella-sosyal-hizmetler-merkezleri-belediye-yardimi</t>
        </is>
      </c>
      <c r="D145" s="29" t="inlineStr">
        <is>
          <t>Marbella'da belediyenin sosyal yardımlarına nasıl başvurulur, hangi sosyal hizmetler merkezine gidilir?</t>
        </is>
      </c>
      <c r="E145" s="29" t="inlineStr">
        <is>
          <t>Başvuru Delegación de Derechos Sociales'in merkezlerinde; ilk görüşme için en çok 20 iş günü taahhüt ediliyor</t>
        </is>
      </c>
      <c r="F145" s="29" t="inlineStr">
        <is>
          <t>Belediye yardımları için oturduğun semtteki Centro de Servicios Sociales Comunitarios'a ya da Delegación de Derechos Sociales'e git. Merkez Marbella'da Calle Vázquez Clavel, 25 bajos, 29603 (tel. 952 768 700); San Pedro Alcántara'da Calle Viento de Levante s/n, 29670 (tel. 952 768 735). Miraflores, Las Chapas ve Nueva Andalucía'da da birer merkez var. Delegasyonun hizmet şartnamesi, sosyal hizmet uzmanıyla ilk görüşmeyi en çok 20 iş günü içinde, değerlendirme gerektiren belediye yardımlarının işlemini belgeler tamamlandıktan sonra 14 iş günü içinde yapmayı taahhüt eder. Belediyenin sosyal hizmet kayıtlarına göre yardımlar arasında acil sosyal ekonomik yardım, aile ekonomik yardımları, acil durum ve asgari temel gider (suministros mínimos vitales) yardımı ile evde bakım hizmeti sayılır.</t>
        </is>
      </c>
      <c r="G145" s="29" t="inlineStr">
        <is>
          <t>sosyal yardım, Derechos Sociales, servicios sociales, Marbella, ayuda a domicilio, acil sosyal yardım, trabajador social</t>
        </is>
      </c>
      <c r="H145" s="29" t="inlineStr">
        <is>
          <t>new;settled</t>
        </is>
      </c>
      <c r="I145" s="29" t="inlineStr">
        <is>
          <t>marbella:kaynak:188;marbella:kaynak:244</t>
        </is>
      </c>
      <c r="J145" s="49" t="n">
        <v>46323</v>
      </c>
      <c r="K145" s="51" t="n">
        <v>602</v>
      </c>
      <c r="L145" s="29" t="inlineStr">
        <is>
          <t>Evet</t>
        </is>
      </c>
      <c r="M145" s="29" t="inlineStr">
        <is>
          <t>Taslak</t>
        </is>
      </c>
      <c r="N145" s="29" t="inlineStr">
        <is>
          <t>marbella:para</t>
        </is>
      </c>
      <c r="O145" s="29" t="inlineStr">
        <is>
          <t>Oturduğun semte yakın merkezi seç: Marbella, Miraflores, Las Chapas, Nueva Andalucía ya da San Pedro Alcántara.
Merkezi ara ya da derechossociales@marbella.es adresine yaz; telefon ve e-posta sorularına en çok 3 iş günü içinde yanıt taahhüt ediliyor.
Sosyal hizmet uzmanıyla ilk görüşmeye git; hizmet şartnamesi bu görüşmeyi en çok 20 iş günü içinde yapmayı taahhüt eder.
Değerlendirme gereken yardımlarda belgeleri tamamla; işlem belgeler tamamlandıktan sonra 14 iş günü içinde sonuçlandırılır.</t>
        </is>
      </c>
      <c r="P145" s="29" t="n"/>
      <c r="Q145" s="29" t="inlineStr">
        <is>
          <t>İlk görüşme için en çok 20 iş günü; değerlendirme gerektiren yardımlar için belgeler tamamlandıktan sonra 14 iş günü (hizmet şartnamesi taahhüdü).</t>
        </is>
      </c>
      <c r="R145" s="29" t="n"/>
      <c r="S145" s="29" t="inlineStr">
        <is>
          <t>Hizmet şartnamesi 22 Mart 2017'de yayımlandı, son güncelleme 29 Kasım 2019. Asgari gelir desteği için Andalucía'nın ayrı Renta Mínima kartına bak.</t>
        </is>
      </c>
      <c r="T145" s="29" t="n"/>
    </row>
    <row r="146" ht="54" customHeight="1">
      <c r="A146" s="29" t="inlineStr">
        <is>
          <t>marbella:marbella-endulus-renta-minima-rmisa-basvuru</t>
        </is>
      </c>
      <c r="B146" s="29" t="inlineStr">
        <is>
          <t>marbella</t>
        </is>
      </c>
      <c r="C146" s="29" t="inlineStr">
        <is>
          <t>marbella-endulus-renta-minima-rmisa-basvuru</t>
        </is>
      </c>
      <c r="D146" s="29" t="inlineStr">
        <is>
          <t>Marbella'da Endülüs asgari gelir desteğine (Renta Mínima de Inserción Social, RMISA) nereden başvurulur?</t>
        </is>
      </c>
      <c r="E146" s="29" t="inlineStr">
        <is>
          <t>Başvuru oturduğun yerdeki servicios sociales comunitarios'a ya da Junta de Andalucía'nın çevrimiçi başvurusuna yapılır; karar süresi iki ay</t>
        </is>
      </c>
      <c r="F146" s="29" t="inlineStr">
        <is>
          <t>RMISA başvurusunu tercihen kayıtlı olduğun ve fiilen oturduğun yerin servicios sociales comunitarios merkezine yaparsın; Marbella'da merkez Calle Vázquez Clavel, 25 bajos, 29603 adresinde (tel. 952 768 700), San Pedro Alcántara'da Calle Viento de Levante s/n (tel. 952 768 735). Çevrimiçi başvuru da Junta de Andalucía'nın elektronik merkezinden yapılabilir. Aylık destek, devlet bütçe yasasında belirlenen yıllık katkısız emekli aylığı (pensión no contributiva) tutarının %100'ünün on ikiye bölünmesiyle bulunur; başvuran dışındaki her aile bireyi için %30 artar ve en çok %220'ye ulaşır. Tek ebeveynli aileler ve engelli bireyi olan ailelerde %22 ek artış uygulanır.</t>
        </is>
      </c>
      <c r="G146" s="29" t="inlineStr">
        <is>
          <t>RMISA, renta mínima, asgari gelir, Endülüs, servicios sociales, Junta de Andalucía, sosyal yardım, Marbella</t>
        </is>
      </c>
      <c r="H146" s="29" t="inlineStr">
        <is>
          <t>new;settled</t>
        </is>
      </c>
      <c r="I146" s="29" t="inlineStr">
        <is>
          <t>marbella:kaynak:245;marbella:kaynak:188</t>
        </is>
      </c>
      <c r="J146" s="49" t="n">
        <v>46323</v>
      </c>
      <c r="K146" s="51" t="n">
        <v>603</v>
      </c>
      <c r="L146" s="29" t="inlineStr">
        <is>
          <t>Hayır</t>
        </is>
      </c>
      <c r="M146" s="29" t="inlineStr">
        <is>
          <t>Taslak</t>
        </is>
      </c>
      <c r="N146" s="29" t="inlineStr">
        <is>
          <t>marbella:para</t>
        </is>
      </c>
      <c r="O146" s="29" t="inlineStr">
        <is>
          <t>Başvuru formunu ve Anexo II belge listesini Junta de Andalucía sayfasından indir.
Formu belgelerle birlikte oturduğun yerin servicios sociales comunitarios merkezine ver ya da çevrimiçi başvuru sayfasından 'Solicitud de la Renta Mínima de Inserción Social en Andalucía' bölümünü seç.
Acil sosyal durumun varsa (şiddet mağduru olmak, tahliye ya da konut kaybı süreci, ağır hastalık) aynı merkezden öncelikli işlem iste.
Karar bildirimi sonrası bir ay içinde sosyoprofesyonel katılım planını merkez ve Servicio Andaluz de Empleo ile birlikte hazırla.</t>
        </is>
      </c>
      <c r="P146" s="29" t="inlineStr">
        <is>
          <t>Başvuru formu
Anexo II: başvuruyla birlikte verilecek belgeler
Uzatma başvurusunda güncel certificado de empadronamiento histórico colectivo</t>
        </is>
      </c>
      <c r="Q146" s="29" t="inlineStr">
        <is>
          <t>Karar ve bildirim süresi iki ay; yanıt gelmezse başvuru reddedilmiş sayılabilir. Ödeme, kararı izleyen ay içinde banka havalesiyle aylık yapılır.</t>
        </is>
      </c>
      <c r="R146" s="29" t="n"/>
      <c r="S146" s="29" t="inlineStr">
        <is>
          <t>Uzatma 12 aylık dönemlerle istenir ve en çok ödemenin bitmesinden önceki üç ay içinde başvurulur; ödeme bittikten sonra yeni başvuru gerekir.</t>
        </is>
      </c>
      <c r="T146" s="29" t="n"/>
    </row>
    <row r="147" ht="54" customHeight="1">
      <c r="A147" s="29" t="inlineStr">
        <is>
          <t>marbella:marbella-ingreso-minimo-vital-imv-kosullari-basvuru</t>
        </is>
      </c>
      <c r="B147" s="29" t="inlineStr">
        <is>
          <t>marbella</t>
        </is>
      </c>
      <c r="C147" s="29" t="inlineStr">
        <is>
          <t>marbella-ingreso-minimo-vital-imv-kosullari-basvuru</t>
        </is>
      </c>
      <c r="D147" s="29" t="inlineStr">
        <is>
          <t>Marbella'da yaşarken ulusal asgari gelir desteği IMV (Ingreso Mínimo Vital) için hangi koşullar aranır, nasıl başvurulur?</t>
        </is>
      </c>
      <c r="E147" s="29" t="inlineStr">
        <is>
          <t>Başvuru Seguridad Social'ın çevrimiçi hizmetinden yapılır; en az bir yıllık yasal ve fiili ikamet ve gelir-varlık sınırı aranır</t>
        </is>
      </c>
      <c r="F147" s="29" t="inlineStr">
        <is>
          <t>IMV'yi Seguridad Social'ın elektronik merkezindeki 'Servicio Ingreso Mínimo Vital' üzerinden istersin; bilgi hattı 020. Başvuran ya da aile birimi, başvurudan önceki en az bir yıl boyunca İspanya'da kesintisiz yasal ve fiili ikamet etmiş olmalı (yeni doğan çocuklar gibi bazı istisnalar var). Gelir koşulu: ailenin aylık ortalama geliri, kendi büyüklüğüne göre belirlenen garantili aylık tutarın en az 10 euro altında kalmalı; 2026'da tek bir yetişkin için garantili tutar 733,6 euro. Konut dışında net varlığın tek yetişkin için 26.409,60 euro ve üzerinde olması hakkı ortadan kaldırır. Kimlik için yabancılar kendi ülkelerinin kimliğini ya da TIE'yi veya pasaportu, ayrıca NIE'yi gösterir; yasal ikamet AB, AEA ve İsviçre vatandaşlarında registro central de extranjeros kaydıyla, diğer yabancılarda aile kartı veya ikamet izniyle kanıtlanır.</t>
        </is>
      </c>
      <c r="G147" s="29" t="inlineStr">
        <is>
          <t>IMV, ingreso mínimo vital, asgari gelir, Seguridad Social, 020, yabancılar, başvuru koşulları, Marbella</t>
        </is>
      </c>
      <c r="H147" s="29" t="inlineStr">
        <is>
          <t>new;settled</t>
        </is>
      </c>
      <c r="I147" s="29" t="inlineStr">
        <is>
          <t>marbella:kaynak:246</t>
        </is>
      </c>
      <c r="J147" s="49" t="n">
        <v>46323</v>
      </c>
      <c r="K147" s="51" t="n">
        <v>604</v>
      </c>
      <c r="L147" s="29" t="inlineStr">
        <is>
          <t>Hayır</t>
        </is>
      </c>
      <c r="M147" s="29" t="inlineStr">
        <is>
          <t>Taslak</t>
        </is>
      </c>
      <c r="N147" s="29" t="inlineStr">
        <is>
          <t>marbella:para</t>
        </is>
      </c>
      <c r="O147" s="29" t="inlineStr">
        <is>
          <t>Seguridad Social sayfasındaki simülatörle hakkını ve yaklaşık tutarı gör.
Kimlik belgeni (TIE ya da pasaport ve NIE) ve ikamet kanıtını hazırla.
Başvuruyu Seguridad Social elektronik merkezindeki Servicio Ingreso Mínimo Vital üzerinden yap; sorun için 020'yi ara.
Aile birimindeki kişiler değişirse ya da adres değişirse bunu 30 takvim günü içinde bildir.</t>
        </is>
      </c>
      <c r="P147" s="29" t="inlineStr">
        <is>
          <t>Kimlik: ülkenin kimlik belgesi ya da TIE ya da pasaport, ayrıca NIE
Yasal ikamet kanıtı: AB/AEA/İsviçre vatandaşları için registro central de extranjeros kaydı; diğer yabancılar için aile kartı veya ikamet izni
İstenirse güncel certificado de empadronamiento histórico y colectivo</t>
        </is>
      </c>
      <c r="Q147" s="29" t="inlineStr">
        <is>
          <t>Başvuru öncesi en az 1 yıl yasal ve fiili ikamet; aile biriminin başvurudan önce en az 6 ay birlikte yaşaması gerekir.</t>
        </is>
      </c>
      <c r="R147" s="29" t="n"/>
      <c r="S147" s="29" t="inlineStr">
        <is>
          <t>2026'da tek yetişkin için garantili aylık tutar 733,6 euro. Tutar, bu garantili tutar ile ailenin gelirleri arasındaki farktır ve aylık 10 euronun altındaysa ödenmez. Yurt dışına çıkışların toplamı yılda 90 takvim günü aşarsa önceden bildirmek gerekir.</t>
        </is>
      </c>
      <c r="T147" s="29" t="n"/>
    </row>
    <row r="148" ht="54" customHeight="1">
      <c r="A148" s="29" t="inlineStr">
        <is>
          <t>marbella:marbella-banka-hesabi-acmak-icin-gereken-belgeler</t>
        </is>
      </c>
      <c r="B148" s="29" t="inlineStr">
        <is>
          <t>marbella</t>
        </is>
      </c>
      <c r="C148" s="29" t="inlineStr">
        <is>
          <t>marbella-banka-hesabi-acmak-icin-gereken-belgeler</t>
        </is>
      </c>
      <c r="D148" s="29" t="inlineStr">
        <is>
          <t>Marbella'da banka hesabı açmak için hangi belgeler gerekir?</t>
        </is>
      </c>
      <c r="E148" s="29" t="inlineStr">
        <is>
          <t>Kimlik uyruğa göre değişir: İspanyol DNI, AB vatandaşı pasaport ve NIE, AB dışı yabancı TIE; kaynak belgesi de istenebilir</t>
        </is>
      </c>
      <c r="F148" s="29" t="inlineStr">
        <is>
          <t>Banka önce kimliğini ister: AB vatandaşıysan pasaportun ya da ülkende verilen kimlik belgen ve NIE, AB dışı yabancıysan Tarjeta de Identidad de Extranjero (TIE). İspanya'da yerleşik değilsen bunu kanıtlayan bir belge de istenir. Kara para aklamayı önleme kuralları gereği banka hesap açılırken ya da sonradan paranın kaynağını gösteren belge isteyebilir; belgeyi veremezsen hesabındaki paraya erişimini engelleyebilir. İmzadan önce ön sözleşme bilgisini (información precontractual) ve bankanın ücret tarifesini iste; bakım komisyonu, sabit tarife ve bonus koşullarını karşılaştır.</t>
        </is>
      </c>
      <c r="G148" s="29" t="inlineStr">
        <is>
          <t>banka hesabı, TIE, NIE, pasaport, kara para aklama, información precontractual, hesap açma, Marbella</t>
        </is>
      </c>
      <c r="H148" s="29" t="inlineStr">
        <is>
          <t>new;settled</t>
        </is>
      </c>
      <c r="I148" s="29" t="inlineStr">
        <is>
          <t>marbella:kaynak:241</t>
        </is>
      </c>
      <c r="J148" s="49" t="n">
        <v>46323</v>
      </c>
      <c r="K148" s="51" t="n">
        <v>605</v>
      </c>
      <c r="L148" s="29" t="inlineStr">
        <is>
          <t>Evet</t>
        </is>
      </c>
      <c r="M148" s="29" t="inlineStr">
        <is>
          <t>Taslak</t>
        </is>
      </c>
      <c r="N148" s="29" t="inlineStr">
        <is>
          <t>marbella:para</t>
        </is>
      </c>
      <c r="O148" s="29" t="inlineStr">
        <is>
          <t>Bankaya git ya da başvur ve kimlik belgeni ver: AB vatandaşıysan pasaport ya da ülkenin kimliği ve NIE, AB dışıysan TIE.
İspanya'da yerleşik değilsen bunu kanıtlayan belgeyi ekle.
Banka isterse paranın kaynağını gösteren belgeyi ver.
İmzalamadan önce información precontractual belgesini ve ücret tarifesini oku; Banco de España'nın hesap karşılaştırma aracını kullan.</t>
        </is>
      </c>
      <c r="P148" s="29" t="inlineStr">
        <is>
          <t>AB vatandaşı: pasaport ya da ülkenin kimlik belgesi ve NIE
AB dışı yabancı: Tarjeta de Identidad de Extranjero (TIE)
Yerleşik değilsen: yerleşikliği kanıtlayan belge
İstenirse: paranın kaynağını gösteren belge</t>
        </is>
      </c>
      <c r="Q148" s="29" t="n"/>
      <c r="R148" s="29" t="inlineStr">
        <is>
          <t>Ücret bankaya göre değişir; bakım komisyonu tutarı ve ödeme sıklığı (aylık, üç aylık, altı aylık) bankanın tarife belgesinde yazar.</t>
        </is>
      </c>
      <c r="S148" s="29" t="inlineStr">
        <is>
          <t>Bu sayfa Banco de España'nın 9 Mart 2021 tarihli açıklamasına dayanır. Hesap açtıramazsan bazı gruplar için temel ödeme hesabı (cuenta de pago básica) isteme hakkı ayrıca vardır.</t>
        </is>
      </c>
      <c r="T148" s="29" t="n"/>
    </row>
    <row r="149" ht="54" customHeight="1">
      <c r="A149" s="29" t="inlineStr">
        <is>
          <t>marbella:tasinma-oncesi-vize-ve-ilk-oturum-izni</t>
        </is>
      </c>
      <c r="B149" s="29" t="inlineStr">
        <is>
          <t>marbella</t>
        </is>
      </c>
      <c r="C149" s="29" t="inlineStr">
        <is>
          <t>tasinma-oncesi-vize-ve-ilk-oturum-izni</t>
        </is>
      </c>
      <c r="D149" s="29" t="inlineStr">
        <is>
          <t>İspanya'ya taşınmadan önce çalışmayı içermeyen oturum vizesi ve ilk oturum izni nasıl ilerler?</t>
        </is>
      </c>
      <c r="E149" s="29" t="inlineStr">
        <is>
          <t>İstanbul Başkonsolosluğu'na göre çalışmayı içermeyen oturum vizesinde vize ve ilk oturum izni birlikte işlenir; vize 365 gün geçerlidir</t>
        </is>
      </c>
      <c r="F149" s="29" t="inlineStr">
        <is>
          <t>İstanbul Başkonsolosluğu'nun sayfasına göre çalışmayı içermeyen oturum vizesinde (residencia no lucrativa) ilk oturum izni, vize başvurusuyla aynı anda işleme alınır. Konsolosluk, başvuruları İstanbul konsolosluk bölgesinde oturan kişilerden kabul eder; anlatılanlar bu bölgede oturanlar içindir. Başvuruyu BLS International ofislerinde, önceden aldığın randevuyla yaparsın; BLS için ayrıca hizmet bedeli ödenir. Vize 365 gün geçerlidir ve çalışma izni vermez. İspanya'ya girdikten sonra 1 ay içinde yabancı kimlik kartını (TIE, Tarjeta de Identidad de Extranjero) istemen gerekir. Anlatılanlar yalnızca bu vize türü için geçerlidir.</t>
        </is>
      </c>
      <c r="G149" s="29" t="inlineStr">
        <is>
          <t>taşınma planı, oturum vizesi, residencia no lucrativa, ilk oturum izni, TIE, BLS International, İstanbul Başkonsolosluğu</t>
        </is>
      </c>
      <c r="H149" s="29" t="inlineStr">
        <is>
          <t>before;planning</t>
        </is>
      </c>
      <c r="I149" s="29" t="inlineStr">
        <is>
          <t>marbella:kaynak:013</t>
        </is>
      </c>
      <c r="J149" s="49" t="n">
        <v>46319</v>
      </c>
      <c r="K149" s="51" t="n">
        <v>9072</v>
      </c>
      <c r="L149" s="29" t="inlineStr">
        <is>
          <t>Hayır</t>
        </is>
      </c>
      <c r="M149" s="29" t="inlineStr">
        <is>
          <t>Taslak</t>
        </is>
      </c>
      <c r="N149" s="29" t="inlineStr">
        <is>
          <t>marbella:planlama</t>
        </is>
      </c>
      <c r="O149" s="29" t="inlineStr">
        <is>
          <t>İstanbul konsolosluk bölgesinde oturuyorsan vize başvurunu BLS International ofisinde, önceden aldığın randevuyla yap; başvuru genelde şahsen yapılır (gerekçeli ve konsolosluğun uygun gördüğü istisnalarda temsilci de başvurabilir).
Başvuru teslimi sırasında aldığın makbuzdaki kodla dosyanın durumunu sutramiteconsular.maec.es adresinden izle.
Vizeyi randevusuz, şahsen (reşit değilsen yasal temsilcinle) teslim al.
İspanya'ya girdiğin tarihten itibaren 1 ay içinde Oficina de Extranjeros'a (yabancılar bürosu) ya da ilgili Comisaría de Policía'ya başvurup TIE iste.</t>
        </is>
      </c>
      <c r="P149" s="29" t="n"/>
      <c r="Q149" s="29" t="inlineStr">
        <is>
          <t>Vize 365 gün geçerlidir; TIE için İspanya'ya girişten itibaren 1 ay vardır.</t>
        </is>
      </c>
      <c r="R149" s="29" t="inlineStr">
        <is>
          <t>BLS International'a başvuruda ayrıca hizmet bedeli ödenir.</t>
        </is>
      </c>
      <c r="S149" s="29" t="inlineStr">
        <is>
          <t>Çalışmayı içermeyen oturum vizesi çalışma yetkisi vermez. Konsolosluk eksik belge ya da ek bilgi isteyebilir, seni kişisel görüşmeye de çağırabilir.</t>
        </is>
      </c>
      <c r="T149" s="29" t="inlineStr">
        <is>
          <t>{"kind": "steps", "title": "Vize ve TIE adımları", "note": "Şematik", "items": [{"key": "1", "title": "Vize başvurusu", "text": "İstanbul bölgesinde oturanlar: BLS International, randevuyla; ilk oturum izni aynı anda işleme alınır"}, {"key": "2", "title": "Dosya takibi", "text": "Makbuzdaki kodla sutramiteconsular.maec.es"}, {"key": "3", "title": "Vizeyi teslim alma", "text": "Şahsen, randevusuz"}, {"key": "4", "title": "TIE başvurusu", "text": "İspanya'ya girişten itibaren 1 ay içinde"}]}</t>
        </is>
      </c>
    </row>
    <row r="150" ht="54" customHeight="1">
      <c r="A150" s="29" t="inlineStr">
        <is>
          <t>marbella:oturum-vizesi-basvurusunda-getirilecek-belgeler</t>
        </is>
      </c>
      <c r="B150" s="29" t="inlineStr">
        <is>
          <t>marbella</t>
        </is>
      </c>
      <c r="C150" s="29" t="inlineStr">
        <is>
          <t>oturum-vizesi-basvurusunda-getirilecek-belgeler</t>
        </is>
      </c>
      <c r="D150" s="29" t="inlineStr">
        <is>
          <t>İspanya'da çalışmayı içermeyen oturum vizesi (residencia no lucrativa) için hangi belgeleri hazırlamalısın?</t>
        </is>
      </c>
      <c r="E150" s="29" t="inlineStr">
        <is>
          <t>İstanbul Başkonsolosluğu'na göre yabancı belgeler apostilli ya da yasallaştırılmış, gerekiyorsa çevirili sunulur; belge listesi aşağıda</t>
        </is>
      </c>
      <c r="F150" s="29" t="inlineStr">
        <is>
          <t>İstanbul Başkonsolosluğu'nun sayfasına göre (başvurular İstanbul konsolosluk bölgesinde oturanlardan kabul edilir) yabancı belgelerin hepsi apostilli ya da yasallaştırılmış olmalı; İspanyolca dışındaki dilde hazırlanmışsa çevirisiyle birlikte sunulur. Listede vize formu, oturum izni formu EX-01, fotoğraf, pasaport, maddi yeterlilik belgeleri, sağlık sigortası, sabıka kaydı, tıbbi rapor, konsolosluk bölgesinde ikamet kanıtı ve harç ödemesi bulunur. Pasaportun en az 1 yıl geçerli olmalı ve iki boş sayfası bulunmalı. Maddi yeterlilik belgeleri, ilk oturum izni yılında İspanya'daki giderlerini karşılamaya yeterli imkânın ya da düzenli bir gelir kaynağının kanıtı olmalıdır; asgari tutar IPREM'in %400'üne eşittir ve bakmakla yükümlü olduğun her aile üyesi için IPREM'in %100'ü eklenir.</t>
        </is>
      </c>
      <c r="G150" s="29" t="inlineStr">
        <is>
          <t>oturum vizesi belgeleri, apostil, EX-01, IPREM, sabıka kaydı, tıbbi rapor, modelo 790, residencia no lucrativa</t>
        </is>
      </c>
      <c r="H150" s="29" t="inlineStr">
        <is>
          <t>before;planning</t>
        </is>
      </c>
      <c r="I150" s="29" t="inlineStr">
        <is>
          <t>marbella:kaynak:013</t>
        </is>
      </c>
      <c r="J150" s="49" t="n">
        <v>46319</v>
      </c>
      <c r="K150" s="51" t="n">
        <v>9073</v>
      </c>
      <c r="L150" s="29" t="inlineStr">
        <is>
          <t>Hayır</t>
        </is>
      </c>
      <c r="M150" s="29" t="inlineStr">
        <is>
          <t>Taslak</t>
        </is>
      </c>
      <c r="N150" s="29" t="inlineStr">
        <is>
          <t>marbella:planlama</t>
        </is>
      </c>
      <c r="O150" s="29" t="inlineStr">
        <is>
          <t>Yabancı belgelerinin hepsini apostilli ya da yasallaştırılmış hazırla; İspanyolca olmayanlara çeviri ekle.
Vize başvuru formunu ve EX-01 oturum izni formunu her bölümünü doldurup imzala.
Pasaportunun en az 1 yıl geçerli olduğunu ve iki boş sayfası bulunduğunu kontrol et; 10 yıldan daha önce düzenlenmiş pasaport kabul edilmez.
Maddi yeterlilik belgelerini, sağlık sigortası sertifikasını, tıbbi raporu ve (ceza ehliyeti yaşını doldurduysan) son 5 yıl yaşadığın ülke ya da ülkelerden sabıka kaydını ekle.
İstanbul konsolosluk bölgesinde ikamet ettiğini gösteren belgeyi ve harç ödemesini ekle: iki nüsha modelo 790 (kod 052, başlık 2.1) ya da internetten ödeyip aldığın makbuz.</t>
        </is>
      </c>
      <c r="P150" s="29" t="inlineStr">
        <is>
          <t>Ulusal vize başvuru formu (İspanyolca-İngilizce), imzalı
Oturum izni başvuru formu EX-01, imzalı
Yakın tarihli, renkli, açık fonlu vesikalık fotoğraf
Pasaport (orijinal ve biyometrik sayfaların fotokopisi): en az 1 yıl geçerli, iki boş sayfalı
Maddi yeterlilik belgeleri (orijinal ve kopya)
Sağlık sigortası sertifikası (orijinal ve kopya)
Sabıka kaydı (orijinal ve kopya): ceza ehliyeti yaşını doldurmuş başvurucular için, son 5 yıl yaşadığın ülke ya da ülkelerden
Tıbbi rapor (orijinal ve kopya): halk sağlığı açısından ciddi sonuç doğurabilecek bir hastalığın olmadığını, 2005 Uluslararası Sağlık Tüzüğü uyarınca gösterir
İstanbul konsolosluk bölgesinde ikamet kanıtı (orijinal ve fotokopi)
Harç ödemesi: modelo 790, kod 052, başlık 2.1 (ilk geçici oturum izni), iki nüsha; internetten de ödenebilir, makbuz eklenir</t>
        </is>
      </c>
      <c r="Q150" s="29" t="n"/>
      <c r="R150" s="29" t="n"/>
      <c r="S150" s="29" t="inlineStr">
        <is>
          <t>Konsolosluk gerekli görürse ek belge ya da bilgi isteyebilir ve seni kişisel görüşmeye çağırabilir. Aile üyeleri için de ayrı belge seti istenir.</t>
        </is>
      </c>
      <c r="T150" s="29" t="n"/>
    </row>
    <row r="151" ht="54" customHeight="1">
      <c r="A151" s="29" t="inlineStr">
        <is>
          <t>marbella:ilk-gunlerde-nuss-ve-temel-odeme-hesabi</t>
        </is>
      </c>
      <c r="B151" s="29" t="inlineStr">
        <is>
          <t>marbella</t>
        </is>
      </c>
      <c r="C151" s="29" t="inlineStr">
        <is>
          <t>ilk-gunlerde-nuss-ve-temel-odeme-hesabi</t>
        </is>
      </c>
      <c r="D151" s="29" t="inlineStr">
        <is>
          <t>İspanya'da sosyal güvenlik numarası (NUSS) ve temel ödeme hesabı için ne yapabilirsin?</t>
        </is>
      </c>
      <c r="E151" s="29" t="inlineStr">
        <is>
          <t>NUSS'u istediğin zaman isteyebilirsin; AB'de yasal oturanlar için ödeme hesabı sunan kredi kuruluşları temel ödeme hesabı sunmak zorundadır</t>
        </is>
      </c>
      <c r="F151" s="29" t="inlineStr">
        <is>
          <t>Sosyal güvenlik numaranı (NUSS, Número de la Seguridad Social) istediğin zaman isteyebilirsin; başvuruda kimlik bilgin (DNI ya da NIE), cep telefonu, e-posta ve mutat ikametgâh adresin gerekir. NUSS'u çalışmaya başlayıp ilk kez sosyal güvenliğe kaydolurken ve emeklilik, ödenek ve yardımlara erişirken kullanırsın; özerk bölgenin sağlık sistemi de sağlık kartını açarken bu numarayı kullanır. Bankada ise AB'de yasal olarak oturuyorsan (kaynak ölçüt olarak uyruğu değil, AB'de yasal ikameti sayar), ödeme hesabı sunan kredi kuruluşları sana temel ödeme hesabı (cuenta de pago básica) sunmak zorundadır; sabit adresin olmasa da bu hak geçerlidir.</t>
        </is>
      </c>
      <c r="G151" s="29" t="inlineStr">
        <is>
          <t>NUSS, sosyal güvenlik numarası, Seguridad Social, temel ödeme hesabı, cuenta de pago básica, banka hesabı, sağlık kartı</t>
        </is>
      </c>
      <c r="H151" s="29" t="inlineStr">
        <is>
          <t>new</t>
        </is>
      </c>
      <c r="I151" s="29" t="inlineStr">
        <is>
          <t>marbella:kaynak:097;marbella:kaynak:039</t>
        </is>
      </c>
      <c r="J151" s="49" t="n">
        <v>46319</v>
      </c>
      <c r="K151" s="51" t="n">
        <v>9074</v>
      </c>
      <c r="L151" s="29" t="inlineStr">
        <is>
          <t>Hayır</t>
        </is>
      </c>
      <c r="M151" s="29" t="inlineStr">
        <is>
          <t>Taslak</t>
        </is>
      </c>
      <c r="N151" s="29" t="inlineStr">
        <is>
          <t>marbella:planlama</t>
        </is>
      </c>
      <c r="O151" s="29" t="inlineStr">
        <is>
          <t>NUSS'un zaten olup olmadığına bak: daha önce çalıştıysan ya da Seguro Escolar (okul sigortası) kapsamında olduysan sana atanmış olabilir; numarayı bilmiyorsan kişisel alanından sorgula.
NUSS yoksa kimlik bilgin (DNI ya da NIE), telefon, e-posta ve mutat ikametgâh adresinle başvur.
Cl@ve ya da elektronik sertifikan yoksa ve reşitsen (ya da emancipe küçüksen) DNI/NIE'nin iki yüzünün kopyasını ve kimlik belgenin ön yüzünü gösteren bir selfie'yi sun.
AB'de yasal olarak oturuyorsan, ödeme hesabı sunan kredi kuruluşundan temel ödeme hesabı iste.</t>
        </is>
      </c>
      <c r="P151" s="29" t="inlineStr">
        <is>
          <t>NUSS başvurusu için: DNI ya da NIE
NUSS başvurusu için: cep telefonu ve e-posta bilgisi
NUSS başvurusu için: mutat ikametgâh adresi</t>
        </is>
      </c>
      <c r="Q151" s="29" t="inlineStr">
        <is>
          <t>NUSS'u istediğin zaman isteyebilirsin.</t>
        </is>
      </c>
      <c r="R151" s="29" t="n"/>
      <c r="S151" s="29" t="inlineStr">
        <is>
          <t>NUSS reşit olmayan biri içinse başvuruyu anne, baba ya da yasal vasi yapar. Banka şu durumlarda temel ödeme hesabını reddedebilir: İspanya'da zaten bir cari hesabın varsa, hesabın açılması ulusal güvenlik ya da kamu düzenine aykırıysa ya da kara para aklama ve terörün finansmanıyla mücadele için istenen bilgiyi vermezsen. Sığınma başvurusu yapanlar ve oturum izni olmayıp sınır dışı edilmesi mümkün olmayanlar da temel ödeme hesabı isteyebilir.</t>
        </is>
      </c>
      <c r="T151" s="29" t="inlineStr">
        <is>
          <t>{"kind": "steps", "title": "NUSS ve banka adımları", "note": "Şematik", "items": [{"key": "1", "title": "NUSS kontrolü", "text": "Daha önce çalıştıysan ya da Seguro Escolar kapsamındaysan numara zaten atanmış olabilir"}, {"key": "2", "title": "NUSS başvurusu", "text": "DNI/NIE, telefon, e-posta ve mutat ikametgâh adresi"}, {"key": "3", "title": "Elektronik kimlik yoksa", "text": "Reşit ya da emancipe küçüksen DNI/NIE'nin iki yüzü ve selfie"}, {"key": "4", "title": "Temel ödeme hesabı", "text": "AB'de yasal oturanlar için ödeme hesabı sunan kredi kuruluşları sunmak zorunda"}]}</t>
        </is>
      </c>
    </row>
    <row r="152" ht="54" customHeight="1">
      <c r="A152" s="29" t="inlineStr">
        <is>
          <t>marbella:ab-disindan-gelirken-esya-ve-nakit-gumruk-beyani</t>
        </is>
      </c>
      <c r="B152" s="29" t="inlineStr">
        <is>
          <t>marbella</t>
        </is>
      </c>
      <c r="C152" s="29" t="inlineStr">
        <is>
          <t>ab-disindan-gelirken-esya-ve-nakit-gumruk-beyani</t>
        </is>
      </c>
      <c r="D152" s="29" t="inlineStr">
        <is>
          <t>AB dışından İspanya'ya taşınırken ev eşyanı ve nakit paranı gümrükte nasıl bildirirsin?</t>
        </is>
      </c>
      <c r="E152" s="29" t="inlineStr">
        <is>
          <t>AEAT'e göre 10.000 euro ve üzeri nakit ya da ödeme aracı girişten önce beyan edilir; ikametini taşıyanın ev eşyası şartlarla vergi muafiyetiyle girebilir</t>
        </is>
      </c>
      <c r="F152" s="29" t="inlineStr">
        <is>
          <t>AEAT'in ödeme araçları sayfasına (23 Eylül 2026'da güncellenmiş) göre İspanya'ya girerken yanında 10.000 euro ya da üzerinde (başka para biriminde karşılığı dahil) nakit veya çek gibi ödeme aracı taşıyorsan, girişten önce yazılı olarak "Declaración de movimientos de Medios de Pago" adlı beyanı sunman gerekir; sınır kişi başına ve yolculuk başınadır. Banka havaleleri beyana tabi değildir. İkametini AB dışından İspanya'ya taşıyorsan ev eşyaların, AEAT'in taşınma sayfasındaki (12 Mayıs 2026'da güncellenmiş) şartlar sağlanırsa gümrük vergisi ve vergi muafiyetiyle girebilir.</t>
        </is>
      </c>
      <c r="G152" s="29" t="inlineStr">
        <is>
          <t>gümrük, eşya taşıma, 10.000 euro, nakit beyanı, medios de pago, E1 modeli, traslado de residencia, ev eşyası muafiyeti, AEAT</t>
        </is>
      </c>
      <c r="H152" s="29" t="inlineStr">
        <is>
          <t>before;planning</t>
        </is>
      </c>
      <c r="I152" s="29" t="inlineStr">
        <is>
          <t>marbella:kaynak:098;marbella:kaynak:099</t>
        </is>
      </c>
      <c r="J152" s="49" t="n">
        <v>46319</v>
      </c>
      <c r="K152" s="51" t="n">
        <v>9075</v>
      </c>
      <c r="L152" s="29" t="inlineStr">
        <is>
          <t>Hayır</t>
        </is>
      </c>
      <c r="M152" s="29" t="inlineStr">
        <is>
          <t>Taslak</t>
        </is>
      </c>
      <c r="N152" s="29" t="inlineStr">
        <is>
          <t>marbella:planlama</t>
        </is>
      </c>
      <c r="O152" s="29" t="inlineStr">
        <is>
          <t>AB dışından girerken yanında 10.000 euro ya da üzerinde (başka para biriminde karşılığı dahil) nakit veya çek gibi ödeme aracı varsa, girişten önce "Declaración de movimientos de Medios de Pago" beyanını sun. Sınır kişi başına ve yolculuk başınadır; banka havaleleri beyana tabi değildir.
Yanında taşıdığın tutar için AB dışından girişte E1 modelini kullan; beyanı kâğıt ya da elektronik olarak, AEAT Gümrük hizmetlerine sun. Beyan tek bir hareket ve beyanda yazılı tarih için geçerlidir; sınırda gümrüğe istenmeden gösterilir.
İkametini taşıyorsan ev eşyası muafiyetinin başlıca şartlarına bak: taşınmadan önce AB dışında en az 12 ay kesintisiz oturmuş ve İspanya'ya yerleşmeye niyetli olmalı, eşyalara taşınmadan önce en az 6 ay sahip olmalı ve eşyaları yeni ikametinde eskisiyle aynı kullanımlar için kullanmalısın.
Muafiyeti önceden başvurarak değil, ithalat beyannamesinde (DUA) iste.
Eşyaları kural olarak İspanya'da ikametini kurduktan sonraki 12 ay içinde beyan et. İstisna: taşınmadan önce de beyan edebilirsin; bunun için 6 ay içinde İspanya'ya fiilen yerleşme taahhüdü verir ve gümrüğün belirleyeceği teminatı sunarsın.
Eski ikametinden kayıt silme belgeni, TIE başvurunu ya da kartını ve eşya listeni hazırla; önceki ikametini göstermek için herhangi bir belge kullanılabilir.</t>
        </is>
      </c>
      <c r="P152" s="29" t="inlineStr">
        <is>
          <t>Eski ikametinden kayıt silme belgesi (ülken kayıt silme belgesi vermiyorsa, ikamet değişikliğini oradaki bir kuruma bildirdiğini gösteren belge)
TIE başvurusu ya da TIE kartı (AB ve AEA dışı uyruklular için)
Ayrıntılı eşya listesi: tahmini değer ve en azından yaklaşık alım tarihiyle
Önceki ikametini gösteren belgeler (herhangi bir kanıt yöntemi kullanılabilir; bazı durumlarda birkaçı birden gerekebilir). Örnekler: vergi ikametgâhını gösteren belge, kimlikteki adres, elektrik, su ya da gaz tüketim belgeleri</t>
        </is>
      </c>
      <c r="Q152" s="29" t="inlineStr">
        <is>
          <t>Eşyalar kural olarak İspanya'da ikametini kurduktan sonraki 12 ay içinde ithal edilmelidir; taşınmadan önce ithalat için 6 ay içinde yerleşme taahhüdü ve teminat gerekir. Nakit beyanı her zaman girişten önce yapılır.</t>
        </is>
      </c>
      <c r="R152" s="29" t="n"/>
      <c r="S152" s="29" t="inlineStr">
        <is>
          <t>Nakit beyanını yapmamak ağır bir ihlaldir: asgari ceza 600 euro, üst sınır ödeme araçlarının değerinin %50'sine kadar çıkabilir. Ev eşyası muafiyetinin dışında kalanlar: alkollü içkiler, tütün ve tütün mamulleri, ticari taşıtlar ve taşınabilir aletler dışındaki mesleki malzemeler. Muafiyetle giren eşyayı, gümrüğe haber vermeden 12 ay boyunca ödünç veremez, rehin veremez, kiralayamaz ya da devredemezsin; yaparsan o eşya için ithalat vergisi uygulanır. Kanarya Adaları'nda KDV muafiyeti yerine IGIC muafiyeti geçerlidir.</t>
        </is>
      </c>
      <c r="T152" s="29" t="n"/>
    </row>
    <row r="153" ht="54" customHeight="1">
      <c r="A153" s="29" t="inlineStr">
        <is>
          <t>marbella:ab-disindan-evcil-hayvanla-ispanyaya-giris</t>
        </is>
      </c>
      <c r="B153" s="29" t="inlineStr">
        <is>
          <t>marbella</t>
        </is>
      </c>
      <c r="C153" s="29" t="inlineStr">
        <is>
          <t>ab-disindan-evcil-hayvanla-ispanyaya-giris</t>
        </is>
      </c>
      <c r="D153" s="29" t="inlineStr">
        <is>
          <t>AB dışından İspanya'ya köpek, kedi ya da hurón ile girerken hangi şartlar aranır?</t>
        </is>
      </c>
      <c r="E153" s="29" t="inlineStr">
        <is>
          <t>22 Nisan 2026'dan beri AB kuralı (2026/131) AB dışından gelen köpek, kedi ve hurónda kuduz antikor testi ister (muaf listedekiler hariç); asgari yaş 15 hafta</t>
        </is>
      </c>
      <c r="F153" s="29" t="inlineStr">
        <is>
          <t>AEAT'in evcil hayvan sayfasına (23 Eylül 2026'da güncellenmiş) göre AB dışından gelen hayvan mikroçiple (ya da 3 Temmuz 2011'den önce yapılmış dövmeyle) tanımlanmış olmalı ve yolculuk anında geçerli bir kuduz aşısı taşımalıdır. 22 Nisan 2026'dan beri uygulanan AB kuralı (Reglamento Delegado (UE) 2026/131, md. 14), üçüncü ülkeden ticari olmayan amaçla gelen köpek, kedi ve hurónda ilk kuduz aşısının yolculuktan en az 21 gün önce tamamlanmış olmasını ve geçerli bir kuduz antikor testini şart koşar. Test yalnız Reglamento de Ejecución (UE) 2026/636'nın Ek I ya da Ek II listesindeki ülkelerden gelen hayvanda aranmaz (md. 17). AEAT sayfası bu konuda hâlâ eski Reglamento (UE) 577/2013 Ek II listesine atıf yapıyor (listede olmayan ülkeyi "kuduz riski taşıyan ülke" diye anıyor). Sayfanın "İspanya'ya dönüş" bölümü (AB dışındaki bir ülkeye gidip dönen hayvan), kuduz riski taşıyan ülke için şunları yazıyor: test yetkili bir laboratuvarda yolculuktan önce yapılır, sonuç en az 0,5 UI/ml olmalıdır, hayvanın girişine kan örneğinin alındığı tarihten 3 ay geçmeden izin verilmez ve hayvan en az 7 aylık olmalıdır. AB hayvan pasaportu yoksa hayvan, geldiği üçüncü ülkenin resmî veterinerinin imzaladığı zoosanitario sertifikası (en az Kastilyaca) ve beyanla gelir. İspanya'ya hayvanla yalnızca yetkili yolcu giriş noktalarından girebilirsin.</t>
        </is>
      </c>
      <c r="G153" s="29" t="inlineStr">
        <is>
          <t>evcil hayvan, mikroçip, kuduz aşısı, serolojik test, zoosanitario, hayvan pasaportu, köpek, kedi, giriş noktası, 2026/131, antikor testi</t>
        </is>
      </c>
      <c r="H153" s="29" t="inlineStr">
        <is>
          <t>before;planning</t>
        </is>
      </c>
      <c r="I153" s="29" t="inlineStr">
        <is>
          <t>marbella:kaynak:100;marbella:kaynak:101</t>
        </is>
      </c>
      <c r="J153" s="49" t="n">
        <v>46319</v>
      </c>
      <c r="K153" s="51" t="n">
        <v>9076</v>
      </c>
      <c r="L153" s="29" t="inlineStr">
        <is>
          <t>Hayır</t>
        </is>
      </c>
      <c r="M153" s="29" t="inlineStr">
        <is>
          <t>Taslak</t>
        </is>
      </c>
      <c r="N153" s="29" t="inlineStr">
        <is>
          <t>marbella:planlama</t>
        </is>
      </c>
      <c r="O153" s="29" t="inlineStr">
        <is>
          <t>Hayvanını mikroçiple (3 Temmuz 2011'den önce yapılmışsa dövmeyle) tanımlat.
Yolculuk anında geçerli olacak bir kuduz aşısı yaptır.
Geldiğin ülke Reglamento de Ejecución (UE) 2026/636'nın Ek I ya da Ek II listesinde değilse kuduz antikor testi yaptır (2026/131, md. 14 ve 17); zoosanitario sertifikayla geliyorsan AB'nin yetkilendirdiği laboratuvarın belgesini de getir.
Sayfanın "İspanya'ya dönüş" bölümüne göre, kuduz riski taşıyan bir ülkeye gidip dönüyorsan testi yolculuktan önce yetkili laboratuvarda yaptır; sonuç en az 0,5 UI/ml olmalı, giriş kan örneğinin alındığı tarihten 3 ay geçtikten sonra yapılmalı ve hayvan en az 7 aylık olmalı.
AB hayvan pasaportun yoksa geldiğin üçüncü ülkenin resmî veterinerine AB modeline uygun zoosanitario sertifika ve beyan hazırlat; hayvanın kimlik ve aşı bilgilerinin onaylı kopyasını da yanına al.
Yetkili yolcu giriş noktasından gir ve Guardia Civil'in Resguardo Fiscal birimine hayvanla seyahat ettiğini bildirip belgeleri göster.</t>
        </is>
      </c>
      <c r="P153" s="29" t="inlineStr">
        <is>
          <t>Zoosanitario sertifika (üçüncü ülkenin resmî veterineri imzalı, en az Kastilyaca) ve AB modeline uygun beyan; AB hayvan pasaportu yoksa
Hayvanın kimlik ve aşı bilgilerinin onaylı kopyası
Serolojik testte AB'nin yetkilendirdiği laboratuvarın belgesi (zoosanitario sertifikayla gelirken)</t>
        </is>
      </c>
      <c r="Q153" s="29" t="n"/>
      <c r="R153" s="29" t="n"/>
      <c r="S153" s="29" t="inlineStr">
        <is>
          <t>İspanya, 15 haftadan küçük köpek, kedi ve hurónun girişine izin vermez (sayfa 15 haftayı şöyle açıklıyor: kuduz aşısına kadar 3 ay, aşının geçerli olması için 21 gün). Sayfanın "İspanya'ya dönüş" bölümüne göre kuduz riski taşıyan ülkeden gelen hayvanda asgari yaş 7 aydır; bu durumda 15 hafta yeterli değildir. Bir kişi en çok beş hayvanla seyahat edebilir (istisnalar vardır). Yetkili giriş noktası dışındaki bir gümrükten girişe izin verilmez ve hayvan geldiği ülkeye geri gönderilir. Şartları karşılamayan hayvan karantinaya alınabilir, menşe ülkeye geri gönderilebilir ya da son çare olarak ötanazi edilebilir; masrafları hayvanın sahibi öder. Anlatılanlar köpek, kedi ve hurón içindir.</t>
        </is>
      </c>
      <c r="T153" s="29" t="n"/>
    </row>
    <row r="154" ht="54" customHeight="1">
      <c r="A154" s="29" t="inlineStr">
        <is>
          <t>marbella:oturum-ve-ogrenci-vizesinde-saglik-sigortasi-sarti</t>
        </is>
      </c>
      <c r="B154" s="29" t="inlineStr">
        <is>
          <t>marbella</t>
        </is>
      </c>
      <c r="C154" s="29" t="inlineStr">
        <is>
          <t>oturum-ve-ogrenci-vizesinde-saglik-sigortasi-sarti</t>
        </is>
      </c>
      <c r="D154" s="29" t="inlineStr">
        <is>
          <t>İspanya'da çalışmayı içermeyen oturum vizesi ve öğrenci vizesi için sağlık sigortası şartı nedir?</t>
        </is>
      </c>
      <c r="E154" s="29" t="inlineStr">
        <is>
          <t>İstanbul Başkonsolosluğu'na göre iki vize türünde de sigorta sertifikası istenir; öğrenci vizesinde sigorta kalış süresince geçerli olmalıdır</t>
        </is>
      </c>
      <c r="F154" s="29" t="inlineStr">
        <is>
          <t>İstanbul Başkonsolosluğu'nun sayfalarına göre çalışmayı içermeyen oturum vizesi (residencia no lucrativa) ile öğrenci vizesi (estudios) başvurusunda sağlık sigortası sertifikası istenir; sayfalar başvuruyu İstanbul konsolosluk bölgesinde oturan kişilerden kabul ettiklerini yazar. Oturum vizesinde sigorta, İspanya'da faaliyet izinli bir sigortacıdan alınmış kamu ya da özel sigorta olmalı ve İspanya kamu sağlık sisteminin sigortaladığı tüm riskleri kapsamalıdır. Öğrenci vizesinde sigortacı yine İspanya'da faaliyet izinli olmalı; sigorta Sistema Nacional de Salud'un ortak temel hizmet paketine benzer yardımlar sağlamalı ve öngörülen kalış süresince geçerli olmalıdır. Anlatılanlar yalnızca bu iki vize türü içindir.</t>
        </is>
      </c>
      <c r="G154" s="29" t="inlineStr">
        <is>
          <t>sağlık sigortası, vize sigortası, residencia no lucrativa, öğrenci vizesi, estudios, seguro de enfermedad, İstanbul Başkonsolosluğu</t>
        </is>
      </c>
      <c r="H154" s="29" t="inlineStr">
        <is>
          <t>before;planning</t>
        </is>
      </c>
      <c r="I154" s="29" t="inlineStr">
        <is>
          <t>marbella:kaynak:013;marbella:kaynak:102</t>
        </is>
      </c>
      <c r="J154" s="49" t="n">
        <v>46319</v>
      </c>
      <c r="K154" s="51" t="n">
        <v>9077</v>
      </c>
      <c r="L154" s="29" t="inlineStr">
        <is>
          <t>Hayır</t>
        </is>
      </c>
      <c r="M154" s="29" t="inlineStr">
        <is>
          <t>Taslak</t>
        </is>
      </c>
      <c r="N154" s="29" t="inlineStr">
        <is>
          <t>marbella:planlama</t>
        </is>
      </c>
      <c r="O154" s="29" t="inlineStr">
        <is>
          <t>Hangi vizeye başvuracağını belirle; sigorta şartı vize türüne göre değişir.
Oturum vizesi için İspanya'da faaliyet izinli bir sigortacıdan, kamu sağlık sisteminin sigortaladığı tüm riskleri kapsayan bir sigorta yaptır.
Öğrenci vizesi için İspanya'da faaliyet izinli bir sigortacıdan, Sistema Nacional de Salud'un ortak temel hizmet paketine benzer yardımlar sağlayan ve öngörülen kalış süresince geçerli bir sigorta yaptır.
Sigorta sertifikasının orijinalini ve bir kopyasını vize başvurusuna ekle.</t>
        </is>
      </c>
      <c r="P154" s="29" t="inlineStr">
        <is>
          <t>Sağlık sigortası sertifikası (orijinal ve bir kopya)</t>
        </is>
      </c>
      <c r="Q154" s="29" t="inlineStr">
        <is>
          <t>Öğrenci vizesinde sigorta, öngörülen kalış süresince geçerli olmalıdır.</t>
        </is>
      </c>
      <c r="R154" s="29" t="n"/>
      <c r="S154" s="29" t="n"/>
      <c r="T154" s="29" t="n"/>
    </row>
    <row r="155" ht="54" customHeight="1">
      <c r="A155" s="29" t="inlineStr">
        <is>
          <t>marbella:ispanya-para-birimi-euro-ve-resmi-dil</t>
        </is>
      </c>
      <c r="B155" s="29" t="inlineStr">
        <is>
          <t>marbella</t>
        </is>
      </c>
      <c r="C155" s="29" t="inlineStr">
        <is>
          <t>ispanya-para-birimi-euro-ve-resmi-dil</t>
        </is>
      </c>
      <c r="D155" s="29" t="inlineStr">
        <is>
          <t>İspanya'da euro madeni paralar yasal ödeme aracı mı, resmî dil nedir?</t>
        </is>
      </c>
      <c r="E155" s="29" t="inlineStr">
        <is>
          <t>Euro madeni paralar tüm eurobölgesinde yasal ödeme aracıdır; devletin resmî dili Kastilyacadır, diğer diller bölgelerinde de resmîdir</t>
        </is>
      </c>
      <c r="F155" s="29" t="inlineStr">
        <is>
          <t>Banco de España'nın sayfasına göre euro madeni paralar eurobölgesinin tüm ülkelerinde yasal ödeme aracıdır; İspanya'da bunları Fábrica Nacional de Moneda y Timbre basar, Banco de España ise İspanya devleti adına dolaşıma sokar ve geri çeker. Resmî dil: Anayasa'nın 3. maddesine göre Kastilyaca (castellano) devletin resmî dilidir. Diğer İspanyol dilleri de ilgili özerk bölgelerde, o bölgelerin Statüleri uyarınca resmî dildir; hangi dilin geçerli olduğu bölgeye göre değişir.</t>
        </is>
      </c>
      <c r="G155" s="29" t="inlineStr">
        <is>
          <t>para birimi, euro, resmî dil, Kastilyaca, castellano, Anayasa, özerk bölge dilleri, Banco de España</t>
        </is>
      </c>
      <c r="H155" s="29" t="inlineStr">
        <is>
          <t>before;planning;new</t>
        </is>
      </c>
      <c r="I155" s="29" t="inlineStr">
        <is>
          <t>marbella:kaynak:103;marbella:kaynak:104</t>
        </is>
      </c>
      <c r="J155" s="49" t="n">
        <v>46319</v>
      </c>
      <c r="K155" s="51" t="n">
        <v>9078</v>
      </c>
      <c r="L155" s="29" t="inlineStr">
        <is>
          <t>Hayır</t>
        </is>
      </c>
      <c r="M155" s="29" t="inlineStr">
        <is>
          <t>Taslak</t>
        </is>
      </c>
      <c r="N155" s="29" t="inlineStr">
        <is>
          <t>marbella:planlama</t>
        </is>
      </c>
      <c r="O155" s="29" t="inlineStr">
        <is>
          <t>Euro madeni paralar eurobölgesinin tüm ülkelerinde yasal ödeme aracıdır; İspanya'da bunları Banco de España dolaşıma sokar.
Yaşayacağın özerk bölgenin Statüsüne bak: Kastilyacanın yanında başka bir İspanyol dili de o bölgede resmî olabilir.</t>
        </is>
      </c>
      <c r="P155" s="29" t="n"/>
      <c r="Q155" s="29" t="n"/>
      <c r="R155" s="29" t="n"/>
      <c r="S155" s="29" t="n"/>
      <c r="T155" s="29" t="n"/>
    </row>
    <row r="156" ht="54" customHeight="1">
      <c r="A156" s="29" t="inlineStr">
        <is>
          <t>marbella:ispanya-resmi-saat-ve-yaz-saati-kurali</t>
        </is>
      </c>
      <c r="B156" s="29" t="inlineStr">
        <is>
          <t>marbella</t>
        </is>
      </c>
      <c r="C156" s="29" t="inlineStr">
        <is>
          <t>ispanya-resmi-saat-ve-yaz-saati-kurali</t>
        </is>
      </c>
      <c r="D156" s="29" t="inlineStr">
        <is>
          <t>İspanya'da kaç resmî saat var ve yaz saati ne zaman başlayıp biter?</t>
        </is>
      </c>
      <c r="E156" s="29" t="inlineStr">
        <is>
          <t>BOE'deki Kraliyet Kararnamesi'ne göre yarımada ve Balear Adaları bir, Kanarya Adaları ayrı resmî saat kullanır; yaz saati Mart ve Ekim'in son pazarı değişir</t>
        </is>
      </c>
      <c r="F156" s="29" t="inlineStr">
        <is>
          <t>İspanya'da iki resmî saat vardır: biri Yarımada ve Balear Adaları, öteki Kanarya Adaları için (Real Decreto 236/2002). Kararname bunu, saat değişiminin ülkenin her yerinde aynı anda yapılmasını sağlamak için dikkate alır. Yaz saati her yıl Mart ayının son pazarı başlar: gece 02:00'de (Kanarya'da 01:00) resmî saat 60 dakika ileri alınır ve o gün 23 saat sürer. Yaz saati her yıl Ekim ayının son pazarı biter: gece 03:00'te (Kanarya'da 02:00) resmî saat 60 dakika geri alınır ve o gün 25 saat sürer.</t>
        </is>
      </c>
      <c r="G156" s="29" t="inlineStr">
        <is>
          <t>saat dilimi, yaz saati, resmî saat, Kanarya Adaları, hora de verano, Mart son pazar, Ekim son pazar</t>
        </is>
      </c>
      <c r="H156" s="29" t="inlineStr">
        <is>
          <t>before;planning;new</t>
        </is>
      </c>
      <c r="I156" s="29" t="inlineStr">
        <is>
          <t>marbella:kaynak:105</t>
        </is>
      </c>
      <c r="J156" s="49" t="n">
        <v>46319</v>
      </c>
      <c r="K156" s="51" t="n">
        <v>9079</v>
      </c>
      <c r="L156" s="29" t="inlineStr">
        <is>
          <t>Hayır</t>
        </is>
      </c>
      <c r="M156" s="29" t="inlineStr">
        <is>
          <t>Taslak</t>
        </is>
      </c>
      <c r="N156" s="29" t="inlineStr">
        <is>
          <t>marbella:planlama</t>
        </is>
      </c>
      <c r="O156" s="29" t="inlineStr">
        <is>
          <t>Mart ayının son pazarı yaz saatine geç: gece 02:00'de (Kanarya'da 01:00) saati 60 dakika ileri al.
Ekim ayının son pazarı yaz saati biter: gece 03:00'te (Kanarya'da 02:00) saati 60 dakika geri al.
Yarımada ve Balear Adaları ile Kanarya Adaları arasında seyahat edeceksen iki ayrı resmî saat olduğunu unutma; saat değişimi her iki yerde de aynı anda yapılır.</t>
        </is>
      </c>
      <c r="P156" s="29" t="n"/>
      <c r="Q156" s="29" t="inlineStr">
        <is>
          <t>Yaz saati, Mart ayının son pazarından Ekim ayının son pazarına kadar sürer.</t>
        </is>
      </c>
      <c r="R156" s="29" t="n"/>
      <c r="S156" s="29" t="n"/>
      <c r="T156" s="29" t="n"/>
    </row>
    <row r="157" ht="54" customHeight="1">
      <c r="A157" s="29" t="inlineStr">
        <is>
          <t>marbella:ab-disindan-gelen-yolcunun-bagaj-muafiyeti</t>
        </is>
      </c>
      <c r="B157" s="29" t="inlineStr">
        <is>
          <t>marbella</t>
        </is>
      </c>
      <c r="C157" s="29" t="inlineStr">
        <is>
          <t>ab-disindan-gelen-yolcunun-bagaj-muafiyeti</t>
        </is>
      </c>
      <c r="D157" s="29" t="inlineStr">
        <is>
          <t>AB dışından İspanya'ya gelirken bagajında vergisiz ne kadar eşya, tütün ve alkol getirebilirsin?</t>
        </is>
      </c>
      <c r="E157" s="29" t="inlineStr">
        <is>
          <t>Ticari olmayan kişisel eşyada sınır kişi başı havayolu ve denizyolunda 430, karayolunda 300, 15 yaş altında 150 euro; tütün ve alkolde ayrı sınır var</t>
        </is>
      </c>
      <c r="F157" s="29" t="inlineStr">
        <is>
          <t>Ticari nitelik taşımayan kişisel eşyayı, toplam değeri havayolu ve denizyoluyla gelende kişi başı 430 euro'yu, karayoluyla gelende 300 euro'yu geçmiyorsa KDV (IVA) ve özel tüketim vergisi ödemeden getirebilirsin; 15 yaşından küçük yolcuda sınır, hangi yolla gelirse gelsin, 150 euro'dur. Bu kural AEAT'in güncel sayfasında AB dışındaki ülkelerden (üçüncü ülke) gelen yolcular için yazılıdır; kişisel kullanım için ilaçların değeri hesaba katılmaz. Değer sınırından ayrı olarak tütünde 200 sigara ya da 100 sigarillo (tanesi en çok 3 g) ya da 50 puro ya da 250 g sarma tütün muaftır; farklı tütün ürünleri toplam sınırı aşmadan birleştirilebilir. Alkolde 1 litre %80 ve üzeri etil alkol ya da 1 litre %22'nin üzerinde alkollü içki ya da 2 litre %22'nin altında damıtma türevi içki, takviyeli veya köpüklü şarap muaftır; her biri toplam hakkın tamamı sayılır ve toplamı aşmadan birleştirilebilir. Bunlara ek olarak 4 litre köpüksüz (sakin) şarap ve 16 litre bira da muaftır. 17 yaşından küçük yolcu tütün ve alkol muafiyetinden yararlanamaz.</t>
        </is>
      </c>
      <c r="G157" s="29" t="inlineStr">
        <is>
          <t>bagaj muafiyeti, gümrük, 430 euro, 300 euro, tütün, alkol, IVA, AEAT, üçüncü ülke, yolcu</t>
        </is>
      </c>
      <c r="H157" s="29" t="inlineStr">
        <is>
          <t>before;planning</t>
        </is>
      </c>
      <c r="I157" s="29" t="inlineStr">
        <is>
          <t>marbella:kaynak:106</t>
        </is>
      </c>
      <c r="J157" s="49" t="n">
        <v>46319</v>
      </c>
      <c r="K157" s="51" t="n">
        <v>9080</v>
      </c>
      <c r="L157" s="29" t="inlineStr">
        <is>
          <t>Hayır</t>
        </is>
      </c>
      <c r="M157" s="29" t="inlineStr">
        <is>
          <t>Taslak</t>
        </is>
      </c>
      <c r="N157" s="29" t="inlineStr">
        <is>
          <t>marbella:planlama</t>
        </is>
      </c>
      <c r="O157" s="29" t="inlineStr">
        <is>
          <t>Bagajındaki eşyanın ticari nitelik taşımadığından emin ol; muafiyet yalnız kişisel bagaj içindir.
Havayolu ya da denizyoluyla geliyorsan eşyanın toplam değerini kişi başı 430 euro'nun, karayoluyla geliyorsan 300 euro'nun altında tut; 15 yaş altındaki çocuk için sınır 150 euro'dur.
Tütünde 200 sigara ya da 100 sigarillo ya da 50 puro ya da 250 g sarma tütün sınırını aşma; farklı tütün ürünlerini birleştirebilirsin ama toplam sınırı aşamazsın.
Alkolde 1 litre %80 ve üzeri etil alkol ya da 1 litre %22 üzeri içki ya da 2 litre %22 altı damıtma türevi içki, takviyeli veya köpüklü şarap sınırını toplamda aşma; ek olarak 4 litre köpüksüz şarap ve 16 litre bira getirebilirsin.</t>
        </is>
      </c>
      <c r="P157" s="29" t="n"/>
      <c r="Q157" s="29" t="n"/>
      <c r="R157" s="29" t="n"/>
      <c r="S157" s="29" t="inlineStr">
        <is>
          <t>Kişisel kullanım için ilaçların değeri 430/300/150 euro sınırına sayılmaz. 17 yaşından küçük yolcular tütün ve alkol muafiyetinden yararlanamaz. Cebelitarık'a sınır bölgesinde oturan ya da çalışanlar için sigara muafiyeti 80 sigaraya iner. Andorra'dan gelen yolcular için AEAT sayfasında ayrı ve farklı sınırlar yazılıdır; bu karttaki sınırlar Andorra dışındaki üçüncü ülkeler içindir.</t>
        </is>
      </c>
      <c r="T157" s="29" t="n"/>
    </row>
    <row r="158" ht="54" customHeight="1">
      <c r="A158" s="29" t="inlineStr">
        <is>
          <t>marbella:marbella-ilk-hafta-yerel-duraklar</t>
        </is>
      </c>
      <c r="B158" s="29" t="inlineStr">
        <is>
          <t>marbella</t>
        </is>
      </c>
      <c r="C158" s="29" t="inlineStr">
        <is>
          <t>marbella-ilk-hafta-yerel-duraklar</t>
        </is>
      </c>
      <c r="D158" s="29" t="inlineStr">
        <is>
          <t>Marbella'ya geldiğin ilk hafta hangi işleri nerede halledersin?</t>
        </is>
      </c>
      <c r="E158" s="29" t="inlineStr">
        <is>
          <t>Adres kaydı, NIE ve TIE için Marbella'daki adresler</t>
        </is>
      </c>
      <c r="F158" s="29" t="inlineStr">
        <is>
          <t>İlk hafta için Marbella'da iki yerden başlayabilirsin: adres kaydı (empadronamiento) ve NIE ya da TIE işlemleri. Adres kaydında kimlik olarak pasaportun da kabul ediliyor; NIE ve TIE işlemlerini yapan ofislerden biri Marbella Comisaría'sı (Avda. Arias de Velasco 25). Adres kaydı için kira sözleşmen ile yakın tarihli bir elektrik, su ya da IBI faturası gerekir.</t>
        </is>
      </c>
      <c r="G158" s="29" t="inlineStr">
        <is>
          <t>ilk hafta, empadronamiento, adres kaydı, NIE, TIE, Comisaría Marbella, cita previa</t>
        </is>
      </c>
      <c r="H158" s="29" t="inlineStr">
        <is>
          <t>planning;new</t>
        </is>
      </c>
      <c r="I158" s="29" t="inlineStr">
        <is>
          <t>marbella:kaynak:181;marbella:kaynak:189</t>
        </is>
      </c>
      <c r="J158" s="49" t="n">
        <v>46323</v>
      </c>
      <c r="K158" s="51" t="n">
        <v>100</v>
      </c>
      <c r="L158" s="29" t="inlineStr">
        <is>
          <t>Evet</t>
        </is>
      </c>
      <c r="M158" s="29" t="inlineStr">
        <is>
          <t>Taslak</t>
        </is>
      </c>
      <c r="N158" s="29" t="inlineStr">
        <is>
          <t>marbella:planlama</t>
        </is>
      </c>
      <c r="O158" s="29" t="inlineStr">
        <is>
          <t>Kimliğini (pasaport ya da NIE/TIE; NIE/TIE ise vesikalık fotoğrafla), kira sözleşmeni ve yakın tarihli elektrik, su ya da IBI faturanı hazırla.
Alta y Cambio de Domicilio (adres kaydı ve adres değişikliği) formunu doldur.
Belgeleri Oficina de Atención al Ciudadano'ya cita previa (önceden randevu) alarak götür ya da Concejalía de Extranjeros Residentes'in Palacio de Ferias y Congresos'taki ofisine (C/ José Meliá 2) git; ofis pazartesiden cumaya 09:00-14:00 açık.
NIE ya da TIE için Marbella Comisaría'sına (Avda. Arias de Velasco 25) gitmeden önce 952 86 72 41 numarasını ara.</t>
        </is>
      </c>
      <c r="P158" s="29" t="inlineStr">
        <is>
          <t>Pasaport ya da NIE/TIE (NIE/TIE ise vesikalık fotoğraf)
Kiracıysan: kira sözleşmesi ve yakın tarihli elektrik, su ya da IBI faturası
Ev sahibiysen: tapu (escritura), geçerli nota simple ya da en son IBI faturası
Doldurulmuş Alta y Cambio de Domicilio formu</t>
        </is>
      </c>
      <c r="Q158" s="29" t="n"/>
      <c r="R158" s="29" t="n"/>
      <c r="S158" s="29" t="inlineStr">
        <is>
          <t>Çocuk için de yetişkinlerle aynı belgeler istenir; çocuk İspanya'da doğduysa Libro de Familia ya da doğum belgesi (Certificado de Nacimiento) eklenir.</t>
        </is>
      </c>
      <c r="T158" s="29" t="n"/>
    </row>
    <row r="159" ht="54" customHeight="1">
      <c r="A159" s="29" t="inlineStr">
        <is>
          <t>marbella:extranjeros-residentes-ofisleri-marbella</t>
        </is>
      </c>
      <c r="B159" s="29" t="inlineStr">
        <is>
          <t>marbella</t>
        </is>
      </c>
      <c r="C159" s="29" t="inlineStr">
        <is>
          <t>extranjeros-residentes-ofisleri-marbella</t>
        </is>
      </c>
      <c r="D159" s="29" t="inlineStr">
        <is>
          <t>Marbella'da yabancı sakinlere yardım eden belediye birimi nerede, hangi saatlerde açık?</t>
        </is>
      </c>
      <c r="E159" s="29" t="inlineStr">
        <is>
          <t>Concejalía de Extranjeros Residentes: üç ofis, adres ve telefonlar</t>
        </is>
      </c>
      <c r="F159" s="29" t="inlineStr">
        <is>
          <t>Marbella Belediyesi'nin Concejalía de Extranjeros Residentes (yabancı sakinler birimi) yeni gelen yabancıların İspanya'daki yeni hayata uyum sağlamasına yardım eder ve adres kaydı (empadronamiento) işlemlerini yürütür. Ana ofisi Palacio de Ferias y Congresos'ta, C/ José Meliá 2'dedir. Las Chapas (Distrito Este) ve Nueva Andalucía (Distrito Oeste) semtlerinde iki ofis daha var; üçü de pazartesiden cumaya 09:00-14:00 arası açık.</t>
        </is>
      </c>
      <c r="G159" s="29" t="inlineStr">
        <is>
          <t>Extranjeros Residentes, yabancı sakinler, Marbella belediyesi, Las Chapas, Nueva Andalucía, empadronamiento, destek</t>
        </is>
      </c>
      <c r="H159" s="29" t="inlineStr">
        <is>
          <t>planning;new;settled</t>
        </is>
      </c>
      <c r="I159" s="29" t="inlineStr">
        <is>
          <t>marbella:kaynak:187;marbella:kaynak:181</t>
        </is>
      </c>
      <c r="J159" s="49" t="n">
        <v>46323</v>
      </c>
      <c r="K159" s="51" t="n">
        <v>101</v>
      </c>
      <c r="L159" s="29" t="inlineStr">
        <is>
          <t>Hayır</t>
        </is>
      </c>
      <c r="M159" s="29" t="inlineStr">
        <is>
          <t>Taslak</t>
        </is>
      </c>
      <c r="N159" s="29" t="inlineStr">
        <is>
          <t>marbella:planlama</t>
        </is>
      </c>
      <c r="O159" s="29" t="inlineStr">
        <is>
          <t>Sana yakın ofisi seç: Marbella merkez (C/ José Meliá 2), Las Chapas (Calle Pinsapo s/n) ya da Nueva Andalucía (Avda. Miguel de Cervantes 15).
Ofisi ara: merkez +34 952 768 766; Las Chapas +34 952 768 730, dahili 3209; Nueva Andalucía +34 952 761 600, dahili 1603.
Aramak yerine ofislerin iletişim sayfasındaki formu doldurup sorunu yazabilirsin.</t>
        </is>
      </c>
      <c r="P159" s="29" t="n"/>
      <c r="Q159" s="29" t="inlineStr">
        <is>
          <t>Pazartesi-cuma 09:00-14:00 (üç ofis)</t>
        </is>
      </c>
      <c r="R159" s="29" t="n"/>
      <c r="S159" s="29" t="inlineStr">
        <is>
          <t>Birimin tanıtım broşürü İspanyolca, İngilizce, Almanca, Fransızca ve İtalyanca olarak hazırlanmış.</t>
        </is>
      </c>
      <c r="T159" s="29" t="n"/>
    </row>
    <row r="160" ht="54" customHeight="1">
      <c r="A160" s="29" t="inlineStr">
        <is>
          <t>marbella:sosyal-hizmetler-merkezleri-marbella</t>
        </is>
      </c>
      <c r="B160" s="29" t="inlineStr">
        <is>
          <t>marbella</t>
        </is>
      </c>
      <c r="C160" s="29" t="inlineStr">
        <is>
          <t>sosyal-hizmetler-merkezleri-marbella</t>
        </is>
      </c>
      <c r="D160" s="29" t="inlineStr">
        <is>
          <t>Marbella'da belediyenin sosyal hizmetlerine (Derechos Sociales) nasıl ulaşırsın?</t>
        </is>
      </c>
      <c r="E160" s="29" t="inlineStr">
        <is>
          <t>Merkez ofis, San Pedro Alcántara ve semt merkezleri</t>
        </is>
      </c>
      <c r="F160" s="29" t="inlineStr">
        <is>
          <t>Marbella Belediyesi'nin Delegación de Derechos Sociales birimine Calle Vázquez Clavel 25'teki merkez ofisten ya da 952 768 700 numarasından ulaşırsın; San Pedro Alcántara'da ayrı bir ofis var. Birim topluluk düzeyinde bilgi, değerlendirme ve danışmanlık verir; sosyal yardım, evde bakım, çocuk ve aile hizmeti, bağımlılık merkezi ve ipotek aracılık ofisi gibi hizmetleri yürütür. Belediyenin hizmet şartnamesine göre sosyal hizmet uzmanıyla ilk görüşme en geç 20 iş günü içinde yapılır.</t>
        </is>
      </c>
      <c r="G160" s="29" t="inlineStr">
        <is>
          <t>Derechos Sociales, sosyal hizmetler, trabajador social, ayuda a domicilio, Marbella, San Pedro Alcántara, sosyal destek</t>
        </is>
      </c>
      <c r="H160" s="29" t="inlineStr">
        <is>
          <t>new;settled</t>
        </is>
      </c>
      <c r="I160" s="29" t="inlineStr">
        <is>
          <t>marbella:kaynak:188</t>
        </is>
      </c>
      <c r="J160" s="49" t="n">
        <v>46323</v>
      </c>
      <c r="K160" s="51" t="n">
        <v>102</v>
      </c>
      <c r="L160" s="29" t="inlineStr">
        <is>
          <t>Hayır</t>
        </is>
      </c>
      <c r="M160" s="29" t="inlineStr">
        <is>
          <t>Taslak</t>
        </is>
      </c>
      <c r="N160" s="29" t="inlineStr">
        <is>
          <t>marbella:planlama</t>
        </is>
      </c>
      <c r="O160" s="29" t="inlineStr">
        <is>
          <t>Merkez ofise git (Calle Vázquez Clavel 25 bajos, Marbella) ya da 952 768 700 numarasını ara; San Pedro Alcántara'da Calle Viento de Levante s/n adresine git ya da 952 768 735'i ara.
Sana yakın bir Centro de Servicios Sociales Comunitarios seç: Miraflores (952 900 493), Las Chapas (952 830 971) ya da Nueva Andalucía (952 768 774).
Sosyal hizmet uzmanıyla ilk görüşmede durumunu anlat; uzman bilgi verir, durumunu değerlendirir ve uygun kaynaklara yönlendirir.
Soruların için derechossociales@marbella.es adresine yazabilirsin.</t>
        </is>
      </c>
      <c r="P160" s="29" t="n"/>
      <c r="Q160" s="29" t="inlineStr">
        <is>
          <t>İlk görüşme en geç 20 iş günü; değerlendirme gerektiren belediye yardımlarında belgeler tamamlandıktan sonra en geç 14 iş günü; telefon, yüz yüze ya da e-posta sorularına en geç 3 iş günü içinde yanıt</t>
        </is>
      </c>
      <c r="R160" s="29" t="n"/>
      <c r="S160" s="29" t="inlineStr">
        <is>
          <t>Süreler belediyenin hizmet şartnamesindeki taahhütlerdir (şartname son olarak 29 Kasım 2019'da güncellenmiş).</t>
        </is>
      </c>
      <c r="T160" s="29" t="n"/>
    </row>
    <row r="161" ht="54" customHeight="1">
      <c r="A161" s="29" t="inlineStr">
        <is>
          <t>marbella:yaz-sicaginda-saglik-korunma-andalucia</t>
        </is>
      </c>
      <c r="B161" s="29" t="inlineStr">
        <is>
          <t>marbella</t>
        </is>
      </c>
      <c r="C161" s="29" t="inlineStr">
        <is>
          <t>yaz-sicaginda-saglik-korunma-andalucia</t>
        </is>
      </c>
      <c r="D161" s="29" t="inlineStr">
        <is>
          <t>Marbella'da yaz sıcağında kendini nasıl korursun?</t>
        </is>
      </c>
      <c r="E161" s="29" t="inlineStr">
        <is>
          <t>Andalucía'nın sıcaklık protokolü ve temel korunma kuralları</t>
        </is>
      </c>
      <c r="F161" s="29" t="inlineStr">
        <is>
          <t>Öğle saatlerinde doğrudan güneşe çıkma; çıkman gerekiyorsa en yüksek korumayı kullan. Hafif ve açık renk giysi, şapka, gözlük ve uygun güneş kremi kullan, bol su iç, taze yiyecek ve meyve ye, serin ve havadar yerlerde kal, sıcağın en yüksek olduğu saatlerde yoğun spordan kaçın. Junta de Andalucía'ya göre bölgenin 2026 sıcaklık protokolü 30 Eylül'e kadar yürürlükteydi; İspanya genelinde ulusal plan her yaz mayıs ile eylül arasında devreye giriyor.</t>
        </is>
      </c>
      <c r="G161" s="29" t="inlineStr">
        <is>
          <t>sıcak hava, ola de calor, Salud Responde, Andalucía protokol, güneş, hidrasyon, yaz</t>
        </is>
      </c>
      <c r="H161" s="29" t="inlineStr">
        <is>
          <t>planning;new;settled</t>
        </is>
      </c>
      <c r="I161" s="29" t="inlineStr">
        <is>
          <t>marbella:kaynak:192;marbella:kaynak:193</t>
        </is>
      </c>
      <c r="J161" s="49" t="n">
        <v>46323</v>
      </c>
      <c r="K161" s="51" t="n">
        <v>103</v>
      </c>
      <c r="L161" s="29" t="inlineStr">
        <is>
          <t>Hayır</t>
        </is>
      </c>
      <c r="M161" s="29" t="inlineStr">
        <is>
          <t>Taslak</t>
        </is>
      </c>
      <c r="N161" s="29" t="inlineStr">
        <is>
          <t>marbella:planlama</t>
        </is>
      </c>
      <c r="O161" s="29" t="inlineStr">
        <is>
          <t>Öğle saatlerinde doğrudan güneşe çıkma; çıkmak zorundaysan en yüksek korumayı kullan.
Hafif ve açık renk giysi giy; şapka, güneş gözlüğü ve uygun güneş kremi kullan.
Bol su iç ve taze yiyecek, özellikle meyve ye.
Serin ve iyi havalandırılan yerlerde kal; en sıcak saatlerde yoğun fiziksel etkinlikten kaçın.
Bölgendeki sağlık risk seviyesini Salud Responde uygulamasından kontrol et.</t>
        </is>
      </c>
      <c r="P161" s="29" t="n"/>
      <c r="Q161" s="29" t="inlineStr">
        <is>
          <t>Andalucía protokolü 2026'da 30 Eylül'e kadar; ulusal plan her yıl mayıs-eylül</t>
        </is>
      </c>
      <c r="R161" s="29" t="n"/>
      <c r="S161" s="29" t="inlineStr">
        <is>
          <t>Junta'ya göre sıcaktan en çok 65 yaş üstü kişiler, kronik hastalar, hamileler, çocuklar, hafıza sorunu olanlar, alkol ya da uyuşturucu kullananlar, yalnız yaşayanlar ve açık havada çalışanlar etkilenir; çevrendeki bu kişileri de gözet.</t>
        </is>
      </c>
      <c r="T161" s="29" t="n"/>
    </row>
    <row r="162" ht="54" customHeight="1">
      <c r="A162" s="29" t="inlineStr">
        <is>
          <t>marbella:sicak-uyarisi-ile-saglik-risk-seviyesi-farki</t>
        </is>
      </c>
      <c r="B162" s="29" t="inlineStr">
        <is>
          <t>marbella</t>
        </is>
      </c>
      <c r="C162" s="29" t="inlineStr">
        <is>
          <t>sicak-uyarisi-ile-saglik-risk-seviyesi-farki</t>
        </is>
      </c>
      <c r="D162" s="29" t="inlineStr">
        <is>
          <t>Sıcak hava uyarısı ile sağlık risk seviyesi aynı şey mi, hangisine bakmalısın?</t>
        </is>
      </c>
      <c r="E162" s="29" t="inlineStr">
        <is>
          <t>Aemet uyarıları ve Meteosalud risk seviyeleri</t>
        </is>
      </c>
      <c r="F162" s="29" t="inlineStr">
        <is>
          <t>Hayır, ikisi farklı ölçütlere dayanır. Aemet'in sıcaklık uyarıları beklenen olumsuz hava olaylarını ve aşırı sıcaklıkları bildirir; sağlık risk seviyeleri (Meteosalud) ise sıcağın insanları, özellikle savunmasız grupları nasıl etkileyebileceğini hesaba katar. Seviyeler, bugünün ve sonraki iki günün tahmini sıcaklığına ve her bölge için belirlenmiş eşik sıcaklığa göre verilir. İkisi de aynı meteoroloji bölgelerini kullanır; bu yüzden bir bölgede uyarı varken risk seviyesi farklı çıkabilir.</t>
        </is>
      </c>
      <c r="G162" s="29" t="inlineStr">
        <is>
          <t>Meteosalud, Aemet, aviso, sıcaklık eşiği, sağlık risk seviyesi, ola de calor, Salud Responde</t>
        </is>
      </c>
      <c r="H162" s="29" t="inlineStr">
        <is>
          <t>planning;new;settled</t>
        </is>
      </c>
      <c r="I162" s="29" t="inlineStr">
        <is>
          <t>marbella:kaynak:192;marbella:kaynak:193</t>
        </is>
      </c>
      <c r="J162" s="49" t="n">
        <v>46323</v>
      </c>
      <c r="K162" s="51" t="n">
        <v>104</v>
      </c>
      <c r="L162" s="29" t="inlineStr">
        <is>
          <t>Hayır</t>
        </is>
      </c>
      <c r="M162" s="29" t="inlineStr">
        <is>
          <t>Taslak</t>
        </is>
      </c>
      <c r="N162" s="29" t="inlineStr">
        <is>
          <t>marbella:planlama</t>
        </is>
      </c>
      <c r="O162" s="29" t="inlineStr">
        <is>
          <t>Sağlık Bakanlığı'nın sıcak hava sayfasındaki Meteosalud bölgelerine göre risk seviyeleri haritasını aç.
Haritada Málaga ilindeki bölgeni bul ve risk seviyesine bak.
Aemet'in sıcaklık uyarısını ayrı bir bilgi olarak oku; uyarı ile risk seviyesi aynı olmak zorunda değil.
Salud Responde uygulamasında bölgendeki risk seviyesini ve güncel bilgileri takip et.</t>
        </is>
      </c>
      <c r="P162" s="29" t="n"/>
      <c r="Q162" s="29" t="n"/>
      <c r="R162" s="29" t="n"/>
      <c r="S162" s="29" t="inlineStr">
        <is>
          <t>Seviyelerin eşik sıcaklığı, ölüm sayısı ile sıcaklık arasındaki ilişkinin analizine göre hesaplanır.</t>
        </is>
      </c>
      <c r="T162" s="29" t="n"/>
    </row>
    <row r="163" ht="54" customHeight="1">
      <c r="A163" s="29" t="inlineStr">
        <is>
          <t>marbella:malaga-havalimani-marbella-otobus-ve-taksi</t>
        </is>
      </c>
      <c r="B163" s="29" t="inlineStr">
        <is>
          <t>marbella</t>
        </is>
      </c>
      <c r="C163" s="29" t="inlineStr">
        <is>
          <t>malaga-havalimani-marbella-otobus-ve-taksi</t>
        </is>
      </c>
      <c r="D163" s="29" t="inlineStr">
        <is>
          <t>Málaga havalimanından Marbella'ya otobüs ve taksiyle nasıl ulaşırsın?</t>
        </is>
      </c>
      <c r="E163" s="29" t="inlineStr">
        <is>
          <t>Avanzabús hattı ve havalimanı taksi tarifeleri</t>
        </is>
      </c>
      <c r="F163" s="29" t="inlineStr">
        <is>
          <t>Aena'ya göre Avanzabús şirketi Málaga havalimanını Marbella otogarına bağlıyor; seferleri ve bilet fiyatlarını Avanzabus'ün sitesinde görürsün, bilgi hattı 902 020 052. Taksi tercih edersen havalimanından çıkan seferlerde Aena'nın tarifesi geçerli: hafta içi iş günleri 06:00-22:00 arası (4 numaralı tarife) asgari ücret 17,37 euro, kilometre başına 1 euro; bagaj başına 0,56 euro eklenir.</t>
        </is>
      </c>
      <c r="G163" s="29" t="inlineStr">
        <is>
          <t>Málaga havalimanı, Marbella, Avanzabús, havalimanı otobüsü, taksi tarifesi, Aena, ulaşım</t>
        </is>
      </c>
      <c r="H163" s="29" t="inlineStr">
        <is>
          <t>planning;new</t>
        </is>
      </c>
      <c r="I163" s="29" t="inlineStr">
        <is>
          <t>marbella:kaynak:184;marbella:kaynak:287</t>
        </is>
      </c>
      <c r="J163" s="49" t="n">
        <v>46323</v>
      </c>
      <c r="K163" s="51" t="n">
        <v>105</v>
      </c>
      <c r="L163" s="29" t="inlineStr">
        <is>
          <t>Hayır</t>
        </is>
      </c>
      <c r="M163" s="29" t="inlineStr">
        <is>
          <t>Taslak</t>
        </is>
      </c>
      <c r="N163" s="29" t="inlineStr">
        <is>
          <t>marbella:planlama</t>
        </is>
      </c>
      <c r="O163" s="29" t="inlineStr">
        <is>
          <t>Avanzabus'ün sitesinde Málaga-Marbella seferlerini ve bilet fiyatlarını gör.
Otobüsle ilgili sorun için Avanzabús bilgi hattını ara: 902 020 052.
Taksi istersen havalimanında hizmet veren iki şirketten biriyle git: Taxi Union ya da Unitaxi.
Taksi tarifesini gününe göre bil: 4 numaralı tarife hafta içi iş günleri 06:00-22:00; hafta sonu ve resmî tatillerde 06:00-22:00 ile hafta içi gece saatlerinde 5 numaralı tarife (asgari 21,72 euro, kilometre başına 1,21 euro) uygulanır.</t>
        </is>
      </c>
      <c r="P163" s="29" t="n"/>
      <c r="Q163" s="29" t="n"/>
      <c r="R163" s="29" t="inlineStr">
        <is>
          <t>Taksi, havalimanından çıkış: 4 numaralı tarifede asgari 17,37 euro, kilometre başına 1 euro; 5 numaralı tarifede asgari 21,72 euro, kilometre başına 1,21 euro; bagaj başına 0,56 euro.</t>
        </is>
      </c>
      <c r="S163" s="29" t="inlineStr">
        <is>
          <t>Gece 00:00-06:00 arası hizmetlerde 5 ve 9 numaralı tarifelere 2,15 euro ek ücret biner.</t>
        </is>
      </c>
      <c r="T163" s="29" t="n"/>
    </row>
    <row r="164" ht="54" customHeight="1">
      <c r="A164" s="29" t="inlineStr">
        <is>
          <t>marbella:marbella-otogari-ve-sehirlerarasi-otobus-firmalari</t>
        </is>
      </c>
      <c r="B164" s="29" t="inlineStr">
        <is>
          <t>marbella</t>
        </is>
      </c>
      <c r="C164" s="29" t="inlineStr">
        <is>
          <t>marbella-otogari-ve-sehirlerarasi-otobus-firmalari</t>
        </is>
      </c>
      <c r="D164" s="29" t="inlineStr">
        <is>
          <t>Marbella'ya otobüsle gelince hangi otogara inersin, uzun yol otobüsleri hangi firmalarla gidiyor?</t>
        </is>
      </c>
      <c r="E164" s="29" t="inlineStr">
        <is>
          <t>Marbella ve San Pedro Alcántara otogarları, firmalar ve telefonlar</t>
        </is>
      </c>
      <c r="F164" s="29" t="inlineStr">
        <is>
          <t>Marbella otogarı Avda. del Trapiche s/n adresinde (tel. 952 82 34 09); San Pedro Alcántara otogarı Avda. Luis Braille'de. Belediyenin ulaşım sayfasına göre Málaga, havalimanı ve Algeciras hattını Avanzabus (902 02 00 52), Algeciras-Málaga arası Costa del Sol ve Andalucía illerini CTSA Portillo (952 76 44 00), Madrid'i Daibus (952 82 32 12), Barselona ile uluslararası hatları (Brüksel, Amsterdam, Lüksemburg, Paris, Zürih, Rabat) Alsa (902 42 22 42) işletiyor.</t>
        </is>
      </c>
      <c r="G164" s="29" t="inlineStr">
        <is>
          <t>Marbella otogarı, Estación de Autobuses, San Pedro Alcántara, Avanzabus, Alsa, CTSA Portillo, Daibus, şehirlerarası otobüs</t>
        </is>
      </c>
      <c r="H164" s="29" t="inlineStr">
        <is>
          <t>planning;new;settled</t>
        </is>
      </c>
      <c r="I164" s="29" t="inlineStr">
        <is>
          <t>marbella:kaynak:185;marbella:kaynak:288</t>
        </is>
      </c>
      <c r="J164" s="49" t="n">
        <v>46323</v>
      </c>
      <c r="K164" s="51" t="n">
        <v>106</v>
      </c>
      <c r="L164" s="29" t="inlineStr">
        <is>
          <t>Hayır</t>
        </is>
      </c>
      <c r="M164" s="29" t="inlineStr">
        <is>
          <t>Taslak</t>
        </is>
      </c>
      <c r="N164" s="29" t="inlineStr">
        <is>
          <t>marbella:planlama</t>
        </is>
      </c>
      <c r="O164" s="29" t="inlineStr">
        <is>
          <t>Gideceğin yere göre firmayı seç: Málaga ve havalimanı için Avanzabus, Madrid için Daibus, Barselona ve yurt dışı için Alsa, Andalucía illeri için CTSA Portillo.
Avanzabus ile Málaga-Marbella seferlerini sitesinden gör ve biletini oradan al.
Marbella'da otogara git: Avda. del Trapiche s/n; San Pedro Alcántara'da Avda. Luis Braille.</t>
        </is>
      </c>
      <c r="P164" s="29" t="n"/>
      <c r="Q164" s="29" t="n"/>
      <c r="R164" s="29" t="n"/>
      <c r="S164" s="29" t="inlineStr">
        <is>
          <t>Belediyenin ulaşım sayfası 19 Kasım 2014'te yayımlanmış; firma telefonları ve hat listesi o sayfadaki bilgiye dayanır.</t>
        </is>
      </c>
      <c r="T164" s="29" t="n"/>
    </row>
    <row r="165" ht="54" customHeight="1">
      <c r="A165" s="29" t="inlineStr">
        <is>
          <t>marbella:gecici-konaklama-kayitli-turistik-konut-kontrolu</t>
        </is>
      </c>
      <c r="B165" s="29" t="inlineStr">
        <is>
          <t>marbella</t>
        </is>
      </c>
      <c r="C165" s="29" t="inlineStr">
        <is>
          <t>gecici-konaklama-kayitli-turistik-konut-kontrolu</t>
        </is>
      </c>
      <c r="D165" s="29" t="inlineStr">
        <is>
          <t>Marbella'da geçici konaklama ararken turistik kiralık dairenin kayıtlı olduğunu nasıl kontrol edersin?</t>
        </is>
      </c>
      <c r="E165" s="29" t="inlineStr">
        <is>
          <t>VUT kayıt kodu, Junta sorgu aracı ve iki ay kuralı</t>
        </is>
      </c>
      <c r="F165" s="29" t="inlineStr">
        <is>
          <t>Andalucía'da turistik amaçla kiralanan konutun (vivienda de uso turístico, VUT) Registro de Turismo'da kayıtlı olması gerekir; kayıt kodu VUT/HU/00000 biçimindedir ve ev sahibi bunu online platformlar dahil her ilan ve tanıtımda yazmak zorundadır. Kodu Junta de Andalucía'nın turistik tesis sorgu aracında numaraya, ticari ada ya da sokak adına göre arayabilirsin. Kayıt yaptırmadan düzenli olarak turistik kiralanan konut kaçak (clandestina) sayılır ve ağır ihlaldir.</t>
        </is>
      </c>
      <c r="G165" s="29" t="inlineStr">
        <is>
          <t>vivienda de uso turístico, VUT, geçici konaklama, kayıt kodu, Registro de Turismo, kısa süreli kiralama, hoja de reclamaciones</t>
        </is>
      </c>
      <c r="H165" s="29" t="inlineStr">
        <is>
          <t>planning;new</t>
        </is>
      </c>
      <c r="I165" s="29" t="inlineStr">
        <is>
          <t>marbella:kaynak:191;marbella:kaynak:190</t>
        </is>
      </c>
      <c r="J165" s="49" t="n">
        <v>46323</v>
      </c>
      <c r="K165" s="51" t="n">
        <v>107</v>
      </c>
      <c r="L165" s="29" t="inlineStr">
        <is>
          <t>Evet</t>
        </is>
      </c>
      <c r="M165" s="29" t="inlineStr">
        <is>
          <t>Taslak</t>
        </is>
      </c>
      <c r="N165" s="29" t="inlineStr">
        <is>
          <t>marbella:planlama</t>
        </is>
      </c>
      <c r="O165" s="29" t="inlineStr">
        <is>
          <t>İlanda VUT/HU/ ile başlayan kayıt kodunu ara; yoksa ev sahibinden iste.
Junta de Andalucía'nın Buscador de Establecimientos y Servicios Turísticos aracında kodu, ticari adı ya da konutun sokak adını yaz; sonuç almak için bir faaliyet türü seçmen gerekir (viviendas de uso turístico).
Aynı kiracıya iki aydan uzun kesintisiz kiralanan konut VUT sayılmaz; birkaç aylık kalışta bunu bil.
Anlaşmazlıkta ev sahibinden hoja de quejas y reclamaciones (kâğıt şikâyet formu) iste; Andalucía'da hizmet veren herkesin bunu hazır bulundurması gerekir.
VUT konusunda soru için Junta'nın hattını ara: 900 10 15 70 (pazartesi-cuma 09:00-14:00).</t>
        </is>
      </c>
      <c r="P165" s="29" t="n"/>
      <c r="Q165" s="29" t="n"/>
      <c r="R165" s="29" t="n"/>
      <c r="S165" s="29" t="inlineStr">
        <is>
          <t>Sorgu aracı yalnız kayıtlı konutları gösterir; iptal edilmiş kayıtlar görünmez.</t>
        </is>
      </c>
      <c r="T165" s="29" t="n"/>
    </row>
    <row r="166" ht="54" customHeight="1">
      <c r="A166" s="29" t="inlineStr">
        <is>
          <t>marbella:empadronamiento-nedir-neden-gerekir</t>
        </is>
      </c>
      <c r="B166" s="29" t="inlineStr">
        <is>
          <t>marbella</t>
        </is>
      </c>
      <c r="C166" s="29" t="inlineStr">
        <is>
          <t>empadronamiento-nedir-neden-gerekir</t>
        </is>
      </c>
      <c r="D166" s="29" t="inlineStr">
        <is>
          <t>Empadronamiento (belediye nüfus kaydı) nedir, neden gerekir?</t>
        </is>
      </c>
      <c r="E166" s="29" t="inlineStr">
        <is>
          <t>İspanya'da yaşayan herkes oturduğu belediyenin Padrón kaydına yazılmak zorunda</t>
        </is>
      </c>
      <c r="F166" s="29" t="inlineStr">
        <is>
          <t>Empadronamiento, oturduğun belediyenin Padrón (belediye nüfus sicili) kaydına yazılmandır. İspanya'da yaşayan herkes düzenli olarak oturduğu belediyenin Padrón'una kayıt olmak zorunda; birden çok belediyede yaşıyorsan yalnız yılın en uzun kısmını geçirdiğin belediyeye yazılırsın. Padrón belediyenin idari kaydıdır ve verileri o belediyede oturduğunun ve adresinin kanıtı sayılır. Kayıt olduğun anda o belediyenin vecino'su (hemşehrisi) olursun. Hangi belgelerle, nerede ve nasıl kayıt olacağın bulunduğun belediyeye göre değişir; adımları yerel ofisten öğrenirsin.</t>
        </is>
      </c>
      <c r="G166" s="29" t="inlineStr">
        <is>
          <t>empadronamiento, padrón, belediye kaydı, nüfus kaydı, vecino, ikamet kanıtı, adres kaydı</t>
        </is>
      </c>
      <c r="H166" s="29" t="inlineStr">
        <is>
          <t>new;settled</t>
        </is>
      </c>
      <c r="I166" s="29" t="inlineStr">
        <is>
          <t>marbella:kaynak:020</t>
        </is>
      </c>
      <c r="J166" s="49" t="n">
        <v>46319</v>
      </c>
      <c r="K166" s="51" t="n">
        <v>9014</v>
      </c>
      <c r="L166" s="29" t="inlineStr">
        <is>
          <t>Hayır</t>
        </is>
      </c>
      <c r="M166" s="29" t="inlineStr">
        <is>
          <t>Taslak</t>
        </is>
      </c>
      <c r="N166" s="29" t="inlineStr">
        <is>
          <t>marbella:resmi</t>
        </is>
      </c>
      <c r="O166" s="29" t="inlineStr">
        <is>
          <t>Düzenli olarak oturduğun belediyeyi belirle; birden çok belediyede yaşıyorsan yılın en uzun kısmını geçirdiğin belediye geçerli.
O belediyenin Padrón'una kayıt ol; belge listesi ve başvuru adımları için bulunduğun belediyenin yerel ofisine başvur.
Kayıt anından itibaren belediyenin vecino'su sayılırsın; adres ve ikamet kanıtı için Padrón belgesini (certificado ya da volante) kullan.
AB/AEA vatandaşı değilsen ve uzun süreli oturum iznin yoksa kaydını her iki yılda bir yenile.</t>
        </is>
      </c>
      <c r="P166" s="29" t="n"/>
      <c r="Q166" s="29" t="n"/>
      <c r="R166" s="29" t="n"/>
      <c r="S166" s="29" t="inlineStr">
        <is>
          <t>AB/AEA dışı uyruklu ve uzun süreli oturum izni olmayan yabancıların kaydı her iki yılda bir yenilenmek zorunda; yenilenmezse kayıt düşürülebilir.</t>
        </is>
      </c>
      <c r="T166" s="29" t="n"/>
    </row>
    <row r="167" ht="54" customHeight="1">
      <c r="A167" s="29" t="inlineStr">
        <is>
          <t>marbella:certificado-ve-volante-farki</t>
        </is>
      </c>
      <c r="B167" s="29" t="inlineStr">
        <is>
          <t>marbella</t>
        </is>
      </c>
      <c r="C167" s="29" t="inlineStr">
        <is>
          <t>certificado-ve-volante-farki</t>
        </is>
      </c>
      <c r="D167" s="29" t="inlineStr">
        <is>
          <t>Certificado de empadronamiento ile volante arasındaki fark nedir?</t>
        </is>
      </c>
      <c r="E167" s="29" t="inlineStr">
        <is>
          <t>Certificado kesin kanıt, volante yalnız bilgi belgesidir</t>
        </is>
      </c>
      <c r="F167" s="29" t="inlineStr">
        <is>
          <t>Padrón kaydın için belediyeden iki tür belge isteyebilirsin: certificado (sertifika) ve volante (bilgi kâğıdı). Certificado, empadronamiento kaydını kesin delil olarak kanıtlayan belgedir ve resmî işlemlerde kamu belgesi sayılır. Kâğıt hâlindeki certificado'yu belediye sekreteri imzalar, belediye başkanı onaylar (ya da yerlerine bakanlar); imzalar elle ya da elektronik olabilir. Volante ise yalnız bilgi vermek için düzenlenen bir belgedir: certificado'daki biçim şartları aranmaz ve hiçbir belediye görevlisinin imzasını taşımaz.</t>
        </is>
      </c>
      <c r="G167" s="29" t="inlineStr">
        <is>
          <t>certificado de empadronamiento, volante de empadronamiento, padrón belgesi, ikamet belgesi, adres kanıtı</t>
        </is>
      </c>
      <c r="H167" s="29" t="inlineStr">
        <is>
          <t>new;settled</t>
        </is>
      </c>
      <c r="I167" s="29" t="inlineStr">
        <is>
          <t>marbella:kaynak:020;marbella:kaynak:021</t>
        </is>
      </c>
      <c r="J167" s="49" t="n">
        <v>46319</v>
      </c>
      <c r="K167" s="51" t="n">
        <v>9015</v>
      </c>
      <c r="L167" s="29" t="inlineStr">
        <is>
          <t>Hayır</t>
        </is>
      </c>
      <c r="M167" s="29" t="inlineStr">
        <is>
          <t>Taslak</t>
        </is>
      </c>
      <c r="N167" s="29" t="inlineStr">
        <is>
          <t>marbella:resmi</t>
        </is>
      </c>
      <c r="O167" s="29" t="inlineStr">
        <is>
          <t>Belediyenin Padrón servisinden certificado ya da volante iste; ikisi de elektronik yolla istenip verilebilir.
Bir işlemde kayıt kanıtı gerekiyorsa certificado'yu iste; volante yalnız bilgi verir.
Belgeyi posta ya da kurye ile istersen belediye onu yalnız Padrón kaydındaki adrese gönderir.</t>
        </is>
      </c>
      <c r="P167" s="29" t="n"/>
      <c r="Q167" s="29" t="n"/>
      <c r="R167" s="29" t="n"/>
      <c r="S167" s="29" t="inlineStr">
        <is>
          <t>Elektronik yolla istediğinde belediye erişimi yalnız ilgili kişiye açık tutmak zorunda; bunun için elektronik imza ya da kişisel şifre şart.</t>
        </is>
      </c>
      <c r="T167" s="29" t="n"/>
    </row>
    <row r="168" ht="54" customHeight="1">
      <c r="A168" s="29" t="inlineStr">
        <is>
          <t>marbella:sosyal-guvenlik-numarasi-alma</t>
        </is>
      </c>
      <c r="B168" s="29" t="inlineStr">
        <is>
          <t>marbella</t>
        </is>
      </c>
      <c r="C168" s="29" t="inlineStr">
        <is>
          <t>sosyal-guvenlik-numarasi-alma</t>
        </is>
      </c>
      <c r="D168" s="29" t="inlineStr">
        <is>
          <t>Sosyal güvenlik numarası (Seguridad Social, NAF/NUSS) nasıl alınır?</t>
        </is>
      </c>
      <c r="E168" s="29" t="inlineStr">
        <is>
          <t>Çevrimiçi hizmetle ya da TA.1 formuyla</t>
        </is>
      </c>
      <c r="F168" s="29" t="inlineStr">
        <is>
          <t>Sosyal güvenlik numarası NAF ya da NUSS adıyla geçer. Numarayı TGSS portalındaki "Solicitar el número de Seguridad Social" hizmetiyle çevrimiçi alabilirsin. Bu hizmete erişemiyorsan "TA.1 - Solicitud de afiliación a la Seguridad Social, Asignación de Número de Seguridad Social y Variación de datos" formunu doldurup imzalayarak sunarsın.</t>
        </is>
      </c>
      <c r="G168" s="29" t="inlineStr">
        <is>
          <t>sosyal güvenlik numarası, Seguridad Social, NAF, NUSS, TA.1, afiliación, TGSS</t>
        </is>
      </c>
      <c r="H168" s="29" t="inlineStr">
        <is>
          <t>new;settled</t>
        </is>
      </c>
      <c r="I168" s="29" t="inlineStr">
        <is>
          <t>marbella:kaynak:022</t>
        </is>
      </c>
      <c r="J168" s="49" t="n">
        <v>46319</v>
      </c>
      <c r="K168" s="51" t="n">
        <v>9016</v>
      </c>
      <c r="L168" s="29" t="inlineStr">
        <is>
          <t>Hayır</t>
        </is>
      </c>
      <c r="M168" s="29" t="inlineStr">
        <is>
          <t>Taslak</t>
        </is>
      </c>
      <c r="N168" s="29" t="inlineStr">
        <is>
          <t>marbella:resmi</t>
        </is>
      </c>
      <c r="O168" s="29" t="inlineStr">
        <is>
          <t>TGSS portalında "Solicitar el número de Seguridad Social" hizmetini aç ve numarayı çevrimiçi iste.
Hizmete erişemiyorsan TA.1 formunu eksiksiz doldur, imzala ve sun.
Ev işinde çalışacaksan numaranın hazır olduğundan emin ol; işverenin seni numaran olmadan kayda geçiremez.</t>
        </is>
      </c>
      <c r="P168" s="29" t="inlineStr">
        <is>
          <t>TA.1 formu (çevrimiçi hizmete erişemezsen)</t>
        </is>
      </c>
      <c r="Q168" s="29" t="n"/>
      <c r="R168" s="29" t="n"/>
      <c r="S168" s="29" t="inlineStr">
        <is>
          <t>Ev hizmetlisi olarak (Sistema Especial para Empleados de Hogar) çalışacaksan işverenin seni kayda geçirmesi için bu numaranın olması şart; işveren tarafında da hane için bir CCC (Código de Cuenta de Cotización) gerekir.</t>
        </is>
      </c>
      <c r="T168" s="29" t="n"/>
    </row>
    <row r="169" ht="54" customHeight="1">
      <c r="A169" s="29" t="inlineStr">
        <is>
          <t>marbella:vida-laboral-raporu-alma</t>
        </is>
      </c>
      <c r="B169" s="29" t="inlineStr">
        <is>
          <t>marbella</t>
        </is>
      </c>
      <c r="C169" s="29" t="inlineStr">
        <is>
          <t>vida-laboral-raporu-alma</t>
        </is>
      </c>
      <c r="D169" s="29" t="inlineStr">
        <is>
          <t>Vida laboral (çalışma geçmişi raporu) nasıl alınır?</t>
        </is>
      </c>
      <c r="E169" s="29" t="inlineStr">
        <is>
          <t>Seguridad Social kayıt ve çıkış geçmişin PDF olarak, çevrimiçi</t>
        </is>
      </c>
      <c r="F169" s="29" t="inlineStr">
        <is>
          <t>Vida laboral raporu, Seguridad Social'daki tüm kayıt (alta) ve çıkış (baja) durumlarını ve kaç gün kayıtlı kaldığını gösterir. İstediğin zaman isteyebilirsin; rapor o günün güncel bilgisini verir. Seguridad Social'a hiç kayıtlı olmadıysan rapor alamazsın; yurtdışındaki dönemleri, askerlik ve alternatif sosyal hizmet dönemlerini raporda göremezsin. Raporu tüm geçmişin ya da seçtiğin dönem için PDF olarak alırsın.</t>
        </is>
      </c>
      <c r="G169" s="29" t="inlineStr">
        <is>
          <t>vida laboral, çalışma geçmişi, Seguridad Social, alta baja, çalışma raporu, Cl@ve</t>
        </is>
      </c>
      <c r="H169" s="29" t="inlineStr">
        <is>
          <t>new;settled</t>
        </is>
      </c>
      <c r="I169" s="29" t="inlineStr">
        <is>
          <t>marbella:kaynak:023</t>
        </is>
      </c>
      <c r="J169" s="49" t="n">
        <v>46319</v>
      </c>
      <c r="K169" s="51" t="n">
        <v>9017</v>
      </c>
      <c r="L169" s="29" t="inlineStr">
        <is>
          <t>Hayır</t>
        </is>
      </c>
      <c r="M169" s="29" t="inlineStr">
        <is>
          <t>Taslak</t>
        </is>
      </c>
      <c r="N169" s="29" t="inlineStr">
        <is>
          <t>marbella:resmi</t>
        </is>
      </c>
      <c r="O169" s="29" t="inlineStr">
        <is>
          <t>"Informe de tu vida laboral" sayfasında "Consultar vida laboral" düğmesini seç.
Kimlik yöntemini seç: Cl@ve Permanente, Cl@ve Móvil, DNIe, elektronik sertifika ya da SMS yolu.
Elektronik kimliğin yoksa "Ninguno de los anteriores" seçeneğiyle kişisel bilgilerini gir, selfie çek ve kimlik belgenin fotoğrafını ekle.
Raporu tüm geçmişin ya da seçtiğin dönem için PDF olarak al.
Raporda hata görürsen veri ekleme ya da değiştirme talebinde bulun.
İstersen raporun Seguridad Social'a bildirdiğin adrese postalanmasını iste.</t>
        </is>
      </c>
      <c r="P169" s="29" t="n"/>
      <c r="Q169" s="29" t="inlineStr">
        <is>
          <t>İstediğin zaman başvurabilirsin; rapor o günkü güncel bilgiyi verir.</t>
        </is>
      </c>
      <c r="R169" s="29" t="n"/>
      <c r="S169" s="29" t="n"/>
      <c r="T169" s="29" t="n"/>
    </row>
    <row r="170" ht="54" customHeight="1">
      <c r="A170" s="29" t="inlineStr">
        <is>
          <t>marbella:vergi-numarasi-nif-nie-alma</t>
        </is>
      </c>
      <c r="B170" s="29" t="inlineStr">
        <is>
          <t>marbella</t>
        </is>
      </c>
      <c r="C170" s="29" t="inlineStr">
        <is>
          <t>vergi-numarasi-nif-nie-alma</t>
        </is>
      </c>
      <c r="D170" s="29" t="inlineStr">
        <is>
          <t>Vergi numarası (NIF) ve NIE nasıl alınır?</t>
        </is>
      </c>
      <c r="E170" s="29" t="inlineStr">
        <is>
          <t>NIE'yi polis, NIE'si olmayanlara NIF'i Agencia Tributaria atar</t>
        </is>
      </c>
      <c r="F170" s="29" t="inlineStr">
        <is>
          <t>Vergiyle ilgili işlemlerde NIF (vergi kimlik numarası) gerekir; çoğu kişide NIF, DNI ya da NIE ile aynıdır. DNI ya da NIE'n yoksa NIF atanmasını Agencia Tributaria'dan istersin (Modelo 030, çevrimiçi). NIE ise İspanya ile ekonomik, mesleki veya sosyal bağı olan yabancılar için Polis Genel Müdürlüğü'nden (Dirección General de la Policía) istenir; EX15 formu ve Modelo 790 Kod 012 harç dekontu gerekir. Polisin karar vermesi için yasal süre beş gündür.</t>
        </is>
      </c>
      <c r="G170" s="29" t="inlineStr">
        <is>
          <t>NIF, NIE, vergi numarası, Agencia Tributaria, EX15, Modelo 030, Modelo 790, yabancı kimlik numarası</t>
        </is>
      </c>
      <c r="H170" s="29" t="inlineStr">
        <is>
          <t>new;settled</t>
        </is>
      </c>
      <c r="I170" s="29" t="inlineStr">
        <is>
          <t>marbella:kaynak:024;marbella:kaynak:001</t>
        </is>
      </c>
      <c r="J170" s="49" t="n">
        <v>46319</v>
      </c>
      <c r="K170" s="51" t="n">
        <v>9018</v>
      </c>
      <c r="L170" s="29" t="inlineStr">
        <is>
          <t>Hayır</t>
        </is>
      </c>
      <c r="M170" s="29" t="inlineStr">
        <is>
          <t>Taslak</t>
        </is>
      </c>
      <c r="N170" s="29" t="inlineStr">
        <is>
          <t>marbella:resmi</t>
        </is>
      </c>
      <c r="O170" s="29" t="inlineStr">
        <is>
          <t>NIE istiyorsan EX15 formunu (NIE ve sertifika talebi) doldur.
Modelo 790 Kod 012 harcını öde; bankalarda, tasarruf kasalarında ve kredi kooperatiflerinde ödeyebilirsin, hesabının olması gerekmez. Dekontu başvuruya ekle.
Başvuruyu Polis Genel Müdürlüğü'ne doğrudan, Oficina de Extranjería ya da polis karakolu üzerinden yap; İspanya'da değilsen İspanya'nın yurtdışındaki konsolosluklarından yap.
Başvuruda NIE'yi neden istediğini bildir; İspanya'da düzensiz durumda olmaman gerekir.
DNI ya da NIE'n yoksa ve vergi işlemi yapacaksan Modelo 030 ile Agencia Tributaria'dan NIF atanmasını iste.</t>
        </is>
      </c>
      <c r="P170" s="29" t="inlineStr">
        <is>
          <t>EX15 formu (NIE ve sertifika talebi)
Modelo 790 Kod 012 harç ödeme belgesi</t>
        </is>
      </c>
      <c r="Q170" s="29" t="inlineStr">
        <is>
          <t>Polis, NIE başvurusunu başvurunun ilgili kuruma girmesinden itibaren en geç beş günde sonuçlandırmak zorunda; bu sürede cevap gelmezse başvuru reddedilmiş sayılır.</t>
        </is>
      </c>
      <c r="R170" s="29" t="n"/>
      <c r="S170" s="29" t="n"/>
      <c r="T170" s="29" t="n"/>
    </row>
    <row r="171" ht="54" customHeight="1">
      <c r="A171" s="29" t="inlineStr">
        <is>
          <t>marbella:clave-pin-ve-permanente-farki</t>
        </is>
      </c>
      <c r="B171" s="29" t="inlineStr">
        <is>
          <t>marbella</t>
        </is>
      </c>
      <c r="C171" s="29" t="inlineStr">
        <is>
          <t>clave-pin-ve-permanente-farki</t>
        </is>
      </c>
      <c r="D171" s="29" t="inlineStr">
        <is>
          <t>Cl@ve sistemi: Cl@ve uygulaması (Cl@ve Móvil) ile Cl@ve Permanente farkı nedir?</t>
        </is>
      </c>
      <c r="E171" s="29" t="inlineStr">
        <is>
          <t>Cl@ve uygulaması telefonla onay verir, Permanente kalıcı şifreyle çalışır</t>
        </is>
      </c>
      <c r="F171" s="29" t="inlineStr">
        <is>
          <t>Cl@ve, idarenin elektronik hizmetlerine giriş sistemidir. Eski Cl@ve PIN uygulamasını kullananlar yeni Cl@ve uygulamasına güncellenir; etkinleştirdikten sonra yapmak istediğin işlemler için kimlik doğrulama istekleri telefonuna Cl@ve Móvil ile gelir. Cl@ve Permanente ise idareye sık giriş yapanlar için: DNI ya da NIE'nle, kullanıcı kodunla ve aktivasyonda kendin belirlediğin şifreyle girersin. Yüksek güvenlik isteyen hizmetlerde Permanente'ye ek olarak telefonuna SMS ile gelen tek kullanımlık bir kod da istenir.</t>
        </is>
      </c>
      <c r="G171" s="29" t="inlineStr">
        <is>
          <t>Cl@ve, Cl@ve Móvil, Cl@ve PIN, Cl@ve Permanente, e-devlet girişi, dijital kimlik, OTP</t>
        </is>
      </c>
      <c r="H171" s="29" t="inlineStr">
        <is>
          <t>new;settled</t>
        </is>
      </c>
      <c r="I171" s="29" t="inlineStr">
        <is>
          <t>marbella:kaynak:025;marbella:kaynak:026</t>
        </is>
      </c>
      <c r="J171" s="49" t="n">
        <v>46319</v>
      </c>
      <c r="K171" s="51" t="n">
        <v>9019</v>
      </c>
      <c r="L171" s="29" t="inlineStr">
        <is>
          <t>Hayır</t>
        </is>
      </c>
      <c r="M171" s="29" t="inlineStr">
        <is>
          <t>Taslak</t>
        </is>
      </c>
      <c r="N171" s="29" t="inlineStr">
        <is>
          <t>marbella:resmi</t>
        </is>
      </c>
      <c r="O171" s="29" t="inlineStr">
        <is>
          <t>Önce Cl@ve sistemine kayıt ol; Permanente'nin aktivasyonu için kayıt şarttır. Henüz kayıtlı değilsen Cl@ve uygulaması kayıt için şu yolları sunar: elektronik sertifika, davet mektubu (carta de invitación), yüz yüze kayıt ya da uygulama içinden video ile kimlik doğrulama.
Telefonundan kullanacaksan Cl@ve uygulamasını Android için Google Play'den, iOS için Apple Store'dan indir; Android 8 ya da üstü, iOS 15 ya da üstü gerekir.
Cl@ve'ye kayıtlıysan uygulamayı SMS ile gelen etkinleştirme koduyla ya da elektronik sertifikayla etkinleştir.
Sık kullanacaksan Cl@ve Permanente'yi aktive et ve aktivasyonda kendi şifreni belirle.</t>
        </is>
      </c>
      <c r="P171" s="29" t="n"/>
      <c r="Q171" s="29" t="n"/>
      <c r="R171" s="29" t="n"/>
      <c r="S171" s="29" t="n"/>
      <c r="T171" s="29" t="n"/>
    </row>
    <row r="172" ht="54" customHeight="1">
      <c r="A172" s="29" t="inlineStr">
        <is>
          <t>marbella:fnmt-dijital-sertifika-kurma</t>
        </is>
      </c>
      <c r="B172" s="29" t="inlineStr">
        <is>
          <t>marbella</t>
        </is>
      </c>
      <c r="C172" s="29" t="inlineStr">
        <is>
          <t>fnmt-dijital-sertifika-kurma</t>
        </is>
      </c>
      <c r="D172" s="29" t="inlineStr">
        <is>
          <t>Dijital sertifika (FNMT) nasıl kurulur?</t>
        </is>
      </c>
      <c r="E172" s="29" t="inlineStr">
        <is>
          <t>Dört adım: yazılım, çevrimiçi başvuru, ofiste kimlik doğrulama, indirme</t>
        </is>
      </c>
      <c r="F172" s="29" t="inlineStr">
        <is>
          <t>FNMT'nin kişisel yazılım sertifikası (indirilebilir dosya) dört adımda alınır ve adımların bu sırayla yapılması gerekir. Önce gerekli yazılımı kurar, sonra çevrimiçi başvurursun; başvuru bitince e-postana bir Código de Solicitud (başvuru kodu) gelir. Ardından bir Oficina de Acreditación de Identidad'de (kimlik doğrulama ofisi) yüz yüze kimliğini doğrularsın. Kimliğini doğruladıktan yaklaşık 1 saat sonra aynı kodla sertifikayı indirir, kurar ve yedeğini alırsın.</t>
        </is>
      </c>
      <c r="G172" s="29" t="inlineStr">
        <is>
          <t>FNMT, dijital sertifika, certificado digital, elektronik sertifika, Código de Solicitud, kimlik doğrulama ofisi</t>
        </is>
      </c>
      <c r="H172" s="29" t="inlineStr">
        <is>
          <t>new;settled</t>
        </is>
      </c>
      <c r="I172" s="29" t="inlineStr">
        <is>
          <t>marbella:kaynak:027</t>
        </is>
      </c>
      <c r="J172" s="49" t="n">
        <v>46319</v>
      </c>
      <c r="K172" s="51" t="n">
        <v>9020</v>
      </c>
      <c r="L172" s="29" t="inlineStr">
        <is>
          <t>Hayır</t>
        </is>
      </c>
      <c r="M172" s="29" t="inlineStr">
        <is>
          <t>Taslak</t>
        </is>
      </c>
      <c r="N172" s="29" t="inlineStr">
        <is>
          <t>marbella:resmi</t>
        </is>
      </c>
      <c r="O172" s="29" t="inlineStr">
        <is>
          <t>FNMT sayfasında belirtilen yazılımı bilgisayarına kur.
Sertifikayı internetten iste; işlem bitince e-postana Código de Solicitud gelir.
Kodla birlikte bir Oficina de Acreditación de Identidad'e git ve kimliğini yüz yüze doğrulat; FNMT'nin ofis bulucu servisinden ofis seçebilirsin.
Kimlik doğrulamadan yaklaşık 1 saat sonra aynı kodla sertifikayı indir, kur ve yedeğini al.</t>
        </is>
      </c>
      <c r="P172" s="29" t="inlineStr">
        <is>
          <t>Código de Solicitud (e-postana gelen başvuru kodu)</t>
        </is>
      </c>
      <c r="Q172" s="29" t="inlineStr">
        <is>
          <t>Sertifika, kimlik doğrulamadan yaklaşık 1 saat sonra indirilebilir.</t>
        </is>
      </c>
      <c r="R172" s="29" t="n"/>
      <c r="S172" s="29" t="inlineStr">
        <is>
          <t>AEAT, Seguridad Social ve bazı diğer ofislerde kimlik doğrulama için randevu gerekir. FNMT yedek almayı öneriyor; kriptografik kart ya da USB istersen FNMT'nin hizmet kataloğuna bak.</t>
        </is>
      </c>
      <c r="T172" s="29" t="n"/>
    </row>
    <row r="173" ht="54" customHeight="1">
      <c r="A173" s="29" t="inlineStr">
        <is>
          <t>marbella:belge-ceviri-ve-apostil</t>
        </is>
      </c>
      <c r="B173" s="29" t="inlineStr">
        <is>
          <t>marbella</t>
        </is>
      </c>
      <c r="C173" s="29" t="inlineStr">
        <is>
          <t>belge-ceviri-ve-apostil</t>
        </is>
      </c>
      <c r="D173" s="29" t="inlineStr">
        <is>
          <t>Resmî belgeler nasıl tercüme ve apostil edilir?</t>
        </is>
      </c>
      <c r="E173" s="29" t="inlineStr">
        <is>
          <t>Yeminli tercüman resmî tercüme yapar; apostil belgenin düzenlendiği ülkede alınır</t>
        </is>
      </c>
      <c r="F173" s="29" t="inlineStr">
        <is>
          <t>Bir tercümenin İspanya'da resmî nitelik kazanması için yeminli tercüman (Traductor-Intérprete Jurado) tarafından yapılması gerekir; bu kişilerin tercümeleri mahkemelere ve idari makamlara sunulabilir. Yeminli tercümanları Dışişleri Bakanlığı atar ve Oficina de Interpretación de Lenguas resmî listeyi yayımlar; ofis aracılık etmez, tercümanı listeden kendin seçersin. Apostil, 5 Ekim 1961 tarihli La Haye Sözleşmesi'ni imzalayan ülkelerde düzenlenen resmî belgenin imzasının gerçekliğini onaylayan nottur; apostilli belge, Sözleşme'ye taraf başka ülkede ek bir onay istenmeden tanınır. İspanya'da düzenlenen adli ya da idari belge için başvuruyu İspanya Adalet Bakanlığı'nın (Ministerio de Justicia) apostil sayfasından yaparsın; noter belgelerinin apostili yalnız Colegio de Notarios'a aittir. Adli, idari ve noter belgeleri apostil edilebilir.</t>
        </is>
      </c>
      <c r="G173" s="29" t="inlineStr">
        <is>
          <t>apostil, yeminli tercüman, traductor jurado, belge tercümesi, La Haye Sözleşmesi, legalización, noter belgesi</t>
        </is>
      </c>
      <c r="H173" s="29" t="inlineStr">
        <is>
          <t>planning;new</t>
        </is>
      </c>
      <c r="I173" s="29" t="inlineStr">
        <is>
          <t>marbella:kaynak:028;marbella:kaynak:029</t>
        </is>
      </c>
      <c r="J173" s="49" t="n">
        <v>46319</v>
      </c>
      <c r="K173" s="51" t="n">
        <v>9021</v>
      </c>
      <c r="L173" s="29" t="inlineStr">
        <is>
          <t>Hayır</t>
        </is>
      </c>
      <c r="M173" s="29" t="inlineStr">
        <is>
          <t>Taslak</t>
        </is>
      </c>
      <c r="N173" s="29" t="inlineStr">
        <is>
          <t>marbella:resmi</t>
        </is>
      </c>
      <c r="O173" s="29" t="inlineStr">
        <is>
          <t>Belgeyi çevirtmek için Dışişleri Bakanlığı'nın resmî listesindeki arama motorundan dil çiftine uygun bir yeminli tercüman seç.
Tercüme resmî kurumlara sunulacaksa tercümanın imzası ve mührüyle tasdikli olduğundan emin ol.
İspanya'da düzenlenen adli ya da idari belge için İspanya Adalet Bakanlığı'nın (Ministerio de Justicia) apostil sayfasından başvur; noter belgesi için yalnız Colegio de Notarios'a başvur.
Belge sözleşmeye taraf bir başka ülkede kullanılacaksa apostilli belge ek bir onay istenmeden tanınır.</t>
        </is>
      </c>
      <c r="P173" s="29" t="n"/>
      <c r="Q173" s="29" t="n"/>
      <c r="R173" s="29" t="n"/>
      <c r="S173" s="29" t="inlineStr">
        <is>
          <t>Diplomatik ya da konsolosluk görevlilerinin düzenlediği belgeler ile doğrudan ticari veya gümrük işlemiyle ilgili idari belgeler apostil edilemez. Katalanca, Galiçyaca ve Baskça için yeminli tercümanları 1992'den beri ilgili özerk yönetimler (Generalitat de Catalunya, Xunta de Galicia, Bask Hükümeti) atıyor ve kendi listelerini tutuyor. Bu kart yalnız İspanya'da düzenlenen belgelerin apostilini anlatır.</t>
        </is>
      </c>
      <c r="T173" s="29" t="n"/>
    </row>
    <row r="174" ht="54" customHeight="1">
      <c r="A174" s="29" t="inlineStr">
        <is>
          <t>marbella:noter-islemleri-ve-ucretleri</t>
        </is>
      </c>
      <c r="B174" s="29" t="inlineStr">
        <is>
          <t>marbella</t>
        </is>
      </c>
      <c r="C174" s="29" t="inlineStr">
        <is>
          <t>noter-islemleri-ve-ucretleri</t>
        </is>
      </c>
      <c r="D174" s="29" t="inlineStr">
        <is>
          <t>Noter ücretleri: noter tarifesi (arancel) nasıl hesaplanır?</t>
        </is>
      </c>
      <c r="E174" s="29" t="inlineStr">
        <is>
          <t>Tarife Real Decreto 1426/1989'a göre; aşağıdaki tutarlar tarife tutarlarıdır</t>
        </is>
      </c>
      <c r="F174" s="29" t="inlineStr">
        <is>
          <t>Noter ücretleri, Real Decreto 1426/1989 ile onaylanan Noter Tarifesi'ne (Arancel de los Notarios) göre belirlenir. Aşağıdaki tutarlar tarifedeki tutarlardır (kuruşa yuvarlanmıştır); ödeyeceğin tutar uygulanan indirimlere göre değişir. Değeri olmayan belgelerde sabit tutarlar var: genel vekâletname 30,05 euro, dava vekâletnamesi 15,03 euro, tutanak (acta) 36,06 euro; vasiyetname (vasiyet eden başına), evlilik sözleşmesi ve medeni hâl gibi diğer belgeler 30,05 euro. İmza tasdiki (legitimación de firma) 6,01 euro; aynı belgedeki her ek imza 3,01 euro. Değeri olan işlemlerde ücret, işlemin konusu malın değerine göre kademeli ölçekle hesaplanır ve ölçekle bulunan tarife tutarından yüzde 5 indirim yapılır. Kişisel ve ipotekli kredilerde ayrıca yüzde 25 indirim vardır; devletin, özerk bölgelerin, il ve belediyelerin yasal olarak ödemekle yükümlü olduğu işlemler, siyasi partilerle sendikaların ödediği işlemler, kamu konut kredileri ve korunan konutların sonraki devirleri gibi sayılan hâllerde indirim yüzde 50'dir. Bu indirimler yürürlükteki diğer indirimlere ek olarak uygulanır.</t>
        </is>
      </c>
      <c r="G174" s="29" t="inlineStr">
        <is>
          <t>noter, notario, noter ücreti, arancel, vekâletname, imza tasdiki, legitimación de firma, vasiyetname</t>
        </is>
      </c>
      <c r="H174" s="29" t="inlineStr">
        <is>
          <t>new;settled</t>
        </is>
      </c>
      <c r="I174" s="29" t="inlineStr">
        <is>
          <t>marbella:kaynak:030</t>
        </is>
      </c>
      <c r="J174" s="49" t="n">
        <v>46319</v>
      </c>
      <c r="K174" s="51" t="n">
        <v>9022</v>
      </c>
      <c r="L174" s="29" t="inlineStr">
        <is>
          <t>Hayır</t>
        </is>
      </c>
      <c r="M174" s="29" t="inlineStr">
        <is>
          <t>Taslak</t>
        </is>
      </c>
      <c r="N174" s="29" t="inlineStr">
        <is>
          <t>marbella:resmi</t>
        </is>
      </c>
      <c r="O174" s="29" t="inlineStr">
        <is>
          <t>İşlemin değeri olup olmadığını belirle: vekâlet, vasiyet, evlilik sözleşmesi gibi değersiz belgelerde sabit tutar, değeri olan işlemde ölçek uygulanır.
Değeri olan işlemde ölçeği uygula: değer 6.010,12 euroyu aşmıyorsa tarife tutarı 90,15 euro; fazla kısım için 6.010,13 ile 30.050,61 euro arasında binde 4,5; 30.050,62 ile 60.101,21 euro arasında binde 1,50; 60.101,22 ile 150.253,03 euro arasında binde 1; 150.253,04 ile 601.012,10 euro arasında binde 0,5; 601.012,10 ile 6.010.121,04 euro arasında binde 0,3.
Ölçekle bulduğun tarife tutarından yüzde 5 indirimi düş; kredi ya da sayılan kamu işlemlerinde ilgili yüzde 25 ya da yüzde 50 indirimi de uygula.
İmza tasdiki ya da kopya da gerekiyorsa bunları ayrı kalem olarak ekle.
Değer 6.010.121,04 euroyu aşıyorsa aşan kısım için noter ücreti, taraflarla serbestçe anlaştığı tutardır.
Tarifenin tam nüshası ve ek normlar bütün noterliklerde halka açık bulundurulur; tutarı noterlikte bu nüshadan görebilirsin.</t>
        </is>
      </c>
      <c r="P174" s="29" t="n"/>
      <c r="Q174" s="29" t="n"/>
      <c r="R174" s="29" t="inlineStr">
        <is>
          <t>Tarife tutarları: yetkili kopya sayfa başına 3,01 euro (12. sayfadan itibaren yarısı); basit kopya sayfa başına 0,60 euro; değeri 6.010,12 euroyu aşmayan işlemde tarife tutarı 90,15 euro (değeri olan işlemlerde bu tutardan yüzde 5 indirim yapılır).</t>
        </is>
      </c>
      <c r="S174" s="29" t="inlineStr">
        <is>
          <t>BOE'deki birleştirilmiş tarife metninin son güncellemesi 17/11/2011 tarihlidir; yukarıdaki tutarlar bu metne göre.</t>
        </is>
      </c>
      <c r="T174" s="29" t="n"/>
    </row>
    <row r="175" ht="54" customHeight="1">
      <c r="A175" s="29" t="inlineStr">
        <is>
          <t>marbella:libro-de-familia-nedir</t>
        </is>
      </c>
      <c r="B175" s="29" t="inlineStr">
        <is>
          <t>marbella</t>
        </is>
      </c>
      <c r="C175" s="29" t="inlineStr">
        <is>
          <t>libro-de-familia-nedir</t>
        </is>
      </c>
      <c r="D175" s="29" t="inlineStr">
        <is>
          <t>Libro de Familia (aile cüzdanı) nedir, hâlâ veriliyor mu?</t>
        </is>
      </c>
      <c r="E175" s="29" t="inlineStr">
        <is>
          <t>DICIREG'e geçmiş Registro Civil ofisleri Libro de Familia vermez; daha önce verilenler etkisini sürdürür</t>
        </is>
      </c>
      <c r="F175" s="29" t="inlineStr">
        <is>
          <t>Libro de Familia (aile cüzdanı), eski Registro Civil (medeni hâl sicili) sisteminde verilen bir belgedir. Ley 20/2011 (Registro Civil Yasası) herkese açık, ücretsiz, İspanya genelinde tek, elektronik ve birlikte çalışabilir bir sicil modeli getirdi; bu modelde her bireysel kayıtta kişinin bilgilerini gösteren bir sayfa ya da özet bulunur ve Libro de Familia'dan vazgeçilmiştir. Geçiş ülke genelinde tek günde olmadı, kademeli (implantación progresiva) yürüyor: DICIREG (elektronik sivil sicil sistemi) ofis ofis devreye giriyor. Adalet Bakanlığı'nın talimatına göre DICIREG'e geçmiş ofislerde Libro de Familia verilmez; onun yerine doğum ve evlilik sertifikası (aile sertifikası işler hâle geldiğinde aile sertifikası) düzenlenir. DICIREG'e geçmemiş ofislerde ise Libro de Familia verilmeye ve güncellenmeye devam edilir. Daha önce verilmiş Libro de Familia'lar 8 Haziran 1957 tarihli eski Registro Civil Yasası'nın 8. ve 75. maddelerindeki etkilerini sürdürür.</t>
        </is>
      </c>
      <c r="G175" s="29" t="inlineStr">
        <is>
          <t>Libro de Familia, aile cüzdanı, Registro Civil, DICIREG, Ley 20/2011, doğum sertifikası, medeni hâl kaydı</t>
        </is>
      </c>
      <c r="H175" s="29" t="inlineStr">
        <is>
          <t>new;settled</t>
        </is>
      </c>
      <c r="I175" s="29" t="inlineStr">
        <is>
          <t>marbella:kaynak:031;marbella:kaynak:032</t>
        </is>
      </c>
      <c r="J175" s="49" t="n">
        <v>46319</v>
      </c>
      <c r="K175" s="51" t="n">
        <v>9023</v>
      </c>
      <c r="L175" s="29" t="inlineStr">
        <is>
          <t>Hayır</t>
        </is>
      </c>
      <c r="M175" s="29" t="inlineStr">
        <is>
          <t>Taslak</t>
        </is>
      </c>
      <c r="N175" s="29" t="inlineStr">
        <is>
          <t>marbella:resmi</t>
        </is>
      </c>
      <c r="O175" s="29" t="inlineStr">
        <is>
          <t>Elinde eskiden verilmiş bir Libro de Familia varsa saklamaya devam et; bu belgeler 1957 tarihli eski yasadaki etkilerini sürdürüyor.
DICIREG'e geçmiş bir Registro Civil ofisinde Libro de Familia verilmez; doğum ya da evlilik sertifikası (aile sertifikası işler hâle geldiğinde aile sertifikası) istersin. DICIREG'e geçmemiş ofiste Libro de Familia verilmeye ve güncellenmeye devam edilir.
Sağlık kuruluşundan elektronik doğum bildirimi yapılan doğumlarda ofis yalnız doğum kaydının elektronik sertifikasını düzenler; sertifikayı Adalet Bakanlığı'nın elektronik sedesinden indirirsin, bildirim verdiğin e-posta adresine gelir (adres vermediysen posta ile gönderilir).</t>
        </is>
      </c>
      <c r="P175" s="29" t="n"/>
      <c r="Q175" s="29" t="n"/>
      <c r="R175" s="29" t="n"/>
      <c r="S175" s="29" t="n"/>
      <c r="T175" s="29" t="n"/>
    </row>
    <row r="176" ht="54" customHeight="1">
      <c r="A176" s="29" t="inlineStr">
        <is>
          <t>marbella:registro-civil-ne-ise-yarar</t>
        </is>
      </c>
      <c r="B176" s="29" t="inlineStr">
        <is>
          <t>marbella</t>
        </is>
      </c>
      <c r="C176" s="29" t="inlineStr">
        <is>
          <t>registro-civil-ne-ise-yarar</t>
        </is>
      </c>
      <c r="D176" s="29" t="inlineStr">
        <is>
          <t>Registro Civil (medeni hâl sicili) ne işe yarar?</t>
        </is>
      </c>
      <c r="E176" s="29" t="inlineStr">
        <is>
          <t>Doğum, evlilik, ölüm gibi olaylar kaydedilir; kayıtlar ve sertifikalar ücretsiz</t>
        </is>
      </c>
      <c r="F176" s="29" t="inlineStr">
        <is>
          <t>Registro Civil, kişilerin medeni hâline ilişkin olayların kaydedildiği sicildir: doğum, soybağı, ad ve soyad ile değişiklikleri, uyruk ve vecindad, velayet ve vesayet, evlilik, ölüm gibi. Sicildeki kayıtlar, kayıtlı olayların kanıtıdır. Kayıtlar, defin ruhsatları ve sicille ilgili dosyalar tamamen ücretsizdir; sertifikalar da hiçbir harca tabi değildir. Sertifikaları ilgili Registro Civil ofisinden yüz yüze ya da Adalet Bakanlığı'nın elektronik sedesinden alabilirsin.</t>
        </is>
      </c>
      <c r="G176" s="29" t="inlineStr">
        <is>
          <t>Registro Civil, medeni hâl sicili, doğum kaydı, evlilik kaydı, ölüm kaydı, sertifika, ücretsiz, DICIREG, Libro de Familia</t>
        </is>
      </c>
      <c r="H176" s="29" t="inlineStr">
        <is>
          <t>new;settled</t>
        </is>
      </c>
      <c r="I176" s="29" t="inlineStr">
        <is>
          <t>marbella:kaynak:033;marbella:kaynak:032</t>
        </is>
      </c>
      <c r="J176" s="49" t="n">
        <v>46319</v>
      </c>
      <c r="K176" s="51" t="n">
        <v>9024</v>
      </c>
      <c r="L176" s="29" t="inlineStr">
        <is>
          <t>Hayır</t>
        </is>
      </c>
      <c r="M176" s="29" t="inlineStr">
        <is>
          <t>Taslak</t>
        </is>
      </c>
      <c r="N176" s="29" t="inlineStr">
        <is>
          <t>marbella:resmi</t>
        </is>
      </c>
      <c r="O176" s="29" t="inlineStr">
        <is>
          <t>Doğumu, evliliği ve ölümü Registro Civil'e kaydettir. 2021 tarihli DGSJFP talimatına göre geçiş döneminde yetkili ofis 1957 yasasının yer kuralına göre belirlenir: kayıt olayın gerçekleştiği yerin sicilinde yapılır (yeni Ley 20/2011 ise çok belirli durumlar dışında yer kuralı aramaz). DICIREG sistemindeki yetkisiz bir ofise başvurursan: yetkili ofis DICIREG'siz ise belgelerini oraya göndermeyi önerir, istemezsen oraya kendin gidersin; yetkili ofis de DICIREG'liyse başvurun bulunduğun ofiste başlatılır.
İspanya'da doğan çocuğun kaydı yasal süresi içinde istenirse, çocuk doğum yerinin yerine ebeveynlerin ortak ikamet ettiği belediyenin (yasal olarak bilinen tek ebeveyn varsa onun ikamet ettiği belediyenin) siciline de yazılabilir. Bunun için başvuruyu çocuğun yasal temsilcileri birlikte (tek yasal temsilci varsa o) yapar ve ortak ikameti gösteren belgeleri ekler; bu durumda kaydın yapıldığı belediye her bakımdan çocuğun doğum yeri sayılır. 2021 talimatına göre bu seçim şu durumlarda işler: doğum belediyesinde DICIREG'li ofis yoksa ya da beyanını DICIREG'siz bir ofiste verirsen. Doğum sağlık merkezinden bildirildiyse ve doğum belediyesinde DICIREG'li ofis varsa kayıt o ofiste yapılır. Doğum bildirimi doğumun olduğu sağlık merkezinden ya da ofiste yüz yüze beyanla yapılır.
Sertifika için ilgili Registro Civil ofisine git ya da Adalet Bakanlığı'nın elektronik sedesini kullan.
Sertifika karşılığında ücret isteyen sitelere ödeme yapma; Adalet Bakanlığı bu sitelerle ilgili değil ve sertifikalar ücretsiz.</t>
        </is>
      </c>
      <c r="P176" s="29" t="n"/>
      <c r="Q176" s="29" t="n"/>
      <c r="R176" s="29" t="n"/>
      <c r="S176" s="29" t="inlineStr">
        <is>
          <t>DICIREG sistemine geçmiş ofislerde Libro de Familia verilmez; yerine doğum ve evlilik sertifikası (aile sertifikası işler hâle geldiğinde aile sertifikası) düzenlenir. DICIREG'e geçmemiş ofisler Libro de Familia vermeye ve güncellemeye devam eder; ancak doğum sağlık merkezinden bildirildiyse yalnız elektronik doğum sertifikası düzenlenir ve bu sertifikayı Adalet Bakanlığı'nın elektronik sedesinden indirirsin.</t>
        </is>
      </c>
      <c r="T176" s="29" t="n"/>
    </row>
    <row r="177" ht="54" customHeight="1">
      <c r="A177" s="29" t="inlineStr">
        <is>
          <t>marbella:yabanci-ehliyet-degisimi</t>
        </is>
      </c>
      <c r="B177" s="29" t="inlineStr">
        <is>
          <t>marbella</t>
        </is>
      </c>
      <c r="C177" s="29" t="inlineStr">
        <is>
          <t>yabanci-ehliyet-degisimi</t>
        </is>
      </c>
      <c r="D177" s="29" t="inlineStr">
        <is>
          <t>Türk ehliyeti İspanyol ehliyetine nasıl değiştirilir (DGT)?</t>
        </is>
      </c>
      <c r="E177" s="29" t="inlineStr">
        <is>
          <t>Türkiye ile 2011'den beri anlaşma var: A2 ve B sınavsız, C/D/E sınıflarında sınav gerekir, A1/F/G/H değişmez</t>
        </is>
      </c>
      <c r="F177" s="29" t="inlineStr">
        <is>
          <t>Türkiye ile İspanya arasında ehliyet tanıma ve değişim anlaşması var; anlaşma 25 Nisan 2011'de yürürlüğe girdi. İspanya'da yasal ikamet ettikten sonra Türk ehliyetini anlaşmadaki eşdeğerlik tablosuna göre İspanyol ehliyetiyle değiştirebilirsin. Türk A2 ve B sınıfları teorik ve pratik sınav olmadan değişir. Türk C, D ve E sınıflarının İspanyol karşılıkları arasında C1, C, D1, D ve +E sınıfları da bulunur; bunlar için hem özel bilgi (teorik) sınavı hem trafikte sürüş sınavı gerekir. Türk A1, F, G ve H sınıfları değiştirilemez. 25 Nisan 2011'den sonra alınan ehliyetin, başvuranın yasal ikametinin bulunduğu devlette verilmiş olması şarttır. İspanya'da normal ikamet ettiğin günden itibaren yabancı ehliyetin en çok altı ay geçerlidir; sürmeye devam etmek istiyorsan değişim zorunludur.</t>
        </is>
      </c>
      <c r="G177" s="29" t="inlineStr">
        <is>
          <t>ehliyet değişimi, canje, DGT, yabancı ehliyet, permiso de conducir, convenio, psikofiziksel rapor</t>
        </is>
      </c>
      <c r="H177" s="29" t="inlineStr">
        <is>
          <t>new;settled</t>
        </is>
      </c>
      <c r="I177" s="29" t="inlineStr">
        <is>
          <t>marbella:kaynak:034;marbella:kaynak:035</t>
        </is>
      </c>
      <c r="J177" s="49" t="n">
        <v>46319</v>
      </c>
      <c r="K177" s="51" t="n">
        <v>9025</v>
      </c>
      <c r="L177" s="29" t="inlineStr">
        <is>
          <t>Hayır</t>
        </is>
      </c>
      <c r="M177" s="29" t="inlineStr">
        <is>
          <t>Taslak</t>
        </is>
      </c>
      <c r="N177" s="29" t="inlineStr">
        <is>
          <t>marbella:resmi</t>
        </is>
      </c>
      <c r="O177" s="29" t="inlineStr">
        <is>
          <t>Ehliyetinin sınıfına bak: Türk A2 ve B sınıfı sınavsız değişir; C, D ve E sınıfında sınav gerekir; A1, F, G ve H sınıfı değiştirilemez.
Ehliyeti 25 Nisan 2011'den sonra aldıysan, onu yasal ikametinin bulunduğu devlette aldığından emin ol; İspanya'da yasal ikametçiyken alınmış yabancı ehliyet değiştirilemez.
Geçerli oturum kartını ve ehliyeti İspanya'da yerleşik olmadan önce aldığını gösteren belgeyi hazırla.
Yetkili bir Centro de Reconocimiento de Conductores'tan psikofiziksel yeterlilik raporu al; rapor 90 gün geçerli, başvurunu bu süre dolmadan yap.
Randevuyu telefonla ya da internetten al; İspanya'daki oturum kartı numaranı, ikamet ettiğin ili, kimlik numaranı ve Türk ehliyetinin numarasını, verildiği yeri ve tarihini bildir. Sınav gerektirmeyen sınıflarda ehliyeti değiştir; sınav gerektirenlerde sınavlara gir.
İşlem sırasında sana geçici ehliyet verilir; kalıcı ehliyet yaklaşık bir buçuk ayda gelir.</t>
        </is>
      </c>
      <c r="P177" s="29" t="inlineStr">
        <is>
          <t>Orijinal Türk ehliyeti
Geçerli oturum kartı (tarjeta de residencia)
Ehliyeti İspanya'da yerleşik olmadan önce aldığını gösteren belge (oturum, öğrenci ya da AB kartı ya da yabancılar kayıt belgesi)
Psikofiziksel yeterlilik raporu (Centro de Reconocimiento de Conductores)</t>
        </is>
      </c>
      <c r="Q177" s="29" t="inlineStr">
        <is>
          <t>Başvuruda geçici ehliyet verilir; kalıcı ehliyet yaklaşık bir buçuk ayda gelir.</t>
        </is>
      </c>
      <c r="R177" s="29" t="n"/>
      <c r="S177" s="29" t="inlineStr">
        <is>
          <t>Değiştirmek istediğin ehliyet de başka bir ülkeden, o ülkeyle anlaşma olmadan değişimle alınmışsa değişim yapılamaz. Anlaşmaya göre ehliyetin geçerliliğinden ya da sürüş yeterliliğinden şüphe edilirse teorik ve/veya pratik sınav istenebilir.</t>
        </is>
      </c>
      <c r="T177" s="29" t="n"/>
    </row>
    <row r="178" ht="54" customHeight="1">
      <c r="A178" s="29" t="inlineStr">
        <is>
          <t>marbella:arac-kaydi-ulusal-cerceve</t>
        </is>
      </c>
      <c r="B178" s="29" t="inlineStr">
        <is>
          <t>marbella</t>
        </is>
      </c>
      <c r="C178" s="29" t="inlineStr">
        <is>
          <t>arac-kaydi-ulusal-cerceve</t>
        </is>
      </c>
      <c r="D178" s="29" t="inlineStr">
        <is>
          <t>Araç kaydı (matriculación) nasıl yapılır? Ulusal çerçeve</t>
        </is>
      </c>
      <c r="E178" s="29" t="inlineStr">
        <is>
          <t>Yeni ya da yurtdışından alınan araç tescil edilmeden yollarda kullanılamaz</t>
        </is>
      </c>
      <c r="F178" s="29" t="inlineStr">
        <is>
          <t>İspanya'da yeni ya da yurtdışından alınmış (yeni veya kullanılmış) bir aracı yollarda kullanmadan önce tescil ettirmen (matriculación) gerekir; plakalar takılmadan motorlu araçla dolaşılmaz. DGT'nin tescil işlemi için azami süresi 3 aydır; bu sürede cevap gelmezse işlem yapılmamıştır, idari sessizlik olumsuz sayılır. İşlem bitince araç için plaka numarası ve Permiso de circulación (ruhsat) verilir; plakaları bu belgelerle alırsın. Başvuruyu alıcı-malik ya da onun yetkilendirdiği kişi yapar; işlemi çoğunlukla satıcı firma (concesionario) veya gestor halleder ama kendin de yapabilirsin.</t>
        </is>
      </c>
      <c r="G178" s="29" t="inlineStr">
        <is>
          <t>araç tescili, matriculación, DGT, Permiso de circulación, plaka, Modelo 576, IVTM, ITV</t>
        </is>
      </c>
      <c r="H178" s="29" t="inlineStr">
        <is>
          <t>new;settled</t>
        </is>
      </c>
      <c r="I178" s="29" t="inlineStr">
        <is>
          <t>marbella:kaynak:036;marbella:kaynak:037</t>
        </is>
      </c>
      <c r="J178" s="49" t="n">
        <v>46319</v>
      </c>
      <c r="K178" s="51" t="n">
        <v>9026</v>
      </c>
      <c r="L178" s="29" t="inlineStr">
        <is>
          <t>Hayır</t>
        </is>
      </c>
      <c r="M178" s="29" t="inlineStr">
        <is>
          <t>Taslak</t>
        </is>
      </c>
      <c r="N178" s="29" t="inlineStr">
        <is>
          <t>marbella:resmi</t>
        </is>
      </c>
      <c r="O178" s="29" t="inlineStr">
        <is>
          <t>Aracın elektronik ITV kartı (ficha ITV electrónica) olup olmadığına bak; yalnız kâğıt kartı varsa DGT'nin genel başvuru formuyla başvurabilirsin, bunun için dijital DNI, geçerli elektronik sertifika ya da Cl@ve bilgilerin gerekir.
Tescil vergisini Modelo 576 ile öde ya da muafiyet veya tabi olmama belgesi (Modelo 06 veya 05) al; Bask Bölgesi ve Navarra'da ilgili Hacienda Foral'a başvurulur.
Oturduğun belediyenin Impuesto de Circulación (IVTM) ödeme veya muafiyet belgesini al.
DGT harcını öde; yeni araçta genel durumda çevrimiçi formdaki "Pagar" düğmesiyle ya da önceden aldığın tasa numarasıyla öde, yüz yüze başvuruda harcı kartla öde (nakit olmaz).
Başvuruyu çevrimiçi yap ya da internetten veya 060'tan randevu alıp Jefatura ya da Oficina local de Tráfico'ya git; yüz yüze başvuru yalnız bireylere açık.
Tescil bitince plaka numarası ve Permiso de circulación ile plakaları al.</t>
        </is>
      </c>
      <c r="P178" s="29" t="inlineStr">
        <is>
          <t>Elektronik ITV kartı (NIVE) ya da satış kaydı düşülmüş ITV kartı; yoksa fatura veya açık artırma tahsis tutanağı
Impuesto Especial sobre Determinados Medios de Transporte ödeme, muafiyet ya da tabi olmama belgesi (Modelo 576, 06 veya 05)
Oturduğun belediyenin Impuesto de Circulación (IVTM) ödeme veya muafiyet belgesi
DGT harcı ödeme belgesi
Kimlik belgesi (yüz yüze başvuruda orijinal ve geçerli)</t>
        </is>
      </c>
      <c r="Q178" s="29" t="inlineStr">
        <is>
          <t>DGT'nin tescil için azami süresi 3 aydır; bu sürede cevap gelmezse işlem yapılmamış sayılır.</t>
        </is>
      </c>
      <c r="R178" s="29" t="n"/>
      <c r="S178" s="29" t="inlineStr">
        <is>
          <t>Tescil vergisi (Impuesto Especial sobre Determinados Medios de Transporte) Modelo 576 ile kendi beyanınla ödenir (autoliquidación); tutar aracın özelliğine ve bölgeye göre değişir. Römorklar bu vergiden muaftır.</t>
        </is>
      </c>
      <c r="T178" s="29" t="n"/>
    </row>
    <row r="179" ht="54" customHeight="1">
      <c r="A179" s="29" t="inlineStr">
        <is>
          <t>marbella:endulus-carpeta-ciudadana-junta-dijital-islemler</t>
        </is>
      </c>
      <c r="B179" s="29" t="inlineStr">
        <is>
          <t>marbella</t>
        </is>
      </c>
      <c r="C179" s="29" t="inlineStr">
        <is>
          <t>endulus-carpeta-ciudadana-junta-dijital-islemler</t>
        </is>
      </c>
      <c r="D179" s="29" t="inlineStr">
        <is>
          <t>Endülüs'te Junta de Andalucía ile dijital işlem için Carpeta Ciudadana nedir ve nasıl girilir?</t>
        </is>
      </c>
      <c r="E179" s="29" t="inlineStr">
        <is>
          <t>Junta işlemleri, belgeleri, randevuları ve kartları tek uygulamada; giriş Cl@ve ya da dijital sertifika ile</t>
        </is>
      </c>
      <c r="F179" s="29" t="inlineStr">
        <is>
          <t>Carpeta Ciudadana, Junta de Andalucía'nın işlemlerini, bildirimlerini, dosyalarını (expediente) ve kartlarını tek yerde toplayan uygulamadır; mobil uygulama ve web uygulaması olarak sunulur. Uygulamada resmî belge ve sertifikaları indirip yazdırabilir, idareyle randevularını alıp değiştirebilir, işlemlerinin durumuna dair bildirim alabilir ve açık dosyalarının durumuna bakabilirsin. Kartlar bölümünde familia numerosa, carné joven, tarjeta 65, engelli ve sağlık kartı gösterilir. Girişte kimliğini Cl@ve ile ya da dijital sertifika ile doğrularsın.</t>
        </is>
      </c>
      <c r="G179" s="29" t="inlineStr">
        <is>
          <t>Carpeta Ciudadana, Junta de Andalucía, Cl@ve, certificado digital, expediente, cita previa, JUNTAS</t>
        </is>
      </c>
      <c r="H179" s="29" t="inlineStr">
        <is>
          <t>new;settled</t>
        </is>
      </c>
      <c r="I179" s="29" t="inlineStr">
        <is>
          <t>marbella:kaynak:145</t>
        </is>
      </c>
      <c r="J179" s="49" t="n">
        <v>46319</v>
      </c>
      <c r="K179" s="51" t="n">
        <v>9104</v>
      </c>
      <c r="L179" s="29" t="inlineStr">
        <is>
          <t>Hayır</t>
        </is>
      </c>
      <c r="M179" s="29" t="inlineStr">
        <is>
          <t>Taslak</t>
        </is>
      </c>
      <c r="N179" s="29" t="inlineStr">
        <is>
          <t>marbella:resmi</t>
        </is>
      </c>
      <c r="O179" s="29" t="inlineStr">
        <is>
          <t>Uygulama mağazasından Carpeta Ciudadana uygulamasını indir ya da web uygulamasını aç.
Kimliğini Cl@ve ile ya da dijital sertifikayla doğrula.
Belgelerine, randevularına, bildirimlerine, kartlarına ve dosyalarına uygulamadan eriş.</t>
        </is>
      </c>
      <c r="P179" s="29" t="inlineStr">
        <is>
          <t>Cl@ve ya da dijital sertifika</t>
        </is>
      </c>
      <c r="Q179" s="29" t="n"/>
      <c r="R179" s="29" t="n"/>
      <c r="S179" s="29" t="inlineStr">
        <is>
          <t>Giriş için Cl@ve ya da dijital sertifika gerekir.</t>
        </is>
      </c>
      <c r="T179" s="29" t="n"/>
    </row>
    <row r="180" ht="54" customHeight="1">
      <c r="A180" s="29" t="inlineStr">
        <is>
          <t>marbella:oac-marbella-ofisleri-ve-cita-previa</t>
        </is>
      </c>
      <c r="B180" s="29" t="inlineStr">
        <is>
          <t>marbella</t>
        </is>
      </c>
      <c r="C180" s="29" t="inlineStr">
        <is>
          <t>oac-marbella-ofisleri-ve-cita-previa</t>
        </is>
      </c>
      <c r="D180" s="29" t="inlineStr">
        <is>
          <t>Marbella'da belediyenin vatandaş hizmet ofisleri (OAC) nerede, randevuyu nasıl alırsın?</t>
        </is>
      </c>
      <c r="E180" s="29" t="inlineStr">
        <is>
          <t>Dört ofis, adresler, online randevu ve telefon</t>
        </is>
      </c>
      <c r="F180" s="29" t="inlineStr">
        <is>
          <t>Marbella Belediyesi'nin Oficina de Atención al Ciudadano (OAC, vatandaş hizmet ofisi) ağında dört ofis var: Marbella (Plaza de los Naranjos 1), San Pedro Alcántara (Plaza de la Iglesia 1), Nueva Andalucía (Avenida Miguel de Cervantes 15) ve Las Chapas (Calle Pinsapo s/n). Ofislere cita previa (önceden randevu) ile gidersin; randevuyu citaprevia.marbella.es adresinden online ya da +34 952 761 100 numarasını arayarak alırsın. Marbella ofisi pazartesiden cumaya 09:00-14:00 açık.</t>
        </is>
      </c>
      <c r="G180" s="29" t="inlineStr">
        <is>
          <t>OAC, Oficina de Atención al Ciudadano, cita previa, Marbella belediyesi, San Pedro Alcántara, Nueva Andalucía, Las Chapas, randevu</t>
        </is>
      </c>
      <c r="H180" s="29" t="inlineStr">
        <is>
          <t>planning;new;settled</t>
        </is>
      </c>
      <c r="I180" s="29" t="inlineStr">
        <is>
          <t>marbella:kaynak:186;marbella:kaynak:194</t>
        </is>
      </c>
      <c r="J180" s="49" t="n">
        <v>46323</v>
      </c>
      <c r="K180" s="51" t="n">
        <v>300</v>
      </c>
      <c r="L180" s="29" t="inlineStr">
        <is>
          <t>Evet</t>
        </is>
      </c>
      <c r="M180" s="29" t="inlineStr">
        <is>
          <t>Taslak</t>
        </is>
      </c>
      <c r="N180" s="29" t="inlineStr">
        <is>
          <t>marbella:resmi</t>
        </is>
      </c>
      <c r="O180" s="29" t="inlineStr">
        <is>
          <t>Randevuyu citaprevia.marbella.es adresinden online al ya da +34 952 761 100 numarasını ara.
Randevu aldığın ofise git: Marbella (Plaza de los Naranjos 1), San Pedro Alcántara (Plaza de la Iglesia 1), Nueva Andalucía (Avenida Miguel de Cervantes 15) ya da Las Chapas (Calle Pinsapo s/n).
Marbella ofisine soruların için oac@marbella.es adresine yazabilir ya da 010 numarasını arayabilirsin.</t>
        </is>
      </c>
      <c r="P180" s="29" t="n"/>
      <c r="Q180" s="29" t="inlineStr">
        <is>
          <t>Marbella OAC: pazartesi-cuma 09:00-14:00</t>
        </is>
      </c>
      <c r="R180" s="29" t="n"/>
      <c r="S180" s="29" t="inlineStr">
        <is>
          <t>Belediye ulaşım ofisi (Oficina de Atención al Ciudadano de Transporte Municipal) Arco de Marbella, N-340 nº 65'te; vergi işleri için Oficina de Gestión Tributaria Mercado Municipal binasında (C/ Francisco de Quevedo s/n girişi), bunlar için de cita previa gerekir.</t>
        </is>
      </c>
      <c r="T180" s="29" t="n"/>
    </row>
    <row r="181" ht="54" customHeight="1">
      <c r="A181" s="29" t="inlineStr">
        <is>
          <t>marbella:oac-marbella-islemleri-ve-dijital-sertifika-kimlik-dogrulama</t>
        </is>
      </c>
      <c r="B181" s="29" t="inlineStr">
        <is>
          <t>marbella</t>
        </is>
      </c>
      <c r="C181" s="29" t="inlineStr">
        <is>
          <t>oac-marbella-islemleri-ve-dijital-sertifika-kimlik-dogrulama</t>
        </is>
      </c>
      <c r="D181" s="29" t="inlineStr">
        <is>
          <t>Marbella'da OAC'ta hangi işleri yaptırırsın, FNMT dijital sertifikası için kimlik doğrulamasını nasıl yaptırırsın?</t>
        </is>
      </c>
      <c r="E181" s="29" t="inlineStr">
        <is>
          <t>Adres kaydı, Tarjeta de Movilidad, volante histórico ve sertifika doğrulama</t>
        </is>
      </c>
      <c r="F181" s="29" t="inlineStr">
        <is>
          <t>OAC ofisleri adres kaydını (empadronamiento), dijital sertifika için kimlik doğrulamayı, Tarjeta de Movilidad (hareketlilik kartı) başvurusunu, geçmiş adres kaydı belgesini (volante histórico) ve çeşitli belediye ruhsat ve izinlerini yürütür. FNMT'nin kişisel dijital sertifikası için DNI ya da NIE'n ve internet bağlantılı bir cihaz yeter; FNMT'nin verdiği sayısal kodu aldıktan sonra sertifikayı OAC'ta doğrulatırsın. Her işlem ve her başvuran kişi için ayrı cita previa almalısın.</t>
        </is>
      </c>
      <c r="G181" s="29" t="inlineStr">
        <is>
          <t>OAC, dijital sertifika, FNMT, certificado digital, Tarjeta de Movilidad, volante histórico, kimlik doğrulama, cita previa</t>
        </is>
      </c>
      <c r="H181" s="29" t="inlineStr">
        <is>
          <t>new;settled</t>
        </is>
      </c>
      <c r="I181" s="29" t="inlineStr">
        <is>
          <t>marbella:kaynak:205;marbella:kaynak:186</t>
        </is>
      </c>
      <c r="J181" s="49" t="n">
        <v>46323</v>
      </c>
      <c r="K181" s="51" t="n">
        <v>301</v>
      </c>
      <c r="L181" s="29" t="inlineStr">
        <is>
          <t>Hayır</t>
        </is>
      </c>
      <c r="M181" s="29" t="inlineStr">
        <is>
          <t>Taslak</t>
        </is>
      </c>
      <c r="N181" s="29" t="inlineStr">
        <is>
          <t>marbella:resmi</t>
        </is>
      </c>
      <c r="O181" s="29" t="inlineStr">
        <is>
          <t>FNMT'nin sertifika başvuru sayfasından (fnmt.es/ceres) kişisel dijital sertifika başvurusunu yap ve FNMT'nin verdiği sayısal kodu al.
citaprevia.marbella.es üzerinden OAC için cita previa al; her işlem ve her kişi için ayrı randevu gerekir.
Sayısal kodunla ve kimliğinle (DNI ya da NIE) randevu günü OAC'a git; sertifikanı doğrulat.</t>
        </is>
      </c>
      <c r="P181" s="29" t="inlineStr">
        <is>
          <t>DNI ya da NIE
FNMT'nin verdiği sayısal kod</t>
        </is>
      </c>
      <c r="Q181" s="29" t="n"/>
      <c r="R181" s="29" t="n"/>
      <c r="S181" s="29" t="n"/>
      <c r="T181" s="29" t="n"/>
    </row>
    <row r="182" ht="54" customHeight="1">
      <c r="A182" s="29" t="inlineStr">
        <is>
          <t>marbella:marbella-adres-kaydi-yollari-ve-belgeler</t>
        </is>
      </c>
      <c r="B182" s="29" t="inlineStr">
        <is>
          <t>marbella</t>
        </is>
      </c>
      <c r="C182" s="29" t="inlineStr">
        <is>
          <t>marbella-adres-kaydi-yollari-ve-belgeler</t>
        </is>
      </c>
      <c r="D182" s="29" t="inlineStr">
        <is>
          <t>Marbella'da adres kaydını (empadronamiento) hangi yollarla yaptırırsın, hangi belgeler gerekir?</t>
        </is>
      </c>
      <c r="E182" s="29" t="inlineStr">
        <is>
          <t>Sede Electrónica, OAC ofisleri ve Extranjeros Residentes</t>
        </is>
      </c>
      <c r="F182" s="29" t="inlineStr">
        <is>
          <t>Marbella'da empadronamiento'yu iki yoldan yaptırabilirsin: dijital sertifikan varsa belediyenin Sede Electrónica'sında (elektronik ofis) belgeleri göndererek ya da OAC ofislerinden cita previa alıp yüz yüze. İkisinde de kimlik (pasaport, kimlik kartı ya da fotoğraflı NIE/TIE), konut belgesi ve doldurulmuş Alta y Cambio de Domicilio formu gerekir. Adres kaydı seni vergi mukimi yapmaz.</t>
        </is>
      </c>
      <c r="G182" s="29" t="inlineStr">
        <is>
          <t>empadronamiento, adres kaydı, Padrón, Alta y Cambio de Domicilio, Sede Electrónica, OAC, Marbella</t>
        </is>
      </c>
      <c r="H182" s="29" t="inlineStr">
        <is>
          <t>planning;new</t>
        </is>
      </c>
      <c r="I182" s="29" t="inlineStr">
        <is>
          <t>marbella:kaynak:181;marbella:kaynak:186</t>
        </is>
      </c>
      <c r="J182" s="49" t="n">
        <v>46323</v>
      </c>
      <c r="K182" s="51" t="n">
        <v>302</v>
      </c>
      <c r="L182" s="29" t="inlineStr">
        <is>
          <t>Evet</t>
        </is>
      </c>
      <c r="M182" s="29" t="inlineStr">
        <is>
          <t>Taslak</t>
        </is>
      </c>
      <c r="N182" s="29" t="inlineStr">
        <is>
          <t>marbella:resmi</t>
        </is>
      </c>
      <c r="O182" s="29" t="inlineStr">
        <is>
          <t>Yolu seç: dijital sertifikan varsa Sede Electrónica'dan, yoksa OAC ofislerinden cita previa alarak yüz yüze (Concejalía de Extranjeros Residentes ofislerinde de kayıt yaptırabilirsin).
Konut belgeni hazırla: kiracıysan kira sözleşmesi ve yakın tarihli elektrik, su ya da IBI faturası; ev sahibiysen tapu, geçerli nota simple ya da en son IBI faturası.
Alta y Cambio de Domicilio belgesini (hoja padronal) talimatlarına göre doldur.
Kimliğinle birlikte doldurduğun formu teslim et.</t>
        </is>
      </c>
      <c r="P182" s="29" t="inlineStr">
        <is>
          <t>Pasaport, kimlik kartı ya da fotoğraflı NIE/TIE
Kiracıysan: kira sözleşmesi ve yakın tarihli elektrik, su ya da IBI faturası
Ev sahibiysen: tapu (escritura), geçerli nota simple ya da en son IBI faturası
Doldurulmuş Alta y Cambio de Domicilio formu (hoja padronal)
Çocuk için: yetişkinlerle aynı belgeler; İspanya'da doğduysa Libro de Familia ya da doğum belgesi</t>
        </is>
      </c>
      <c r="Q182" s="29" t="n"/>
      <c r="R182" s="29" t="n"/>
      <c r="S182" s="29" t="inlineStr">
        <is>
          <t>Adres kaydı seni vergi mukimi yapmaz.</t>
        </is>
      </c>
      <c r="T182" s="29" t="n"/>
    </row>
    <row r="183" ht="54" customHeight="1">
      <c r="A183" s="29" t="inlineStr">
        <is>
          <t>marbella:marbella-adres-kaydi-yenileme-suresi-ve-getirisi</t>
        </is>
      </c>
      <c r="B183" s="29" t="inlineStr">
        <is>
          <t>marbella</t>
        </is>
      </c>
      <c r="C183" s="29" t="inlineStr">
        <is>
          <t>marbella-adres-kaydi-yenileme-suresi-ve-getirisi</t>
        </is>
      </c>
      <c r="D183" s="29" t="inlineStr">
        <is>
          <t>Marbella'da adres kaydını ne sıklıkla yenilemen gerekir, kayıt sana ne kazandırır?</t>
        </is>
      </c>
      <c r="E183" s="29" t="inlineStr">
        <is>
          <t>Uyruğa ve oturum durumuna göre 2 ya da 5 yıl</t>
        </is>
      </c>
      <c r="F183" s="29" t="inlineStr">
        <is>
          <t>Yenileme aralığı uyruğuna ve oturum durumuna göre 2 ya da 5 yıldır. AB vatandaşlarında NIE'si 2007'den önce olanlar ya da hiç NIE almamış olanlar 2 yılda bir, NIE'si 2007'den sonra olanlar 5 yılda bir yeniler. AB dışından gelenlerde geçici oturumu olanlar 2 yılda bir, daimi oturum ya da AB vatandaşı oturum kartı olanlar 5 yılda bir yeniler. Belediye, yenileme zamanından önce adresine bir bildirim gönderir.</t>
        </is>
      </c>
      <c r="G183" s="29" t="inlineStr">
        <is>
          <t>empadronamiento yenileme, adres kaydı, padrón, 2 yıl, 5 yıl, NIE 2007, Marbella belediyesi</t>
        </is>
      </c>
      <c r="H183" s="29" t="inlineStr">
        <is>
          <t>new;settled</t>
        </is>
      </c>
      <c r="I183" s="29" t="inlineStr">
        <is>
          <t>marbella:kaynak:181</t>
        </is>
      </c>
      <c r="J183" s="49" t="n">
        <v>46323</v>
      </c>
      <c r="K183" s="51" t="n">
        <v>303</v>
      </c>
      <c r="L183" s="29" t="inlineStr">
        <is>
          <t>Hayır</t>
        </is>
      </c>
      <c r="M183" s="29" t="inlineStr">
        <is>
          <t>Taslak</t>
        </is>
      </c>
      <c r="N183" s="29" t="inlineStr">
        <is>
          <t>marbella:resmi</t>
        </is>
      </c>
      <c r="O183" s="29" t="inlineStr">
        <is>
          <t>Aralığını bul: AB vatandaşıysan NIE tarihine bak (2007 öncesi ya da hiç NIE yok: 2 yıl; 2007 sonrası: 5 yıl). AB dışındansan oturum türüne bak (geçici oturum: 2 yıl; daimi oturum ya da AB vatandaşı oturum kartı: 5 yıl).
Belediyenin adresine gönderdiği yenileme bildirimini takip et; mektubu kaçırmamak için adres kaydındaki adresin doğru olsun.
Yenilemede sorun yaşarsan Concejalía de Extranjeros Residentes'in merkez ofisini ara: +34 952 768 766.</t>
        </is>
      </c>
      <c r="P183" s="29" t="n"/>
      <c r="Q183" s="29" t="inlineStr">
        <is>
          <t>Yenileme: 2 ya da 5 yılda bir, uyruğa ve oturum durumuna göre</t>
        </is>
      </c>
      <c r="R183" s="29" t="n"/>
      <c r="S183" s="29" t="inlineStr">
        <is>
          <t>Adres kaydının getirileri: sana en yakın sağlık merkezinde (Centro de Salud) aile hekimi, devlet okullarına erişim, uyruğuna göre yerel ve Avrupa seçimlerinde oy hakkı, belediye ve sosyal hizmetlerde indirimler.</t>
        </is>
      </c>
      <c r="T183" s="29" t="n"/>
    </row>
    <row r="184" ht="54" customHeight="1">
      <c r="A184" s="29" t="inlineStr">
        <is>
          <t>marbella:marbella-registro-civil-ofisi-adresi</t>
        </is>
      </c>
      <c r="B184" s="29" t="inlineStr">
        <is>
          <t>marbella</t>
        </is>
      </c>
      <c r="C184" s="29" t="inlineStr">
        <is>
          <t>marbella-registro-civil-ofisi-adresi</t>
        </is>
      </c>
      <c r="D184" s="29" t="inlineStr">
        <is>
          <t>Marbella'da Registro Civil (medeni hâl sicili) ofisi nerede, nasıl ulaşırsın?</t>
        </is>
      </c>
      <c r="E184" s="29" t="inlineStr">
        <is>
          <t>Avda. Arias de Velasco 15: adres, telefonlar ve e-posta</t>
        </is>
      </c>
      <c r="F184" s="29" t="inlineStr">
        <is>
          <t>Marbella'nın Registro Civil ofisi (Oficina General del Registro Civil) Avda. Arias de Velasco 15'te, 29601 Marbella'da. Ofise 951 914 357 numarasından ya da registrocivil.marbella@justicia.es adresinden ulaşırsın; Adalet Bakanlığı rehberi ikinci bir telefon olarak 662 979 824'ü de veriyor.</t>
        </is>
      </c>
      <c r="G184" s="29" t="inlineStr">
        <is>
          <t>Registro Civil Marbella, medeni hâl sicili, Avda. Arias de Velasco, doğum kaydı, evlilik kaydı, Adalet Bakanlığı</t>
        </is>
      </c>
      <c r="H184" s="29" t="inlineStr">
        <is>
          <t>new;settled</t>
        </is>
      </c>
      <c r="I184" s="29" t="inlineStr">
        <is>
          <t>marbella:kaynak:180;marbella:kaynak:212</t>
        </is>
      </c>
      <c r="J184" s="49" t="n">
        <v>46323</v>
      </c>
      <c r="K184" s="51" t="n">
        <v>304</v>
      </c>
      <c r="L184" s="29" t="inlineStr">
        <is>
          <t>Hayır</t>
        </is>
      </c>
      <c r="M184" s="29" t="inlineStr">
        <is>
          <t>Taslak</t>
        </is>
      </c>
      <c r="N184" s="29" t="inlineStr">
        <is>
          <t>marbella:resmi</t>
        </is>
      </c>
      <c r="O184" s="29" t="inlineStr">
        <is>
          <t>Ofisi ara (951 914 357 ya da 662 979 824) ya da registrocivil.marbella@justicia.es adresine yaz ve işlemin için nasıl randevu verildiğini sor.
Ofise git: Avda. Arias de Velasco 15, 29601 Marbella.</t>
        </is>
      </c>
      <c r="P184" s="29" t="n"/>
      <c r="Q184" s="29" t="n"/>
      <c r="R184" s="29" t="n"/>
      <c r="S184" s="29" t="inlineStr">
        <is>
          <t>Faks numarası 951 270 340.</t>
        </is>
      </c>
      <c r="T184" s="29" t="n"/>
    </row>
    <row r="185" ht="54" customHeight="1">
      <c r="A185" s="29" t="inlineStr">
        <is>
          <t>marbella:marbella-secmen-listesi-censo-electoral-kaydi</t>
        </is>
      </c>
      <c r="B185" s="29" t="inlineStr">
        <is>
          <t>marbella</t>
        </is>
      </c>
      <c r="C185" s="29" t="inlineStr">
        <is>
          <t>marbella-secmen-listesi-censo-electoral-kaydi</t>
        </is>
      </c>
      <c r="D185" s="29" t="inlineStr">
        <is>
          <t>Marbella'da yerel seçimlerde oy kullanmak için seçmen listesine (censo electoral) nasıl yazılırsın?</t>
        </is>
      </c>
      <c r="E185" s="29" t="inlineStr">
        <is>
          <t>Koşullar, kimler oy kullanır ve İspanyol vatandaşlığı kazananlar için OAC işlemi</t>
        </is>
      </c>
      <c r="F185" s="29" t="inlineStr">
        <is>
          <t>Seçmen listesine yazılmak için 18 yaşından büyük olman, adres kaydının (empadronado) bulunması, oy kullanma isteğini bildirmen ve ülkene göre gereken asgari ikameti tamamlaman gerekir. Belediyeye göre karşılıklılık anlaşması olan ülkelerin yerleşik vatandaşları ile AB vatandaşları belediye seçimlerinde oy kullanabilir; AB vatandaşları İspanya'dan Avrupa Parlamentosu seçimlerine de katılır. İspanyol vatandaşlığı kazandıysan OAC'ta cita previa alıp DNI ya da NIE ile seçmen listesine yazılırsın.</t>
        </is>
      </c>
      <c r="G185" s="29" t="inlineStr">
        <is>
          <t>censo electoral, seçmen listesi, belediye seçimi, Avrupa Parlamentosu, oy hakkı, empadronado, OAC</t>
        </is>
      </c>
      <c r="H185" s="29" t="inlineStr">
        <is>
          <t>settled</t>
        </is>
      </c>
      <c r="I185" s="29" t="inlineStr">
        <is>
          <t>marbella:kaynak:205</t>
        </is>
      </c>
      <c r="J185" s="49" t="n">
        <v>46323</v>
      </c>
      <c r="K185" s="51" t="n">
        <v>305</v>
      </c>
      <c r="L185" s="29" t="inlineStr">
        <is>
          <t>Hayır</t>
        </is>
      </c>
      <c r="M185" s="29" t="inlineStr">
        <is>
          <t>Taslak</t>
        </is>
      </c>
      <c r="N185" s="29" t="inlineStr">
        <is>
          <t>marbella:resmi</t>
        </is>
      </c>
      <c r="O185" s="29" t="inlineStr">
        <is>
          <t>Önce adres kaydını (empadronamiento) yaptır; oy için empadronado olman şart.
18 yaşından büyük olduğunu ve ülken için gereken asgari ikameti tamamladığını kontrol et.
İspanyol vatandaşlığı kazandıysan citaprevia.marbella.es üzerinden OAC için cita previa al ve DNI ya da NIE ile git.
Listeye yazıldıktan sonra seçim bildirimi sana posta ile gelir ve sana bir seçim okulu (Colegio Electoral) atanır.</t>
        </is>
      </c>
      <c r="P185" s="29" t="inlineStr">
        <is>
          <t>DNI ya da NIE (İspanyol vatandaşlığı kazananlar için)</t>
        </is>
      </c>
      <c r="Q185" s="29" t="n"/>
      <c r="R185" s="29" t="n"/>
      <c r="S185" s="29" t="inlineStr">
        <is>
          <t>Oy kullanma isteğin gizlidir ve aktarılmaz.</t>
        </is>
      </c>
      <c r="T185" s="29" t="n"/>
    </row>
    <row r="186" ht="54" customHeight="1">
      <c r="A186" s="29" t="inlineStr">
        <is>
          <t>marbella:kamu-saglik-sistemine-erisim-hak-sahipleri</t>
        </is>
      </c>
      <c r="B186" s="29" t="inlineStr">
        <is>
          <t>marbella</t>
        </is>
      </c>
      <c r="C186" s="29" t="inlineStr">
        <is>
          <t>kamu-saglik-sistemine-erisim-hak-sahipleri</t>
        </is>
      </c>
      <c r="D186" s="29" t="inlineStr">
        <is>
          <t>İspanya'da kamu sağlık sistemine (SNS) kimler girebilir, ikamet izni olmayanlar tedavi görebilir mi?</t>
        </is>
      </c>
      <c r="E186" s="29" t="inlineStr">
        <is>
          <t>Hak ikamete bağlıdır: yabancıda yasal ve mutat ikamet aranır, ikamet izni olmayanlar da belirli koşullarla kapsanır; uygulama özerk bölgelerdedir</t>
        </is>
      </c>
      <c r="F186" s="29" t="inlineStr">
        <is>
          <t>Evet, koşullarla: İspanyol vatandaşları ve İspanya'da ikameti yerleşik olan yabancılar kamu sağlık sisteminin (SNS) hak sahibidir; ikamet izni olmayan yabancılar da İspanyol vatandaşlarıyla aynı koşullarda sağlık hakkına sahiptir (Real Decreto-ley 7/2018), ancak tedavinin kamu fonlarından karşılanması aşağıdaki koşullara bağlıdır. Kamu fonuyla tedavi için yabancıda yasal ve mutat ikamet aranır ve kişinin zorunlu sağlık güvencesini başka bir yoldan kanıtlama yükümlülüğü olmaması gerekir; yasal ikamet oturum izniyle, mutat ikamet empadronamiento (belediye nüfus kaydı) ile belgelenir. İkamet izni olmayanların tedavisinin kamu fonlarından karşılanması için üç koşul aranır: başka bir yoldan zorunlu güvence yükümlülüğünün olmaması, güvencenin menşe ülkeden aktarılamaması ve ödemeyle yükümlü bir üçüncü kişinin bulunmaması; bu kişiler için hakkın tanınması özerk bölgelerin sağlık servislerinin yetkisindedir. AB, AEA veya İsviçre vatandaşlarının RD 240/2007 art. 6'daki üç aydan kısa kalışı bu "kayıtsız ve izinsiz yabancı" kategorisine girmez. Sigortalı ya da yararlanıcı olmayan ve başka bir yoldan kamu sağlık korumasına erişimi bulunmayanlar ücret karşılığı convenio especial (kamu sistemine ücretle katılım sözleşmesi) ile de hizmet alabilir; bu sözleşmeleri özerk bölgelerin sağlık servisleri yönetir ve temel koşulları Orden SSI/1475/2014 ile belirlenmiştir.</t>
        </is>
      </c>
      <c r="G186" s="29" t="inlineStr">
        <is>
          <t>kamu sağlık sistemi, SNS, evrensel erişim, Real Decreto-ley 7/2018, tarjeta sanitaria, empadronamiento, ikamet izni olmayan, convenio especial</t>
        </is>
      </c>
      <c r="H186" s="29" t="inlineStr">
        <is>
          <t>new;settled</t>
        </is>
      </c>
      <c r="I186" s="29" t="inlineStr">
        <is>
          <t>marbella:kaynak:084;marbella:kaynak:085</t>
        </is>
      </c>
      <c r="J186" s="49" t="n">
        <v>46319</v>
      </c>
      <c r="K186" s="51" t="n">
        <v>9059</v>
      </c>
      <c r="L186" s="29" t="inlineStr">
        <is>
          <t>Hayır</t>
        </is>
      </c>
      <c r="M186" s="29" t="inlineStr">
        <is>
          <t>Taslak</t>
        </is>
      </c>
      <c r="N186" s="29" t="inlineStr">
        <is>
          <t>marbella:saglik</t>
        </is>
      </c>
      <c r="O186" s="29" t="inlineStr">
        <is>
          <t>Yasal ikametini oturum izninle, mutat ikametini empadronamiento (belediye nüfus kaydı) ile kanıtla.
Hak koşullarının denetimi Seguridad Social tarafında INSS'e (denizcilerde Instituto Social de la Marina'ya) aittir; koşulları sağlıyorsan bölgenin sağlık idaresi sana bireysel sağlık kartını (tarjeta sanitaria individual) verir.
İkamet iznin yoksa belgeyi bölgenin sağlık servisinden al: başvuru ve belge usulünü özerk bölgeler belirler, geçici kalış durumundaki yabancılar için ayrıca bölgenin sosyal hizmetlerinden olumlu bir ön rapor gerekir.
Sigortalı olarak kabul edilirsen eşin (ya da benzer ilişkideki kişi; resmî kayıt gerekir) ile bakımındaki çocukların ve benzer kişilerin (descendientes y personas asimiladas) yararlanıcı olarak kapsanabilir; çocuklar 26 yaşın altında ya da %65 ve üzeri engelli olmalıdır.
Sigortalı ya da yararlanıcı değilsen ve başka bir yoldan kamu sağlık korumasına erişimin yoksa convenio especial ile ücret karşılığı kamu sistemine girebilirsin; sözleşmeyi özerk bölgenin sağlık servisi yönetir, temel koşulları Orden SSI/1475/2014'te belirlenmiştir.</t>
        </is>
      </c>
      <c r="P186" s="29" t="inlineStr">
        <is>
          <t>Oturum izni (yasal ikamet için)
Empadronamiento belgesi (mutat ikamet için)</t>
        </is>
      </c>
      <c r="Q186" s="29" t="n"/>
      <c r="R186" s="29" t="n"/>
      <c r="S186" s="29" t="inlineStr">
        <is>
          <t>AB koordinasyon yönetmelikleri ya da ikili sosyal güvenlik sözleşmeleri uyarınca İspanya'da sağlık hakkı olanlar, İspanya'da ikamet ettikleri sürece ya da İspanya'ya geçici gelişlerinde, bu düzenlemelerde yazılan biçim ve koşullarla hak sahibidir. Yararlanıcı sayılacak eş ve çocukların İspanya'da yasal ve mutat ikamet etmesi (ilgili uluslararası norm aksini öngörmedikçe) ve kendilerinin çalışan, emekli ya da düzenli ödenek alan sigortalı olmaması gerekir.</t>
        </is>
      </c>
      <c r="T186" s="29" t="n"/>
    </row>
    <row r="187" ht="54" customHeight="1">
      <c r="A187" s="29" t="inlineStr">
        <is>
          <t>marbella:saglik-sigortasi-sarti-ve-convenio-especial</t>
        </is>
      </c>
      <c r="B187" s="29" t="inlineStr">
        <is>
          <t>marbella</t>
        </is>
      </c>
      <c r="C187" s="29" t="inlineStr">
        <is>
          <t>saglik-sigortasi-sarti-ve-convenio-especial</t>
        </is>
      </c>
      <c r="D187" s="29" t="inlineStr">
        <is>
          <t>İspanya'da vize ve oturum için sağlık sigortası gerekir mi, kamu sistemine convenio especial ile nasıl girilir?</t>
        </is>
      </c>
      <c r="E187" s="29" t="inlineStr">
        <is>
          <t>Sigorta şartı vize ve oturum türüne bağlıdır; kamu güvencesi olmayanlar için convenio especial aylık 60 € (65 yaş ve üstü 157 €)</t>
        </is>
      </c>
      <c r="F187" s="29" t="inlineStr">
        <is>
          <t>Sigorta şartı vize ve oturum türüne bağlıdır; Real Decreto 1155/2024'e göre uzun süreli öğrenci, öğrenci hareketliliği, gönüllülük ya da eğitim faaliyeti vizesinde (art. 35) İspanya'da faaliyet izni olan bir sigortacıdan, kamu sağlık sisteminin temel ortak hizmet paketine benzer teminatlı ve planlanan kalış süresince geçerli bir sağlık sigortası, çalışmaksızın geçici oturumda (art. 61) ise bir sağlık sigortası şarttır. Kamu güvencesi olmayanlar için convenio especial var: Sanidad Bakanlığı sayfasına göre kamu sağlık sistemine (SNS) ücretle katılım sağlar, 65 yaşın altında aylık 60 €, 65 yaş ve üstünde aylık 157 € tutar (sayfada yıl yok, güncel tarife). Koşullar başvurudan hemen önce en az bir yıl kesintisiz fiilî ikamet, başvuru anında İspanya'da empadronamiento ve başka bir yoldan kamu sağlık güvencesinin bulunmamasıdır. Sözleşme, empadronamiento'nun bulunduğu özerk bölgenin sağlık servisiyle (Ceuta ve Melilla'da INGESA ile) imzalanır. Sayfa convenio especial'i, ikamet için sağlık sigortası yaptırmak zorunda olan ekonomik olarak aktif olmayan yabancılara yönelik olarak tanımlıyor; dayanak olarak hem AB/AEA vatandaşlarının ikametini düzenleyen RD 240/2007'yi hem de AB dışı yabancılar için çıkarılan yönetmeliği (RD 557/2011) gösteriyor.</t>
        </is>
      </c>
      <c r="G187" s="29" t="inlineStr">
        <is>
          <t>sağlık sigortası, convenio especial, öğrenci vizesi, residencia no lucrativa, seguro de enfermedad, kamu sağlık sistemi, SNS, INGESA</t>
        </is>
      </c>
      <c r="H187" s="29" t="inlineStr">
        <is>
          <t>before;planning;new</t>
        </is>
      </c>
      <c r="I187" s="29" t="inlineStr">
        <is>
          <t>marbella:kaynak:005;marbella:kaynak:086</t>
        </is>
      </c>
      <c r="J187" s="49" t="n">
        <v>46319</v>
      </c>
      <c r="K187" s="51" t="n">
        <v>9060</v>
      </c>
      <c r="L187" s="29" t="inlineStr">
        <is>
          <t>Hayır</t>
        </is>
      </c>
      <c r="M187" s="29" t="inlineStr">
        <is>
          <t>Taslak</t>
        </is>
      </c>
      <c r="N187" s="29" t="inlineStr">
        <is>
          <t>marbella:saglik</t>
        </is>
      </c>
      <c r="O187" s="29" t="inlineStr">
        <is>
          <t>Uzun süreli öğrenci vizesi için başvuruyorsan İspanya'da faaliyet izni olan bir sigortacıdan, kamu sistemine benzer teminatlı ve kalış süresince geçerli bir sağlık sigortası yaptır.
Çalışmaksızın geçici oturum için başvuruyorsan başvurunda bir sağlık sigortasına sahip olduğunu göster.
Kamu sağlık güvencen yoksa ve en az bir yıldır kesintisiz İspanya'da yaşıyorsan, empadronamiento'nun bulunduğu bölgenin sağlık servisinden convenio especial'i imzala.
Başvuruya kimlik belgeni, bir yıllık ikametini gösteren belgeyi ve empadronamiento belgeni ekle.
AB sosyal güvenlik yönetmeliklerinin uygulandığı ülkelerden ya da ikili sözleşmesi olan ülkelerden (Andorra ve Şili) geliyorsan, sağlık güvencenin İspanya'ya aktarılamadığını gösteren beyan ya da belge de ekle; sayfadaki ülke listesinde Türkiye yok; bu yalnız bu sayfadaki listeye ilişkin bir tespittir.</t>
        </is>
      </c>
      <c r="P187" s="29" t="inlineStr">
        <is>
          <t>Kimlik belgesi: kimlik kartı, NIE, pasaport ya da oturum kartı
Bir yıllık ikameti gösteren belge: Policía'nın verdiği ikamet belgesi (certificado de residente) ya da belediyenin verdiği empadronamiento belgesi
Empadronamiento belgesi (belediye nüfus kaydı)</t>
        </is>
      </c>
      <c r="Q187" s="29" t="n"/>
      <c r="R187" s="29" t="inlineStr">
        <is>
          <t>65 yaşın altında aylık 60 €; 65 yaş ve üstünde aylık 157 € (Sanidad Bakanlığı sayfasındaki güncel tarife; sayfada yıl yok).</t>
        </is>
      </c>
      <c r="S187" s="29" t="inlineStr">
        <is>
          <t>Convenio especial kamu sistemindeki tüm temel hizmetleri katkı payı ve bekleme süresi olmadan kapsar; ancak ayakta ilaç, ayakta ortopedik ürün, diyet ürünleri ve acil olmayan sağlık nakli bedelinin %100'ü hastaya aittir.</t>
        </is>
      </c>
      <c r="T187" s="29" t="n"/>
    </row>
    <row r="188" ht="54" customHeight="1">
      <c r="A188" s="29" t="inlineStr">
        <is>
          <t>marbella:recete-ilac-katilim-payi-copago</t>
        </is>
      </c>
      <c r="B188" s="29" t="inlineStr">
        <is>
          <t>marbella</t>
        </is>
      </c>
      <c r="C188" s="29" t="inlineStr">
        <is>
          <t>recete-ilac-katilim-payi-copago</t>
        </is>
      </c>
      <c r="D188" s="29" t="inlineStr">
        <is>
          <t>İspanya'da reçeteli ilaçların ne kadarını ödersin? Katılım payı (copago) oranları ve aylık tavanlar</t>
        </is>
      </c>
      <c r="E188" s="29" t="inlineStr">
        <is>
          <t>Art. 102'nin 28/05/2026'dan beri yürürlükteki metnine göre oran statü ve gelire bağlı: %40, %45, %50, %60; Seguridad Social emeklilerinde %10</t>
        </is>
      </c>
      <c r="F188" s="29" t="inlineStr">
        <is>
          <t>Reçeteli ilaçlarda halka satış fiyatının (PVP) bir yüzdesini eczanede kendin ödersin: BOE'deki konsolide metinde art. 102'nin 28/05/2026'dan beri yürürlükte olan redaksiyonuna göre aktif sigortalılarda (asegurado activo) ve yararlanıcılarında oran gelire bağlı olarak %40, %45, %50 ya da %60, Seguridad Social emeklilerinde ve yararlanıcılarında %10'dur. Aktif sigortalılarda gelir 18.000 € ve üzeri, 60.000 € altıysa %45, 60.000 € ve üzeri, 100.000 € altıysa %50, 100.000 € ve üzeriyse %60 ödenir; bu gruplara girmeyen aktif sigortalılar %40 öder. Emeklilerde de gelir 100.000 € ve üzeriyse oran %60'tır. Gelir, IRPF beyanındaki vergilendirilebilir genel ve tasarruf matrahı (base liquidable general y del ahorro) kutusundaki tutardır. İkamet izni olmayan yabancılarda (art. 3 ter) oran %40'tır. Oranların yanında aylık tavanlar vardır; tavanı aşan tutarı ilgili özerk bölge en geç altı ayda bir iade eder. Bu oranlar ve tavanlar yalnız reçeteli (ayakta) ilaç içindir. Temel ortak hizmet paketi tamamen kamu finansmanıyla karşılanır; ilaç, ortopedik ürün, diyet ürünleri ve acil olmayan sağlık nakli ise ek (suplementaria) pakettedir ve kullanıcı katkısına tabidir.</t>
        </is>
      </c>
      <c r="G188" s="29" t="inlineStr">
        <is>
          <t>ilaç katılım payı, copago, aportación farmacéutica, reçeteli ilaç, PVP, aylık tavan, eczane, Real Decreto Legislativo 1/2015</t>
        </is>
      </c>
      <c r="H188" s="29" t="inlineStr">
        <is>
          <t>settled</t>
        </is>
      </c>
      <c r="I188" s="29" t="inlineStr">
        <is>
          <t>marbella:kaynak:087;marbella:kaynak:088</t>
        </is>
      </c>
      <c r="J188" s="49" t="n">
        <v>46319</v>
      </c>
      <c r="K188" s="51" t="n">
        <v>9061</v>
      </c>
      <c r="L188" s="29" t="inlineStr">
        <is>
          <t>Hayır</t>
        </is>
      </c>
      <c r="M188" s="29" t="inlineStr">
        <is>
          <t>Taslak</t>
        </is>
      </c>
      <c r="N188" s="29" t="inlineStr">
        <is>
          <t>marbella:saglik</t>
        </is>
      </c>
      <c r="O188" s="29" t="inlineStr">
        <is>
          <t>Reçeteni (resmî reçete ya da hastane dağıtım emri) eczaneye götür; katılım payı yalnız eczaneden bu belgeyle verilen ilaçlarda uygulanır.
Payını ilaç teslim edilirken öde; magistral formül, kişiye özel aşı ve benzeri kişiselleştirilmiş ürünlerde sipariş anında istenebilir.
Sağlık Sistemi hekimi ya da eczane isterse, kullandığın ödeme biçimine (katılım oranına) hakkın olduğunu göstermek zorundasın (art. 101.3).
Aylık tavanı aştıysan fazla ödediğin tutar için ilgili özerk bölgenin iadesini bekle; iade en geç altı ayda bir yapılır.</t>
        </is>
      </c>
      <c r="P188" s="29" t="n"/>
      <c r="Q188" s="29" t="n"/>
      <c r="R188" s="29" t="inlineStr">
        <is>
          <t>Oranlar: aktif sigortalılar gelire göre %40 / %45 / %50 / %60, Seguridad Social emeklileri %10 (geliri 100.000 € ve üzeri olanlar %60), ikamet izni olmayan yabancılar %40. Azaltılmış katılımlı ATC gruplarındaki ilaçlarda PVP'nin %10'u, en çok 4,98 €. Aylık tavan, aktif sigortalılarda gelire göre: 9.000 € altı 8,23 €; 9.000 € ve üzeri, 18.000 € altı 18,52 €; 18.000 € ve üzeri, 35.000 € altı 61,75 € (aktif sigortalılar için art. 102'de bundan yüksek gelir dilimi için tavan yazılı değildir). Emeklilerde: gelir 18.000 € altıysa 8,23 € (aşağıdaki gruplara girmeyenlerde de); 18.000 € ve üzeri, 60.000 € altı 13,37 €; 60.000 € ve üzeri, 100.000 € altı 18,52 €; 100.000 € ve üzeri 61,75 €. İkamet izni olmayan yabancılarda aylık tavan 8,23 €.</t>
        </is>
      </c>
      <c r="S188" s="29" t="inlineStr">
        <is>
          <t>Katkıdan muaf olanlar arasında iş kazası ve meslek hastalığı tedavileri, asgari yaşam geliri (ingreso mínimo vital) alanlar, katkısız emekli aylığı alanlar ve %33 ve üzeri engelli çocuklar vardır. Mutualidad General de Funcionarios Civiles del Estado, Mutualidad General Judicial ve Instituto Social de las Fuerzas Armadas kapsamındakilerde genel oran %30'dur.</t>
        </is>
      </c>
      <c r="T188" s="29" t="n"/>
    </row>
    <row r="189" ht="54" customHeight="1">
      <c r="A189" s="29" t="inlineStr">
        <is>
          <t>marbella:acil-durumda-112</t>
        </is>
      </c>
      <c r="B189" s="29" t="inlineStr">
        <is>
          <t>marbella</t>
        </is>
      </c>
      <c r="C189" s="29" t="inlineStr">
        <is>
          <t>acil-durumda-112</t>
        </is>
      </c>
      <c r="D189" s="29" t="inlineStr">
        <is>
          <t>İspanya'da acil durumda hangi numara aranır, arama ücretli mi?</t>
        </is>
      </c>
      <c r="E189" s="29" t="inlineStr">
        <is>
          <t>112 Avrupa ortak acil çağrı numarasıdır, arama ücretsizdir; çağrı bulunduğun bölgedeki merkeze yönlendirilir</t>
        </is>
      </c>
      <c r="F189" s="29" t="inlineStr">
        <is>
          <t>112'yi ara: Avrupa ortak (tek Avrupa) acil çağrı numarasıdır, İspanya'da ulusal düzeyde kullanılır ve aramalar ücretsizdir (Real Decreto 903/1997); idarelerin kullandığı başka acil çağrı hizmetleri de 112 ile birlikte sürebilir. Bu numaradan acil sağlık hizmetleri, yangın söndürme ve kurtarma, vatandaş güvenliği ve sivil koruma hizmetlerinden yardım isteyebilirsin. Çağrı, arama yapılan coğrafi alana göre ilgili çağrı karşılama merkezine yönlendirilir; bu merkezleri özerk bölgeler kurar ve işletir.</t>
        </is>
      </c>
      <c r="G189" s="29" t="inlineStr">
        <is>
          <t>112, acil durum, acil çağrı numarası, ambulans, itfaiye, sivil koruma, ücretsiz arama</t>
        </is>
      </c>
      <c r="H189" s="29" t="inlineStr">
        <is>
          <t>new;settled</t>
        </is>
      </c>
      <c r="I189" s="29" t="inlineStr">
        <is>
          <t>marbella:kaynak:089</t>
        </is>
      </c>
      <c r="J189" s="49" t="n">
        <v>46319</v>
      </c>
      <c r="K189" s="51" t="n">
        <v>9062</v>
      </c>
      <c r="L189" s="29" t="inlineStr">
        <is>
          <t>Hayır</t>
        </is>
      </c>
      <c r="M189" s="29" t="inlineStr">
        <is>
          <t>Taslak</t>
        </is>
      </c>
      <c r="N189" s="29" t="inlineStr">
        <is>
          <t>marbella:saglik</t>
        </is>
      </c>
      <c r="O189" s="29" t="inlineStr">
        <is>
          <t>Sağlık acili, yangın ve kurtarma, vatandaş güvenliği ya da sivil koruma yardımı gerektiren acil bir durumda 112'yi çevir.
Aramanın ücretsiz olduğunu bil: trafik maliyetini şebeke operatörleri üstlenir.
Çağrın bulunduğun yerin coğrafi alanına göre ilgili merkeze düşer; merkezi özerk bölge işletir.</t>
        </is>
      </c>
      <c r="P189" s="29" t="n"/>
      <c r="Q189" s="29" t="n"/>
      <c r="R189" s="29" t="inlineStr">
        <is>
          <t>Arama ücretsizdir.</t>
        </is>
      </c>
      <c r="S189" s="29" t="n"/>
      <c r="T189" s="29" t="n"/>
    </row>
    <row r="190" ht="54" customHeight="1">
      <c r="A190" s="29" t="inlineStr">
        <is>
          <t>marbella:ulusal-asi-takvimi</t>
        </is>
      </c>
      <c r="B190" s="29" t="inlineStr">
        <is>
          <t>marbella</t>
        </is>
      </c>
      <c r="C190" s="29" t="inlineStr">
        <is>
          <t>ulusal-asi-takvimi</t>
        </is>
      </c>
      <c r="D190" s="29" t="inlineStr">
        <is>
          <t>İspanya'da ulusal aşı takvimi var mı, aşıları kim uygular?</t>
        </is>
      </c>
      <c r="E190" s="29" t="inlineStr">
        <is>
          <t>Sağlık Bakanlığı 2026 için yaşam boyu ortak aşı takvimini yayımlıyor; takvimin uygulanması özerk bölgelerin yetkisindedir</t>
        </is>
      </c>
      <c r="F190" s="29" t="inlineStr">
        <is>
          <t>Evet: İspanya'da Ulusal Sağlık Sistemi Bölgelerarası Konseyi'nin (CISNS) yaşam boyu ortak aşı takvimi var; Sağlık Bakanlığı sayfası bunu 2026 için yayımlıyor ve takvim yaşa göre tüm nüfusa önerilen aşıları içeriyor. Takvimi CISNS'de tüm özerk bölgeler ve Sağlık Bakanlığı birlikte uyumlaştırır; ancak takvimin kendi bölgende kurulması, uygulanması ve değerlendirilmesi özerk bölgelerin yetkisindedir. Aynı sayfada risk gruplarına yönelik çocuk ve yetişkin takvimleri, hızlandırılmış takvim ve özerk bölgelerin kendi takvimleri için ayrı bağlantılar bulunur.</t>
        </is>
      </c>
      <c r="G190" s="29" t="inlineStr">
        <is>
          <t>aşı takvimi, calendario de vacunación, CISNS, yaşam boyu aşı, risk grupları, özerk bölge, aşılama</t>
        </is>
      </c>
      <c r="H190" s="29" t="inlineStr">
        <is>
          <t>settled</t>
        </is>
      </c>
      <c r="I190" s="29" t="inlineStr">
        <is>
          <t>marbella:kaynak:090</t>
        </is>
      </c>
      <c r="J190" s="49" t="n">
        <v>46319</v>
      </c>
      <c r="K190" s="51" t="n">
        <v>9063</v>
      </c>
      <c r="L190" s="29" t="inlineStr">
        <is>
          <t>Hayır</t>
        </is>
      </c>
      <c r="M190" s="29" t="inlineStr">
        <is>
          <t>Taslak</t>
        </is>
      </c>
      <c r="N190" s="29" t="inlineStr">
        <is>
          <t>marbella:saglik</t>
        </is>
      </c>
      <c r="O190" s="29" t="inlineStr">
        <is>
          <t>2026 yaşam boyu aşı takvimini Sanidad Bakanlığı sayfasındaki "Calendario de vacunación a lo largo de toda la vida" bağlantısından aç.
Risk grubundaysan sayfadaki risk grupları takvimine (çocuklar için ya da yetişkinler için) bak.
Sayfada ayrıca hızlandırılmış takvim (calendario acelerado) bağlantısı var; Ocak 2025'te güncellenmiş.
Kendi bölgenin takvimi için sayfadaki "Calendarios de CCAA" bağlantısını kullan; takvimi bölgenin kendisi uygular.</t>
        </is>
      </c>
      <c r="P190" s="29" t="n"/>
      <c r="Q190" s="29" t="inlineStr">
        <is>
          <t>Takvim 2026 için yayımlanmıştır.</t>
        </is>
      </c>
      <c r="R190" s="29" t="n"/>
      <c r="S190" s="29" t="n"/>
      <c r="T190" s="29" t="n"/>
    </row>
    <row r="191" ht="54" customHeight="1">
      <c r="A191" s="29" t="inlineStr">
        <is>
          <t>marbella:hamilelik-dogum-ve-cocuk-sagligi-haklari</t>
        </is>
      </c>
      <c r="B191" s="29" t="inlineStr">
        <is>
          <t>marbella</t>
        </is>
      </c>
      <c r="C191" s="29" t="inlineStr">
        <is>
          <t>hamilelik-dogum-ve-cocuk-sagligi-haklari</t>
        </is>
      </c>
      <c r="D191" s="29" t="inlineStr">
        <is>
          <t>İspanya'da hamilelik, doğum ve çocuk sağlığı için kamu sistemi hangi hizmetleri sunar, doğum ödeneği kime verilir?</t>
        </is>
      </c>
      <c r="E191" s="29" t="inlineStr">
        <is>
          <t>Gebelik takibi, doğum sonrası ilk ay ziyareti ve çocuk sağlığı ortak hizmet paketindedir; doğum ve bakım ödeneği çalışanlara Seguridad Social'dan verilir</t>
        </is>
      </c>
      <c r="F191" s="29" t="inlineStr">
        <is>
          <t>Gebelik takibi, doğumdan sonraki ilk ay ziyareti ve çocuk sağlığı hizmetleri kamu sağlık sisteminin (SNS) ortak hizmet paketinde yer alır; doğum ve bakım ödeneği (prestación por nacimiento y cuidado de menor) ise Seguridad Social'ın çalışanlara verdiği ayrı bir ödenektir. Birinci basamakta hamile kadın ilk trimesterde sisteme alınır ve riskli gebelikler saptanır, normal gebelik uzman bakımla koordineli izlenir, emzirme ve doğuma hazırlık dahil anne eğitimi verilir ve doğumdan sonraki ilk ayda anne ile yenidoğanın durumunu değerlendiren lohusa ziyareti yapılır; hizmetin düzeni ilgili bölgenin sağlık servisine göre değişir. Çocuklar için büyüme ve psikomotor gelişim değerlendirmesi, ani bebek ölümünün önlenmesi, yenidoğan metabolizma hastalıkları taraması ile işitme ve görme sorunlarının erken saptanması ortak paketin parçasıdır. Doğum ve bakım izninin süresi 31/07/2025'te yürürlüğe giren Real Decreto-ley 9/2025 ile uzatıldı; ödenek düzenleyici matrahın %100'üdür, ücretli ya da serbest çalışan, cinsiyetten bağımsız sigortalılara verilir; sigortalı (alta ya da alta benzeri durumda) olmak ve doğum tarihindeki yaşa göre asgari prim süresini tamamlamak gerekir.</t>
        </is>
      </c>
      <c r="G191" s="29" t="inlineStr">
        <is>
          <t>hamilelik, doğum, lohusa, çocuk sağlığı, doğum ödeneği, nacimiento y cuidado de menor, prenatal tarama, Seguridad Social</t>
        </is>
      </c>
      <c r="H191" s="29" t="inlineStr">
        <is>
          <t>settled</t>
        </is>
      </c>
      <c r="I191" s="29" t="inlineStr">
        <is>
          <t>marbella:kaynak:091;marbella:kaynak:092</t>
        </is>
      </c>
      <c r="J191" s="49" t="n">
        <v>46319</v>
      </c>
      <c r="K191" s="51" t="n">
        <v>9064</v>
      </c>
      <c r="L191" s="29" t="inlineStr">
        <is>
          <t>Hayır</t>
        </is>
      </c>
      <c r="M191" s="29" t="inlineStr">
        <is>
          <t>Taslak</t>
        </is>
      </c>
      <c r="N191" s="29" t="inlineStr">
        <is>
          <t>marbella:saglik</t>
        </is>
      </c>
      <c r="O191" s="29" t="inlineStr">
        <is>
          <t>Hamileliğini öğrenince ilk trimesterde birinci basamak sağlık hizmetine başvur; gebelik takibi ve riskli gebelik taraması burada başlar.
Takipte sifiliz, HIV, hepatit B ve B grubu streptokok taramalarını iste; bunların tüm hamile kadınlara önerilmesi gerekir.
Gebelikte en az bir diş hekimi muayenesi yaptır; mümkünse ilk trimesterde.
Doğumdan sonraki ilk ay içinde lohusa ziyaretine git; anne ve yenidoğanın sağlık durumu değerlendirilir.
Doğum ve bakım ödeneği için Seguridad Social'da sigortalı (alta) olmalı ve doğum tarihindeki yaşına göre asgari prim süresini tamamlamış olmalısın: 21 yaşın altında prim süresi aranmaz; 21-25 yaşta son 7 yıl içinde 90 gün ya da yaşam boyu 180 gün; 26 yaş ve üstünde son 7 yıl içinde 180 gün ya da yaşam boyu 360 gün.
Diğer koşulları sağlayıp asgari prim süresini tamamlayamıyorsan, IPREM'in %100'üne denk gelen (matrah daha düşükse matrahın tutarındaki) prim şartsız ödeneğe (subsidio no contributivo) başvurabilirsin.
Kararlar ve bildirimler yalnız elektronik yoldan gönderilir; Seguridad Social'ın elektronik bildirim hizmetini (Notificaciones telemáticas) takip et.</t>
        </is>
      </c>
      <c r="P191" s="29" t="n"/>
      <c r="Q191" s="29" t="n"/>
      <c r="R191" s="29" t="inlineStr">
        <is>
          <t>Doğum ve bakım ödeneği düzenleyici matrahın %100'üdür; prim şartsız ödenek IPREM'in %100'ü ya da matrah daha düşükse matrahtır.</t>
        </is>
      </c>
      <c r="S191" s="29" t="inlineStr">
        <is>
          <t>Prim şartlı ödeneğin süresi, İşçi Statüsü (ET) art. 48.4, 5 ve 6 uyarınca kullanılan dinlenme ve izin dönemleri kadardır; prim şartsız ödenek (subsidio no contributivo) ise zorunlu dinlenme süresi kadardır; süre en çok 14 takvim günü artabilir.</t>
        </is>
      </c>
      <c r="T191" s="29" t="n"/>
    </row>
    <row r="192" ht="54" customHeight="1">
      <c r="A192" s="29" t="inlineStr">
        <is>
          <t>marbella:ruh-sagligi-ve-yasli-bakimi-dependencia</t>
        </is>
      </c>
      <c r="B192" s="29" t="inlineStr">
        <is>
          <t>marbella</t>
        </is>
      </c>
      <c r="C192" s="29" t="inlineStr">
        <is>
          <t>ruh-sagligi-ve-yasli-bakimi-dependencia</t>
        </is>
      </c>
      <c r="D192" s="29" t="inlineStr">
        <is>
          <t>İspanya'da ruh sağlığı bakımı ve yaşlı-bağımlı bakımı (dependencia) kamu sistemi kapsamında mı, kimler yararlanır?</t>
        </is>
      </c>
      <c r="E192" s="29" t="inlineStr">
        <is>
          <t>Ruh sağlığı ortak hizmet paketindedir; bakım desteği (SAAD) için 23/10/2026 itibarıyla ayrı koşullar geçerlidir ve uygulama özerk bölgelerle birliktedir</t>
        </is>
      </c>
      <c r="F192" s="29" t="inlineStr">
        <is>
          <t>Evet: ruh sağlığı bakımı Ulusal Sağlık Sistemi'nin ortak hizmet paketindedir; yaşlı ve bağımlı kişilerin bakımı ise Ley 39/2006 ile kurulan ayrı bir sistem (SAAD) üzerinden desteklenir ve hak sahipliği ayrı koşullara bağlıdır. Ruh sağlığı bakımı ruhsal bozuklukların tanı ve klinik takibini, ilaç tedavisini, bireysel, grup ve aile psikoterapilerini (psikanaliz ve hipnoz hariç), elektrokonvülsif tedaviyi ve gerekirse hastaneye yatışı kapsar; birinci basamakta uyum, kaygı ve depresif bozuklukların tanı ve tedavisi yapılır, gerekirse ruh sağlığı servislerine sevk edilir. 23/10/2026 itibarıyla (Ley 4/2026 ile değişen güncel metne göre) Ley 39/2006 art. 5.1, hak sahipliğini şu şartları taşıyan İspanyol vatandaşlarına tanır: bağımlılık derecelerinden birinde bulunmak ve İspanya'da beş yıl yaşamış olmak (son iki yıl başvurudan hemen önce). Asilo başvurucuları (ilgili belgeyi sunmuşlarsa), asilo ya da ikincil koruma sahipleri ve geçici koruma yararlanıcıları için İspanyol vatandaşlığı ve beş yıllık ikamet şartı aranmaz. Art. 5.2'ye göre yukarıdaki şartları taşıyıp İspanyol vatandaşı olmayanlar Ley Orgánica 4/2000'e, uluslararası antlaşmalara ve menşe ülkeyle yapılan sözleşmelere tabidir; yani yabancının durumu yalnız asilo ve geçici korumayla sınırlı değildir, koşulları bu düzenlemeler belirler. Bu kaynak Türk vatandaşları için ayrı bir hüküm içermez. Sistemi Devlet ve özerk bölgeler birlikte yürütür: Devlet ülkenin her yerinde geçerli ortak bir asgari hak içeriğini garanti eder, bağımlı kişi yaşadığı bölgeden bağımsız olarak, bu Ley'de öngörülen hizmet ve ödeneklere Ley'de yazılı koşullarla eşit koşullarda erişim hakkına sahiptir; özerk bölgeler isterlerse ek bir koruma düzeyi geliştirebilir, bu yüzden ek hizmetler bölgeye göre değişir.</t>
        </is>
      </c>
      <c r="G192" s="29" t="inlineStr">
        <is>
          <t>ruh sağlığı, psikoterapi, bağımlılık, dependencia, Ley 39/2006, SAAD, yaşlı bakımı, bakım veren, asilo</t>
        </is>
      </c>
      <c r="H192" s="29" t="inlineStr">
        <is>
          <t>settled</t>
        </is>
      </c>
      <c r="I192" s="29" t="inlineStr">
        <is>
          <t>marbella:kaynak:091;marbella:kaynak:093</t>
        </is>
      </c>
      <c r="J192" s="49" t="n">
        <v>46319</v>
      </c>
      <c r="K192" s="51" t="n">
        <v>9065</v>
      </c>
      <c r="L192" s="29" t="inlineStr">
        <is>
          <t>Hayır</t>
        </is>
      </c>
      <c r="M192" s="29" t="inlineStr">
        <is>
          <t>Taslak</t>
        </is>
      </c>
      <c r="N192" s="29" t="inlineStr">
        <is>
          <t>marbella:saglik</t>
        </is>
      </c>
      <c r="O192" s="29" t="inlineStr">
        <is>
          <t>Ruh sağlığı sorunları için önce birinci basamak sağlık hizmetine başvur: uyum, kaygı ve depresif bozuklukların tanı ve tedavisi burada yapılır, gerekirse ruh sağlığı servislerine sevk edilirsin.
Alkol ve kumar gibi bağımlılıklar için de ortak pakette tanı ve tedavi vardır.
Çocuk ve ergenlerin ruh sağlığı sorunlarında (otizm ve yeme bozuklukları dahil) ayakta tedavi, gündüz hastanesinde (hospital de día) psikoterapötik müdahaleler ve gerektiğinde yatış kapsanır.
Bakıma muhtaç bir yakının için hak sahipliği koşullarına (bağımlılık derecesi, İspanya'da beş yıl ikamet; İspanyol vatandaşı değilsen art. 5.2 uyarınca Ley Orgánica 4/2000, uluslararası antlaşmalar ve menşe ülke sözleşmeleri; asilo ve geçici korumada yukarıdaki istisnalar) uyup uymadığını belirle.
Yakınına evde bakıyorsan ve aile ortamında bakım için ekonomik ödeneği tanıyan kararda ana bakım veren olarak belirtildiysen, istihdam politikasında öncelikli grup olma, bakım sorumluluğunu çalışma hayatıyla uyumlaştıran önlemler ve Seguridad Social'a dahil olma haklarından yararlanabilirsin.</t>
        </is>
      </c>
      <c r="P192" s="29" t="n"/>
      <c r="Q192" s="29" t="inlineStr">
        <is>
          <t>Ley 39/2006 art. 5'in güncel metni 23/10/2026'dan itibaren yürürlüktedir; bakım veren haklarını düzenleyen art. 4 bis de 23/10/2026'dan itibaren yürürlüktedir.</t>
        </is>
      </c>
      <c r="R192" s="29" t="n"/>
      <c r="S192" s="29" t="inlineStr">
        <is>
          <t>Bakıma muhtaçlık (dependencia), yaşa, engelliliğe ya da hastalığa bağlı olabilen ve günlük yaşam etkinlikleri için başkalarının bakımına ya da önemli desteğe ihtiyaç doğuran kalıcı bir durumdur. 6 yaşından küçük çocuklar için ayrı bir ek hüküm uygulanır.</t>
        </is>
      </c>
      <c r="T192" s="29" t="n"/>
    </row>
    <row r="193" ht="54" customHeight="1">
      <c r="A193" s="29" t="inlineStr">
        <is>
          <t>marbella:endulus-saglik-karti-tarjeta-sanitaria-ve-aile-hekimi-secimi</t>
        </is>
      </c>
      <c r="B193" s="29" t="inlineStr">
        <is>
          <t>marbella</t>
        </is>
      </c>
      <c r="C193" s="29" t="inlineStr">
        <is>
          <t>endulus-saglik-karti-tarjeta-sanitaria-ve-aile-hekimi-secimi</t>
        </is>
      </c>
      <c r="D193" s="29" t="inlineStr">
        <is>
          <t>Endülüs'te kamu sağlık kartı (tarjeta sanitaria) nasıl alınır, aile hekimi ve sağlık merkezi nasıl seçilir?</t>
        </is>
      </c>
      <c r="E193" s="29" t="inlineStr">
        <is>
          <t>İlk kart yalnız sağlık merkezinde başvuruyla alınır; hekim seçimi merkezde ya da Cl@ve gibi güvenli kimlikle çevrim içi yapılır</t>
        </is>
      </c>
      <c r="F193" s="29" t="inlineStr">
        <is>
          <t>İlk tarjeta sanitaria'yı çevrim içi alamazsın; kendi sağlık merkezine (centro de salud) gidip başvurursun. Kartı kamu sağlık kapsamı olan ve Endülüs'te oturan kişi isteyebilir. Merkez, INSS'in verdiği sigortalı ya da yararlanıcı belgesini ve empadronamiento (belediye nüfus kaydı) belgesini ister. Aile hekimini ve merkezi, evinin bağlı olduğu sağlık bölgesindeki (distrito sanitario) profesyoneller arasından seçersin; merkezde başvurursan yanıt 45 günden önce gelir, Cl@ve, dijital sertifika ya da e-DNI'ın varsa seçim ClicSalud+ üzerinden çevrim içi yapılır.</t>
        </is>
      </c>
      <c r="G193" s="29" t="inlineStr">
        <is>
          <t>tarjeta sanitaria, sağlık kartı, centro de salud, aile hekimi, médico de familia, ClicSalud+, empadronamiento, Cl@ve</t>
        </is>
      </c>
      <c r="H193" s="29" t="inlineStr">
        <is>
          <t>new;settled</t>
        </is>
      </c>
      <c r="I193" s="29" t="inlineStr">
        <is>
          <t>marbella:kaynak:132;marbella:kaynak:133</t>
        </is>
      </c>
      <c r="J193" s="49" t="n">
        <v>46319</v>
      </c>
      <c r="K193" s="51" t="n">
        <v>9096</v>
      </c>
      <c r="L193" s="29" t="inlineStr">
        <is>
          <t>Hayır</t>
        </is>
      </c>
      <c r="M193" s="29" t="inlineStr">
        <is>
          <t>Taslak</t>
        </is>
      </c>
      <c r="N193" s="29" t="inlineStr">
        <is>
          <t>marbella:saglik</t>
        </is>
      </c>
      <c r="O193" s="29" t="inlineStr">
        <is>
          <t>Endülüs'teki sağlık merkezini (centro de atención primaria) bul ve ilk başvuru için doğrudan oraya git.
Başvuru formunu (modelo de solicitud) doldur; belgelerin aslını ve fotokopisini götür.
Aile hekimini ve merkezi, evinin bağlı olduğu sağlık bölgesindeki profesyoneller arasından seç; merkezde seçim formunu doldur.
Cl@ve, dijital sertifika ya da e-DNI'ın varsa seçimi ClicSalud+ üzerinden yap, hekim değişikliği hemen işlenir; atama belgesini yazdır ya da kaydet.
Kartla ilgili sorular için merkeze gitmeden önce Salud Responde'yi 955 54 50 60 numarasından arayabilirsin.</t>
        </is>
      </c>
      <c r="P193" s="29" t="inlineStr">
        <is>
          <t>Başvuru formu (modelo de solicitud), doldurulmuş
Başvuru sahibinin DNI'ı
14 yaşından büyük yararlanıcı için DNI; 14 yaşından küçük ya da yeni doğan için Libro de Familia
INSS'in verdiği sigortalı (asegurado) ya da sigortalının yararlanıcısı (beneficiario) olduğunu gösteren belge
Endülüs'te ikameti gösteren empadronamiento belgesi</t>
        </is>
      </c>
      <c r="Q193" s="29" t="inlineStr">
        <is>
          <t>Merkezde yaptığın hekim seçimi başvurusuna 45 günden önce yanıt gelir; çevrim içi seçim hemen işlenir. Hekim değişikliği için son değişiklikten en az üç ay geçmiş olmalı.</t>
        </is>
      </c>
      <c r="R193" s="29" t="n"/>
      <c r="S193" s="29" t="inlineStr">
        <is>
          <t>Hekim talebi, hekimin hasta kotasının dolu olması gibi nedenlerle reddedilebilir. Cl@ve, dijital sertifika ya da e-DNI'ın yoksa hekim ve merkez seçimini yalnızca sağlık merkezinde yapabilirsin; oturmadığın bir yerleşimdeki merkezi seçersen de merkezde yapılır. Hangi merkez ve sağlık bölgesine bağlı olduğun evinin adresine göre değişir. Kartın sanal sürümü (TSV) 26 Mart 2026'dan beri kamu sağlık kapsamı olan ve Endülüs'te oturan kişilere açıktır; Salud Andalucía uygulaması, ClicSalud+ ya da Carpeta ciudadana üzerinden Cl@ve, dijital sertifika veya e-DNI ile etkinleştirilir. TSV için yaş sınırı yoktur, ancak 18 yaş altı için Cl@ve gerekir.</t>
        </is>
      </c>
      <c r="T193" s="29" t="n"/>
    </row>
    <row r="194" ht="54" customHeight="1">
      <c r="A194" s="29" t="inlineStr">
        <is>
          <t>marbella:marbella-merkez-saglik-merkezleri-leganitos-ricardo-soriano</t>
        </is>
      </c>
      <c r="B194" s="29" t="inlineStr">
        <is>
          <t>marbella</t>
        </is>
      </c>
      <c r="C194" s="29" t="inlineStr">
        <is>
          <t>marbella-merkez-saglik-merkezleri-leganitos-ricardo-soriano</t>
        </is>
      </c>
      <c r="D194" s="29" t="inlineStr">
        <is>
          <t>Marbella merkezde devlet sağlık merkezi (centro de salud) nerede: Leganitos ve Ricardo Soriano adres, telefon, saat</t>
        </is>
      </c>
      <c r="E194" s="29" t="inlineStr">
        <is>
          <t>İkisi de Distrito Costa del Sol'a bağlı; Leganitos hafta içi 08:00-20:00, Ricardo Soriano cuma günleri 15:00'te kapanır</t>
        </is>
      </c>
      <c r="F194" s="29" t="inlineStr">
        <is>
          <t>Marbella merkezde iki Servicio Andaluz de Salud sağlık merkezi var. Centro de salud Leganitos: Pz. Leganitos, 5, 29601 Marbella, tel. 951 97 33 74, pazartesi-cuma 08:00-20:00. Centro de salud Ricardo Soriano: Av. Ricardo Soriano, 61, 29601 Marbella, tel. 951 06 51 90, pazartesi-perşembe 08:00-20:00, cuma 08:00-15:00. İkisinin de bağlı olduğu hastane Hospital Costa del Sol'dur. Merkezlerin kendi sayfalarında randevu (cita previa) ve işlemler için ClicSalud+ ve Salud Andalucía uygulaması bağlantıları ile Salud Responde numarası (955 54 50 60) yer alır.</t>
        </is>
      </c>
      <c r="G194" s="29" t="inlineStr">
        <is>
          <t>centro de salud, Leganitos, Ricardo Soriano, Marbella, sağlık merkezi, aile hekimi, cita previa, SAS</t>
        </is>
      </c>
      <c r="H194" s="29" t="inlineStr">
        <is>
          <t>new;settled</t>
        </is>
      </c>
      <c r="I194" s="29" t="inlineStr">
        <is>
          <t>marbella:kaynak:149;marbella:kaynak:151</t>
        </is>
      </c>
      <c r="J194" s="49" t="n">
        <v>46323</v>
      </c>
      <c r="K194" s="51" t="n">
        <v>700</v>
      </c>
      <c r="L194" s="29" t="inlineStr">
        <is>
          <t>Hayır</t>
        </is>
      </c>
      <c r="M194" s="29" t="inlineStr">
        <is>
          <t>Taslak</t>
        </is>
      </c>
      <c r="N194" s="29" t="inlineStr">
        <is>
          <t>marbella:saglik</t>
        </is>
      </c>
      <c r="O194" s="29" t="inlineStr">
        <is>
          <t>Merkezin telefonunu ara ya da randevuyu ClicSalud+ veya Salud Andalucía uygulamasından al.
Haftanın günlerine göre saatlere dikkat et: Ricardo Soriano cuma günü 15:00'te kapanır.</t>
        </is>
      </c>
      <c r="P194" s="29" t="n"/>
      <c r="Q194" s="29" t="inlineStr">
        <is>
          <t>Leganitos: pazartesi-cuma 08:00-20:00. Ricardo Soriano: pazartesi-perşembe 08:00-20:00, cuma 08:00-15:00.</t>
        </is>
      </c>
      <c r="R194" s="29" t="n"/>
      <c r="S194" s="29" t="n"/>
      <c r="T194" s="29" t="n"/>
    </row>
    <row r="195" ht="54" customHeight="1">
      <c r="A195" s="29" t="inlineStr">
        <is>
          <t>marbella:marbella-albarizas-ve-la-campana-saglik-merkezleri</t>
        </is>
      </c>
      <c r="B195" s="29" t="inlineStr">
        <is>
          <t>marbella</t>
        </is>
      </c>
      <c r="C195" s="29" t="inlineStr">
        <is>
          <t>marbella-albarizas-ve-la-campana-saglik-merkezleri</t>
        </is>
      </c>
      <c r="D195" s="29" t="inlineStr">
        <is>
          <t>Las Albarizas ve La Campana (Nueva Andalucía) sağlık merkezleri nerede, saatleri nedir?</t>
        </is>
      </c>
      <c r="E195" s="29" t="inlineStr">
        <is>
          <t>Las Albarizas hafta içi 08:00-20:00, La Campana hafta içi 08:00-15:00 açık; ikisi de Hospital Costa del Sol'a bağlı</t>
        </is>
      </c>
      <c r="F195" s="29" t="inlineStr">
        <is>
          <t>Las Albarizas semtinde Centro de salud Las Albarizas var: Av. Albarizas (Las) s/n, 29600 Marbella, tel. 951 97 33 54, pazartesi-cuma 08:00-20:00. Centro de salud La Campana (Nueva Andalucía) Av. Gustavo Adolfo Bécquer, 30'da kayıtlı (posta kodu 29670), tel. 951 97 54 20; pazartesi-cuma yalnız 08:00-15:00 açıktır, öğleden sonra gitmek istiyorsan Albarizas gibi 20:00'ye kadar açık merkezleri seç. İkisi de Distrito Costa del Sol, Marbella zona básica ve Hospital Costa del Sol'a bağlıdır.</t>
        </is>
      </c>
      <c r="G195" s="29" t="inlineStr">
        <is>
          <t>Las Albarizas, La Campana, Nueva Andalucía, centro de salud, Marbella, sağlık merkezi, saat</t>
        </is>
      </c>
      <c r="H195" s="29" t="inlineStr">
        <is>
          <t>new;settled</t>
        </is>
      </c>
      <c r="I195" s="29" t="inlineStr">
        <is>
          <t>marbella:kaynak:153;marbella:kaynak:152</t>
        </is>
      </c>
      <c r="J195" s="49" t="n">
        <v>46323</v>
      </c>
      <c r="K195" s="51" t="n">
        <v>701</v>
      </c>
      <c r="L195" s="29" t="inlineStr">
        <is>
          <t>Hayır</t>
        </is>
      </c>
      <c r="M195" s="29" t="inlineStr">
        <is>
          <t>Taslak</t>
        </is>
      </c>
      <c r="N195" s="29" t="inlineStr">
        <is>
          <t>marbella:saglik</t>
        </is>
      </c>
      <c r="O195" s="29" t="inlineStr">
        <is>
          <t>Oturduğun semte yakın merkezin telefonunu ara ya da randevuyu ClicSalud+ veya Salud Andalucía uygulamasından al.
La Campana'ya öğleden sonra gitmeyi planlama; merkez 15:00'e kadar açık.
Acil durum için merkezin sayfasında Urgencias numarası olarak 951 03 14 37 verilir.</t>
        </is>
      </c>
      <c r="P195" s="29" t="n"/>
      <c r="Q195" s="29" t="inlineStr">
        <is>
          <t>Las Albarizas: pazartesi-cuma 08:00-20:00. La Campana: pazartesi-cuma 08:00-15:00.</t>
        </is>
      </c>
      <c r="R195" s="29" t="n"/>
      <c r="S195" s="29" t="n"/>
      <c r="T195" s="29" t="n"/>
    </row>
    <row r="196" ht="54" customHeight="1">
      <c r="A196" s="29" t="inlineStr">
        <is>
          <t>marbella:marbella-san-pedro-alcantara-saglik-merkezi</t>
        </is>
      </c>
      <c r="B196" s="29" t="inlineStr">
        <is>
          <t>marbella</t>
        </is>
      </c>
      <c r="C196" s="29" t="inlineStr">
        <is>
          <t>marbella-san-pedro-alcantara-saglik-merkezi</t>
        </is>
      </c>
      <c r="D196" s="29" t="inlineStr">
        <is>
          <t>San Pedro Alcántara'da devlet sağlık merkezi nerede, telefonu ve saatleri nedir?</t>
        </is>
      </c>
      <c r="E196" s="29" t="inlineStr">
        <is>
          <t>Centro de salud San Pedro de Alcántara Calle Príncipe de Asturias s/n'de; hafta içi 08:00-20:00</t>
        </is>
      </c>
      <c r="F196" s="29" t="inlineStr">
        <is>
          <t>San Pedro Alcántara'daki Servicio Andaluz de Salud merkezi Centro de salud San Pedro de Alcántara'dır: Cl. Príncipe de Asturias s/n, 29670 San Pedro Alcántara, Marbella; tel. 951 97 34 36; pazartesi-cuma 08:00-20:00. Marbella zona básica ve Distrito Costa del Sol'a bağlıdır, referans hastanesi Hospital Costa del Sol'dur. Sayfada cita previa ve işlemler için ClicSalud+ ile Salud Andalucía uygulamasına bağlantı vardır.</t>
        </is>
      </c>
      <c r="G196" s="29" t="inlineStr">
        <is>
          <t>San Pedro Alcántara, centro de salud, sağlık merkezi, Marbella, Príncipe de Asturias, cita previa</t>
        </is>
      </c>
      <c r="H196" s="29" t="inlineStr">
        <is>
          <t>new;settled</t>
        </is>
      </c>
      <c r="I196" s="29" t="inlineStr">
        <is>
          <t>marbella:kaynak:150</t>
        </is>
      </c>
      <c r="J196" s="49" t="n">
        <v>46323</v>
      </c>
      <c r="K196" s="51" t="n">
        <v>702</v>
      </c>
      <c r="L196" s="29" t="inlineStr">
        <is>
          <t>Hayır</t>
        </is>
      </c>
      <c r="M196" s="29" t="inlineStr">
        <is>
          <t>Taslak</t>
        </is>
      </c>
      <c r="N196" s="29" t="inlineStr">
        <is>
          <t>marbella:saglik</t>
        </is>
      </c>
      <c r="O196" s="29" t="inlineStr">
        <is>
          <t>Telefonla ara ya da randevuyu ClicSalud+ veya Salud Andalucía uygulamasından al.</t>
        </is>
      </c>
      <c r="P196" s="29" t="n"/>
      <c r="Q196" s="29" t="inlineStr">
        <is>
          <t>Pazartesi-cuma 08:00-20:00.</t>
        </is>
      </c>
      <c r="R196" s="29" t="n"/>
      <c r="S196" s="29" t="n"/>
      <c r="T196" s="29" t="n"/>
    </row>
    <row r="197" ht="54" customHeight="1">
      <c r="A197" s="29" t="inlineStr">
        <is>
          <t>marbella:marbella-hospital-costa-del-sol-adres-acil-telefonlar</t>
        </is>
      </c>
      <c r="B197" s="29" t="inlineStr">
        <is>
          <t>marbella</t>
        </is>
      </c>
      <c r="C197" s="29" t="inlineStr">
        <is>
          <t>marbella-hospital-costa-del-sol-adres-acil-telefonlar</t>
        </is>
      </c>
      <c r="D197" s="29" t="inlineStr">
        <is>
          <t>Marbella'daki devlet hastanesi Hospital Costa del Sol nerede, acil servis ve bilgi telefonları neler?</t>
        </is>
      </c>
      <c r="E197" s="29" t="inlineStr">
        <is>
          <t>Hospital Universitario Costa del Sol Ctra. Nacional 340, km 187'de; acil servis (Urgencias) numarası 951 03 14 37</t>
        </is>
      </c>
      <c r="F197" s="29" t="inlineStr">
        <is>
          <t>Marbella'daki devlet hastanesi Hospital Costa del Sol (Hospital Universitario Costa del Sol) Ctra. Nacional 340, km 187, 29603 Marbella adresindedir. Servicio Andaluz de Salud rehberinde Urgencias için 951 03 14 37, santral için 951 97 66 69, vatandaş hizmetleri için 951 97 66 63 ve 951 97 66 64 verilir. Salud Responde hattı 955 54 50 60'dır. Marbella'daki Leganitos sağlık merkezinin referans hastanesi de burasıdır.</t>
        </is>
      </c>
      <c r="G197" s="29" t="inlineStr">
        <is>
          <t>Hospital Costa del Sol, Hospital Universitario Costa del Sol, Marbella hastane, acil servis, urgencias, Salud Responde</t>
        </is>
      </c>
      <c r="H197" s="29" t="inlineStr">
        <is>
          <t>new;settled</t>
        </is>
      </c>
      <c r="I197" s="29" t="inlineStr">
        <is>
          <t>marbella:kaynak:148;marbella:kaynak:149</t>
        </is>
      </c>
      <c r="J197" s="49" t="n">
        <v>46323</v>
      </c>
      <c r="K197" s="51" t="n">
        <v>703</v>
      </c>
      <c r="L197" s="29" t="inlineStr">
        <is>
          <t>Evet</t>
        </is>
      </c>
      <c r="M197" s="29" t="inlineStr">
        <is>
          <t>Taslak</t>
        </is>
      </c>
      <c r="N197" s="29" t="inlineStr">
        <is>
          <t>marbella:saglik</t>
        </is>
      </c>
      <c r="O197" s="29" t="inlineStr">
        <is>
          <t>Acil servis için Urgencias numarasını (951 03 14 37) ara ya da hastaneye git.
Randevu ve işlemler için ClicSalud+ veya Salud Andalucía uygulamasını kullan; sayfa bunları 'Consultas y trámites' olarak listeler.
Hastane bilgisi için santrali (951 97 66 69) ya da vatandaş hizmetlerini ara.</t>
        </is>
      </c>
      <c r="P197" s="29" t="n"/>
      <c r="Q197" s="29" t="n"/>
      <c r="R197" s="29" t="n"/>
      <c r="S197" s="29" t="inlineStr">
        <is>
          <t>Bu bilgiler Servicio Andaluz de Salud'un merkez rehberindedir (sayfanın son güncelleme tarihi 22/10/2018).</t>
        </is>
      </c>
      <c r="T197" s="29" t="n"/>
    </row>
    <row r="198" ht="54" customHeight="1">
      <c r="A198" s="29" t="inlineStr">
        <is>
          <t>marbella:marbella-ilk-saglik-karti-basvurusu-belgeler</t>
        </is>
      </c>
      <c r="B198" s="29" t="inlineStr">
        <is>
          <t>marbella</t>
        </is>
      </c>
      <c r="C198" s="29" t="inlineStr">
        <is>
          <t>marbella-ilk-saglik-karti-basvurusu-belgeler</t>
        </is>
      </c>
      <c r="D198" s="29" t="inlineStr">
        <is>
          <t>Marbella'da ilk kez sağlık kartı (tarjeta sanitaria) için hangi belgelerle nereye başvurursun?</t>
        </is>
      </c>
      <c r="E198" s="29" t="inlineStr">
        <is>
          <t>Başvuru bir atención primaria merkezinde yapılır: başvuru formu, kimlik ve empadronamiento belgesi gerekir</t>
        </is>
      </c>
      <c r="F198" s="29" t="inlineStr">
        <is>
          <t>Sağlık kartı başvurusunu bir atención primaria merkezine yaparsın; Marbella'da örnek olarak Centro de salud Leganitos (Pz. Leganitos, 5, tel. 951 97 33 74) bu işleri yürüten SAS merkezlerinden biridir. Merkezde başvuru formunu (modelo de solicitud), 14 yaş üstü her bireyin DNI'sini (yabancı yerleşikler için NIE), 14 yaş altı çocuk varsa libro de familia'yı ve Andalucía'da oturduğunu gösteren empadronamiento belgesini verirsin. Kart başvuruyla birlikte sana bir aile hekimi (çocuklar için pediatra) ve bir sağlık merkezi atar. Kart kalıcıdır, son kullanma tarihi yoktur.</t>
        </is>
      </c>
      <c r="G198" s="29" t="inlineStr">
        <is>
          <t>tarjeta sanitaria, sağlık kartı, empadronamiento, centro de salud, Marbella, DNI, NIE, modelo de solicitud</t>
        </is>
      </c>
      <c r="H198" s="29" t="inlineStr">
        <is>
          <t>new</t>
        </is>
      </c>
      <c r="I198" s="29" t="inlineStr">
        <is>
          <t>marbella:kaynak:154;marbella:kaynak:149</t>
        </is>
      </c>
      <c r="J198" s="49" t="n">
        <v>46323</v>
      </c>
      <c r="K198" s="51" t="n">
        <v>704</v>
      </c>
      <c r="L198" s="29" t="inlineStr">
        <is>
          <t>Evet</t>
        </is>
      </c>
      <c r="M198" s="29" t="inlineStr">
        <is>
          <t>Taslak</t>
        </is>
      </c>
      <c r="N198" s="29" t="inlineStr">
        <is>
          <t>marbella:saglik</t>
        </is>
      </c>
      <c r="O198" s="29" t="inlineStr">
        <is>
          <t>Sağlık kartı koşullarını sağladığını kontrol et: Andalucía'da mutad ikamet, INSS tarafından tanınmış kamu sağlık kapsamı ve Sistema Nacional de Salud kaydı.
Başvuru formunu (modelo de solicitud) SAS sayfasından indir.
Formu, kimlik belgeni ve empadronamiento belgeni bir atención primaria merkezine ver.
Sorular için 24 saat açık Salud Responde hattını (955 54 50 60) ara.</t>
        </is>
      </c>
      <c r="P198" s="29" t="inlineStr">
        <is>
          <t>Başvuru formu (modelo de solicitud)
DNI (14 yaş üstü bireyler için; yabancı yerleşikler için NIE)
Libro de familia (14 yaş altı beneficiario varsa)
Andalucía'da ikamet kanıtı: certificado de empadronamiento</t>
        </is>
      </c>
      <c r="Q198" s="29" t="inlineStr">
        <is>
          <t>Kart kalıcıdır ve son kullanma tarihi yoktur.</t>
        </is>
      </c>
      <c r="R198" s="29" t="n"/>
      <c r="S198" s="29" t="n"/>
      <c r="T198" s="29" t="n"/>
    </row>
    <row r="199" ht="54" customHeight="1">
      <c r="A199" s="29" t="inlineStr">
        <is>
          <t>marbella:marbella-yenidogan-bebek-saglik-karti</t>
        </is>
      </c>
      <c r="B199" s="29" t="inlineStr">
        <is>
          <t>marbella</t>
        </is>
      </c>
      <c r="C199" s="29" t="inlineStr">
        <is>
          <t>marbella-yenidogan-bebek-saglik-karti</t>
        </is>
      </c>
      <c r="D199" s="29" t="inlineStr">
        <is>
          <t>Marbella'da doğan bebek için sağlık kartı nasıl alınır?</t>
        </is>
      </c>
      <c r="E199" s="29" t="inlineStr">
        <is>
          <t>Doğum Andalucía'daki bir hastanede olduysa bebek otomatik kaydedilir; yine de INSS'te yararlanıcı olarak tanınması ve merkeze başvuru gerekir</t>
        </is>
      </c>
      <c r="F199" s="29" t="inlineStr">
        <is>
          <t>Bebek Andalucía'daki bir hastanede doğduysa verileri hastanede Rupyna sistemine girilir ve bebeğe otomatik olarak bir pediatra ve bir atención primaria merkezi atanır. Sağlık kartı için ayrıca INSS'in bebeği anne veya babanın yararlanıcısı olarak tanıması ve BADAS kaydına işlemesi gerekir; bu işlemi Seguridad Social elektronik merkezinden sertifikasız internetten ya da Seguridad Social ofisinden randevu (cita previa) alarak yaparsın. Ardından atención primaria merkezine modelo de solicitud ve yasal temsilcinin (anne, baba ya da vasi) kimlik belgesiyle gidersin. Fiziksel kart, BDU'da kayıtlı adrese postayla gönderilir.</t>
        </is>
      </c>
      <c r="G199" s="29" t="inlineStr">
        <is>
          <t>yenidoğan, bebek sağlık kartı, tarjeta sanitaria, Rupyna, BADAS, INSS, pediatra, Marbella</t>
        </is>
      </c>
      <c r="H199" s="29" t="inlineStr">
        <is>
          <t>new</t>
        </is>
      </c>
      <c r="I199" s="29" t="inlineStr">
        <is>
          <t>marbella:kaynak:154</t>
        </is>
      </c>
      <c r="J199" s="49" t="n">
        <v>46323</v>
      </c>
      <c r="K199" s="51" t="n">
        <v>705</v>
      </c>
      <c r="L199" s="29" t="inlineStr">
        <is>
          <t>Hayır</t>
        </is>
      </c>
      <c r="M199" s="29" t="inlineStr">
        <is>
          <t>Taslak</t>
        </is>
      </c>
      <c r="N199" s="29" t="inlineStr">
        <is>
          <t>marbella:saglik</t>
        </is>
      </c>
      <c r="O199" s="29" t="inlineStr">
        <is>
          <t>Doğum hastanede olduysa bebeğin Rupyna'ya kaydedildiğini ve pediatra atandığını doğrula.
Anne ya da babanın yararlanıcısı olarak bebeğin INSS tarafından tanınmasını Seguridad Social elektronik merkezinden ya da randevuyla ofisten yaptır.
Atención primaria merkezine modelo de solicitud ve yasal temsilcinin kimlik belgesiyle git.
Kartı BDU'da kayıtlı adrese postayla bekle.</t>
        </is>
      </c>
      <c r="P199" s="29" t="inlineStr">
        <is>
          <t>Başvuru formu (modelo de solicitud)
Yasal temsilcinin (anne, baba ya da vasi) kimlik belgesi</t>
        </is>
      </c>
      <c r="Q199" s="29" t="n"/>
      <c r="R199" s="29" t="n"/>
      <c r="S199" s="29" t="inlineStr">
        <is>
          <t>Bu akış, doğumun Andalucía'daki bir hastanede gerçekleştiği durum için geçerlidir.</t>
        </is>
      </c>
      <c r="T199" s="29" t="n"/>
    </row>
    <row r="200" ht="54" customHeight="1">
      <c r="A200" s="29" t="inlineStr">
        <is>
          <t>marbella:marbella-aile-hekimi-randevusu-clicsalud-app</t>
        </is>
      </c>
      <c r="B200" s="29" t="inlineStr">
        <is>
          <t>marbella</t>
        </is>
      </c>
      <c r="C200" s="29" t="inlineStr">
        <is>
          <t>marbella-aile-hekimi-randevusu-clicsalud-app</t>
        </is>
      </c>
      <c r="D200" s="29" t="inlineStr">
        <is>
          <t>Marbella'da aile hekimine nasıl randevu alırsın: ClicSalud+, Salud Andalucía uygulaması, telefon</t>
        </is>
      </c>
      <c r="E200" s="29" t="inlineStr">
        <is>
          <t>Merkez telefonu, Salud Responde (955 54 50 60) ya da ücretsiz Salud Andalucía uygulaması; hatırlatma bir gün önce gelir</t>
        </is>
      </c>
      <c r="F200" s="29" t="inlineStr">
        <is>
          <t>Aile hekimi randevusunu üç yoldan alırsın: sağlık merkezini telefonla arayarak (ör. Centro de salud Leganitos, tel. 951 97 33 74), Salud Responde hattını (955 54 50 60) arayarak ya da ClicSalud+ web sitesi veya Salud Andalucía uygulamasındaki Agenda sanitaria bölümünden. Agenda sanitaria merkezde muayene ve atención primaria'da telefonla görüşme randevusu verir, hastane randevusu ve tetkik randevuları için de bazı işlemler sunar. Uygulama ücretsizdir. Uygulamaya tam erişim için certificado digital, Cl@ve gelişmiş kaydı ya da bunlardan alınan QR kodu gerekir; bazı işlemler için kişisel veri ve cep telefonuna gelen tek kullanımlık kod yeterlidir.</t>
        </is>
      </c>
      <c r="G200" s="29" t="inlineStr">
        <is>
          <t>randevu, cita previa, ClicSalud+, Salud Andalucía, aile hekimi, Salud Responde, Marbella, atención primaria</t>
        </is>
      </c>
      <c r="H200" s="29" t="inlineStr">
        <is>
          <t>new;settled</t>
        </is>
      </c>
      <c r="I200" s="29" t="inlineStr">
        <is>
          <t>marbella:kaynak:155;marbella:kaynak:149</t>
        </is>
      </c>
      <c r="J200" s="49" t="n">
        <v>46323</v>
      </c>
      <c r="K200" s="51" t="n">
        <v>706</v>
      </c>
      <c r="L200" s="29" t="inlineStr">
        <is>
          <t>Hayır</t>
        </is>
      </c>
      <c r="M200" s="29" t="inlineStr">
        <is>
          <t>Taslak</t>
        </is>
      </c>
      <c r="N200" s="29" t="inlineStr">
        <is>
          <t>marbella:saglik</t>
        </is>
      </c>
      <c r="O200" s="29" t="inlineStr">
        <is>
          <t>Randevuyu Salud Andalucía uygulamasında ya da ClicSalud+ web sitesinde 'Agenda sanitaria' bölümünden iste.
Uygulamaya girmek için certificado digital, Cl@ve gelişmiş kaydı ya da QR kodu kullan.
Uygulama yoksa Salud Responde (955 54 50 60) ya da sağlık merkezinin telefonunu ara.
Randevu hatırlatmasını bir gün önce telefonuna gelen mesajdan takip et.</t>
        </is>
      </c>
      <c r="P200" s="29" t="inlineStr">
        <is>
          <t>Certificado digital ya da Cl@ve (uygulamaya tam erişim için)</t>
        </is>
      </c>
      <c r="Q200" s="29" t="inlineStr">
        <is>
          <t>Atención primaria randevu hatırlatması randevudan bir gün önce gönderilir.</t>
        </is>
      </c>
      <c r="R200" s="29" t="inlineStr">
        <is>
          <t>Uygulama ücretsizdir.</t>
        </is>
      </c>
      <c r="S200" s="29" t="n"/>
      <c r="T200" s="29" t="n"/>
    </row>
    <row r="201" ht="54" customHeight="1">
      <c r="A201" s="29" t="inlineStr">
        <is>
          <t>marbella:marbella-sanal-saglik-karti-ve-kart-yenileme</t>
        </is>
      </c>
      <c r="B201" s="29" t="inlineStr">
        <is>
          <t>marbella</t>
        </is>
      </c>
      <c r="C201" s="29" t="inlineStr">
        <is>
          <t>marbella-sanal-saglik-karti-ve-kart-yenileme</t>
        </is>
      </c>
      <c r="D201" s="29" t="inlineStr">
        <is>
          <t>Sanal sağlık kartı (tarjeta sanitaria virtual) nasıl alınır, fiziksel kart kaybolursa ne yaparsın?</t>
        </is>
      </c>
      <c r="E201" s="29" t="inlineStr">
        <is>
          <t>Sanal kart için önce fiziksel kartı bir kez almış olman gerekir; yenileme ve kartı kilitleme ClicSalud+ ve uygulamadan yapılır</t>
        </is>
      </c>
      <c r="F201" s="29" t="inlineStr">
        <is>
          <t>Sanal sağlık kartını kullanabilmek için fiziksel kartı en az bir kez almış olman gerekir. Kartı Salud Andalucía uygulamasında etkinleştirirsin; bunun için certificado digital ya da Cl@ve gerekir, ClicSalud+ web sitesinde DNIe, uygulamada ise QR de kullanılabilir. Sanal kartla sağlık merkezlerinde kimliğini gösterir ve eczaneden reçeteli ilacı alırsın; eczane için uygulamada geçici bir QR kodu üretilir. Fiziksel kart bozulursa, kaybolursa ya da çalınırsa ClicSalud+ ve uygulama üzerinden yenileme isteyebilirsin; yeni kart BDU'da kayıtlı adrese posta ile gönderilir. Sanal kartı geçici olarak kilitleyip açabilir ya da iptal edebilirsin.</t>
        </is>
      </c>
      <c r="G201" s="29" t="inlineStr">
        <is>
          <t>sanal sağlık kartı, tarjeta sanitaria virtual, kart yenileme, kayıp kart, Cl@ve, Salud Andalucía, ClicSalud+</t>
        </is>
      </c>
      <c r="H201" s="29" t="inlineStr">
        <is>
          <t>new;settled</t>
        </is>
      </c>
      <c r="I201" s="29" t="inlineStr">
        <is>
          <t>marbella:kaynak:154;marbella:kaynak:155</t>
        </is>
      </c>
      <c r="J201" s="49" t="n">
        <v>46323</v>
      </c>
      <c r="K201" s="51" t="n">
        <v>707</v>
      </c>
      <c r="L201" s="29" t="inlineStr">
        <is>
          <t>Hayır</t>
        </is>
      </c>
      <c r="M201" s="29" t="inlineStr">
        <is>
          <t>Taslak</t>
        </is>
      </c>
      <c r="N201" s="29" t="inlineStr">
        <is>
          <t>marbella:saglik</t>
        </is>
      </c>
      <c r="O201" s="29" t="inlineStr">
        <is>
          <t>Fiziksel kartı en az bir kez almış ol.
Salud Andalucía uygulamasını kur ve certificado digital ya da Cl@ve ile kimliğini doğrula.
Sanal kartı etkinleştir; eczane için geçici QR kodunu uygulamada üret.
Fiziksel kart kaybolursa yenilemeyi ClicSalud+ ya da uygulamadan kart numaranı, doğum tarihini ve kimlik belgeni girerek iste; önce kayıtlı adresinin doğru olduğunu kontrol et.</t>
        </is>
      </c>
      <c r="P201" s="29" t="inlineStr">
        <is>
          <t>Certificado digital ya da Cl@ve
Kart numarası, doğum tarihi ve kimlik belgesi (yenileme için, 14 yaşından itibaren)</t>
        </is>
      </c>
      <c r="Q201" s="29" t="n"/>
      <c r="R201" s="29" t="n"/>
      <c r="S201" s="29" t="inlineStr">
        <is>
          <t>Kart kalıcıdır ve son kullanma tarihi yoktur.</t>
        </is>
      </c>
      <c r="T201" s="29" t="n"/>
    </row>
    <row r="202" ht="54" customHeight="1">
      <c r="A202" s="29" t="inlineStr">
        <is>
          <t>marbella:endulus-2026-asi-takvimi-yenilikleri-cocuk-ergen-yetiskin</t>
        </is>
      </c>
      <c r="B202" s="29" t="inlineStr">
        <is>
          <t>marbella</t>
        </is>
      </c>
      <c r="C202" s="29" t="inlineStr">
        <is>
          <t>endulus-2026-asi-takvimi-yenilikleri-cocuk-ergen-yetiskin</t>
        </is>
      </c>
      <c r="D202" s="29" t="inlineStr">
        <is>
          <t>Endülüs'te 2026 aşı takviminde ne değişti: çocuklar, ergenler ve 60-80 yaş yetişkinler için hangi aşılar yapılıyor?</t>
        </is>
      </c>
      <c r="E202" s="29" t="inlineStr">
        <is>
          <t>Kızamık-kızamıkçık-kabakulak ve suçiçeği 2. doz 2 yaşa çekildi; HPV 21 yaşına, pnömokok 80 yaşına uzatıldı</t>
        </is>
      </c>
      <c r="F202" s="29" t="inlineStr">
        <is>
          <t>Servicio Andaluz de Salud'un 2026 aşı takvimi 2025'e göre şu yenilikleri getirdi. Kızamık-kızamıkçık-kabakulak (triple vírica) ve suçiçeği aşısının 2. dozu 3 yaştan 2 yaşa çekildi; 2026'da 2024 ve 2023'te doğan çocuklar aşılanır. Rotavirüs aşısı Rotarix ağızdan iki doz olarak 2. ve 4. aylarda yapılır, 1 Ekim 2025'ten sonra doğup aşısı başlamamış ya da bitmemiş bebekler için telafi var. HPV aşısı 12-18 yaştan 21 yaşına kadar kız ve erkeklere uzatıldı; 2026'da daha önce hiç HPV aşısı olmamış gençlere tek doz yapılır. Yetişkinlerde konjuge pnömokok aşısı 60-76 yaştan 60-80 yaşa genişledi; 2026'da bu yaştaki aşısız herkese bir doz uygulanır, 65 yaşında aşılama sürer.</t>
        </is>
      </c>
      <c r="G202" s="29" t="inlineStr">
        <is>
          <t>aşı takvimi, Endülüs, vacunación 2026, HPV, pnömokok, triple vírica, rotavirus, Marbella</t>
        </is>
      </c>
      <c r="H202" s="29" t="inlineStr">
        <is>
          <t>new;settled</t>
        </is>
      </c>
      <c r="I202" s="29" t="inlineStr">
        <is>
          <t>marbella:kaynak:156</t>
        </is>
      </c>
      <c r="J202" s="49" t="n">
        <v>46323</v>
      </c>
      <c r="K202" s="51" t="n">
        <v>708</v>
      </c>
      <c r="L202" s="29" t="inlineStr">
        <is>
          <t>Hayır</t>
        </is>
      </c>
      <c r="M202" s="29" t="inlineStr">
        <is>
          <t>Taslak</t>
        </is>
      </c>
      <c r="N202" s="29" t="inlineStr">
        <is>
          <t>marbella:saglik</t>
        </is>
      </c>
      <c r="O202" s="29" t="inlineStr">
        <is>
          <t>Çocuğun 2024 ya da 2023 doğumluysa 2026'da triple vírica ve suçiçeği aşısı bu takvimin kapsamındadır.
12-21 yaş arasında HPV aşısı olmamış gençler 2026'da tek doz alır; 12 yaşta okulda yapılan HPV ve MenACWY aşıları için geçmiş kayıtlar taranır.
60-80 yaş arası yetişkinler, daha önce VNC13, VNC15 ya da VNC20 pnömokok aşısı olmadıysa 2026'da bir doz alır.</t>
        </is>
      </c>
      <c r="P202" s="29" t="n"/>
      <c r="Q202" s="29" t="inlineStr">
        <is>
          <t>Rotarix: 2. ve 4. ayda iki doz, şubat ayında doz hazır olduğunda. HPV: 2026'da tek doz. Pnömokok: 2026'da bir doz.</t>
        </is>
      </c>
      <c r="R202" s="29" t="n"/>
      <c r="S202" s="29" t="inlineStr">
        <is>
          <t>Rotavirüs telafisi, 1 Ekim 2025'ten sonra doğan ve ilk doz için hâlâ 20 haftadan küçük bebekler içindir.</t>
        </is>
      </c>
      <c r="T202" s="29" t="n"/>
    </row>
    <row r="203" ht="54" customHeight="1">
      <c r="A203" s="29" t="inlineStr">
        <is>
          <t>marbella:marbella-yaz-sicagi-saglik-riskleri-ulusal-sicak-plani</t>
        </is>
      </c>
      <c r="B203" s="29" t="inlineStr">
        <is>
          <t>marbella</t>
        </is>
      </c>
      <c r="C203" s="29" t="inlineStr">
        <is>
          <t>marbella-yaz-sicagi-saglik-riskleri-ulusal-sicak-plani</t>
        </is>
      </c>
      <c r="D203" s="29" t="inlineStr">
        <is>
          <t>Marbella'da yaz sıcağı hangi sağlık sorunlarına yol açar, ulusal sıcak planı ne zaman devrede?</t>
        </is>
      </c>
      <c r="E203" s="29" t="inlineStr">
        <is>
          <t>Plan her yaz mayıs-eylül arasında devreye girer; yaşlılar ve çocuklar sıcağa daha duyarlı</t>
        </is>
      </c>
      <c r="F203" s="29" t="inlineStr">
        <is>
          <t>İspanya'da aşırı sıcaklığın sağlığa etkilerini azaltmak için hazırlanan Plan Nacional, 2004'ten beri her yaz mayıs ile eylül arasında yürürlüğe girer. Aşırı sıcak kramp, vücudun susuz kalması, güneş çarpması ve sıcak çarpmasına yol açabilir; sıcak çarpması ayakta duramama, nöbet ve komaya kadar gidebilen çok organlı sorunlar yaratır. Yaşlılar ve çocuklar bu değişimlere daha duyarlıdır; yalnızlık, bağımlılık, engellilik ve kötü konut koşulları riski artırır. Sağlık Bakanlığı sayfasında meteosalud bölgelerine göre sağlık risk seviyeleri haritası yer alır.</t>
        </is>
      </c>
      <c r="G203" s="29" t="inlineStr">
        <is>
          <t>sıcak çarpması, aşırı sıcak, calor extremo, yaz, Marbella, Plan Nacional, meteosalud, dehidrasyon</t>
        </is>
      </c>
      <c r="H203" s="29" t="inlineStr">
        <is>
          <t>planning;new;settled</t>
        </is>
      </c>
      <c r="I203" s="29" t="inlineStr">
        <is>
          <t>marbella:kaynak:193</t>
        </is>
      </c>
      <c r="J203" s="49" t="n">
        <v>46323</v>
      </c>
      <c r="K203" s="51" t="n">
        <v>709</v>
      </c>
      <c r="L203" s="29" t="inlineStr">
        <is>
          <t>Hayır</t>
        </is>
      </c>
      <c r="M203" s="29" t="inlineStr">
        <is>
          <t>Taslak</t>
        </is>
      </c>
      <c r="N203" s="29" t="inlineStr">
        <is>
          <t>marbella:saglik</t>
        </is>
      </c>
      <c r="O203" s="29" t="inlineStr">
        <is>
          <t>Mayıs-eylül arasında sağlık risk seviyeleri haritasına bak.
Kramp, susuzluk, güneş çarpması ve sıcak çarpması belirtilerini tanı.
Yaşlı ve çocuklar için özellikle dikkat et.</t>
        </is>
      </c>
      <c r="P203" s="29" t="n"/>
      <c r="Q203" s="29" t="inlineStr">
        <is>
          <t>Plan her yıl mayıs ile eylül arasında devreye girer.</t>
        </is>
      </c>
      <c r="R203" s="29" t="n"/>
      <c r="S203" s="29" t="inlineStr">
        <is>
          <t>Sağlık Bakanlığı sayfasında 37 °C'den itibaren vücudun bir savunma tepkisi verdiği belirtilir.</t>
        </is>
      </c>
      <c r="T203" s="29" t="n"/>
    </row>
    <row r="204" ht="54" customHeight="1">
      <c r="A204" s="29" t="inlineStr">
        <is>
          <t>marbella:marbella-belediye-saglik-tuketici-hizmetler-delegasyonu</t>
        </is>
      </c>
      <c r="B204" s="29" t="inlineStr">
        <is>
          <t>marbella</t>
        </is>
      </c>
      <c r="C204" s="29" t="inlineStr">
        <is>
          <t>marbella-belediye-saglik-tuketici-hizmetler-delegasyonu</t>
        </is>
      </c>
      <c r="D204" s="29" t="inlineStr">
        <is>
          <t>Marbella belediyesinin Sağlık, Tüketici ve Hizmetler delegasyonu (Delegación de Sanidad) nerede, hangi işleri yapar?</t>
        </is>
      </c>
      <c r="E204" s="29" t="inlineStr">
        <is>
          <t>Calle Caballeros 25'te; hayvan sağlığı, içme ve havuz suyu analizi, Batı Nil virüsü kampanyaları ve sağlıklı yürüyüş programı</t>
        </is>
      </c>
      <c r="F204" s="29" t="inlineStr">
        <is>
          <t>Marbella belediyesinin sağlık işleri Delegación de Sanidad, Consumo y Servicios'tedir: Calle Caballeros, 25, 29601 Marbella; tel. +34 952 761 187; e-posta sanidad@marbella.es. Delegasyonun sayfasında Batı Nil virüsü (Virus del Nilo Occidental) kampanyaları ve önerileri, kedi kolonileri yönetim programı, hayvan sağlığı (tehlikeli hayvanlar, kontrol, terk, yaralı hayvanlar, klinikler) ve içme ve eğlence amaçlı suların analizini yapan laboratuvar bölümleri vardır. Delegasyon, kalite için UNE-EN ISO 9001:2015 sertifikalıdır. Ekim 2026'da belediye, La Campana, Las Albarizas, Leganitos, Ricardo Soriano ve San Pedro Alcántara sağlık merkezlerinin yürüttüğü Paseos Saludables (sağlıklı yürüyüşler) programına destek verdi; program ilk kez San Pedro Alcántara'ya ulaşıyor.</t>
        </is>
      </c>
      <c r="G204" s="29" t="inlineStr">
        <is>
          <t>Sanidad, Marbella belediyesi, Paseos Saludables, Batı Nil virüsü, su analizi, hayvan sağlığı, sanidad@marbella.es</t>
        </is>
      </c>
      <c r="H204" s="29" t="inlineStr">
        <is>
          <t>new;settled</t>
        </is>
      </c>
      <c r="I204" s="29" t="inlineStr">
        <is>
          <t>marbella:kaynak:157</t>
        </is>
      </c>
      <c r="J204" s="49" t="n">
        <v>46323</v>
      </c>
      <c r="K204" s="51" t="n">
        <v>710</v>
      </c>
      <c r="L204" s="29" t="inlineStr">
        <is>
          <t>Hayır</t>
        </is>
      </c>
      <c r="M204" s="29" t="inlineStr">
        <is>
          <t>Taslak</t>
        </is>
      </c>
      <c r="N204" s="29" t="inlineStr">
        <is>
          <t>marbella:saglik</t>
        </is>
      </c>
      <c r="O204" s="29" t="inlineStr">
        <is>
          <t>Delegasyonu 952 761 187 numarasından ya da sanidad@marbella.es adresinden ulaş.
Delegasyonun sayfasında kampanyalar, hayvan sağlığı ve su analizi bölümlerine bak.
Paseos Saludables hakkında bilgi için delegasyona ulaş.</t>
        </is>
      </c>
      <c r="P204" s="29" t="n"/>
      <c r="Q204" s="29" t="n"/>
      <c r="R204" s="29" t="n"/>
      <c r="S204" s="29" t="inlineStr">
        <is>
          <t>Haber sayfası 1 Ekim 2026 tarihlidir.</t>
        </is>
      </c>
      <c r="T204" s="29" t="n"/>
    </row>
    <row r="205" ht="54" customHeight="1">
      <c r="A205" s="29" t="inlineStr">
        <is>
          <t>marbella:salud-responde-955-54-50-60-neler-yapilir</t>
        </is>
      </c>
      <c r="B205" s="29" t="inlineStr">
        <is>
          <t>marbella</t>
        </is>
      </c>
      <c r="C205" s="29" t="inlineStr">
        <is>
          <t>salud-responde-955-54-50-60-neler-yapilir</t>
        </is>
      </c>
      <c r="D205" s="29" t="inlineStr">
        <is>
          <t>Salud Responde (955 54 50 60) hattından neler yapabilirsin: sağlık kartı soruları ve hastane değiştirme</t>
        </is>
      </c>
      <c r="E205" s="29" t="inlineStr">
        <is>
          <t>Hat 24 saat açık; sağlık kartı sorularını yanıtlar ve farklı bir devlet hastanesini seçme işlemini yürütür</t>
        </is>
      </c>
      <c r="F205" s="29" t="inlineStr">
        <is>
          <t>Salud Responde, Andalucía'nın 24 saat açık sağlık hattıdır: 955 54 50 60. Hat, sağlık kartı (tarjeta sanitaria) konusundaki soruları yanıtlar. Kendi hastanenden farklı bir devlet hastanesini seçmek istiyorsan hattı arayıp değişikliği resmîleştirecek idari işlemleri aynı çağrıda yapabilirsin. Daha genel bilgi için Junta de Andalucía'nın 012 ya da 955 012 012 hattı var.</t>
        </is>
      </c>
      <c r="G205" s="29" t="inlineStr">
        <is>
          <t>Salud Responde, 955 54 50 60, sağlık hattı, hastane seçimi, tarjeta sanitaria, Marbella, 012</t>
        </is>
      </c>
      <c r="H205" s="29" t="inlineStr">
        <is>
          <t>new;settled</t>
        </is>
      </c>
      <c r="I205" s="29" t="inlineStr">
        <is>
          <t>marbella:kaynak:154;marbella:kaynak:133</t>
        </is>
      </c>
      <c r="J205" s="49" t="n">
        <v>46323</v>
      </c>
      <c r="K205" s="51" t="n">
        <v>711</v>
      </c>
      <c r="L205" s="29" t="inlineStr">
        <is>
          <t>Hayır</t>
        </is>
      </c>
      <c r="M205" s="29" t="inlineStr">
        <is>
          <t>Taslak</t>
        </is>
      </c>
      <c r="N205" s="29" t="inlineStr">
        <is>
          <t>marbella:saglik</t>
        </is>
      </c>
      <c r="O205" s="29" t="inlineStr">
        <is>
          <t>955 54 50 60'ı ara; hat gün boyu 24 saat açık.
Sağlık kartı sorunu için kart bilgilerini hazırla.
Başka bir devlet hastanesini seçmek istiyorsan aynı hatta değişiklik işlemini yaptır.</t>
        </is>
      </c>
      <c r="P205" s="29" t="n"/>
      <c r="Q205" s="29" t="inlineStr">
        <is>
          <t>Hat 24 saat açıktır.</t>
        </is>
      </c>
      <c r="R205" s="29" t="n"/>
      <c r="S205" s="29" t="n"/>
      <c r="T205" s="29" t="n"/>
    </row>
    <row r="206" ht="54" customHeight="1">
      <c r="A206" s="29" t="inlineStr">
        <is>
          <t>marbella:renfe-bilet-iptal-degisiklik-genc-indirimi</t>
        </is>
      </c>
      <c r="B206" s="29" t="inlineStr">
        <is>
          <t>marbella</t>
        </is>
      </c>
      <c r="C206" s="29" t="inlineStr">
        <is>
          <t>renfe-bilet-iptal-degisiklik-genc-indirimi</t>
        </is>
      </c>
      <c r="D206" s="29" t="inlineStr">
        <is>
          <t>İspanya'da Renfe AVE ve uzun mesafe biletinde iptal ve değişiklik nasıl işler, gençlere indirim var mı?</t>
        </is>
      </c>
      <c r="E206" s="29" t="inlineStr">
        <is>
          <t>Her bilet satın almadan sonra 2 saat içinde masrafsız iptal edilir; ek esneklik bilet türüne bağlıdır; 14-25 yaş için Más Renfe Joven 50 €</t>
        </is>
      </c>
      <c r="F206" s="29" t="inlineStr">
        <is>
          <t>Her Renfe AVE ve Larga Distancia (uzun mesafe) bileti, satın almadan sonraki 2 saat içinde masrafsız iptal edilebilir; daha fazla esneklik için Básico yerine Elige ya da Prémium bilet almak gerekir. Bilet türleri Básico, Elige Estándar, Elige Confort ve Prémium'dur; AVE Internacional (İspanya-Fransa) hattında Prémium yoktur. Sınırsız ücretsiz değişiklik, Puente AVE, tam iade ve Pack Superflex ekstraları yalnız satın alma anında alınır ve Básico biletlerde bulunmaz. 14-25 yaşındaysan Más Renfe Joven üyeliği (50 €) AVE ve Larga Distancia'da %30, Avant, Media Distancia ve Cercanías/Rodalies'te %25 indirim verir.</t>
        </is>
      </c>
      <c r="G206" s="29" t="inlineStr">
        <is>
          <t>Renfe, AVE, Larga Distancia, tren bileti, iptal, değişiklik, Básico, Elige, Prémium, Más Renfe Joven, Carné Joven, gençlik indirimi</t>
        </is>
      </c>
      <c r="H206" s="29" t="inlineStr">
        <is>
          <t>new;settled</t>
        </is>
      </c>
      <c r="I206" s="29" t="inlineStr">
        <is>
          <t>marbella:kaynak:114;marbella:kaynak:115</t>
        </is>
      </c>
      <c r="J206" s="49" t="n">
        <v>46319</v>
      </c>
      <c r="K206" s="51" t="n">
        <v>9085</v>
      </c>
      <c r="L206" s="29" t="inlineStr">
        <is>
          <t>Hayır</t>
        </is>
      </c>
      <c r="M206" s="29" t="inlineStr">
        <is>
          <t>Taslak</t>
        </is>
      </c>
      <c r="N206" s="29" t="inlineStr">
        <is>
          <t>marbella:ulasim</t>
        </is>
      </c>
      <c r="O206" s="29" t="inlineStr">
        <is>
          <t>Biletini alırken Básico, Elige Estándar, Elige Confort ve Prémium türlerini karşılaştır; esneklik istiyorsan Elige ya da Prémium seç.
Sınırsız ücretsiz değişiklik, Puente AVE, tam iade ya da Pack Superflex istiyorsan bunları bilet satın alırken ekle; sonradan eklenmez.
Vazgeçersen satın almadan sonraki 2 saat içinde iptal et; bu süre içinde masraf çıkmaz.
14-25 yaşındaysan Más Renfe Joven'e üye ol (50 €, 1 yıl geçerli).
Özerk topluluğunun verdiği Carné Joven de indirim sağlar: AVE ve Larga Distancia'da %5, Avant, Media Distancia ve Feve Regionales'te %20.
Yolculukta fotoğraflı, geçerli kimlik belgeni yanında taşı; biletler isme düzenlenir.</t>
        </is>
      </c>
      <c r="P206" s="29" t="inlineStr">
        <is>
          <t>Fotoğraflı geçerli kimlik belgesi: DNI, ehliyet, Tarjeta de Residencia ya da pasaport</t>
        </is>
      </c>
      <c r="Q206" s="29" t="inlineStr">
        <is>
          <t>Masrafsız iptal: satın almadan sonra 2 saat. Más Renfe Joven üyeliği: 1 yıl</t>
        </is>
      </c>
      <c r="R206" s="29" t="inlineStr">
        <is>
          <t>Más Renfe Joven: 50 €. İndirimler: AVE ve Larga Distancia %30; Avant, Media Distancia ve Cercanías/Rodalies %25. Carné Joven: AVE ve Larga Distancia %5; Avant, Media Distancia ve Feve Regionales %20</t>
        </is>
      </c>
      <c r="S206" s="29" t="inlineStr">
        <is>
          <t>Más Renfe Joven ve Carné Joven ile alınan biletlerde değişiklik ve iptal, biletin izin verdiği ölçüde ve masraflı olabilir. ISIC, European Youth Card gibi uluslararası kartlar da geçerlidir. Carné Joven'i özerk topluluk verir; koşulları bölgene göre değişir.</t>
        </is>
      </c>
      <c r="T206" s="29" t="n"/>
    </row>
    <row r="207" ht="54" customHeight="1">
      <c r="A207" s="29" t="inlineStr">
        <is>
          <t>marbella:otobus-yolcu-haklari-rotar-bagaj-engelli</t>
        </is>
      </c>
      <c r="B207" s="29" t="inlineStr">
        <is>
          <t>marbella</t>
        </is>
      </c>
      <c r="C207" s="29" t="inlineStr">
        <is>
          <t>otobus-yolcu-haklari-rotar-bagaj-engelli</t>
        </is>
      </c>
      <c r="D207" s="29" t="inlineStr">
        <is>
          <t>İspanya'da uzun mesafe otobüs gecikir ya da iptal olursa, bagaj zarar görürse ve engelli yolcuysam hangi haklarım var?</t>
        </is>
      </c>
      <c r="E207" s="29" t="inlineStr">
        <is>
          <t>AB 181/2011 Tüzüğü: programlı mesafe 250 km ve üzerindeyse, kalkışta 120 dakikadan uzun gecikme ya da iptalde iade veya alternatif yolculuk</t>
        </is>
      </c>
      <c r="F207" s="29" t="inlineStr">
        <is>
          <t>Evet: AB 181/2011 sayılı Tüzük, AB'de kalkış ya da varış noktası olan ve programlı mesafesi 250 km ve üzeri düzenli otobüs hatlarında yolcuya hak tanır; üye devletin muafiyet tanıdığı düzenli ulusal hatlar bunun dışında kalabilir. Kalkış 120 dakikadan fazla gecikirse ya da sefer iptal olursa taşıyıcı hemen iki seçenek sunar: ek ücretsiz devam ya da alternatif güzergâh, veya bilet bedelinin iadesi; seçenek sunulmazsa bilet fiyatının %50'si tutarında tazminat hakkın doğar. Süresi 3 saati aşan yolculukta kalkış 90 dakikadan fazla gecikirse ya da iptal olursa ücretsiz yiyecek-içecek ve gerekirse otel hakkın vardır. Engelli ve hareket kısıtlı yolcuya durak ve araçta ücretsiz yardım yapılır. Bagajda Tüzüğün tazminat hakkı yalnız otobüs kazasından doğan kayıp ya da hasarı kapsar; Tüzük tarifelerde yolcunun uyruğuna göre ayrımcılığı da yasaklar.</t>
        </is>
      </c>
      <c r="G207" s="29" t="inlineStr">
        <is>
          <t>otobüs, autobús, autocar, yolcu hakları, 181/2011, gecikme, iptal, bagaj, engelli, hareket kısıtlı, 250 km</t>
        </is>
      </c>
      <c r="H207" s="29" t="inlineStr">
        <is>
          <t>new;settled</t>
        </is>
      </c>
      <c r="I207" s="29" t="inlineStr">
        <is>
          <t>marbella:kaynak:116;marbella:kaynak:117</t>
        </is>
      </c>
      <c r="J207" s="49" t="n">
        <v>46319</v>
      </c>
      <c r="K207" s="51" t="n">
        <v>9086</v>
      </c>
      <c r="L207" s="29" t="inlineStr">
        <is>
          <t>Hayır</t>
        </is>
      </c>
      <c r="M207" s="29" t="inlineStr">
        <is>
          <t>Taslak</t>
        </is>
      </c>
      <c r="N207" s="29" t="inlineStr">
        <is>
          <t>marbella:ulasim</t>
        </is>
      </c>
      <c r="O207" s="29" t="inlineStr">
        <is>
          <t>Seferin programlı mesafesine bak: 250 km ve üzerindeyse Tüzüğün tamamı uygulanır; daha kısa hatlarda yalnız bazı maddeler (ayrımcılık yasağı, engelli yolcu hakları, bilgi, şikâyet mekanizması) uygulanır.
Kalkış 120 dakikadan fazla gecikir ya da sefer iptal olursa devam/alternatif güzergâh ile iade arasında seç; iade bilet bedelinin tamamını kapsar ve 14 gün içinde ödenir.
Seçenek sana sunulmadıysa taşıyıcıdan bilet fiyatının %50'si tutarında tazminat iste; taşıyıcı bunu talepten itibaren bir ay içinde öder.
Engelliysen ya da hareket kısıtlıysan yardım ihtiyacını taşıyıcıya, istasyon yöneticisine, seyahat acentesine ya da tur operatörüne en az 36 saat önce bildir ve taşıyıcının belirlediği noktada, belirlediği saatte hazır ol (saat belirlenmediyse kalkıştan en az 30 dakika önce); koltukla ilgili özel ihtiyacını rezervasyon ya da bilet alımı sırasında söyle.
Şikâyetini önce taşıyıcıya hizmetin verildiği ya da verilmesi gereken tarihten itibaren 3 ay içinde yap.</t>
        </is>
      </c>
      <c r="P207" s="29" t="n"/>
      <c r="Q207" s="29" t="inlineStr">
        <is>
          <t>Şikâyet: hizmet tarihinden itibaren 3 ay içinde taşıyıcıya; taşıyıcı 1 ay içinde durumu bildirir, nihai yanıt en geç 3 ay içinde verilir. Engelli yardımı: en az 36 saat önceden bildirim</t>
        </is>
      </c>
      <c r="R207" s="29" t="inlineStr">
        <is>
          <t>Otel gideri taşıyıcı tarafından geceliği 80 €, en çok iki geceyle sınırlanabilir (istasyon-otel ulaşımı bu sınıra dahil değildir)</t>
        </is>
      </c>
      <c r="S207" s="29" t="inlineStr">
        <is>
          <t>Bagaj: tazminat hakkı yalnız otobüs kazası sonucu bagaj kaybı ya da hasarı içindir ve ulusal hukuka göre belirlenir; ulusal hukukta konan üst sınır parça başına 1.200 €'dan az olamaz, tekerlekli sandalye ve benzeri ekipman hasarında yenileme ya da onarım bedeli ödenir. Aşırı hava koşulları ya da doğal afet nedeniyle gecikmede taşıyıcı konaklama sağlamakla yükümlü değildir. Üye devletler düzenli ulusal hatları en çok dört yıl, bir kez yenilenebilir süreyle Tüzüğün kapsamı dışında bırakabilir.</t>
        </is>
      </c>
      <c r="T207" s="29" t="n"/>
    </row>
    <row r="208" ht="54" customHeight="1">
      <c r="A208" s="29" t="inlineStr">
        <is>
          <t>marbella:hiz-siniri-alkol-ehliyet-puani</t>
        </is>
      </c>
      <c r="B208" s="29" t="inlineStr">
        <is>
          <t>marbella</t>
        </is>
      </c>
      <c r="C208" s="29" t="inlineStr">
        <is>
          <t>hiz-siniri-alkol-ehliyet-puani</t>
        </is>
      </c>
      <c r="D208" s="29" t="inlineStr">
        <is>
          <t>İspanya'da hız sınırları kaç, alkol sınırı nedir ve ehliyet puanı sistemi nasıl işler?</t>
        </is>
      </c>
      <c r="E208" s="29" t="inlineStr">
        <is>
          <t>Şehir içi 20/30/50 km/h; otoyolda otomobil 120, konvansiyonel yolda genelde 90; alkol 0,5 g/l kan, 0,25 mg/l nefes; ehliyet 12 puanla başlar</t>
        </is>
      </c>
      <c r="F208" s="29" t="inlineStr">
        <is>
          <t>Şehir içinde genel sınır yolun yapısına göre 20, 30 ya da 50 km/h'dir; şehir dışında otomobil ve motosiklet için otoyol ve otovíada 120, konvansiyonel yolda 90 km/h'dir; iki yönü fiziksel olarak ayrılmış konvansiyonel yolda yol sahibi otomobil, motosiklet ve 3.500 kg'a kadar karavan için 100 km/h sınırı koyabilir. Alkol sınırı kanda 0,5 gram/litre, nefeste 0,25 miligram/litredir; ağır vasıta, 9'dan fazla yolcu taşıyan, toplu taşıma ve benzeri araç sürücülerinde ve ehliyeti yeni alanlarda 2 yıl boyunca sınır 0,3 g/l kan, 0,15 mg/l nefestir. Ehliyet puanı genelde 12 ile başlar, ehliyeti yeni alanlar ve ehliyeti geri alanlar 8 ile başlar; puan sıfırlanırsa ehliyetin geçerliliğini yitirmesi işlemi başlar ve sürme yasağı bu kararın sana bildirilmesinden sonra başlar. Hız metni Real Decreto 1428/2003'ün BOE konsolide metnine (son güncelleme 26/06/2026; md. 48.1.b'deki değişiklik 01/10/2026'dan beri yürürlükte), puan bilgisi DGT sayfasına (22/09/2026) göredir.</t>
        </is>
      </c>
      <c r="G208" s="29" t="inlineStr">
        <is>
          <t>hız sınırı, alkol sınırı, ehliyet puanı, permiso por puntos, DGT, Reglamento General de Circulación, otoyol, autovía, 1428/2003</t>
        </is>
      </c>
      <c r="H208" s="29" t="inlineStr">
        <is>
          <t>new;settled</t>
        </is>
      </c>
      <c r="I208" s="29" t="inlineStr">
        <is>
          <t>marbella:kaynak:118;marbella:kaynak:119</t>
        </is>
      </c>
      <c r="J208" s="49" t="n">
        <v>46319</v>
      </c>
      <c r="K208" s="51" t="n">
        <v>9087</v>
      </c>
      <c r="L208" s="29" t="inlineStr">
        <is>
          <t>Hayır</t>
        </is>
      </c>
      <c r="M208" s="29" t="inlineStr">
        <is>
          <t>Taslak</t>
        </is>
      </c>
      <c r="N208" s="29" t="inlineStr">
        <is>
          <t>marbella:ulasim</t>
        </is>
      </c>
      <c r="O208" s="29" t="inlineStr">
        <is>
          <t>Şehir içinde yolun yapısına bak: tek yüzeyli (kaldırımla aynı seviyede) yolda 20, yön başına tek şeritli yolda 30, yön başına iki ya da daha fazla şeritli yolda 50 km/h.
Şehir dışında aracının türüne göre sınırı uygula: otomobil, motosiklet, 3.500 kg'a kadar karavan ve pick-up için otoyol/otovía 120, konvansiyonel yol 90 km/h; kamyon ve furgonlar için 90 ve 80; otobüsler için 100 ve 90.
Otobüste ayakta yolcu taşımaya izin varsa ya da otobüste emniyet kemeri yoksa şehir dışında yol türü ne olursa olsun sınır 80 km/h'dir. Okul ve çocuk taşıyan ya da tehlikeli madde taşıyan araçlarda yukarıdaki tablodaki sınır 10 km/h düşürülür (md. 48.1.b, 01/10/2026'dan beri).
Kanında 0,5 g/l ya da nefesinde 0,25 mg/l üzeri alkolle araç kullanma; ehliyeti yeni aldıysan ya da ağır vasıta sürüyorsan sınır 0,3 g/l ve 0,15 mg/l'dir.
Ehliyetinin puanını koru: ağır ihlallerde 2, 3, 4 ya da 6 puan düşer; 3 yıl ihlalsiz sürersen puanın artar.
Puanın sıfırlanırsa ve ehliyetin geçersiz sayıldığı bildirilirse araç sürme; bildirimden sonra sürmek suçtur.</t>
        </is>
      </c>
      <c r="P208" s="29" t="n"/>
      <c r="Q208" s="29" t="inlineStr">
        <is>
          <t>Puan bonusu: 3 yıl ihlalsiz +2 (14 puan), 3 yıl daha ihlalsiz +1 (en çok 15). Yeni sürücüler 2 yıl ihlalsiz sürerse 12 puana çıkar</t>
        </is>
      </c>
      <c r="R208" s="29" t="n"/>
      <c r="S208" s="29" t="inlineStr">
        <is>
          <t>Şehir içinde yetkili belediye genel sınırları işaretle düşürebilir; sınırlar bölgene ve yola göre işaretle değişebilir. Şehir içi otoyol ve otovíada genel sınır 80 km/h, travesíalarda (yerleşim içinden geçen şehirlerarası yol) 50 km/h'dir. Bir günde genel olarak en çok 8 puan kaybedilir; alkol ya da uyuşturucuyla sürme, testi reddetme, izin verilen hızı %50'den fazla aşma gibi çok ağır ihlallerde tüm puanlar tek günde gidebilir. Puanı sıfır olan ehliyetle, kayıp bildirildikten sonra araç sürmek 3-6 ay hapis, 12-24 ay gün-para cezası ya da 31-90 gün kamu yararına çalışma ile cezalandırılır.</t>
        </is>
      </c>
      <c r="T208" s="29" t="n"/>
    </row>
    <row r="209" ht="54" customHeight="1">
      <c r="A209" s="29" t="inlineStr">
        <is>
          <t>marbella:itv-arac-muayene-periyotlari</t>
        </is>
      </c>
      <c r="B209" s="29" t="inlineStr">
        <is>
          <t>marbella</t>
        </is>
      </c>
      <c r="C209" s="29" t="inlineStr">
        <is>
          <t>itv-arac-muayene-periyotlari</t>
        </is>
      </c>
      <c r="D209" s="29" t="inlineStr">
        <is>
          <t>İspanya'da ITV araç muayenesi kaç yılda bir yapılır?</t>
        </is>
      </c>
      <c r="E209" s="29" t="inlineStr">
        <is>
          <t>Otomobilde ilk 4 yıl muaf, 4 yıldan sonra 2 yılda bir, 10 yıldan sonra her yıl; periyot aracın türüne göre değişir (RD 920/2017 md. 6)</t>
        </is>
      </c>
      <c r="F209" s="29" t="inlineStr">
        <is>
          <t>İspanya'da tescilli bir otomobil (M1) ilk 4 yıl ITV'den muaftır; 4 yılı geçince 2 yılda bir, 10 yılı geçince her yıl muayeneye girer. Araç yaşı ilk tescil ya da hizmete giriş tarihinden hesaplanır. Motosiklet, hafif ticari araç (N1), otobüs, karavan römorku, taksi ve sürücü kursu araçlarında periyot farklıdır. Muayene sonucu olumluysa geçerlilik süresi, o tarihe periyodun eklenmesiyle bulunur; önceki muayenenin bitişine kalan son 30 takvim gününde yapılırsa süre eski bitiş tarihinden başlar. Bilgi, Real Decreto 920/2017 md. 6'nın BOE konsolide metnine (son güncelleme 18/09/2024) göredir.</t>
        </is>
      </c>
      <c r="G209" s="29" t="inlineStr">
        <is>
          <t>ITV, inspección técnica de vehículos, araç muayenesi, periyot, M1, otomobil, Real Decreto 920/2017, muayene sıklığı</t>
        </is>
      </c>
      <c r="H209" s="29" t="inlineStr">
        <is>
          <t>new;settled</t>
        </is>
      </c>
      <c r="I209" s="29" t="inlineStr">
        <is>
          <t>marbella:kaynak:120</t>
        </is>
      </c>
      <c r="J209" s="49" t="n">
        <v>46319</v>
      </c>
      <c r="K209" s="51" t="n">
        <v>9088</v>
      </c>
      <c r="L209" s="29" t="inlineStr">
        <is>
          <t>Hayır</t>
        </is>
      </c>
      <c r="M209" s="29" t="inlineStr">
        <is>
          <t>Taslak</t>
        </is>
      </c>
      <c r="N209" s="29" t="inlineStr">
        <is>
          <t>marbella:ulasim</t>
        </is>
      </c>
      <c r="O209" s="29" t="inlineStr">
        <is>
          <t>Aracının kategorisini ve ilk tescil tarihini belirle; yaş bu tarihten sayılır.
Otomobilsen (M1) 4. yıldan sonra 2 yılda bir, 10. yıldan sonra her yıl muayeneye gir.
Hafif ticari (N1), otobüs (M2, M3), motosiklet, taksi ya da sürücü kursu aracıysan kendi satırındaki periyodu uygula.
Muayeneyi yetkili ITV istasyonunda yaptır; istasyonları bulunduğu özerk topluluğun yetkili organı yetkilendirir.
Muayene süresini kaçırırsan ve kolluk fark ederse sana araca muayene yaptırman için 10 gün verilir; süre dolunca Jefatura de Tráfico (trafik idaresi) aracı resen kayıttan düşürme (baja) işlemini başlatır.</t>
        </is>
      </c>
      <c r="P209" s="29" t="n"/>
      <c r="Q209" s="29" t="inlineStr">
        <is>
          <t>Otomobil (M1): 4 yıla kadar muaf, 4 yıldan sonra 2 yılda bir, 10 yıldan sonra yıllık. Eksik muayene için kolluğun verdiği süre: 10 gün</t>
        </is>
      </c>
      <c r="R209" s="29" t="n"/>
      <c r="S209" s="29" t="inlineStr">
        <is>
          <t>Diğer periyotlar: ciclomotor (L1e) 3 yıla kadar muaf, sonra 2 yılda bir; diğer L (motosiklet, kuadrisiklet) 4 yıla kadar muaf, sonra 2 yılda bir; otobüs (M2, M3) 5 yıla kadar yıllık, sonra 6 aylık; hafif ticari (N1) 2 yıla kadar muaf, 2-6 yıl 2 yılda bir, 6-10 yıl yıllık, 10 yıldan sonra 6 aylık; çekilen karavan (O2) 6 yıla kadar muaf, sonra 2 yılda bir. Taksi, ambulans ve okul servisi olan M1 araçlar 5 yıla kadar yıllık, sonra 6 aylık; sürücü kursu araçlarında (M1, L) 2 yıla kadar muaf, 2-5 yıl yıllık, 5 yıldan sonra 6 aylık. Kaza sonrası önemli hasar ya da güvenlik sistemlerinde değişiklik olursa süreyi beklemeden muayene istenebilir. Ücret ve randevu bölgene göre değişir.</t>
        </is>
      </c>
      <c r="T209" s="29" t="n"/>
    </row>
    <row r="210" ht="54" customHeight="1">
      <c r="A210" s="29" t="inlineStr">
        <is>
          <t>marbella:ucus-gecikme-iptal-aesa-sikayet</t>
        </is>
      </c>
      <c r="B210" s="29" t="inlineStr">
        <is>
          <t>marbella</t>
        </is>
      </c>
      <c r="C210" s="29" t="inlineStr">
        <is>
          <t>ucus-gecikme-iptal-aesa-sikayet</t>
        </is>
      </c>
      <c r="D210" s="29" t="inlineStr">
        <is>
          <t>İspanya'dan kalkan uçuşum gecikir ya da iptal olursa tazminatı nasıl isterim, AESA'ya nasıl şikâyet ederim?</t>
        </is>
      </c>
      <c r="E210" s="29" t="inlineStr">
        <is>
          <t>Önce havayoluna yazılı şikâyet; bir ay yanıt yoksa AESA'ya ücretsiz; 3 saat ve üzeri gecikmede olağanüstü durum yoksa 250-600 € tazminat</t>
        </is>
      </c>
      <c r="F210" s="29" t="inlineStr">
        <is>
          <t>Önce havayoluna şikâyet et: olaydan sonra 5 yıl içinde yap; bir ay içinde yanıt gelmezse ya da yanıt yetersizse AESA'ya ücretsiz şikâyet edebilirsin. Nihai varış noktana 3 saat ya da daha geç ulaşırsan sabit tutarlı tazminat (250-600 €) hakkın doğar; havayolu gecikmenin kendi kontrolü dışındaki bir olağanüstü durumdan (ör. kontrolör grevi, kötü hava) kaynaklandığını kanıtlarsa tazminat ödemeyebilir. AESA yolu uçuş tarihi 02/06/2023 ve sonrası olan, İspanya'daki bir havalimanından kalkan yolcular için uyruğa bakılmaksızın açıktır; iptal, 3 saat ve üzeri gecikme, haksız biniş reddi, sınıf değişikliği ve hareket kısıtlı yolcuların hakları şikâyet konusudur. AESA kararı havayolunu bağlar, seni bağlamaz.</t>
        </is>
      </c>
      <c r="G210" s="29" t="inlineStr">
        <is>
          <t>AESA, uçuş gecikmesi, uçuş iptali, tazminat, 261/2004, yolcu hakları, şikâyet, resolución alternativa de litigios, havayolu şikâyeti</t>
        </is>
      </c>
      <c r="H210" s="29" t="inlineStr">
        <is>
          <t>new;settled</t>
        </is>
      </c>
      <c r="I210" s="29" t="inlineStr">
        <is>
          <t>marbella:kaynak:121;marbella:kaynak:122</t>
        </is>
      </c>
      <c r="J210" s="49" t="n">
        <v>46319</v>
      </c>
      <c r="K210" s="51" t="n">
        <v>9089</v>
      </c>
      <c r="L210" s="29" t="inlineStr">
        <is>
          <t>Hayır</t>
        </is>
      </c>
      <c r="M210" s="29" t="inlineStr">
        <is>
          <t>Taslak</t>
        </is>
      </c>
      <c r="N210" s="29" t="inlineStr">
        <is>
          <t>marbella:ulasim</t>
        </is>
      </c>
      <c r="O210" s="29" t="inlineStr">
        <is>
          <t>Havayoluna şikâyetini kendi başvuru kanalından (web sayfası, e-posta, şikâyet formu) ya da AESA'nın yolculara sunduğu havayolu şikâyet formuyla yap; olaydan 5 yıl geçmeden yap ve bileti ile belgeleri sakla.
Havayolundan bir ay içinde yanıt gelmezse ya da yanıt seni tatmin etmezse AESA'ya şikâyet et; bunu havayoluna şikâyet ettiğin tarihten itibaren 1 yıl içinde yap.
AESA'ya elektronik yoldan (dijital sertifika, Cl@ve Permanente ya da Cl@ve'i olmayan yabancılar için önceden kayıt gerektiren e4F; Cl@ve PIN imza vermediği için bununla başvuru baştan sona yapılamaz, çıktısını alıp postayla göndermen gerekir), yarı yüz yüze ya da kâğıtla başvur; yarı yüz yüze yolda imzalı formu 10 gün içinde AESA'ya ulaştır.
Başvuruya kimlik belgesi, biletler ve biniş kartları, havayolu yazışmaları ve varsa masraf faturalarını ekle.
AESA kararını bekle; karar, başvurunun tamamlanmasından itibaren 90 gün içinde sana ve havayoluna gönderilir.</t>
        </is>
      </c>
      <c r="P210" s="29" t="inlineStr">
        <is>
          <t>Şikâyet formu, havayoluna yapılan şikâyet ve varsa yanıt, tüm yolcuların kimlik belgeleri, bilet ve biniş kartları, varsa masraf faturaları</t>
        </is>
      </c>
      <c r="Q210" s="29" t="inlineStr">
        <is>
          <t>Havayoluna şikâyet: olaydan sonra 5 yıl; havayolunun yanıt süresi 1 ay; AESA şikâyeti: havayoluna şikâyetten sonra 1 yıl; AESA karar süresi: 90 gün; karara uyma süresi: 1 ay</t>
        </is>
      </c>
      <c r="R210" s="29" t="inlineStr">
        <is>
          <t>AESA şikâyeti ücretsizdir. Tazminat: 250-600 €</t>
        </is>
      </c>
      <c r="S210" s="29" t="inlineStr">
        <is>
          <t>Gecikme ya da iptalde havayolu olağanüstü durumu kanıtlasa da yiyecek, içecek, otel ve iletişim yardımı hakkın sürer; havayolunun kendi personelinin grevi ya da teknik sorunlar genelde olağanüstü durum sayılmaz. AB dışındaki bir havalimanından İspanya'ya gelen uçuşta AB havayolu taşıyorsa AESA yolu açıktır. Bagaj, hizmet kalitesi, taşıma sözleşmesi ve şartları, tarife ve vergiler, seyahat acentesi ve paket tur konuları AESA'nın bu şikâyet yoluna girmez; uçuş normal yapılıp yolcunun uçmamaya karar verdiği durumlar da girmez. Başka bir AB ülkesinden kalkan uçuşlar için o ülkenin yetkili kuruluşuna başvurulur. Önce mahkemeye başvurulursa AESA şikâyeti kabul edilmez. AESA sayfasında şikâyet sayısındaki artış nedeniyle çözüm sürelerinin uzadığı belirtiliyor. Hareket kısıtlı yolcu en çok iki hareketlilik ekipmanını ek ücretsiz taşıyabilir; ekipman özelliklerini rezervasyonda havayoluna bildirmesi gerekir.</t>
        </is>
      </c>
      <c r="T210" s="29" t="n"/>
    </row>
    <row r="211" ht="54" customHeight="1">
      <c r="A211" s="29" t="inlineStr">
        <is>
          <t>marbella:ada-ceuta-melilla-yerlesik-ucus-indirimi</t>
        </is>
      </c>
      <c r="B211" s="29" t="inlineStr">
        <is>
          <t>marbella</t>
        </is>
      </c>
      <c r="C211" s="29" t="inlineStr">
        <is>
          <t>ada-ceuta-melilla-yerlesik-ucus-indirimi</t>
        </is>
      </c>
      <c r="D211" s="29" t="inlineStr">
        <is>
          <t>Adalar, Ceuta ve Melilla ile anakara arasındaki uçuşlarda yerleşik indirimi var mı, Türk vatandaşı yararlanabilir mi?</t>
        </is>
      </c>
      <c r="E211" s="29" t="inlineStr">
        <is>
          <t>Doğrudan hatlarda %75 indirim; Türk vatandaşı için şart uzun dönem oturum ya da AB/AEA/İsviçre vatandaşının aile üyesi olarak oturum hakkı</t>
        </is>
      </c>
      <c r="F211" s="29" t="inlineStr">
        <is>
          <t>Evet: Canarias, Illes Balears, Ceuta ve Melilla'da ikamet eden hak sahipleri için bu bölgeler ile anakara arasındaki doğrudan düzenli uçuşlarda bonificación (indirim) %75'tir ve süresizdir. Türk vatandaşı üçüncü ülke vatandaşıdır; Ley 17/2012 DA 13ª, dört bölge için de aynı kuralla iki yoldan birini arar: ya "residente de larga duración" (uzun dönem oturum sahibi) olursun ya da İspanyol ya da AB/AEA/İsviçre vatandaşının, oturum hakkı ya da kalıcı oturum hakkı olan üçüncü ülke vatandaşı aile üyesisin. Her iki durumda bölgede ikamet ettiğini kanıtlaman gerekir. Yasanın saydığı hak sahipleri şunlardır: İspanyol vatandaşları, AB/AEA/İsviçre vatandaşları, bunların oturum hakkı ya da kalıcı oturum hakkı olan üçüncü ülke vatandaşı aile üyeleri ve uzun dönem oturumlu üçüncü ülke vatandaşları. İndirim, yerleşik kişinin kendi bölgesi ile anakara arasındaki doğrudan yolculuk içindir; uçakta adalar arası uçuşlarda da %75'tir.</t>
        </is>
      </c>
      <c r="G211" s="29" t="inlineStr">
        <is>
          <t>yerleşik indirimi, bonificación, %75, Canarias, Baleares, Ceuta, Melilla, residente de larga duración, uzun dönem oturum, uçuş indirimi, RD 949/2018</t>
        </is>
      </c>
      <c r="H211" s="29" t="inlineStr">
        <is>
          <t>new;settled</t>
        </is>
      </c>
      <c r="I211" s="29" t="inlineStr">
        <is>
          <t>marbella:kaynak:123;marbella:kaynak:124</t>
        </is>
      </c>
      <c r="J211" s="49" t="n">
        <v>46319</v>
      </c>
      <c r="K211" s="51" t="n">
        <v>9090</v>
      </c>
      <c r="L211" s="29" t="inlineStr">
        <is>
          <t>Hayır</t>
        </is>
      </c>
      <c r="M211" s="29" t="inlineStr">
        <is>
          <t>Taslak</t>
        </is>
      </c>
      <c r="N211" s="29" t="inlineStr">
        <is>
          <t>marbella:ulasim</t>
        </is>
      </c>
      <c r="O211" s="29" t="inlineStr">
        <is>
          <t>Bölgeni belirle: indirim Canarias, Illes Balears, Ceuta ve Melilla'da ikamet edenler için, kendi bölgen ile anakara arasındaki doğrudan yolculuklarda geçerlidir (adalar arası uçuşlarda da geçerlidir).
Doğrudan yolculuk seç: doğrudan gidiş yolculuğu, ara iniş olmayan ya da ara inişleri 12 saati aşmayan yolculuktur; hizmetin teknik ihtiyaçlarının ya da mücbir sebebin zorunlu kıldığı ara inişler bu süreye sayılmaz.
Türk vatandaşıysan dört bölgede de şu iki durumdan birinde olman gerekir: uzun dönem oturumlu (residente de larga duración) üçüncü ülke vatandaşı olmak ya da İspanyol ya da AB/AEA/İsviçre vatandaşının oturum hakkı olan üçüncü ülke vatandaşı aile üyesi olmak.
Bölgedeki ikametini yürürlükteki certificado de empadronamiento (belediye ikamet kaydı belgesi) ile kanıtla.
Kimliğini geçerli bir belgeyle kanıtla: uzun dönem oturumluysan statünün yazılı olduğu yabancı kimlik kartı, AB vatandaşının aile üyesiysen aile üyesi oturum kartı.
Hesapta tarife tutarından Ley 21/2003 art. 68.2 d, e, f'deki kamu mali yükümlülükleri düşülür.</t>
        </is>
      </c>
      <c r="P211" s="29" t="inlineStr">
        <is>
          <t>Yürürlükte certificado de empadronamiento; uzun dönem oturumlu için bu statünün yazılı olduğu geçerli yabancı kimlik kartı; AB vatandaşının aile üyesi için geçerli aile üyesi oturum kartı; İspanyol ve AB/AEA/İsviçre vatandaşları için geçerli nüfus cüzdanı (DNI) ya da pasaport</t>
        </is>
      </c>
      <c r="Q211" s="29" t="inlineStr">
        <is>
          <t>RD 949/2018: 29/07/2018'den itibaren yürürlükte, süresiz (carácter indefinido). Ley 17/2012 DA 13ª: %75 bonificación süresiz</t>
        </is>
      </c>
      <c r="R211" s="29" t="inlineStr">
        <is>
          <t>İndirim: %75</t>
        </is>
      </c>
      <c r="S211" s="29" t="inlineStr">
        <is>
          <t>Adalar arası (interinsular) uçuşlarda da %75'tir. Doğrudan gemi seferlerinde de %75 indirim vardır. Aynı yolculukta birden çok uyumlu indirim birikirse toplam indirim tarifenin %85'ini aşamaz.</t>
        </is>
      </c>
      <c r="T211" s="29" t="n"/>
    </row>
    <row r="212" ht="54" customHeight="1">
      <c r="A212" s="29" t="inlineStr">
        <is>
          <t>marbella:endulus-metropol-ulasim-konsorsiyum-kartlari-ve-interoperabilite</t>
        </is>
      </c>
      <c r="B212" s="29" t="inlineStr">
        <is>
          <t>marbella</t>
        </is>
      </c>
      <c r="C212" s="29" t="inlineStr">
        <is>
          <t>endulus-metropol-ulasim-konsorsiyum-kartlari-ve-interoperabilite</t>
        </is>
      </c>
      <c r="D212" s="29" t="inlineStr">
        <is>
          <t>Endülüs'te metropol ulaşım konsorsiyumlarının kartı başka konsorsiyumun alanında da geçer mi?</t>
        </is>
      </c>
      <c r="E212" s="29" t="inlineStr">
        <is>
          <t>Kartlar konsorsiyumlar arasında kullanılabilir (interoperabilidad); başka bir alanda tarife o alanın konsorsiyumunun çerçevesine bağlıdır</t>
        </is>
      </c>
      <c r="F212" s="29" t="inlineStr">
        <is>
          <t>Evet, kartlar birbirinin alanında kullanılabilir (interoperabilidad). Endülüs'te birden çok metropol ulaşım konsorsiyumu vardır ve her biri kendi alanında kendi tarife çerçevesini belirler. Başka bir konsorsiyumun alanında kullanırken o konsorsiyumun belirlediği tarifeler geçerlidir.</t>
        </is>
      </c>
      <c r="G212" s="29" t="inlineStr">
        <is>
          <t>ulaşım kartı, Consorcio de Transporte, interoperatividad, tarjeta de transporte, metropol ulaşım, salto, bono</t>
        </is>
      </c>
      <c r="H212" s="29" t="inlineStr">
        <is>
          <t>new;settled</t>
        </is>
      </c>
      <c r="I212" s="29" t="inlineStr">
        <is>
          <t>marbella:kaynak:142;marbella:kaynak:143</t>
        </is>
      </c>
      <c r="J212" s="49" t="n">
        <v>46319</v>
      </c>
      <c r="K212" s="51" t="n">
        <v>9102</v>
      </c>
      <c r="L212" s="29" t="inlineStr">
        <is>
          <t>Hayır</t>
        </is>
      </c>
      <c r="M212" s="29" t="inlineStr">
        <is>
          <t>Taslak</t>
        </is>
      </c>
      <c r="N212" s="29" t="inlineStr">
        <is>
          <t>marbella:ulasim</t>
        </is>
      </c>
      <c r="O212" s="29" t="inlineStr">
        <is>
          <t>Başka bir Endülüs metropol alanına gittiğinde kartını oradaki ulaşımda da kullanabilirsin; orada o alanın konsorsiyumunun belirlediği tarife uygulanır.</t>
        </is>
      </c>
      <c r="P212" s="29" t="n"/>
      <c r="Q212" s="29" t="n"/>
      <c r="R212" s="29" t="n"/>
      <c r="S212" s="29" t="inlineStr">
        <is>
          <t>Tarife ve kart kuralları konsorsiyumdan konsorsiyuma değişir; belirli bir konsorsiyuma ait tutarlar ve kurallar bu kartta yer almaz.</t>
        </is>
      </c>
      <c r="T212" s="29" t="n"/>
    </row>
    <row r="213" ht="54" customHeight="1">
      <c r="A213" s="29" t="inlineStr">
        <is>
          <t>marbella:sehir-otobusu-urbanos-marbella-hat-tarife-bilgisi</t>
        </is>
      </c>
      <c r="B213" s="29" t="inlineStr">
        <is>
          <t>marbella</t>
        </is>
      </c>
      <c r="C213" s="29" t="inlineStr">
        <is>
          <t>sehir-otobusu-urbanos-marbella-hat-tarife-bilgisi</t>
        </is>
      </c>
      <c r="D213" s="29" t="inlineStr">
        <is>
          <t>Marbella şehir otobüsünün hatlarını, saatlerini ve tarifelerini nereden öğrenirim?</t>
        </is>
      </c>
      <c r="E213" s="29" t="inlineStr">
        <is>
          <t>Hatları Grupo Avanza işletir; hat, durak, tarife ve Bonobús bilgisi urbanosdemarbella.com'da</t>
        </is>
      </c>
      <c r="F213" s="29" t="inlineStr">
        <is>
          <t>Marbella şehir otobüsünü Grupo Avanza işletir. Hat saatleri, hat haritaları ve duraklar, tarifeler ve Bonobús (çok biniş kartı) bilgisi işletmecinin urbanosdemarbella.com sitesinde yayımlanır. Şehirlerarası otobüsler şehir hatlarından ayrıdır ve Marbella'da Avda. del Trapiche'deki otogardan kalkar.</t>
        </is>
      </c>
      <c r="G213" s="29" t="inlineStr">
        <is>
          <t>Marbella şehir otobüsü, autobús urbano, urbanos de Marbella, Bonobús, Grupo Avanza, otobüs saatleri</t>
        </is>
      </c>
      <c r="H213" s="29" t="inlineStr">
        <is>
          <t>new;settled</t>
        </is>
      </c>
      <c r="I213" s="29" t="inlineStr">
        <is>
          <t>marbella:kaynak:247;marbella:kaynak:185</t>
        </is>
      </c>
      <c r="J213" s="49" t="n">
        <v>46323</v>
      </c>
      <c r="K213" s="51" t="n">
        <v>1000</v>
      </c>
      <c r="L213" s="29" t="inlineStr">
        <is>
          <t>Hayır</t>
        </is>
      </c>
      <c r="M213" s="29" t="inlineStr">
        <is>
          <t>Taslak</t>
        </is>
      </c>
      <c r="N213" s="29" t="inlineStr">
        <is>
          <t>marbella:ulasim</t>
        </is>
      </c>
      <c r="O213" s="29" t="inlineStr">
        <is>
          <t>urbanosdemarbella.com sitesini aç.
Hat ve durak haritasından gideceğin hattı seç.
Saat tablosundan seferleri, tarife bölümünden bilet fiyatını ve Bonobús seçeneklerini gör.
Şehirlerarası gidiyorsan şehir hattına binme; Avda. del Trapiche, s/n adresindeki otogara git.</t>
        </is>
      </c>
      <c r="P213" s="29" t="n"/>
      <c r="Q213" s="29" t="n"/>
      <c r="R213" s="29" t="n"/>
      <c r="S213" s="29" t="n"/>
      <c r="T213" s="29" t="n"/>
    </row>
    <row r="214" ht="54" customHeight="1">
      <c r="A214" s="29" t="inlineStr">
        <is>
          <t>marbella:marbella-otogari-san-pedro-sehirlerarasi-otobus</t>
        </is>
      </c>
      <c r="B214" s="29" t="inlineStr">
        <is>
          <t>marbella</t>
        </is>
      </c>
      <c r="C214" s="29" t="inlineStr">
        <is>
          <t>marbella-otogari-san-pedro-sehirlerarasi-otobus</t>
        </is>
      </c>
      <c r="D214" s="29" t="inlineStr">
        <is>
          <t>Marbella ve San Pedro Alcántara otogarı nerede, şehirlerarası otobüsler hangi firmalarla nereye gidiyor?</t>
        </is>
      </c>
      <c r="E214" s="29" t="inlineStr">
        <is>
          <t>Marbella: Avda. del Trapiche, s/n (952 82 34 09); San Pedro: Avda. Luis Braille</t>
        </is>
      </c>
      <c r="F214" s="29" t="inlineStr">
        <is>
          <t>Marbella otogarı Avda. del Trapiche, s/n adresindedir (tel. 952 82 34 09); San Pedro Alcántara otogarı Avda. Luis Braille'dedir. Costa del Sol boyunca Algeciras-Málaga hattı için ctsa-portillo.com (952 76 44 00), Madrid için daibus.es (952 82 32 12), Barselona ve Brüksel, Amsterdam, Lüksemburg, Paris, Zürih, Rabat gibi uluslararası hatlar için alsa.es (902 42 22 42), Málaga, havalimanı ve Algeciras için avanzabus.com (902 02 00 52) çalışır.</t>
        </is>
      </c>
      <c r="G214" s="29" t="inlineStr">
        <is>
          <t>Marbella otogarı, estación de autobuses, San Pedro Alcántara, Avanza, Alsa, Daibus, otobüs terminali</t>
        </is>
      </c>
      <c r="H214" s="29" t="inlineStr">
        <is>
          <t>planning;new;settled</t>
        </is>
      </c>
      <c r="I214" s="29" t="inlineStr">
        <is>
          <t>marbella:kaynak:185</t>
        </is>
      </c>
      <c r="J214" s="49" t="n">
        <v>46323</v>
      </c>
      <c r="K214" s="51" t="n">
        <v>1001</v>
      </c>
      <c r="L214" s="29" t="inlineStr">
        <is>
          <t>Evet</t>
        </is>
      </c>
      <c r="M214" s="29" t="inlineStr">
        <is>
          <t>Taslak</t>
        </is>
      </c>
      <c r="N214" s="29" t="inlineStr">
        <is>
          <t>marbella:ulasim</t>
        </is>
      </c>
      <c r="O214" s="29" t="inlineStr">
        <is>
          <t>Gideceğin yöne göre firmayı seç: Costa del Sol ve Andalucía için ctsa-portillo.com, Madrid için daibus.es, Barselona ve yurtdışı için alsa.es, Málaga-havalimanı-Algeciras için avanzabus.com.
Firmanın telefonundan ya da sitesinden sefer ve bilet bilgisini al.
Marbella'dan kalkacaksan Avda. del Trapiche, s/n adresindeki otogara, San Pedro Alcántara'dan kalkacaksan Avda. Luis Braille'deki otogara git.</t>
        </is>
      </c>
      <c r="P214" s="29" t="n"/>
      <c r="Q214" s="29" t="n"/>
      <c r="R214" s="29" t="n"/>
      <c r="S214" s="29" t="n"/>
      <c r="T214" s="29" t="n"/>
    </row>
    <row r="215" ht="54" customHeight="1">
      <c r="A215" s="29" t="inlineStr">
        <is>
          <t>marbella:marbella-otogarindan-malaga-havalimani-otobus-avanza</t>
        </is>
      </c>
      <c r="B215" s="29" t="inlineStr">
        <is>
          <t>marbella</t>
        </is>
      </c>
      <c r="C215" s="29" t="inlineStr">
        <is>
          <t>marbella-otogarindan-malaga-havalimani-otobus-avanza</t>
        </is>
      </c>
      <c r="D215" s="29" t="inlineStr">
        <is>
          <t>Marbella'dan Málaga havalimanına otobüsle nasıl gidilir?</t>
        </is>
      </c>
      <c r="E215" s="29" t="inlineStr">
        <is>
          <t>Avanza, Marbella otogarını Málaga-Costa del Sol havalimanına bağlıyor; bilgi hattı 912 722 832</t>
        </is>
      </c>
      <c r="F215" s="29" t="inlineStr">
        <is>
          <t>Marbella otogarından Málaga-Costa del Sol havalimanına Avanza otobüsü gider; aynı şirket havalimanını Estepona, Algeciras ve La Línea ile de bağlar. Hat için bilgi telefonu 912 722 832 / 955 038 665'tir. Avanza'nın Málaga, havalimanı ve Algeciras hatları için ayrıca 902 02 00 52 numarası ve avanzabus.com var.</t>
        </is>
      </c>
      <c r="G215" s="29" t="inlineStr">
        <is>
          <t>Marbella havalimanı otobüsü, Málaga havalimanı, Avanza, aeropuerto Málaga, otogar, Marbella-Aeropuerto</t>
        </is>
      </c>
      <c r="H215" s="29" t="inlineStr">
        <is>
          <t>planning;new</t>
        </is>
      </c>
      <c r="I215" s="29" t="inlineStr">
        <is>
          <t>marbella:kaynak:250;marbella:kaynak:185</t>
        </is>
      </c>
      <c r="J215" s="49" t="n">
        <v>46323</v>
      </c>
      <c r="K215" s="51" t="n">
        <v>1002</v>
      </c>
      <c r="L215" s="29" t="inlineStr">
        <is>
          <t>Evet</t>
        </is>
      </c>
      <c r="M215" s="29" t="inlineStr">
        <is>
          <t>Taslak</t>
        </is>
      </c>
      <c r="N215" s="29" t="inlineStr">
        <is>
          <t>marbella:ulasim</t>
        </is>
      </c>
      <c r="O215" s="29" t="inlineStr">
        <is>
          <t>Avda. del Trapiche, s/n adresindeki Marbella otogarına git.
Avanza'nın Marbella-Aeropuerto hattını seç; sefer saatleri ve fiyat için 912 722 832 ya da 955 038 665'i ara ya da avanzabus.com'a bak.
Havalimanında Aena'nın sayfasında gösterilen otobüs durağından in ya da bin.</t>
        </is>
      </c>
      <c r="P215" s="29" t="n"/>
      <c r="Q215" s="29" t="n"/>
      <c r="R215" s="29" t="n"/>
      <c r="S215" s="29" t="n"/>
      <c r="T215" s="29" t="n"/>
    </row>
    <row r="216" ht="54" customHeight="1">
      <c r="A216" s="29" t="inlineStr">
        <is>
          <t>marbella:malaga-havalimani-tren-c1-ekspres-otobus-merkeze</t>
        </is>
      </c>
      <c r="B216" s="29" t="inlineStr">
        <is>
          <t>marbella</t>
        </is>
      </c>
      <c r="C216" s="29" t="inlineStr">
        <is>
          <t>malaga-havalimani-tren-c1-ekspres-otobus-merkeze</t>
        </is>
      </c>
      <c r="D216" s="29" t="inlineStr">
        <is>
          <t>Málaga havalimanından Málaga merkezine ve sahil kasabalarına tren ve ekspres otobüsle nasıl gidilir?</t>
        </is>
      </c>
      <c r="E216" s="29" t="inlineStr">
        <is>
          <t>Cercanías C1 Málaga Centro Alameda-Fuengirola; ekspres otobüs tek bilet 4 €</t>
        </is>
      </c>
      <c r="F216" s="29" t="inlineStr">
        <is>
          <t>Havalimanından Málaga şehrine iki seçenek var: Cercanías C1 treni (Málaga Centro Alameda-Fuengirola hattı) ve ekspres otobüs. Trenle Málaga centro yaklaşık 12 dakika, Málaga María Zambrano (AVE bağlantısı) 8, Benalmádena 18, Fuengirola 34 dakikadır. Ekspres otobüsün tek bileti 4 €'dur, bagaj ücretsizdir; kredi kartıyla ya da nakit ödenir. Marbella'ya gitmek için C1'e değil Avanza otobüsüne bin.</t>
        </is>
      </c>
      <c r="G216" s="29" t="inlineStr">
        <is>
          <t>Málaga havalimanı tren, Cercanías C1, ekspres otobüs, María Zambrano, Fuengirola, Línea Exprés</t>
        </is>
      </c>
      <c r="H216" s="29" t="inlineStr">
        <is>
          <t>planning;new</t>
        </is>
      </c>
      <c r="I216" s="29" t="inlineStr">
        <is>
          <t>marbella:kaynak:251;marbella:kaynak:250</t>
        </is>
      </c>
      <c r="J216" s="49" t="n">
        <v>46323</v>
      </c>
      <c r="K216" s="51" t="n">
        <v>1003</v>
      </c>
      <c r="L216" s="29" t="inlineStr">
        <is>
          <t>Hayır</t>
        </is>
      </c>
      <c r="M216" s="29" t="inlineStr">
        <is>
          <t>Taslak</t>
        </is>
      </c>
      <c r="N216" s="29" t="inlineStr">
        <is>
          <t>marbella:ulasim</t>
        </is>
      </c>
      <c r="O216" s="29" t="inlineStr">
        <is>
          <t>Havalimanından C1 trenine bin; yön Málaga Centro Alameda ya da Fuengirola.
AVE ile devam edeceksen Málaga María Zambrano'da in.
Trene değil otobüse binmek istersen ekspres otobüsü seç ve biletini şoföre kredi kartıyla (Visa/Mastercard) ya da nakit öde.
Marbella için bu iki seçenek yerine Avanza'nın Marbella-Aeropuerto otobüsünü kullan.</t>
        </is>
      </c>
      <c r="P216" s="29" t="n"/>
      <c r="Q216" s="29" t="inlineStr">
        <is>
          <t>Tren: Málaga centro yaklaşık 12 dk, María Zambrano 8 dk, Benalmádena 18 dk, Fuengirola 34 dk</t>
        </is>
      </c>
      <c r="R216" s="29" t="inlineStr">
        <is>
          <t>Ekspres otobüs tek bilet 4 €, bagaj ücretsiz</t>
        </is>
      </c>
      <c r="S216" s="29" t="n"/>
      <c r="T216" s="29" t="n"/>
    </row>
    <row r="217" ht="54" customHeight="1">
      <c r="A217" s="29" t="inlineStr">
        <is>
          <t>marbella:malaga-havalimani-taksi-tarifeleri-4-5-9</t>
        </is>
      </c>
      <c r="B217" s="29" t="inlineStr">
        <is>
          <t>marbella</t>
        </is>
      </c>
      <c r="C217" s="29" t="inlineStr">
        <is>
          <t>malaga-havalimani-taksi-tarifeleri-4-5-9</t>
        </is>
      </c>
      <c r="D217" s="29" t="inlineStr">
        <is>
          <t>Málaga havalimanından taksiyle gidersen tarife nasıl işliyor?</t>
        </is>
      </c>
      <c r="E217" s="29" t="inlineStr">
        <is>
          <t>Havalimanı çıkışlı üç tarife: gündüz iş günü, gece/hafta sonu, gece yarısı ve bayram</t>
        </is>
      </c>
      <c r="F217" s="29" t="inlineStr">
        <is>
          <t>Havalimanı çıkışlı taksi üç tarifeyle çalışır: iş günleri 06:00-22:00 arası Tarife 4 (asgari ücret 17,37 €, açılış 1,79 €, km 1 €); gece, hafta sonu ve tatil saatlerinde Tarife 5 (asgari 21,72 €, açılış 2,19 €, km 1,21 €); cuma ve bayram arifesi gecesi ile hafta sonu gece saatlerinde Tarife 9 (asgari 24,93 €, açılış 2,50 €, km 1,38 €). Maletanın her parçası 0,56 €, havalimanına gidiş yönündeki seferlere 6,27 € ek ücret biner.</t>
        </is>
      </c>
      <c r="G217" s="29" t="inlineStr">
        <is>
          <t>Málaga havalimanı taksi, taksi tarifesi, Taxi Unión, Unitaxi, tarifa 4, tarifa 5, tarifa 9</t>
        </is>
      </c>
      <c r="H217" s="29" t="inlineStr">
        <is>
          <t>planning;new</t>
        </is>
      </c>
      <c r="I217" s="29" t="inlineStr">
        <is>
          <t>marbella:kaynak:252</t>
        </is>
      </c>
      <c r="J217" s="49" t="n">
        <v>46323</v>
      </c>
      <c r="K217" s="51" t="n">
        <v>1004</v>
      </c>
      <c r="L217" s="29" t="inlineStr">
        <is>
          <t>Hayır</t>
        </is>
      </c>
      <c r="M217" s="29" t="inlineStr">
        <is>
          <t>Taslak</t>
        </is>
      </c>
      <c r="N217" s="29" t="inlineStr">
        <is>
          <t>marbella:ulasim</t>
        </is>
      </c>
      <c r="O217" s="29" t="inlineStr">
        <is>
          <t>Havalimanında taksi durağına git; durakta Taxi Unión ve Unitaxi çalışır.
Saatine göre hangi tarifenin işleyeceğine bak: iş günü gündüz Tarife 4, gece/hafta sonu Tarife 5, cuma ve bayram arifesi gecesi Tarife 9.
Bagaj parçası başına 0,56 € ekleneceğini hesaba kat; gece 00:00-06:00 arası Tarife 5 ve 9'a 2,15 € gece eki biner.</t>
        </is>
      </c>
      <c r="P217" s="29" t="n"/>
      <c r="Q217" s="29" t="n"/>
      <c r="R217" s="29" t="inlineStr">
        <is>
          <t>Asgari ücret: Tarife 4 17,37 €, Tarife 5 21,72 €, Tarife 9 24,93 €; havalimanına gidişte +6,27 €</t>
        </is>
      </c>
      <c r="S217" s="29" t="n"/>
      <c r="T217" s="29" t="n"/>
    </row>
    <row r="218" ht="54" customHeight="1">
      <c r="A218" s="29" t="inlineStr">
        <is>
          <t>marbella:marbella-taksi-tarifeleri-2026-taximetro</t>
        </is>
      </c>
      <c r="B218" s="29" t="inlineStr">
        <is>
          <t>marbella</t>
        </is>
      </c>
      <c r="C218" s="29" t="inlineStr">
        <is>
          <t>marbella-taksi-tarifeleri-2026-taximetro</t>
        </is>
      </c>
      <c r="D218" s="29" t="inlineStr">
        <is>
          <t>Marbella'da taksi tarifesi 2026'da nasıl işliyor, gece ve hafta sonu farkı var mı?</t>
        </is>
      </c>
      <c r="E218" s="29" t="inlineStr">
        <is>
          <t>Tarife 1 gündüz iş günü: açılış 3,79 €, asgari sefer 5,45 €; Tarife 2 gece ve hafta sonu</t>
        </is>
      </c>
      <c r="F218" s="29" t="inlineStr">
        <is>
          <t>Marbella'da taksimetreli şehir içi tarifeler 5 Şubat 2026'da onaylandı (KDV dahil). Tarife 1 (iş günleri 06:00-22:00): açılış 3,79 €, km 1,12 €, asgari sefer 5,45 €. Tarife 2 (iş günleri 22:00-06:00 ile cumartesi, pazar ve tatil günlerinin tamamı): açılış 4,64 €, km 1,41 €, asgari sefer 6,81 €. Tarife 3 (24 ve 31 Aralık ile ertesi sabah): açılış 5,81 €, km 1,76 €, asgari 8,54 €. Müşteriyi bulunduğu yerden almak 1 €, 5'ten fazla yolcu 3 € ek ücrettir.</t>
        </is>
      </c>
      <c r="G218" s="29" t="inlineStr">
        <is>
          <t>Marbella taksi, taksi tarifesi, taxímetro, tarifa 1, tarifa 2, bajada de bandera, asgari sefer</t>
        </is>
      </c>
      <c r="H218" s="29" t="inlineStr">
        <is>
          <t>new;settled</t>
        </is>
      </c>
      <c r="I218" s="29" t="inlineStr">
        <is>
          <t>marbella:kaynak:248</t>
        </is>
      </c>
      <c r="J218" s="49" t="n">
        <v>46323</v>
      </c>
      <c r="K218" s="51" t="n">
        <v>1005</v>
      </c>
      <c r="L218" s="29" t="inlineStr">
        <is>
          <t>Hayır</t>
        </is>
      </c>
      <c r="M218" s="29" t="inlineStr">
        <is>
          <t>Taslak</t>
        </is>
      </c>
      <c r="N218" s="29" t="inlineStr">
        <is>
          <t>marbella:ulasim</t>
        </is>
      </c>
      <c r="O218" s="29" t="inlineStr">
        <is>
          <t>Taksiye binerken taksimetrenin açık olduğunu ve doğru tarifede (gündüz/gece/hafta sonu) çalıştığını kontrol et.
Sefer ücretinin asgari sefer ücretinden az çıkmayacağını bil: Tarife 1'de 5,45 €.
Müşteriyi bulunduğu yerden almak ve 5'ten fazla yolcu için ek ücretleri hesaba kat.</t>
        </is>
      </c>
      <c r="P218" s="29" t="n"/>
      <c r="Q218" s="29" t="inlineStr">
        <is>
          <t>Tarifeler 5 Şubat 2026'da onaylandı</t>
        </is>
      </c>
      <c r="R218" s="29" t="inlineStr">
        <is>
          <t>Tarife 1: açılış 3,79 €, km 1,12 €, bekleme saati 22,95 €, asgari 5,45 €</t>
        </is>
      </c>
      <c r="S218" s="29" t="n"/>
      <c r="T218" s="29" t="n"/>
    </row>
    <row r="219" ht="54" customHeight="1">
      <c r="A219" s="29" t="inlineStr">
        <is>
          <t>marbella:marbella-elektrikli-scooter-vmp-kurallari</t>
        </is>
      </c>
      <c r="B219" s="29" t="inlineStr">
        <is>
          <t>marbella</t>
        </is>
      </c>
      <c r="C219" s="29" t="inlineStr">
        <is>
          <t>marbella-elektrikli-scooter-vmp-kurallari</t>
        </is>
      </c>
      <c r="D219" s="29" t="inlineStr">
        <is>
          <t>Marbella'da elektrikli scooter (VMP) kullanmanın kuralları neler?</t>
        </is>
      </c>
      <c r="E219" s="29" t="inlineStr">
        <is>
          <t>16 yaş, kask zorunlu, tek kişi; kaldırım ve yaya bölgesinde yasak</t>
        </is>
      </c>
      <c r="F219" s="29" t="inlineStr">
        <is>
          <t>Marbella'da özel elektrikli scooter gibi kişisel hareketlilik araçlarını (VMP) kullanmak için en az 16 yaşında olmalısın ve kask takmalısın. Araç tek kişiliktir: yolcu ya da hayvan taşınmaz. Kaldırımda, yaya bölgelerinde, şehirlerarası yollarda, otoyol ve tünellerde kullanmak yasaktır. Önde beyaz, arkada kırmızı sabit ya da yanıp sönen ışık gün boyu zorunludur. Belediye yönetmeliği 29 Şubat 2024'te yürürlüğe girdi.</t>
        </is>
      </c>
      <c r="G219" s="29" t="inlineStr">
        <is>
          <t>Marbella scooter, elektrikli scooter, patinete, VMP, vehículos de movilidad personal, kask, ordenanza</t>
        </is>
      </c>
      <c r="H219" s="29" t="inlineStr">
        <is>
          <t>new;settled</t>
        </is>
      </c>
      <c r="I219" s="29" t="inlineStr">
        <is>
          <t>marbella:kaynak:249</t>
        </is>
      </c>
      <c r="J219" s="49" t="n">
        <v>46323</v>
      </c>
      <c r="K219" s="51" t="n">
        <v>1006</v>
      </c>
      <c r="L219" s="29" t="inlineStr">
        <is>
          <t>Hayır</t>
        </is>
      </c>
      <c r="M219" s="29" t="inlineStr">
        <is>
          <t>Taslak</t>
        </is>
      </c>
      <c r="N219" s="29" t="inlineStr">
        <is>
          <t>marbella:ulasim</t>
        </is>
      </c>
      <c r="O219" s="29" t="inlineStr">
        <is>
          <t>Yaşının en az 16 olduğundan emin ol ve kask tak.
Aracı tek başına kullan; yolcu, hayvan ya da sürüşü zorlaştıran yük taşıma.
Önde beyaz, arkada kırmızı ışığı gün boyu yak.
Kaldırım ve yaya bölgelerinden gitme; yaya geçidinde dur ve yayaya yol ver.
Kulaklık takma, sürerken telefon kullanma, alkollüyken ya da uyuşturucu etkisindeyken sürme; ayağını koruyan ayakkabı giy.</t>
        </is>
      </c>
      <c r="P219" s="29" t="n"/>
      <c r="Q219" s="29" t="n"/>
      <c r="R219" s="29" t="n"/>
      <c r="S219" s="29" t="n"/>
      <c r="T219" s="29" t="n"/>
    </row>
    <row r="220" ht="54" customHeight="1">
      <c r="A220" s="29" t="inlineStr">
        <is>
          <t>marbella:marbella-paseo-maritimo-bisiklet-vmp-sektorleri</t>
        </is>
      </c>
      <c r="B220" s="29" t="inlineStr">
        <is>
          <t>marbella</t>
        </is>
      </c>
      <c r="C220" s="29" t="inlineStr">
        <is>
          <t>marbella-paseo-maritimo-bisiklet-vmp-sektorleri</t>
        </is>
      </c>
      <c r="D220" s="29" t="inlineStr">
        <is>
          <t>Marbella sahil yolunda (paseo marítimo) bisiklet ve scooter ile nerede, hangi saatlerde gidebilirim?</t>
        </is>
      </c>
      <c r="E220" s="29" t="inlineStr">
        <is>
          <t>Hız en çok 10 km/h; yazın bazı sektörlerde hafta sonu 10:00-23:00 arası geçiş yok</t>
        </is>
      </c>
      <c r="F220" s="29" t="inlineStr">
        <is>
          <t>Marbella'nın sahil yolu dokuz sektöre bölünmüştür. Cabopino limanından La Bajadilla balıkçı limanına uzanan Senda Litoral'de bisiklet ve scooter ile tüm yıl saat kısıtı olmadan geçebilirsin. Sektör 2, 5, 6, 8 ve 9'da 1 Temmuz-30 Eylül arasında cumartesi ve pazar 10:00-23:00 geçiş yasaktır. Avda. Marqués de Salamanca'daki sektör 4 bisiklet ve scooter'a tamamen kapalıdır; Calle Camilo José Cela'daki bisiklet yolunu kullan. Her sektörde hız en çok 10 km/h, kask zorunludur ve yayaya yol verilir.</t>
        </is>
      </c>
      <c r="G220" s="29" t="inlineStr">
        <is>
          <t>paseo marítimo Marbella, bisiklet, sahil yolu, senda litoral, bando, scooter, yaya önceliği</t>
        </is>
      </c>
      <c r="H220" s="29" t="inlineStr">
        <is>
          <t>new;settled</t>
        </is>
      </c>
      <c r="I220" s="29" t="inlineStr">
        <is>
          <t>marbella:kaynak:249</t>
        </is>
      </c>
      <c r="J220" s="49" t="n">
        <v>46323</v>
      </c>
      <c r="K220" s="51" t="n">
        <v>1007</v>
      </c>
      <c r="L220" s="29" t="inlineStr">
        <is>
          <t>Hayır</t>
        </is>
      </c>
      <c r="M220" s="29" t="inlineStr">
        <is>
          <t>Taslak</t>
        </is>
      </c>
      <c r="N220" s="29" t="inlineStr">
        <is>
          <t>marbella:ulasim</t>
        </is>
      </c>
      <c r="O220" s="29" t="inlineStr">
        <is>
          <t>Gideceğin kesimin sektörünü belirle: Cabopino-La Bajadilla (sektör 1) tüm yıl açık.
1 Temmuz-30 Eylül arasında cumartesi ve pazar 10:00-23:00 arası sektör 2, 5, 6, 8 ve 9'da bisikletle ya da scooter'la gitme.
Sektör 4'te (Avda. Marqués de Salamanca, Arias Maldonado-Rafael Cea arası) Calle Camilo José Cela'daki bisiklet yolundan git.
Kask tak, en çok 10 km/h hızla sağdan git ve her zaman yayaya yol ver.</t>
        </is>
      </c>
      <c r="P220" s="29" t="n"/>
      <c r="Q220" s="29" t="inlineStr">
        <is>
          <t>Kısıt: 1 Temmuz-30 Eylül, cumartesi ve pazar 10:00-23:00 (sektör 2, 5, 6, 8, 9)</t>
        </is>
      </c>
      <c r="R220" s="29" t="n"/>
      <c r="S220" s="29" t="n"/>
      <c r="T220" s="29" t="n"/>
    </row>
    <row r="221" ht="54" customHeight="1">
      <c r="A221" s="29" t="inlineStr">
        <is>
          <t>marbella:malaga-toplu-tasima-karti-tarjeta-de-transporte-alim-yukleme</t>
        </is>
      </c>
      <c r="B221" s="29" t="inlineStr">
        <is>
          <t>marbella</t>
        </is>
      </c>
      <c r="C221" s="29" t="inlineStr">
        <is>
          <t>malaga-toplu-tasima-karti-tarjeta-de-transporte-alim-yukleme</t>
        </is>
      </c>
      <c r="D221" s="29" t="inlineStr">
        <is>
          <t>Málaga bölgesinde toplu taşıma kartı (tarjeta de transporte) nasıl alınır ve yüklenir?</t>
        </is>
      </c>
      <c r="E221" s="29" t="inlineStr">
        <is>
          <t>Kart yönetim bedeli 1,50 €; en az 5 € yükleme, en çok 500 € bakiye; 15 kişiye kadar tek kartla</t>
        </is>
      </c>
      <c r="F221" s="29" t="inlineStr">
        <is>
          <t>Consorcio de Transporte Metropolitano del Área de Málaga'nın tarjeta de transporte kartı yeniden yüklenebilir bir cüzdan karttır. Konsorsiyuma bağlı şehirlerarası otobüslerde, Málaga, Alhaurín de la Torre, Benalmádena, Rincón de la Victoria ve Torremolinos şehir otobüslerinde, Málaga-Cádiz-Sevilla Cercanías'ında ve Málaga-Sevilla-Granada metrolarında geçer. Kartı konsorsiyuma bağlı satış noktalarında alırsın, alırken 1,50 € yönetim bedeli ödersin; ilk yükleme en az 5 €, kartta en çok 500 € bakiye durur.</t>
        </is>
      </c>
      <c r="G221" s="29" t="inlineStr">
        <is>
          <t>tarjeta de transporte, Málaga toplu taşıma, Consorcio, kart yükleme, estanco, Cercanías, EMT Málaga</t>
        </is>
      </c>
      <c r="H221" s="29" t="inlineStr">
        <is>
          <t>new;settled</t>
        </is>
      </c>
      <c r="I221" s="29" t="inlineStr">
        <is>
          <t>marbella:kaynak:143</t>
        </is>
      </c>
      <c r="J221" s="49" t="n">
        <v>46323</v>
      </c>
      <c r="K221" s="51" t="n">
        <v>1008</v>
      </c>
      <c r="L221" s="29" t="inlineStr">
        <is>
          <t>Hayır</t>
        </is>
      </c>
      <c r="M221" s="29" t="inlineStr">
        <is>
          <t>Taslak</t>
        </is>
      </c>
      <c r="N221" s="29" t="inlineStr">
        <is>
          <t>marbella:ulasim</t>
        </is>
      </c>
      <c r="O221" s="29" t="inlineStr">
        <is>
          <t>Konsorsiyuma bağlı bir satış noktasına git (tütün bayii, gazete bayii, kitapçı) ya da Cercanías gişesinden kartı al.
Kart alımında 1,50 € yönetim bedeli öde.
Kartı en az 5 € ile yükle; bakiye 500 €'yu aşamaz.
Şehirlerarası otobüste şoföre varış noktanı söyle, sonra kartı validatöre yaklaştır.
Kart ya da validatör bozuksa şoföre kartı göster, bileti nakit öde; fark üç ay içinde iade edilir.</t>
        </is>
      </c>
      <c r="P221" s="29" t="n"/>
      <c r="Q221" s="29" t="inlineStr">
        <is>
          <t>Bozuk kart/validatör durumunda fark en geç üç ay içinde iade edilir</t>
        </is>
      </c>
      <c r="R221" s="29" t="inlineStr">
        <is>
          <t>Kart yönetim bedeli 1,50 €; en az yükleme 5 €; en çok bakiye 500 €</t>
        </is>
      </c>
      <c r="S221" s="29" t="n"/>
      <c r="T221" s="29" t="n"/>
    </row>
    <row r="222" ht="54" customHeight="1">
      <c r="A222" s="29" t="inlineStr">
        <is>
          <t>marbella:malaga-metropol-ulasim-tarifesi-saltos-ve-aktarma-2026</t>
        </is>
      </c>
      <c r="B222" s="29" t="inlineStr">
        <is>
          <t>marbella</t>
        </is>
      </c>
      <c r="C222" s="29" t="inlineStr">
        <is>
          <t>malaga-metropol-ulasim-tarifesi-saltos-ve-aktarma-2026</t>
        </is>
      </c>
      <c r="D222" s="29" t="inlineStr">
        <is>
          <t>Málaga metropol toplu taşımasında tek bilet ve kartla fiyatlar kaç, aktarma süresi ne kadar (2026)?</t>
        </is>
      </c>
      <c r="E222" s="29" t="inlineStr">
        <is>
          <t>15 Temmuz-31 Aralık 2026 tarifesi: 0 saltoda tek bilet 1,60 €, kartla şehirlerarası 0,62 €</t>
        </is>
      </c>
      <c r="F222" s="29" t="inlineStr">
        <is>
          <t>Consorcio de Transporte Metropolitano del Área de Málaga'nın 15 Temmuz-31 Aralık 2026 tarifesinde fiyat 'salto' (bölge geçişi) sayısına göre artar: 0 saltoda tek bilet 1,60 €, 1 saltoda 1,75 €, 2 saltoda 2,50 €, 3 saltoda 3,75 €, 4 saltoda 6,25 €. Aynı kademede kartla şehirlerarası otobüs 0 saltoda 0,62 € tutar. Aktarma süresi 0 saltoda 50 dakika, her ek saltoda 20 dakika uzar (4 saltoda 130 dakika). Havalimanı ekspres hattında kartla fiyat 4,00 €'dur.</t>
        </is>
      </c>
      <c r="G222" s="29" t="inlineStr">
        <is>
          <t>Málaga ulaşım tarifesi, salto, billete sencillo, transbordo, Consorcio, tarifa 2026, aktarma</t>
        </is>
      </c>
      <c r="H222" s="29" t="inlineStr">
        <is>
          <t>planning;new;settled</t>
        </is>
      </c>
      <c r="I222" s="29" t="inlineStr">
        <is>
          <t>marbella:kaynak:253</t>
        </is>
      </c>
      <c r="J222" s="49" t="n">
        <v>46323</v>
      </c>
      <c r="K222" s="51" t="n">
        <v>1009</v>
      </c>
      <c r="L222" s="29" t="inlineStr">
        <is>
          <t>Hayır</t>
        </is>
      </c>
      <c r="M222" s="29" t="inlineStr">
        <is>
          <t>Taslak</t>
        </is>
      </c>
      <c r="N222" s="29" t="inlineStr">
        <is>
          <t>marbella:ulasim</t>
        </is>
      </c>
      <c r="O222" s="29" t="inlineStr">
        <is>
          <t>Gideceğin yerin kaç salto olduğunu hat bilgisinden öğren.
Tek bilet mi, kart mı kullanacağına tarife tablosuna göre karar ver: kartla yolculuk daha ucuzdur.
Aktarma yapacaksan süreni saltoya göre hesapla: 0 saltoda 50, 1'de 70, 2'de 90, 3'te 110, 4'te 130 dakika.
Málaga EMT şehir hatlarında ikinci etaptan itibaren bir saat boyunca sınırsız ücretsiz aktarma yapabilirsin.</t>
        </is>
      </c>
      <c r="P222" s="29" t="n"/>
      <c r="Q222" s="29" t="inlineStr">
        <is>
          <t>Tarife 15 Temmuz-31 Aralık 2026; aktarma süresi 0 saltoda 50, 4 saltoda 130 dakika</t>
        </is>
      </c>
      <c r="R222" s="29" t="inlineStr">
        <is>
          <t>Tek bilet: 0 salto 1,60 €, 1 salto 1,75 €, 2 salto 2,50 €, 3 salto 3,75 €, 4 salto 6,25 €</t>
        </is>
      </c>
      <c r="S222" s="29" t="inlineStr">
        <is>
          <t>Bu tarife Málaga metropol konsorsiyumuna aittir; Marbella şehir otobüsünün tarifesi işletmecisi Avanza'nın urbanosdemarbella.com sitesindedir.</t>
        </is>
      </c>
      <c r="T222" s="29" t="n"/>
    </row>
    <row r="223" ht="54" customHeight="1">
      <c r="A223" s="29" t="inlineStr">
        <is>
          <t>marbella:malaga-cercanias-konsorsiyum-karti-giris-cikis-turnike</t>
        </is>
      </c>
      <c r="B223" s="29" t="inlineStr">
        <is>
          <t>marbella</t>
        </is>
      </c>
      <c r="C223" s="29" t="inlineStr">
        <is>
          <t>malaga-cercanias-konsorsiyum-karti-giris-cikis-turnike</t>
        </is>
      </c>
      <c r="D223" s="29" t="inlineStr">
        <is>
          <t>Málaga Cercanías'ında (C1, C2) konsorsiyum kartıyla yolculuk nasıl ödenir, çıkışta kartı yeniden okutmak gerekir mi?</t>
        </is>
      </c>
      <c r="E223" s="29" t="inlineStr">
        <is>
          <t>Girişte 0 salto düşer; varışta kartı yeniden okutmazsan ceza; yolculuk için en çok 180 dakika</t>
        </is>
      </c>
      <c r="F223" s="29" t="inlineStr">
        <is>
          <t>Málaga Cercanías'ının iki hattında (C-1 Málaga-Fuengirola, C-2 Málaga-Álora) konsorsiyum kartıyla yolculuk yapabilirsin. Girişte turnikeden geçince her zaman 0 salto ücreti düşer; varış istasyonunda kartı çıkış turnikesinden yeniden okutman gerekir, böylece ücret gerçek mesafeye göre düzeltilir. Girişten çıkışa en çok 180 dakikan var; aşarsan Renfe biletsiz yolcu cezası uygular. Vazgeçersen girişten sonra 15 dakika içinde aynı duraktan yolculuğu iptal edebilirsin.</t>
        </is>
      </c>
      <c r="G223" s="29" t="inlineStr">
        <is>
          <t>Cercanías Málaga, C1, C2, tarjeta consorcio, turnike, salto, biletsiz yolcu, Renfe</t>
        </is>
      </c>
      <c r="H223" s="29" t="inlineStr">
        <is>
          <t>new;settled</t>
        </is>
      </c>
      <c r="I223" s="29" t="inlineStr">
        <is>
          <t>marbella:kaynak:254</t>
        </is>
      </c>
      <c r="J223" s="49" t="n">
        <v>46323</v>
      </c>
      <c r="K223" s="51" t="n">
        <v>1010</v>
      </c>
      <c r="L223" s="29" t="inlineStr">
        <is>
          <t>Hayır</t>
        </is>
      </c>
      <c r="M223" s="29" t="inlineStr">
        <is>
          <t>Taslak</t>
        </is>
      </c>
      <c r="N223" s="29" t="inlineStr">
        <is>
          <t>marbella:ulasim</t>
        </is>
      </c>
      <c r="O223" s="29" t="inlineStr">
        <is>
          <t>Girişte kartı turnikeye ya da validatöre okut; 0 salto ücreti düşer.
Varışta çıkış turnikesine kartı yeniden okut; ücret mesafeye göre ayarlanır.
Yolculuğu 180 dakika içinde bitir.
Vazgeçersen girişten sonra 15 dakika içinde, giriş yaptığın durakta yolculuğu iptal et.
Kartı ya da bakiyeni Cercanías gişelerinde ve otomatlarında yükle ya da düzenle.</t>
        </is>
      </c>
      <c r="P223" s="29" t="n"/>
      <c r="Q223" s="29" t="inlineStr">
        <is>
          <t>Girişten çıkışa en çok 180 dakika; iptal için 15 dakika</t>
        </is>
      </c>
      <c r="R223" s="29" t="n"/>
      <c r="S223" s="29" t="n"/>
      <c r="T223" s="29" t="n"/>
    </row>
    <row r="224" ht="54" customHeight="1">
      <c r="A224" s="29" t="inlineStr">
        <is>
          <t>marbella:andalucia-toplu-tasima-cocuk-ucretsiz-genc-indirimi-2026</t>
        </is>
      </c>
      <c r="B224" s="29" t="inlineStr">
        <is>
          <t>marbella</t>
        </is>
      </c>
      <c r="C224" s="29" t="inlineStr">
        <is>
          <t>andalucia-toplu-tasima-cocuk-ucretsiz-genc-indirimi-2026</t>
        </is>
      </c>
      <c r="D224" s="29" t="inlineStr">
        <is>
          <t>Andalucía'da metropol toplu taşımada çocuklara ücretsiz, gençlere ve diğer yolculara indirim var mı (2026)?</t>
        </is>
      </c>
      <c r="E224" s="29" t="inlineStr">
        <is>
          <t>2012-2026 doğumlular ücretsiz; gençlere %50, abonman ve çok biniş kartlarında diğerlerine %40; 31 Aralık 2026'ya kadar</t>
        </is>
      </c>
      <c r="F224" s="29" t="inlineStr">
        <is>
          <t>Junta de Andalucía 2026 boyunca metropol toplu taşımada üç indirim uyguluyor: 1 Ocak 2012 ile 31 Aralık 2026 arasında doğan çocuklar için toplu taşıma tamamen ücretsiz; gençlere (30 yaşına kadar) Tarjeta Joven de Transportes ile ek %50; diğer yolculara abonman ve çok biniş kartlarında (konsorsiyumların yeşil kartı, metro bonoları, abonmanı olan şehirlerarası işletmeciler) ek %40. Çerçeve 31 Aralık 2026'ya kadar geçerlidir.</t>
        </is>
      </c>
      <c r="G224" s="29" t="inlineStr">
        <is>
          <t>toplu taşıma indirimi, çocuklara ücretsiz, Tarjeta Joven, bono infantil, Junta de Andalucía, 2026, bonificación</t>
        </is>
      </c>
      <c r="H224" s="29" t="inlineStr">
        <is>
          <t>planning;new;settled</t>
        </is>
      </c>
      <c r="I224" s="29" t="inlineStr">
        <is>
          <t>marbella:kaynak:255;marbella:kaynak:256</t>
        </is>
      </c>
      <c r="J224" s="49" t="n">
        <v>46323</v>
      </c>
      <c r="K224" s="51" t="n">
        <v>1011</v>
      </c>
      <c r="L224" s="29" t="inlineStr">
        <is>
          <t>Hayır</t>
        </is>
      </c>
      <c r="M224" s="29" t="inlineStr">
        <is>
          <t>Taslak</t>
        </is>
      </c>
      <c r="N224" s="29" t="inlineStr">
        <is>
          <t>marbella:ulasim</t>
        </is>
      </c>
      <c r="O224" s="29" t="inlineStr">
        <is>
          <t>Çocuğun 1 Ocak 2012 ile 31 Aralık 2026 arasında doğduysa ücretsiz bono için konsorsiyumun gratuidad prosedürünü izle.
30 yaşına kadar gençsen Tarjeta Joven de Transportes al; %50 indirim bu kartla uygulanır.
Diğer yolcuysan çok biniş kartı ya da abonman kullan; %40 indirim bunlara uygulanır.
Monedero virtual kullanıyorsan DNI ile kişi olarak kimliğini doğrula; Bono Infantil Gratuito ve Tarjeta Joven avantajları bundan sonra otomatik uygulanır.</t>
        </is>
      </c>
      <c r="P224" s="29" t="n"/>
      <c r="Q224" s="29" t="inlineStr">
        <is>
          <t>31 Aralık 2026'ya kadar</t>
        </is>
      </c>
      <c r="R224" s="29" t="inlineStr">
        <is>
          <t>Çocuklar ücretsiz; gençler ek %50; abonman ve çok biniş kartlarında diğerleri ek %40</t>
        </is>
      </c>
      <c r="S224" s="29" t="n"/>
      <c r="T224" s="29" t="n"/>
    </row>
    <row r="225" ht="54" customHeight="1">
      <c r="A225" s="29" t="inlineStr">
        <is>
          <t>marbella:consorcio-malaga-monedero-virtual-telefonla-ode</t>
        </is>
      </c>
      <c r="B225" s="29" t="inlineStr">
        <is>
          <t>marbella</t>
        </is>
      </c>
      <c r="C225" s="29" t="inlineStr">
        <is>
          <t>consorcio-malaga-monedero-virtual-telefonla-ode</t>
        </is>
      </c>
      <c r="D225" s="29" t="inlineStr">
        <is>
          <t>Consorcio Málaga uygulamasındaki monedero virtual ile otobüs yolculuğu nasıl ödenir?</t>
        </is>
      </c>
      <c r="E225" s="29" t="inlineStr">
        <is>
          <t>NFC'li Android telefon gerekir; iOS'ta kullanılamıyor; pilot uygulama Avanza hatlarında geçerli</t>
        </is>
      </c>
      <c r="F225" s="29" t="inlineStr">
        <is>
          <t>Monedero virtual, Consorcio Málaga uygulamasından yüklenen ve telefonla ödenen sanal bir cüzdandır. Şu an pilot aşamadadır: yalnız Consorcio'nun Avanza hatlarında ve Rincón de la Victoria şehir hatlarında (Rinconbús) geçer. NFC çipli ve Android 6 ya da üstü bir telefon gerekir; Apple kısıtladığı için iOS cihazlarda kullanılamaz. Çocuk (Bono Infantil Gratuito) ve gençlik (Tarjeta Joven) indirimlerinden yararlanmak için DNI ile kişi olarak kimliğini doğrulaman gerekir.</t>
        </is>
      </c>
      <c r="G225" s="29" t="inlineStr">
        <is>
          <t>monedero virtual, Consorcio Málaga uygulaması, NFC, Avanza, telefonla ödeme, Rinconbús, Android</t>
        </is>
      </c>
      <c r="H225" s="29" t="inlineStr">
        <is>
          <t>new;settled</t>
        </is>
      </c>
      <c r="I225" s="29" t="inlineStr">
        <is>
          <t>marbella:kaynak:256</t>
        </is>
      </c>
      <c r="J225" s="49" t="n">
        <v>46323</v>
      </c>
      <c r="K225" s="51" t="n">
        <v>1012</v>
      </c>
      <c r="L225" s="29" t="inlineStr">
        <is>
          <t>Hayır</t>
        </is>
      </c>
      <c r="M225" s="29" t="inlineStr">
        <is>
          <t>Taslak</t>
        </is>
      </c>
      <c r="N225" s="29" t="inlineStr">
        <is>
          <t>marbella:ulasim</t>
        </is>
      </c>
      <c r="O225" s="29" t="inlineStr">
        <is>
          <t>Android telefonuna Consorcio Málaga uygulamasını indir ve NFC'yi aç.
Uygulamada 'Monedero Virtual' bölümünden kayıt formunu doldur ve koşulları kabul et.
Bakiyeni kredi kartıyla güvenli ödeme sayfasından yükle.
Binmeden önce 'Voy a viajar' tuşuna bas, otobüste şoföre varış noktanı söyle, telefonun NFC antenini validatöre yaklaştır ve sesli onayı bekle.
Denetimde uygulamadaki biletini göster.</t>
        </is>
      </c>
      <c r="P225" s="29" t="inlineStr">
        <is>
          <t>NFC çipli Android 6+ telefon
Kredi kartı
DNI (indirimli bono için kimlik doğrulama; CAN denen 6 haneli numara DNI'nin ön yüzünde sağ altta yazar)</t>
        </is>
      </c>
      <c r="Q225" s="29" t="inlineStr">
        <is>
          <t>DNI okuması için telefonu DNI'ye 15-30 saniye sabit tut</t>
        </is>
      </c>
      <c r="R225" s="29" t="n"/>
      <c r="S225" s="29" t="n"/>
      <c r="T225" s="29" t="n"/>
    </row>
    <row r="226" ht="54" customHeight="1">
      <c r="A226" s="29" t="n"/>
      <c r="B226" s="29" t="n"/>
      <c r="C226" s="29" t="n"/>
      <c r="D226" s="29" t="n"/>
      <c r="E226" s="29" t="n"/>
      <c r="F226" s="29" t="n"/>
      <c r="G226" s="29" t="n"/>
      <c r="H226" s="29" t="n"/>
      <c r="I226" s="29" t="n"/>
      <c r="J226" s="49" t="n"/>
      <c r="K226" s="51" t="n"/>
      <c r="L226" s="29" t="n"/>
      <c r="M226" s="29" t="n"/>
      <c r="N226" s="29" t="n"/>
      <c r="O226" s="29" t="n"/>
      <c r="P226" s="29" t="n"/>
      <c r="Q226" s="29" t="n"/>
      <c r="R226" s="29" t="n"/>
      <c r="S226" s="29" t="n"/>
      <c r="T226" s="29" t="n"/>
    </row>
    <row r="227" ht="54" customHeight="1">
      <c r="A227" s="29" t="n"/>
      <c r="B227" s="29" t="n"/>
      <c r="C227" s="29" t="n"/>
      <c r="D227" s="29" t="n"/>
      <c r="E227" s="29" t="n"/>
      <c r="F227" s="29" t="n"/>
      <c r="G227" s="29" t="n"/>
      <c r="H227" s="29" t="n"/>
      <c r="I227" s="29" t="n"/>
      <c r="J227" s="49" t="n"/>
      <c r="K227" s="51" t="n"/>
      <c r="L227" s="29" t="n"/>
      <c r="M227" s="29" t="n"/>
      <c r="N227" s="29" t="n"/>
      <c r="O227" s="29" t="n"/>
      <c r="P227" s="29" t="n"/>
      <c r="Q227" s="29" t="n"/>
      <c r="R227" s="29" t="n"/>
      <c r="S227" s="29" t="n"/>
      <c r="T227" s="29" t="n"/>
    </row>
    <row r="228" ht="54" customHeight="1">
      <c r="A228" s="29" t="n"/>
      <c r="B228" s="29" t="n"/>
      <c r="C228" s="29" t="n"/>
      <c r="D228" s="29" t="n"/>
      <c r="E228" s="29" t="n"/>
      <c r="F228" s="29" t="n"/>
      <c r="G228" s="29" t="n"/>
      <c r="H228" s="29" t="n"/>
      <c r="I228" s="29" t="n"/>
      <c r="J228" s="49" t="n"/>
      <c r="K228" s="51" t="n"/>
      <c r="L228" s="29" t="n"/>
      <c r="M228" s="29" t="n"/>
      <c r="N228" s="29" t="n"/>
      <c r="O228" s="29" t="n"/>
      <c r="P228" s="29" t="n"/>
      <c r="Q228" s="29" t="n"/>
      <c r="R228" s="29" t="n"/>
      <c r="S228" s="29" t="n"/>
      <c r="T228" s="29" t="n"/>
    </row>
    <row r="229" ht="54" customHeight="1">
      <c r="A229" s="29" t="n"/>
      <c r="B229" s="29" t="n"/>
      <c r="C229" s="29" t="n"/>
      <c r="D229" s="29" t="n"/>
      <c r="E229" s="29" t="n"/>
      <c r="F229" s="29" t="n"/>
      <c r="G229" s="29" t="n"/>
      <c r="H229" s="29" t="n"/>
      <c r="I229" s="29" t="n"/>
      <c r="J229" s="49" t="n"/>
      <c r="K229" s="51" t="n"/>
      <c r="L229" s="29" t="n"/>
      <c r="M229" s="29" t="n"/>
      <c r="N229" s="29" t="n"/>
      <c r="O229" s="29" t="n"/>
      <c r="P229" s="29" t="n"/>
      <c r="Q229" s="29" t="n"/>
      <c r="R229" s="29" t="n"/>
      <c r="S229" s="29" t="n"/>
      <c r="T229" s="29" t="n"/>
    </row>
    <row r="230" ht="54" customHeight="1">
      <c r="A230" s="29" t="n"/>
      <c r="B230" s="29" t="n"/>
      <c r="C230" s="29" t="n"/>
      <c r="D230" s="29" t="n"/>
      <c r="E230" s="29" t="n"/>
      <c r="F230" s="29" t="n"/>
      <c r="G230" s="29" t="n"/>
      <c r="H230" s="29" t="n"/>
      <c r="I230" s="29" t="n"/>
      <c r="J230" s="49" t="n"/>
      <c r="K230" s="51" t="n"/>
      <c r="L230" s="29" t="n"/>
      <c r="M230" s="29" t="n"/>
      <c r="N230" s="29" t="n"/>
      <c r="O230" s="29" t="n"/>
      <c r="P230" s="29" t="n"/>
      <c r="Q230" s="29" t="n"/>
      <c r="R230" s="29" t="n"/>
      <c r="S230" s="29" t="n"/>
      <c r="T230" s="29" t="n"/>
    </row>
    <row r="231" ht="54" customHeight="1">
      <c r="A231" s="29" t="n"/>
      <c r="B231" s="29" t="n"/>
      <c r="C231" s="29" t="n"/>
      <c r="D231" s="29" t="n"/>
      <c r="E231" s="29" t="n"/>
      <c r="F231" s="29" t="n"/>
      <c r="G231" s="29" t="n"/>
      <c r="H231" s="29" t="n"/>
      <c r="I231" s="29" t="n"/>
      <c r="J231" s="49" t="n"/>
      <c r="K231" s="51" t="n"/>
      <c r="L231" s="29" t="n"/>
      <c r="M231" s="29" t="n"/>
      <c r="N231" s="29" t="n"/>
      <c r="O231" s="29" t="n"/>
      <c r="P231" s="29" t="n"/>
      <c r="Q231" s="29" t="n"/>
      <c r="R231" s="29" t="n"/>
      <c r="S231" s="29" t="n"/>
      <c r="T231" s="29" t="n"/>
    </row>
    <row r="232" ht="54" customHeight="1">
      <c r="A232" s="29" t="n"/>
      <c r="B232" s="29" t="n"/>
      <c r="C232" s="29" t="n"/>
      <c r="D232" s="29" t="n"/>
      <c r="E232" s="29" t="n"/>
      <c r="F232" s="29" t="n"/>
      <c r="G232" s="29" t="n"/>
      <c r="H232" s="29" t="n"/>
      <c r="I232" s="29" t="n"/>
      <c r="J232" s="49" t="n"/>
      <c r="K232" s="51" t="n"/>
      <c r="L232" s="29" t="n"/>
      <c r="M232" s="29" t="n"/>
      <c r="N232" s="29" t="n"/>
      <c r="O232" s="29" t="n"/>
      <c r="P232" s="29" t="n"/>
      <c r="Q232" s="29" t="n"/>
      <c r="R232" s="29" t="n"/>
      <c r="S232" s="29" t="n"/>
      <c r="T232" s="29" t="n"/>
    </row>
    <row r="233" ht="54" customHeight="1">
      <c r="A233" s="29" t="n"/>
      <c r="B233" s="29" t="n"/>
      <c r="C233" s="29" t="n"/>
      <c r="D233" s="29" t="n"/>
      <c r="E233" s="29" t="n"/>
      <c r="F233" s="29" t="n"/>
      <c r="G233" s="29" t="n"/>
      <c r="H233" s="29" t="n"/>
      <c r="I233" s="29" t="n"/>
      <c r="J233" s="49" t="n"/>
      <c r="K233" s="51" t="n"/>
      <c r="L233" s="29" t="n"/>
      <c r="M233" s="29" t="n"/>
      <c r="N233" s="29" t="n"/>
      <c r="O233" s="29" t="n"/>
      <c r="P233" s="29" t="n"/>
      <c r="Q233" s="29" t="n"/>
      <c r="R233" s="29" t="n"/>
      <c r="S233" s="29" t="n"/>
      <c r="T233" s="29" t="n"/>
    </row>
    <row r="234" ht="54" customHeight="1">
      <c r="A234" s="29" t="n"/>
      <c r="B234" s="29" t="n"/>
      <c r="C234" s="29" t="n"/>
      <c r="D234" s="29" t="n"/>
      <c r="E234" s="29" t="n"/>
      <c r="F234" s="29" t="n"/>
      <c r="G234" s="29" t="n"/>
      <c r="H234" s="29" t="n"/>
      <c r="I234" s="29" t="n"/>
      <c r="J234" s="49" t="n"/>
      <c r="K234" s="51" t="n"/>
      <c r="L234" s="29" t="n"/>
      <c r="M234" s="29" t="n"/>
      <c r="N234" s="29" t="n"/>
      <c r="O234" s="29" t="n"/>
      <c r="P234" s="29" t="n"/>
      <c r="Q234" s="29" t="n"/>
      <c r="R234" s="29" t="n"/>
      <c r="S234" s="29" t="n"/>
      <c r="T234" s="29" t="n"/>
    </row>
    <row r="235" ht="54" customHeight="1">
      <c r="A235" s="29" t="n"/>
      <c r="B235" s="29" t="n"/>
      <c r="C235" s="29" t="n"/>
      <c r="D235" s="29" t="n"/>
      <c r="E235" s="29" t="n"/>
      <c r="F235" s="29" t="n"/>
      <c r="G235" s="29" t="n"/>
      <c r="H235" s="29" t="n"/>
      <c r="I235" s="29" t="n"/>
      <c r="J235" s="49" t="n"/>
      <c r="K235" s="51" t="n"/>
      <c r="L235" s="29" t="n"/>
      <c r="M235" s="29" t="n"/>
      <c r="N235" s="29" t="n"/>
      <c r="O235" s="29" t="n"/>
      <c r="P235" s="29" t="n"/>
      <c r="Q235" s="29" t="n"/>
      <c r="R235" s="29" t="n"/>
      <c r="S235" s="29" t="n"/>
      <c r="T235" s="29" t="n"/>
    </row>
    <row r="236" ht="54" customHeight="1">
      <c r="A236" s="29" t="n"/>
      <c r="B236" s="29" t="n"/>
      <c r="C236" s="29" t="n"/>
      <c r="D236" s="29" t="n"/>
      <c r="E236" s="29" t="n"/>
      <c r="F236" s="29" t="n"/>
      <c r="G236" s="29" t="n"/>
      <c r="H236" s="29" t="n"/>
      <c r="I236" s="29" t="n"/>
      <c r="J236" s="49" t="n"/>
      <c r="K236" s="51" t="n"/>
      <c r="L236" s="29" t="n"/>
      <c r="M236" s="29" t="n"/>
      <c r="N236" s="29" t="n"/>
      <c r="O236" s="29" t="n"/>
      <c r="P236" s="29" t="n"/>
      <c r="Q236" s="29" t="n"/>
      <c r="R236" s="29" t="n"/>
      <c r="S236" s="29" t="n"/>
      <c r="T236" s="29" t="n"/>
    </row>
    <row r="237" ht="54" customHeight="1">
      <c r="A237" s="29" t="n"/>
      <c r="B237" s="29" t="n"/>
      <c r="C237" s="29" t="n"/>
      <c r="D237" s="29" t="n"/>
      <c r="E237" s="29" t="n"/>
      <c r="F237" s="29" t="n"/>
      <c r="G237" s="29" t="n"/>
      <c r="H237" s="29" t="n"/>
      <c r="I237" s="29" t="n"/>
      <c r="J237" s="49" t="n"/>
      <c r="K237" s="51" t="n"/>
      <c r="L237" s="29" t="n"/>
      <c r="M237" s="29" t="n"/>
      <c r="N237" s="29" t="n"/>
      <c r="O237" s="29" t="n"/>
      <c r="P237" s="29" t="n"/>
      <c r="Q237" s="29" t="n"/>
      <c r="R237" s="29" t="n"/>
      <c r="S237" s="29" t="n"/>
      <c r="T237" s="29" t="n"/>
    </row>
    <row r="238" ht="54" customHeight="1">
      <c r="A238" s="29" t="n"/>
      <c r="B238" s="29" t="n"/>
      <c r="C238" s="29" t="n"/>
      <c r="D238" s="29" t="n"/>
      <c r="E238" s="29" t="n"/>
      <c r="F238" s="29" t="n"/>
      <c r="G238" s="29" t="n"/>
      <c r="H238" s="29" t="n"/>
      <c r="I238" s="29" t="n"/>
      <c r="J238" s="49" t="n"/>
      <c r="K238" s="51" t="n"/>
      <c r="L238" s="29" t="n"/>
      <c r="M238" s="29" t="n"/>
      <c r="N238" s="29" t="n"/>
      <c r="O238" s="29" t="n"/>
      <c r="P238" s="29" t="n"/>
      <c r="Q238" s="29" t="n"/>
      <c r="R238" s="29" t="n"/>
      <c r="S238" s="29" t="n"/>
      <c r="T238" s="29" t="n"/>
    </row>
    <row r="239" ht="54" customHeight="1">
      <c r="A239" s="29" t="n"/>
      <c r="B239" s="29" t="n"/>
      <c r="C239" s="29" t="n"/>
      <c r="D239" s="29" t="n"/>
      <c r="E239" s="29" t="n"/>
      <c r="F239" s="29" t="n"/>
      <c r="G239" s="29" t="n"/>
      <c r="H239" s="29" t="n"/>
      <c r="I239" s="29" t="n"/>
      <c r="J239" s="49" t="n"/>
      <c r="K239" s="51" t="n"/>
      <c r="L239" s="29" t="n"/>
      <c r="M239" s="29" t="n"/>
      <c r="N239" s="29" t="n"/>
      <c r="O239" s="29" t="n"/>
      <c r="P239" s="29" t="n"/>
      <c r="Q239" s="29" t="n"/>
      <c r="R239" s="29" t="n"/>
      <c r="S239" s="29" t="n"/>
      <c r="T239" s="29" t="n"/>
    </row>
    <row r="240" ht="54" customHeight="1">
      <c r="A240" s="29" t="n"/>
      <c r="B240" s="29" t="n"/>
      <c r="C240" s="29" t="n"/>
      <c r="D240" s="29" t="n"/>
      <c r="E240" s="29" t="n"/>
      <c r="F240" s="29" t="n"/>
      <c r="G240" s="29" t="n"/>
      <c r="H240" s="29" t="n"/>
      <c r="I240" s="29" t="n"/>
      <c r="J240" s="49" t="n"/>
      <c r="K240" s="51" t="n"/>
      <c r="L240" s="29" t="n"/>
      <c r="M240" s="29" t="n"/>
      <c r="N240" s="29" t="n"/>
      <c r="O240" s="29" t="n"/>
      <c r="P240" s="29" t="n"/>
      <c r="Q240" s="29" t="n"/>
      <c r="R240" s="29" t="n"/>
      <c r="S240" s="29" t="n"/>
      <c r="T240" s="29" t="n"/>
    </row>
    <row r="241" ht="54" customHeight="1">
      <c r="A241" s="29" t="n"/>
      <c r="B241" s="29" t="n"/>
      <c r="C241" s="29" t="n"/>
      <c r="D241" s="29" t="n"/>
      <c r="E241" s="29" t="n"/>
      <c r="F241" s="29" t="n"/>
      <c r="G241" s="29" t="n"/>
      <c r="H241" s="29" t="n"/>
      <c r="I241" s="29" t="n"/>
      <c r="J241" s="49" t="n"/>
      <c r="K241" s="51" t="n"/>
      <c r="L241" s="29" t="n"/>
      <c r="M241" s="29" t="n"/>
      <c r="N241" s="29" t="n"/>
      <c r="O241" s="29" t="n"/>
      <c r="P241" s="29" t="n"/>
      <c r="Q241" s="29" t="n"/>
      <c r="R241" s="29" t="n"/>
      <c r="S241" s="29" t="n"/>
      <c r="T241" s="29" t="n"/>
    </row>
    <row r="242" ht="54" customHeight="1">
      <c r="A242" s="29" t="n"/>
      <c r="B242" s="29" t="n"/>
      <c r="C242" s="29" t="n"/>
      <c r="D242" s="29" t="n"/>
      <c r="E242" s="29" t="n"/>
      <c r="F242" s="29" t="n"/>
      <c r="G242" s="29" t="n"/>
      <c r="H242" s="29" t="n"/>
      <c r="I242" s="29" t="n"/>
      <c r="J242" s="49" t="n"/>
      <c r="K242" s="51" t="n"/>
      <c r="L242" s="29" t="n"/>
      <c r="M242" s="29" t="n"/>
      <c r="N242" s="29" t="n"/>
      <c r="O242" s="29" t="n"/>
      <c r="P242" s="29" t="n"/>
      <c r="Q242" s="29" t="n"/>
      <c r="R242" s="29" t="n"/>
      <c r="S242" s="29" t="n"/>
      <c r="T242" s="29" t="n"/>
    </row>
    <row r="243" ht="54" customHeight="1">
      <c r="A243" s="29" t="n"/>
      <c r="B243" s="29" t="n"/>
      <c r="C243" s="29" t="n"/>
      <c r="D243" s="29" t="n"/>
      <c r="E243" s="29" t="n"/>
      <c r="F243" s="29" t="n"/>
      <c r="G243" s="29" t="n"/>
      <c r="H243" s="29" t="n"/>
      <c r="I243" s="29" t="n"/>
      <c r="J243" s="49" t="n"/>
      <c r="K243" s="51" t="n"/>
      <c r="L243" s="29" t="n"/>
      <c r="M243" s="29" t="n"/>
      <c r="N243" s="29" t="n"/>
      <c r="O243" s="29" t="n"/>
      <c r="P243" s="29" t="n"/>
      <c r="Q243" s="29" t="n"/>
      <c r="R243" s="29" t="n"/>
      <c r="S243" s="29" t="n"/>
      <c r="T243" s="29" t="n"/>
    </row>
    <row r="244" ht="54" customHeight="1">
      <c r="A244" s="29" t="n"/>
      <c r="B244" s="29" t="n"/>
      <c r="C244" s="29" t="n"/>
      <c r="D244" s="29" t="n"/>
      <c r="E244" s="29" t="n"/>
      <c r="F244" s="29" t="n"/>
      <c r="G244" s="29" t="n"/>
      <c r="H244" s="29" t="n"/>
      <c r="I244" s="29" t="n"/>
      <c r="J244" s="49" t="n"/>
      <c r="K244" s="51" t="n"/>
      <c r="L244" s="29" t="n"/>
      <c r="M244" s="29" t="n"/>
      <c r="N244" s="29" t="n"/>
      <c r="O244" s="29" t="n"/>
      <c r="P244" s="29" t="n"/>
      <c r="Q244" s="29" t="n"/>
      <c r="R244" s="29" t="n"/>
      <c r="S244" s="29" t="n"/>
      <c r="T244" s="29" t="n"/>
    </row>
    <row r="245" ht="54" customHeight="1">
      <c r="A245" s="29" t="n"/>
      <c r="B245" s="29" t="n"/>
      <c r="C245" s="29" t="n"/>
      <c r="D245" s="29" t="n"/>
      <c r="E245" s="29" t="n"/>
      <c r="F245" s="29" t="n"/>
      <c r="G245" s="29" t="n"/>
      <c r="H245" s="29" t="n"/>
      <c r="I245" s="29" t="n"/>
      <c r="J245" s="49" t="n"/>
      <c r="K245" s="51" t="n"/>
      <c r="L245" s="29" t="n"/>
      <c r="M245" s="29" t="n"/>
      <c r="N245" s="29" t="n"/>
      <c r="O245" s="29" t="n"/>
      <c r="P245" s="29" t="n"/>
      <c r="Q245" s="29" t="n"/>
      <c r="R245" s="29" t="n"/>
      <c r="S245" s="29" t="n"/>
      <c r="T245" s="29" t="n"/>
    </row>
    <row r="246" ht="54" customHeight="1">
      <c r="A246" s="29" t="n"/>
      <c r="B246" s="29" t="n"/>
      <c r="C246" s="29" t="n"/>
      <c r="D246" s="29" t="n"/>
      <c r="E246" s="29" t="n"/>
      <c r="F246" s="29" t="n"/>
      <c r="G246" s="29" t="n"/>
      <c r="H246" s="29" t="n"/>
      <c r="I246" s="29" t="n"/>
      <c r="J246" s="49" t="n"/>
      <c r="K246" s="51" t="n"/>
      <c r="L246" s="29" t="n"/>
      <c r="M246" s="29" t="n"/>
      <c r="N246" s="29" t="n"/>
      <c r="O246" s="29" t="n"/>
      <c r="P246" s="29" t="n"/>
      <c r="Q246" s="29" t="n"/>
      <c r="R246" s="29" t="n"/>
      <c r="S246" s="29" t="n"/>
      <c r="T246" s="29" t="n"/>
    </row>
    <row r="247" ht="54" customHeight="1">
      <c r="A247" s="29" t="n"/>
      <c r="B247" s="29" t="n"/>
      <c r="C247" s="29" t="n"/>
      <c r="D247" s="29" t="n"/>
      <c r="E247" s="29" t="n"/>
      <c r="F247" s="29" t="n"/>
      <c r="G247" s="29" t="n"/>
      <c r="H247" s="29" t="n"/>
      <c r="I247" s="29" t="n"/>
      <c r="J247" s="49" t="n"/>
      <c r="K247" s="51" t="n"/>
      <c r="L247" s="29" t="n"/>
      <c r="M247" s="29" t="n"/>
      <c r="N247" s="29" t="n"/>
      <c r="O247" s="29" t="n"/>
      <c r="P247" s="29" t="n"/>
      <c r="Q247" s="29" t="n"/>
      <c r="R247" s="29" t="n"/>
      <c r="S247" s="29" t="n"/>
      <c r="T247" s="29" t="n"/>
    </row>
    <row r="248" ht="54" customHeight="1">
      <c r="A248" s="29" t="n"/>
      <c r="B248" s="29" t="n"/>
      <c r="C248" s="29" t="n"/>
      <c r="D248" s="29" t="n"/>
      <c r="E248" s="29" t="n"/>
      <c r="F248" s="29" t="n"/>
      <c r="G248" s="29" t="n"/>
      <c r="H248" s="29" t="n"/>
      <c r="I248" s="29" t="n"/>
      <c r="J248" s="49" t="n"/>
      <c r="K248" s="51" t="n"/>
      <c r="L248" s="29" t="n"/>
      <c r="M248" s="29" t="n"/>
      <c r="N248" s="29" t="n"/>
      <c r="O248" s="29" t="n"/>
      <c r="P248" s="29" t="n"/>
      <c r="Q248" s="29" t="n"/>
      <c r="R248" s="29" t="n"/>
      <c r="S248" s="29" t="n"/>
      <c r="T248" s="29" t="n"/>
    </row>
    <row r="249" ht="54" customHeight="1">
      <c r="A249" s="29" t="n"/>
      <c r="B249" s="29" t="n"/>
      <c r="C249" s="29" t="n"/>
      <c r="D249" s="29" t="n"/>
      <c r="E249" s="29" t="n"/>
      <c r="F249" s="29" t="n"/>
      <c r="G249" s="29" t="n"/>
      <c r="H249" s="29" t="n"/>
      <c r="I249" s="29" t="n"/>
      <c r="J249" s="49" t="n"/>
      <c r="K249" s="51" t="n"/>
      <c r="L249" s="29" t="n"/>
      <c r="M249" s="29" t="n"/>
      <c r="N249" s="29" t="n"/>
      <c r="O249" s="29" t="n"/>
      <c r="P249" s="29" t="n"/>
      <c r="Q249" s="29" t="n"/>
      <c r="R249" s="29" t="n"/>
      <c r="S249" s="29" t="n"/>
      <c r="T249" s="29" t="n"/>
    </row>
    <row r="250" ht="54" customHeight="1">
      <c r="A250" s="29" t="n"/>
      <c r="B250" s="29" t="n"/>
      <c r="C250" s="29" t="n"/>
      <c r="D250" s="29" t="n"/>
      <c r="E250" s="29" t="n"/>
      <c r="F250" s="29" t="n"/>
      <c r="G250" s="29" t="n"/>
      <c r="H250" s="29" t="n"/>
      <c r="I250" s="29" t="n"/>
      <c r="J250" s="49" t="n"/>
      <c r="K250" s="51" t="n"/>
      <c r="L250" s="29" t="n"/>
      <c r="M250" s="29" t="n"/>
      <c r="N250" s="29" t="n"/>
      <c r="O250" s="29" t="n"/>
      <c r="P250" s="29" t="n"/>
      <c r="Q250" s="29" t="n"/>
      <c r="R250" s="29" t="n"/>
      <c r="S250" s="29" t="n"/>
      <c r="T250" s="29" t="n"/>
    </row>
    <row r="251" ht="54" customHeight="1">
      <c r="A251" s="29" t="n"/>
      <c r="B251" s="29" t="n"/>
      <c r="C251" s="29" t="n"/>
      <c r="D251" s="29" t="n"/>
      <c r="E251" s="29" t="n"/>
      <c r="F251" s="29" t="n"/>
      <c r="G251" s="29" t="n"/>
      <c r="H251" s="29" t="n"/>
      <c r="I251" s="29" t="n"/>
      <c r="J251" s="49" t="n"/>
      <c r="K251" s="51" t="n"/>
      <c r="L251" s="29" t="n"/>
      <c r="M251" s="29" t="n"/>
      <c r="N251" s="29" t="n"/>
      <c r="O251" s="29" t="n"/>
      <c r="P251" s="29" t="n"/>
      <c r="Q251" s="29" t="n"/>
      <c r="R251" s="29" t="n"/>
      <c r="S251" s="29" t="n"/>
      <c r="T251" s="29" t="n"/>
    </row>
    <row r="252" ht="54" customHeight="1">
      <c r="A252" s="29" t="n"/>
      <c r="B252" s="29" t="n"/>
      <c r="C252" s="29" t="n"/>
      <c r="D252" s="29" t="n"/>
      <c r="E252" s="29" t="n"/>
      <c r="F252" s="29" t="n"/>
      <c r="G252" s="29" t="n"/>
      <c r="H252" s="29" t="n"/>
      <c r="I252" s="29" t="n"/>
      <c r="J252" s="49" t="n"/>
      <c r="K252" s="51" t="n"/>
      <c r="L252" s="29" t="n"/>
      <c r="M252" s="29" t="n"/>
      <c r="N252" s="29" t="n"/>
      <c r="O252" s="29" t="n"/>
      <c r="P252" s="29" t="n"/>
      <c r="Q252" s="29" t="n"/>
      <c r="R252" s="29" t="n"/>
      <c r="S252" s="29" t="n"/>
      <c r="T252" s="29" t="n"/>
    </row>
    <row r="253" ht="54" customHeight="1">
      <c r="A253" s="29" t="n"/>
      <c r="B253" s="29" t="n"/>
      <c r="C253" s="29" t="n"/>
      <c r="D253" s="29" t="n"/>
      <c r="E253" s="29" t="n"/>
      <c r="F253" s="29" t="n"/>
      <c r="G253" s="29" t="n"/>
      <c r="H253" s="29" t="n"/>
      <c r="I253" s="29" t="n"/>
      <c r="J253" s="49" t="n"/>
      <c r="K253" s="51" t="n"/>
      <c r="L253" s="29" t="n"/>
      <c r="M253" s="29" t="n"/>
      <c r="N253" s="29" t="n"/>
      <c r="O253" s="29" t="n"/>
      <c r="P253" s="29" t="n"/>
      <c r="Q253" s="29" t="n"/>
      <c r="R253" s="29" t="n"/>
      <c r="S253" s="29" t="n"/>
      <c r="T253" s="29" t="n"/>
    </row>
    <row r="254" ht="54" customHeight="1">
      <c r="A254" s="29" t="n"/>
      <c r="B254" s="29" t="n"/>
      <c r="C254" s="29" t="n"/>
      <c r="D254" s="29" t="n"/>
      <c r="E254" s="29" t="n"/>
      <c r="F254" s="29" t="n"/>
      <c r="G254" s="29" t="n"/>
      <c r="H254" s="29" t="n"/>
      <c r="I254" s="29" t="n"/>
      <c r="J254" s="49" t="n"/>
      <c r="K254" s="51" t="n"/>
      <c r="L254" s="29" t="n"/>
      <c r="M254" s="29" t="n"/>
      <c r="N254" s="29" t="n"/>
      <c r="O254" s="29" t="n"/>
      <c r="P254" s="29" t="n"/>
      <c r="Q254" s="29" t="n"/>
      <c r="R254" s="29" t="n"/>
      <c r="S254" s="29" t="n"/>
      <c r="T254" s="29" t="n"/>
    </row>
    <row r="255" ht="54" customHeight="1">
      <c r="A255" s="29" t="n"/>
      <c r="B255" s="29" t="n"/>
      <c r="C255" s="29" t="n"/>
      <c r="D255" s="29" t="n"/>
      <c r="E255" s="29" t="n"/>
      <c r="F255" s="29" t="n"/>
      <c r="G255" s="29" t="n"/>
      <c r="H255" s="29" t="n"/>
      <c r="I255" s="29" t="n"/>
      <c r="J255" s="49" t="n"/>
      <c r="K255" s="51" t="n"/>
      <c r="L255" s="29" t="n"/>
      <c r="M255" s="29" t="n"/>
      <c r="N255" s="29" t="n"/>
      <c r="O255" s="29" t="n"/>
      <c r="P255" s="29" t="n"/>
      <c r="Q255" s="29" t="n"/>
      <c r="R255" s="29" t="n"/>
      <c r="S255" s="29" t="n"/>
      <c r="T255" s="29" t="n"/>
    </row>
    <row r="256" ht="54" customHeight="1">
      <c r="A256" s="29" t="n"/>
      <c r="B256" s="29" t="n"/>
      <c r="C256" s="29" t="n"/>
      <c r="D256" s="29" t="n"/>
      <c r="E256" s="29" t="n"/>
      <c r="F256" s="29" t="n"/>
      <c r="G256" s="29" t="n"/>
      <c r="H256" s="29" t="n"/>
      <c r="I256" s="29" t="n"/>
      <c r="J256" s="49" t="n"/>
      <c r="K256" s="51" t="n"/>
      <c r="L256" s="29" t="n"/>
      <c r="M256" s="29" t="n"/>
      <c r="N256" s="29" t="n"/>
      <c r="O256" s="29" t="n"/>
      <c r="P256" s="29" t="n"/>
      <c r="Q256" s="29" t="n"/>
      <c r="R256" s="29" t="n"/>
      <c r="S256" s="29" t="n"/>
      <c r="T256" s="29" t="n"/>
    </row>
    <row r="257" ht="54" customHeight="1">
      <c r="A257" s="29" t="n"/>
      <c r="B257" s="29" t="n"/>
      <c r="C257" s="29" t="n"/>
      <c r="D257" s="29" t="n"/>
      <c r="E257" s="29" t="n"/>
      <c r="F257" s="29" t="n"/>
      <c r="G257" s="29" t="n"/>
      <c r="H257" s="29" t="n"/>
      <c r="I257" s="29" t="n"/>
      <c r="J257" s="49" t="n"/>
      <c r="K257" s="51" t="n"/>
      <c r="L257" s="29" t="n"/>
      <c r="M257" s="29" t="n"/>
      <c r="N257" s="29" t="n"/>
      <c r="O257" s="29" t="n"/>
      <c r="P257" s="29" t="n"/>
      <c r="Q257" s="29" t="n"/>
      <c r="R257" s="29" t="n"/>
      <c r="S257" s="29" t="n"/>
      <c r="T257" s="29" t="n"/>
    </row>
    <row r="258" ht="54" customHeight="1">
      <c r="A258" s="29" t="n"/>
      <c r="B258" s="29" t="n"/>
      <c r="C258" s="29" t="n"/>
      <c r="D258" s="29" t="n"/>
      <c r="E258" s="29" t="n"/>
      <c r="F258" s="29" t="n"/>
      <c r="G258" s="29" t="n"/>
      <c r="H258" s="29" t="n"/>
      <c r="I258" s="29" t="n"/>
      <c r="J258" s="49" t="n"/>
      <c r="K258" s="51" t="n"/>
      <c r="L258" s="29" t="n"/>
      <c r="M258" s="29" t="n"/>
      <c r="N258" s="29" t="n"/>
      <c r="O258" s="29" t="n"/>
      <c r="P258" s="29" t="n"/>
      <c r="Q258" s="29" t="n"/>
      <c r="R258" s="29" t="n"/>
      <c r="S258" s="29" t="n"/>
      <c r="T258" s="29" t="n"/>
    </row>
    <row r="259" ht="54" customHeight="1">
      <c r="A259" s="29" t="n"/>
      <c r="B259" s="29" t="n"/>
      <c r="C259" s="29" t="n"/>
      <c r="D259" s="29" t="n"/>
      <c r="E259" s="29" t="n"/>
      <c r="F259" s="29" t="n"/>
      <c r="G259" s="29" t="n"/>
      <c r="H259" s="29" t="n"/>
      <c r="I259" s="29" t="n"/>
      <c r="J259" s="49" t="n"/>
      <c r="K259" s="51" t="n"/>
      <c r="L259" s="29" t="n"/>
      <c r="M259" s="29" t="n"/>
      <c r="N259" s="29" t="n"/>
      <c r="O259" s="29" t="n"/>
      <c r="P259" s="29" t="n"/>
      <c r="Q259" s="29" t="n"/>
      <c r="R259" s="29" t="n"/>
      <c r="S259" s="29" t="n"/>
      <c r="T259" s="29" t="n"/>
    </row>
    <row r="260" ht="54" customHeight="1">
      <c r="A260" s="29" t="n"/>
      <c r="B260" s="29" t="n"/>
      <c r="C260" s="29" t="n"/>
      <c r="D260" s="29" t="n"/>
      <c r="E260" s="29" t="n"/>
      <c r="F260" s="29" t="n"/>
      <c r="G260" s="29" t="n"/>
      <c r="H260" s="29" t="n"/>
      <c r="I260" s="29" t="n"/>
      <c r="J260" s="49" t="n"/>
      <c r="K260" s="51" t="n"/>
      <c r="L260" s="29" t="n"/>
      <c r="M260" s="29" t="n"/>
      <c r="N260" s="29" t="n"/>
      <c r="O260" s="29" t="n"/>
      <c r="P260" s="29" t="n"/>
      <c r="Q260" s="29" t="n"/>
      <c r="R260" s="29" t="n"/>
      <c r="S260" s="29" t="n"/>
      <c r="T260" s="29" t="n"/>
    </row>
    <row r="261" ht="54" customHeight="1">
      <c r="A261" s="29" t="n"/>
      <c r="B261" s="29" t="n"/>
      <c r="C261" s="29" t="n"/>
      <c r="D261" s="29" t="n"/>
      <c r="E261" s="29" t="n"/>
      <c r="F261" s="29" t="n"/>
      <c r="G261" s="29" t="n"/>
      <c r="H261" s="29" t="n"/>
      <c r="I261" s="29" t="n"/>
      <c r="J261" s="49" t="n"/>
      <c r="K261" s="51" t="n"/>
      <c r="L261" s="29" t="n"/>
      <c r="M261" s="29" t="n"/>
      <c r="N261" s="29" t="n"/>
      <c r="O261" s="29" t="n"/>
      <c r="P261" s="29" t="n"/>
      <c r="Q261" s="29" t="n"/>
      <c r="R261" s="29" t="n"/>
      <c r="S261" s="29" t="n"/>
      <c r="T261" s="29" t="n"/>
    </row>
    <row r="262" ht="54" customHeight="1">
      <c r="A262" s="29" t="n"/>
      <c r="B262" s="29" t="n"/>
      <c r="C262" s="29" t="n"/>
      <c r="D262" s="29" t="n"/>
      <c r="E262" s="29" t="n"/>
      <c r="F262" s="29" t="n"/>
      <c r="G262" s="29" t="n"/>
      <c r="H262" s="29" t="n"/>
      <c r="I262" s="29" t="n"/>
      <c r="J262" s="49" t="n"/>
      <c r="K262" s="51" t="n"/>
      <c r="L262" s="29" t="n"/>
      <c r="M262" s="29" t="n"/>
      <c r="N262" s="29" t="n"/>
      <c r="O262" s="29" t="n"/>
      <c r="P262" s="29" t="n"/>
      <c r="Q262" s="29" t="n"/>
      <c r="R262" s="29" t="n"/>
      <c r="S262" s="29" t="n"/>
      <c r="T262" s="29" t="n"/>
    </row>
    <row r="263" ht="54" customHeight="1">
      <c r="A263" s="29" t="n"/>
      <c r="B263" s="29" t="n"/>
      <c r="C263" s="29" t="n"/>
      <c r="D263" s="29" t="n"/>
      <c r="E263" s="29" t="n"/>
      <c r="F263" s="29" t="n"/>
      <c r="G263" s="29" t="n"/>
      <c r="H263" s="29" t="n"/>
      <c r="I263" s="29" t="n"/>
      <c r="J263" s="49" t="n"/>
      <c r="K263" s="51" t="n"/>
      <c r="L263" s="29" t="n"/>
      <c r="M263" s="29" t="n"/>
      <c r="N263" s="29" t="n"/>
      <c r="O263" s="29" t="n"/>
      <c r="P263" s="29" t="n"/>
      <c r="Q263" s="29" t="n"/>
      <c r="R263" s="29" t="n"/>
      <c r="S263" s="29" t="n"/>
      <c r="T263" s="29" t="n"/>
    </row>
    <row r="264" ht="54" customHeight="1">
      <c r="A264" s="29" t="n"/>
      <c r="B264" s="29" t="n"/>
      <c r="C264" s="29" t="n"/>
      <c r="D264" s="29" t="n"/>
      <c r="E264" s="29" t="n"/>
      <c r="F264" s="29" t="n"/>
      <c r="G264" s="29" t="n"/>
      <c r="H264" s="29" t="n"/>
      <c r="I264" s="29" t="n"/>
      <c r="J264" s="49" t="n"/>
      <c r="K264" s="51" t="n"/>
      <c r="L264" s="29" t="n"/>
      <c r="M264" s="29" t="n"/>
      <c r="N264" s="29" t="n"/>
      <c r="O264" s="29" t="n"/>
      <c r="P264" s="29" t="n"/>
      <c r="Q264" s="29" t="n"/>
      <c r="R264" s="29" t="n"/>
      <c r="S264" s="29" t="n"/>
      <c r="T264" s="29" t="n"/>
    </row>
    <row r="265" ht="54" customHeight="1">
      <c r="A265" s="29" t="n"/>
      <c r="B265" s="29" t="n"/>
      <c r="C265" s="29" t="n"/>
      <c r="D265" s="29" t="n"/>
      <c r="E265" s="29" t="n"/>
      <c r="F265" s="29" t="n"/>
      <c r="G265" s="29" t="n"/>
      <c r="H265" s="29" t="n"/>
      <c r="I265" s="29" t="n"/>
      <c r="J265" s="49" t="n"/>
      <c r="K265" s="51" t="n"/>
      <c r="L265" s="29" t="n"/>
      <c r="M265" s="29" t="n"/>
      <c r="N265" s="29" t="n"/>
      <c r="O265" s="29" t="n"/>
      <c r="P265" s="29" t="n"/>
      <c r="Q265" s="29" t="n"/>
      <c r="R265" s="29" t="n"/>
      <c r="S265" s="29" t="n"/>
      <c r="T265" s="29" t="n"/>
    </row>
    <row r="266" ht="54" customHeight="1">
      <c r="A266" s="29" t="n"/>
      <c r="B266" s="29" t="n"/>
      <c r="C266" s="29" t="n"/>
      <c r="D266" s="29" t="n"/>
      <c r="E266" s="29" t="n"/>
      <c r="F266" s="29" t="n"/>
      <c r="G266" s="29" t="n"/>
      <c r="H266" s="29" t="n"/>
      <c r="I266" s="29" t="n"/>
      <c r="J266" s="49" t="n"/>
      <c r="K266" s="51" t="n"/>
      <c r="L266" s="29" t="n"/>
      <c r="M266" s="29" t="n"/>
      <c r="N266" s="29" t="n"/>
      <c r="O266" s="29" t="n"/>
      <c r="P266" s="29" t="n"/>
      <c r="Q266" s="29" t="n"/>
      <c r="R266" s="29" t="n"/>
      <c r="S266" s="29" t="n"/>
      <c r="T266" s="29" t="n"/>
    </row>
    <row r="267" ht="54" customHeight="1">
      <c r="A267" s="29" t="n"/>
      <c r="B267" s="29" t="n"/>
      <c r="C267" s="29" t="n"/>
      <c r="D267" s="29" t="n"/>
      <c r="E267" s="29" t="n"/>
      <c r="F267" s="29" t="n"/>
      <c r="G267" s="29" t="n"/>
      <c r="H267" s="29" t="n"/>
      <c r="I267" s="29" t="n"/>
      <c r="J267" s="49" t="n"/>
      <c r="K267" s="51" t="n"/>
      <c r="L267" s="29" t="n"/>
      <c r="M267" s="29" t="n"/>
      <c r="N267" s="29" t="n"/>
      <c r="O267" s="29" t="n"/>
      <c r="P267" s="29" t="n"/>
      <c r="Q267" s="29" t="n"/>
      <c r="R267" s="29" t="n"/>
      <c r="S267" s="29" t="n"/>
      <c r="T267" s="29" t="n"/>
    </row>
    <row r="268" ht="54" customHeight="1">
      <c r="A268" s="29" t="n"/>
      <c r="B268" s="29" t="n"/>
      <c r="C268" s="29" t="n"/>
      <c r="D268" s="29" t="n"/>
      <c r="E268" s="29" t="n"/>
      <c r="F268" s="29" t="n"/>
      <c r="G268" s="29" t="n"/>
      <c r="H268" s="29" t="n"/>
      <c r="I268" s="29" t="n"/>
      <c r="J268" s="49" t="n"/>
      <c r="K268" s="51" t="n"/>
      <c r="L268" s="29" t="n"/>
      <c r="M268" s="29" t="n"/>
      <c r="N268" s="29" t="n"/>
      <c r="O268" s="29" t="n"/>
      <c r="P268" s="29" t="n"/>
      <c r="Q268" s="29" t="n"/>
      <c r="R268" s="29" t="n"/>
      <c r="S268" s="29" t="n"/>
      <c r="T268" s="29" t="n"/>
    </row>
    <row r="269" ht="54" customHeight="1">
      <c r="A269" s="29" t="n"/>
      <c r="B269" s="29" t="n"/>
      <c r="C269" s="29" t="n"/>
      <c r="D269" s="29" t="n"/>
      <c r="E269" s="29" t="n"/>
      <c r="F269" s="29" t="n"/>
      <c r="G269" s="29" t="n"/>
      <c r="H269" s="29" t="n"/>
      <c r="I269" s="29" t="n"/>
      <c r="J269" s="49" t="n"/>
      <c r="K269" s="51" t="n"/>
      <c r="L269" s="29" t="n"/>
      <c r="M269" s="29" t="n"/>
      <c r="N269" s="29" t="n"/>
      <c r="O269" s="29" t="n"/>
      <c r="P269" s="29" t="n"/>
      <c r="Q269" s="29" t="n"/>
      <c r="R269" s="29" t="n"/>
      <c r="S269" s="29" t="n"/>
      <c r="T269" s="29" t="n"/>
    </row>
    <row r="270" ht="54" customHeight="1">
      <c r="A270" s="29" t="n"/>
      <c r="B270" s="29" t="n"/>
      <c r="C270" s="29" t="n"/>
      <c r="D270" s="29" t="n"/>
      <c r="E270" s="29" t="n"/>
      <c r="F270" s="29" t="n"/>
      <c r="G270" s="29" t="n"/>
      <c r="H270" s="29" t="n"/>
      <c r="I270" s="29" t="n"/>
      <c r="J270" s="49" t="n"/>
      <c r="K270" s="51" t="n"/>
      <c r="L270" s="29" t="n"/>
      <c r="M270" s="29" t="n"/>
      <c r="N270" s="29" t="n"/>
      <c r="O270" s="29" t="n"/>
      <c r="P270" s="29" t="n"/>
      <c r="Q270" s="29" t="n"/>
      <c r="R270" s="29" t="n"/>
      <c r="S270" s="29" t="n"/>
      <c r="T270" s="29" t="n"/>
    </row>
    <row r="271" ht="54" customHeight="1">
      <c r="A271" s="29" t="n"/>
      <c r="B271" s="29" t="n"/>
      <c r="C271" s="29" t="n"/>
      <c r="D271" s="29" t="n"/>
      <c r="E271" s="29" t="n"/>
      <c r="F271" s="29" t="n"/>
      <c r="G271" s="29" t="n"/>
      <c r="H271" s="29" t="n"/>
      <c r="I271" s="29" t="n"/>
      <c r="J271" s="49" t="n"/>
      <c r="K271" s="51" t="n"/>
      <c r="L271" s="29" t="n"/>
      <c r="M271" s="29" t="n"/>
      <c r="N271" s="29" t="n"/>
      <c r="O271" s="29" t="n"/>
      <c r="P271" s="29" t="n"/>
      <c r="Q271" s="29" t="n"/>
      <c r="R271" s="29" t="n"/>
      <c r="S271" s="29" t="n"/>
      <c r="T271" s="29" t="n"/>
    </row>
    <row r="272" ht="54" customHeight="1">
      <c r="A272" s="29" t="n"/>
      <c r="B272" s="29" t="n"/>
      <c r="C272" s="29" t="n"/>
      <c r="D272" s="29" t="n"/>
      <c r="E272" s="29" t="n"/>
      <c r="F272" s="29" t="n"/>
      <c r="G272" s="29" t="n"/>
      <c r="H272" s="29" t="n"/>
      <c r="I272" s="29" t="n"/>
      <c r="J272" s="49" t="n"/>
      <c r="K272" s="51" t="n"/>
      <c r="L272" s="29" t="n"/>
      <c r="M272" s="29" t="n"/>
      <c r="N272" s="29" t="n"/>
      <c r="O272" s="29" t="n"/>
      <c r="P272" s="29" t="n"/>
      <c r="Q272" s="29" t="n"/>
      <c r="R272" s="29" t="n"/>
      <c r="S272" s="29" t="n"/>
      <c r="T272" s="29" t="n"/>
    </row>
    <row r="273" ht="54" customHeight="1">
      <c r="A273" s="29" t="n"/>
      <c r="B273" s="29" t="n"/>
      <c r="C273" s="29" t="n"/>
      <c r="D273" s="29" t="n"/>
      <c r="E273" s="29" t="n"/>
      <c r="F273" s="29" t="n"/>
      <c r="G273" s="29" t="n"/>
      <c r="H273" s="29" t="n"/>
      <c r="I273" s="29" t="n"/>
      <c r="J273" s="49" t="n"/>
      <c r="K273" s="51" t="n"/>
      <c r="L273" s="29" t="n"/>
      <c r="M273" s="29" t="n"/>
      <c r="N273" s="29" t="n"/>
      <c r="O273" s="29" t="n"/>
      <c r="P273" s="29" t="n"/>
      <c r="Q273" s="29" t="n"/>
      <c r="R273" s="29" t="n"/>
      <c r="S273" s="29" t="n"/>
      <c r="T273" s="29" t="n"/>
    </row>
    <row r="274" ht="54" customHeight="1">
      <c r="A274" s="29" t="n"/>
      <c r="B274" s="29" t="n"/>
      <c r="C274" s="29" t="n"/>
      <c r="D274" s="29" t="n"/>
      <c r="E274" s="29" t="n"/>
      <c r="F274" s="29" t="n"/>
      <c r="G274" s="29" t="n"/>
      <c r="H274" s="29" t="n"/>
      <c r="I274" s="29" t="n"/>
      <c r="J274" s="49" t="n"/>
      <c r="K274" s="51" t="n"/>
      <c r="L274" s="29" t="n"/>
      <c r="M274" s="29" t="n"/>
      <c r="N274" s="29" t="n"/>
      <c r="O274" s="29" t="n"/>
      <c r="P274" s="29" t="n"/>
      <c r="Q274" s="29" t="n"/>
      <c r="R274" s="29" t="n"/>
      <c r="S274" s="29" t="n"/>
      <c r="T274" s="29" t="n"/>
    </row>
    <row r="275" ht="54" customHeight="1">
      <c r="A275" s="29" t="n"/>
      <c r="B275" s="29" t="n"/>
      <c r="C275" s="29" t="n"/>
      <c r="D275" s="29" t="n"/>
      <c r="E275" s="29" t="n"/>
      <c r="F275" s="29" t="n"/>
      <c r="G275" s="29" t="n"/>
      <c r="H275" s="29" t="n"/>
      <c r="I275" s="29" t="n"/>
      <c r="J275" s="49" t="n"/>
      <c r="K275" s="51" t="n"/>
      <c r="L275" s="29" t="n"/>
      <c r="M275" s="29" t="n"/>
      <c r="N275" s="29" t="n"/>
      <c r="O275" s="29" t="n"/>
      <c r="P275" s="29" t="n"/>
      <c r="Q275" s="29" t="n"/>
      <c r="R275" s="29" t="n"/>
      <c r="S275" s="29" t="n"/>
      <c r="T275" s="29" t="n"/>
    </row>
    <row r="276" ht="54" customHeight="1">
      <c r="A276" s="29" t="n"/>
      <c r="B276" s="29" t="n"/>
      <c r="C276" s="29" t="n"/>
      <c r="D276" s="29" t="n"/>
      <c r="E276" s="29" t="n"/>
      <c r="F276" s="29" t="n"/>
      <c r="G276" s="29" t="n"/>
      <c r="H276" s="29" t="n"/>
      <c r="I276" s="29" t="n"/>
      <c r="J276" s="49" t="n"/>
      <c r="K276" s="51" t="n"/>
      <c r="L276" s="29" t="n"/>
      <c r="M276" s="29" t="n"/>
      <c r="N276" s="29" t="n"/>
      <c r="O276" s="29" t="n"/>
      <c r="P276" s="29" t="n"/>
      <c r="Q276" s="29" t="n"/>
      <c r="R276" s="29" t="n"/>
      <c r="S276" s="29" t="n"/>
      <c r="T276" s="29" t="n"/>
    </row>
    <row r="277" ht="54" customHeight="1">
      <c r="A277" s="29" t="n"/>
      <c r="B277" s="29" t="n"/>
      <c r="C277" s="29" t="n"/>
      <c r="D277" s="29" t="n"/>
      <c r="E277" s="29" t="n"/>
      <c r="F277" s="29" t="n"/>
      <c r="G277" s="29" t="n"/>
      <c r="H277" s="29" t="n"/>
      <c r="I277" s="29" t="n"/>
      <c r="J277" s="49" t="n"/>
      <c r="K277" s="51" t="n"/>
      <c r="L277" s="29" t="n"/>
      <c r="M277" s="29" t="n"/>
      <c r="N277" s="29" t="n"/>
      <c r="O277" s="29" t="n"/>
      <c r="P277" s="29" t="n"/>
      <c r="Q277" s="29" t="n"/>
      <c r="R277" s="29" t="n"/>
      <c r="S277" s="29" t="n"/>
      <c r="T277" s="29" t="n"/>
    </row>
    <row r="278" ht="54" customHeight="1">
      <c r="A278" s="29" t="n"/>
      <c r="B278" s="29" t="n"/>
      <c r="C278" s="29" t="n"/>
      <c r="D278" s="29" t="n"/>
      <c r="E278" s="29" t="n"/>
      <c r="F278" s="29" t="n"/>
      <c r="G278" s="29" t="n"/>
      <c r="H278" s="29" t="n"/>
      <c r="I278" s="29" t="n"/>
      <c r="J278" s="49" t="n"/>
      <c r="K278" s="51" t="n"/>
      <c r="L278" s="29" t="n"/>
      <c r="M278" s="29" t="n"/>
      <c r="N278" s="29" t="n"/>
      <c r="O278" s="29" t="n"/>
      <c r="P278" s="29" t="n"/>
      <c r="Q278" s="29" t="n"/>
      <c r="R278" s="29" t="n"/>
      <c r="S278" s="29" t="n"/>
      <c r="T278" s="29" t="n"/>
    </row>
    <row r="279" ht="54" customHeight="1">
      <c r="A279" s="29" t="n"/>
      <c r="B279" s="29" t="n"/>
      <c r="C279" s="29" t="n"/>
      <c r="D279" s="29" t="n"/>
      <c r="E279" s="29" t="n"/>
      <c r="F279" s="29" t="n"/>
      <c r="G279" s="29" t="n"/>
      <c r="H279" s="29" t="n"/>
      <c r="I279" s="29" t="n"/>
      <c r="J279" s="49" t="n"/>
      <c r="K279" s="51" t="n"/>
      <c r="L279" s="29" t="n"/>
      <c r="M279" s="29" t="n"/>
      <c r="N279" s="29" t="n"/>
      <c r="O279" s="29" t="n"/>
      <c r="P279" s="29" t="n"/>
      <c r="Q279" s="29" t="n"/>
      <c r="R279" s="29" t="n"/>
      <c r="S279" s="29" t="n"/>
      <c r="T279" s="29" t="n"/>
    </row>
    <row r="280" ht="54" customHeight="1">
      <c r="A280" s="29" t="n"/>
      <c r="B280" s="29" t="n"/>
      <c r="C280" s="29" t="n"/>
      <c r="D280" s="29" t="n"/>
      <c r="E280" s="29" t="n"/>
      <c r="F280" s="29" t="n"/>
      <c r="G280" s="29" t="n"/>
      <c r="H280" s="29" t="n"/>
      <c r="I280" s="29" t="n"/>
      <c r="J280" s="49" t="n"/>
      <c r="K280" s="51" t="n"/>
      <c r="L280" s="29" t="n"/>
      <c r="M280" s="29" t="n"/>
      <c r="N280" s="29" t="n"/>
      <c r="O280" s="29" t="n"/>
      <c r="P280" s="29" t="n"/>
      <c r="Q280" s="29" t="n"/>
      <c r="R280" s="29" t="n"/>
      <c r="S280" s="29" t="n"/>
      <c r="T280" s="29" t="n"/>
    </row>
    <row r="281" ht="54" customHeight="1">
      <c r="A281" s="29" t="n"/>
      <c r="B281" s="29" t="n"/>
      <c r="C281" s="29" t="n"/>
      <c r="D281" s="29" t="n"/>
      <c r="E281" s="29" t="n"/>
      <c r="F281" s="29" t="n"/>
      <c r="G281" s="29" t="n"/>
      <c r="H281" s="29" t="n"/>
      <c r="I281" s="29" t="n"/>
      <c r="J281" s="49" t="n"/>
      <c r="K281" s="51" t="n"/>
      <c r="L281" s="29" t="n"/>
      <c r="M281" s="29" t="n"/>
      <c r="N281" s="29" t="n"/>
      <c r="O281" s="29" t="n"/>
      <c r="P281" s="29" t="n"/>
      <c r="Q281" s="29" t="n"/>
      <c r="R281" s="29" t="n"/>
      <c r="S281" s="29" t="n"/>
      <c r="T281" s="29" t="n"/>
    </row>
    <row r="282" ht="54" customHeight="1">
      <c r="A282" s="29" t="n"/>
      <c r="B282" s="29" t="n"/>
      <c r="C282" s="29" t="n"/>
      <c r="D282" s="29" t="n"/>
      <c r="E282" s="29" t="n"/>
      <c r="F282" s="29" t="n"/>
      <c r="G282" s="29" t="n"/>
      <c r="H282" s="29" t="n"/>
      <c r="I282" s="29" t="n"/>
      <c r="J282" s="49" t="n"/>
      <c r="K282" s="51" t="n"/>
      <c r="L282" s="29" t="n"/>
      <c r="M282" s="29" t="n"/>
      <c r="N282" s="29" t="n"/>
      <c r="O282" s="29" t="n"/>
      <c r="P282" s="29" t="n"/>
      <c r="Q282" s="29" t="n"/>
      <c r="R282" s="29" t="n"/>
      <c r="S282" s="29" t="n"/>
      <c r="T282" s="29" t="n"/>
    </row>
    <row r="283" ht="54" customHeight="1">
      <c r="A283" s="29" t="n"/>
      <c r="B283" s="29" t="n"/>
      <c r="C283" s="29" t="n"/>
      <c r="D283" s="29" t="n"/>
      <c r="E283" s="29" t="n"/>
      <c r="F283" s="29" t="n"/>
      <c r="G283" s="29" t="n"/>
      <c r="H283" s="29" t="n"/>
      <c r="I283" s="29" t="n"/>
      <c r="J283" s="49" t="n"/>
      <c r="K283" s="51" t="n"/>
      <c r="L283" s="29" t="n"/>
      <c r="M283" s="29" t="n"/>
      <c r="N283" s="29" t="n"/>
      <c r="O283" s="29" t="n"/>
      <c r="P283" s="29" t="n"/>
      <c r="Q283" s="29" t="n"/>
      <c r="R283" s="29" t="n"/>
      <c r="S283" s="29" t="n"/>
      <c r="T283" s="29" t="n"/>
    </row>
    <row r="284" ht="54" customHeight="1">
      <c r="A284" s="29" t="n"/>
      <c r="B284" s="29" t="n"/>
      <c r="C284" s="29" t="n"/>
      <c r="D284" s="29" t="n"/>
      <c r="E284" s="29" t="n"/>
      <c r="F284" s="29" t="n"/>
      <c r="G284" s="29" t="n"/>
      <c r="H284" s="29" t="n"/>
      <c r="I284" s="29" t="n"/>
      <c r="J284" s="49" t="n"/>
      <c r="K284" s="51" t="n"/>
      <c r="L284" s="29" t="n"/>
      <c r="M284" s="29" t="n"/>
      <c r="N284" s="29" t="n"/>
      <c r="O284" s="29" t="n"/>
      <c r="P284" s="29" t="n"/>
      <c r="Q284" s="29" t="n"/>
      <c r="R284" s="29" t="n"/>
      <c r="S284" s="29" t="n"/>
      <c r="T284" s="29" t="n"/>
    </row>
    <row r="285" ht="54" customHeight="1">
      <c r="A285" s="29" t="n"/>
      <c r="B285" s="29" t="n"/>
      <c r="C285" s="29" t="n"/>
      <c r="D285" s="29" t="n"/>
      <c r="E285" s="29" t="n"/>
      <c r="F285" s="29" t="n"/>
      <c r="G285" s="29" t="n"/>
      <c r="H285" s="29" t="n"/>
      <c r="I285" s="29" t="n"/>
      <c r="J285" s="49" t="n"/>
      <c r="K285" s="51" t="n"/>
      <c r="L285" s="29" t="n"/>
      <c r="M285" s="29" t="n"/>
      <c r="N285" s="29" t="n"/>
      <c r="O285" s="29" t="n"/>
      <c r="P285" s="29" t="n"/>
      <c r="Q285" s="29" t="n"/>
      <c r="R285" s="29" t="n"/>
      <c r="S285" s="29" t="n"/>
      <c r="T285" s="29" t="n"/>
    </row>
    <row r="286" ht="54" customHeight="1">
      <c r="A286" s="29" t="n"/>
      <c r="B286" s="29" t="n"/>
      <c r="C286" s="29" t="n"/>
      <c r="D286" s="29" t="n"/>
      <c r="E286" s="29" t="n"/>
      <c r="F286" s="29" t="n"/>
      <c r="G286" s="29" t="n"/>
      <c r="H286" s="29" t="n"/>
      <c r="I286" s="29" t="n"/>
      <c r="J286" s="49" t="n"/>
      <c r="K286" s="51" t="n"/>
      <c r="L286" s="29" t="n"/>
      <c r="M286" s="29" t="n"/>
      <c r="N286" s="29" t="n"/>
      <c r="O286" s="29" t="n"/>
      <c r="P286" s="29" t="n"/>
      <c r="Q286" s="29" t="n"/>
      <c r="R286" s="29" t="n"/>
      <c r="S286" s="29" t="n"/>
      <c r="T286" s="29" t="n"/>
    </row>
    <row r="287" ht="54" customHeight="1">
      <c r="A287" s="29" t="n"/>
      <c r="B287" s="29" t="n"/>
      <c r="C287" s="29" t="n"/>
      <c r="D287" s="29" t="n"/>
      <c r="E287" s="29" t="n"/>
      <c r="F287" s="29" t="n"/>
      <c r="G287" s="29" t="n"/>
      <c r="H287" s="29" t="n"/>
      <c r="I287" s="29" t="n"/>
      <c r="J287" s="49" t="n"/>
      <c r="K287" s="51" t="n"/>
      <c r="L287" s="29" t="n"/>
      <c r="M287" s="29" t="n"/>
      <c r="N287" s="29" t="n"/>
      <c r="O287" s="29" t="n"/>
      <c r="P287" s="29" t="n"/>
      <c r="Q287" s="29" t="n"/>
      <c r="R287" s="29" t="n"/>
      <c r="S287" s="29" t="n"/>
      <c r="T287" s="29" t="n"/>
    </row>
    <row r="288" ht="54" customHeight="1">
      <c r="A288" s="29" t="n"/>
      <c r="B288" s="29" t="n"/>
      <c r="C288" s="29" t="n"/>
      <c r="D288" s="29" t="n"/>
      <c r="E288" s="29" t="n"/>
      <c r="F288" s="29" t="n"/>
      <c r="G288" s="29" t="n"/>
      <c r="H288" s="29" t="n"/>
      <c r="I288" s="29" t="n"/>
      <c r="J288" s="49" t="n"/>
      <c r="K288" s="51" t="n"/>
      <c r="L288" s="29" t="n"/>
      <c r="M288" s="29" t="n"/>
      <c r="N288" s="29" t="n"/>
      <c r="O288" s="29" t="n"/>
      <c r="P288" s="29" t="n"/>
      <c r="Q288" s="29" t="n"/>
      <c r="R288" s="29" t="n"/>
      <c r="S288" s="29" t="n"/>
      <c r="T288" s="29" t="n"/>
    </row>
    <row r="289" ht="54" customHeight="1">
      <c r="A289" s="29" t="n"/>
      <c r="B289" s="29" t="n"/>
      <c r="C289" s="29" t="n"/>
      <c r="D289" s="29" t="n"/>
      <c r="E289" s="29" t="n"/>
      <c r="F289" s="29" t="n"/>
      <c r="G289" s="29" t="n"/>
      <c r="H289" s="29" t="n"/>
      <c r="I289" s="29" t="n"/>
      <c r="J289" s="49" t="n"/>
      <c r="K289" s="51" t="n"/>
      <c r="L289" s="29" t="n"/>
      <c r="M289" s="29" t="n"/>
      <c r="N289" s="29" t="n"/>
      <c r="O289" s="29" t="n"/>
      <c r="P289" s="29" t="n"/>
      <c r="Q289" s="29" t="n"/>
      <c r="R289" s="29" t="n"/>
      <c r="S289" s="29" t="n"/>
      <c r="T289" s="29" t="n"/>
    </row>
    <row r="290" ht="54" customHeight="1">
      <c r="A290" s="29" t="n"/>
      <c r="B290" s="29" t="n"/>
      <c r="C290" s="29" t="n"/>
      <c r="D290" s="29" t="n"/>
      <c r="E290" s="29" t="n"/>
      <c r="F290" s="29" t="n"/>
      <c r="G290" s="29" t="n"/>
      <c r="H290" s="29" t="n"/>
      <c r="I290" s="29" t="n"/>
      <c r="J290" s="49" t="n"/>
      <c r="K290" s="51" t="n"/>
      <c r="L290" s="29" t="n"/>
      <c r="M290" s="29" t="n"/>
      <c r="N290" s="29" t="n"/>
      <c r="O290" s="29" t="n"/>
      <c r="P290" s="29" t="n"/>
      <c r="Q290" s="29" t="n"/>
      <c r="R290" s="29" t="n"/>
      <c r="S290" s="29" t="n"/>
      <c r="T290" s="29" t="n"/>
    </row>
    <row r="291" ht="54" customHeight="1">
      <c r="A291" s="29" t="n"/>
      <c r="B291" s="29" t="n"/>
      <c r="C291" s="29" t="n"/>
      <c r="D291" s="29" t="n"/>
      <c r="E291" s="29" t="n"/>
      <c r="F291" s="29" t="n"/>
      <c r="G291" s="29" t="n"/>
      <c r="H291" s="29" t="n"/>
      <c r="I291" s="29" t="n"/>
      <c r="J291" s="49" t="n"/>
      <c r="K291" s="51" t="n"/>
      <c r="L291" s="29" t="n"/>
      <c r="M291" s="29" t="n"/>
      <c r="N291" s="29" t="n"/>
      <c r="O291" s="29" t="n"/>
      <c r="P291" s="29" t="n"/>
      <c r="Q291" s="29" t="n"/>
      <c r="R291" s="29" t="n"/>
      <c r="S291" s="29" t="n"/>
      <c r="T291" s="29" t="n"/>
    </row>
    <row r="292" ht="54" customHeight="1">
      <c r="A292" s="29" t="n"/>
      <c r="B292" s="29" t="n"/>
      <c r="C292" s="29" t="n"/>
      <c r="D292" s="29" t="n"/>
      <c r="E292" s="29" t="n"/>
      <c r="F292" s="29" t="n"/>
      <c r="G292" s="29" t="n"/>
      <c r="H292" s="29" t="n"/>
      <c r="I292" s="29" t="n"/>
      <c r="J292" s="49" t="n"/>
      <c r="K292" s="51" t="n"/>
      <c r="L292" s="29" t="n"/>
      <c r="M292" s="29" t="n"/>
      <c r="N292" s="29" t="n"/>
      <c r="O292" s="29" t="n"/>
      <c r="P292" s="29" t="n"/>
      <c r="Q292" s="29" t="n"/>
      <c r="R292" s="29" t="n"/>
      <c r="S292" s="29" t="n"/>
      <c r="T292" s="29" t="n"/>
    </row>
    <row r="293" ht="54" customHeight="1">
      <c r="A293" s="29" t="n"/>
      <c r="B293" s="29" t="n"/>
      <c r="C293" s="29" t="n"/>
      <c r="D293" s="29" t="n"/>
      <c r="E293" s="29" t="n"/>
      <c r="F293" s="29" t="n"/>
      <c r="G293" s="29" t="n"/>
      <c r="H293" s="29" t="n"/>
      <c r="I293" s="29" t="n"/>
      <c r="J293" s="49" t="n"/>
      <c r="K293" s="51" t="n"/>
      <c r="L293" s="29" t="n"/>
      <c r="M293" s="29" t="n"/>
      <c r="N293" s="29" t="n"/>
      <c r="O293" s="29" t="n"/>
      <c r="P293" s="29" t="n"/>
      <c r="Q293" s="29" t="n"/>
      <c r="R293" s="29" t="n"/>
      <c r="S293" s="29" t="n"/>
      <c r="T293" s="29" t="n"/>
    </row>
    <row r="294" ht="54" customHeight="1">
      <c r="A294" s="29" t="n"/>
      <c r="B294" s="29" t="n"/>
      <c r="C294" s="29" t="n"/>
      <c r="D294" s="29" t="n"/>
      <c r="E294" s="29" t="n"/>
      <c r="F294" s="29" t="n"/>
      <c r="G294" s="29" t="n"/>
      <c r="H294" s="29" t="n"/>
      <c r="I294" s="29" t="n"/>
      <c r="J294" s="49" t="n"/>
      <c r="K294" s="51" t="n"/>
      <c r="L294" s="29" t="n"/>
      <c r="M294" s="29" t="n"/>
      <c r="N294" s="29" t="n"/>
      <c r="O294" s="29" t="n"/>
      <c r="P294" s="29" t="n"/>
      <c r="Q294" s="29" t="n"/>
      <c r="R294" s="29" t="n"/>
      <c r="S294" s="29" t="n"/>
      <c r="T294" s="29" t="n"/>
    </row>
    <row r="295" ht="54" customHeight="1">
      <c r="A295" s="29" t="n"/>
      <c r="B295" s="29" t="n"/>
      <c r="C295" s="29" t="n"/>
      <c r="D295" s="29" t="n"/>
      <c r="E295" s="29" t="n"/>
      <c r="F295" s="29" t="n"/>
      <c r="G295" s="29" t="n"/>
      <c r="H295" s="29" t="n"/>
      <c r="I295" s="29" t="n"/>
      <c r="J295" s="49" t="n"/>
      <c r="K295" s="51" t="n"/>
      <c r="L295" s="29" t="n"/>
      <c r="M295" s="29" t="n"/>
      <c r="N295" s="29" t="n"/>
      <c r="O295" s="29" t="n"/>
      <c r="P295" s="29" t="n"/>
      <c r="Q295" s="29" t="n"/>
      <c r="R295" s="29" t="n"/>
      <c r="S295" s="29" t="n"/>
      <c r="T295" s="29" t="n"/>
    </row>
    <row r="296" ht="54" customHeight="1">
      <c r="A296" s="29" t="n"/>
      <c r="B296" s="29" t="n"/>
      <c r="C296" s="29" t="n"/>
      <c r="D296" s="29" t="n"/>
      <c r="E296" s="29" t="n"/>
      <c r="F296" s="29" t="n"/>
      <c r="G296" s="29" t="n"/>
      <c r="H296" s="29" t="n"/>
      <c r="I296" s="29" t="n"/>
      <c r="J296" s="49" t="n"/>
      <c r="K296" s="51" t="n"/>
      <c r="L296" s="29" t="n"/>
      <c r="M296" s="29" t="n"/>
      <c r="N296" s="29" t="n"/>
      <c r="O296" s="29" t="n"/>
      <c r="P296" s="29" t="n"/>
      <c r="Q296" s="29" t="n"/>
      <c r="R296" s="29" t="n"/>
      <c r="S296" s="29" t="n"/>
      <c r="T296" s="29" t="n"/>
    </row>
    <row r="297" ht="54" customHeight="1">
      <c r="A297" s="29" t="n"/>
      <c r="B297" s="29" t="n"/>
      <c r="C297" s="29" t="n"/>
      <c r="D297" s="29" t="n"/>
      <c r="E297" s="29" t="n"/>
      <c r="F297" s="29" t="n"/>
      <c r="G297" s="29" t="n"/>
      <c r="H297" s="29" t="n"/>
      <c r="I297" s="29" t="n"/>
      <c r="J297" s="49" t="n"/>
      <c r="K297" s="51" t="n"/>
      <c r="L297" s="29" t="n"/>
      <c r="M297" s="29" t="n"/>
      <c r="N297" s="29" t="n"/>
      <c r="O297" s="29" t="n"/>
      <c r="P297" s="29" t="n"/>
      <c r="Q297" s="29" t="n"/>
      <c r="R297" s="29" t="n"/>
      <c r="S297" s="29" t="n"/>
      <c r="T297" s="29" t="n"/>
    </row>
    <row r="298" ht="54" customHeight="1">
      <c r="A298" s="29" t="n"/>
      <c r="B298" s="29" t="n"/>
      <c r="C298" s="29" t="n"/>
      <c r="D298" s="29" t="n"/>
      <c r="E298" s="29" t="n"/>
      <c r="F298" s="29" t="n"/>
      <c r="G298" s="29" t="n"/>
      <c r="H298" s="29" t="n"/>
      <c r="I298" s="29" t="n"/>
      <c r="J298" s="49" t="n"/>
      <c r="K298" s="51" t="n"/>
      <c r="L298" s="29" t="n"/>
      <c r="M298" s="29" t="n"/>
      <c r="N298" s="29" t="n"/>
      <c r="O298" s="29" t="n"/>
      <c r="P298" s="29" t="n"/>
      <c r="Q298" s="29" t="n"/>
      <c r="R298" s="29" t="n"/>
      <c r="S298" s="29" t="n"/>
      <c r="T298" s="29" t="n"/>
    </row>
    <row r="299" ht="54" customHeight="1">
      <c r="A299" s="29" t="n"/>
      <c r="B299" s="29" t="n"/>
      <c r="C299" s="29" t="n"/>
      <c r="D299" s="29" t="n"/>
      <c r="E299" s="29" t="n"/>
      <c r="F299" s="29" t="n"/>
      <c r="G299" s="29" t="n"/>
      <c r="H299" s="29" t="n"/>
      <c r="I299" s="29" t="n"/>
      <c r="J299" s="49" t="n"/>
      <c r="K299" s="51" t="n"/>
      <c r="L299" s="29" t="n"/>
      <c r="M299" s="29" t="n"/>
      <c r="N299" s="29" t="n"/>
      <c r="O299" s="29" t="n"/>
      <c r="P299" s="29" t="n"/>
      <c r="Q299" s="29" t="n"/>
      <c r="R299" s="29" t="n"/>
      <c r="S299" s="29" t="n"/>
      <c r="T299" s="29" t="n"/>
    </row>
    <row r="300" ht="54" customHeight="1">
      <c r="A300" s="29" t="n"/>
      <c r="B300" s="29" t="n"/>
      <c r="C300" s="29" t="n"/>
      <c r="D300" s="29" t="n"/>
      <c r="E300" s="29" t="n"/>
      <c r="F300" s="29" t="n"/>
      <c r="G300" s="29" t="n"/>
      <c r="H300" s="29" t="n"/>
      <c r="I300" s="29" t="n"/>
      <c r="J300" s="49" t="n"/>
      <c r="K300" s="51" t="n"/>
      <c r="L300" s="29" t="n"/>
      <c r="M300" s="29" t="n"/>
      <c r="N300" s="29" t="n"/>
      <c r="O300" s="29" t="n"/>
      <c r="P300" s="29" t="n"/>
      <c r="Q300" s="29" t="n"/>
      <c r="R300" s="29" t="n"/>
      <c r="S300" s="29" t="n"/>
      <c r="T300" s="29" t="n"/>
    </row>
    <row r="301" ht="54" customHeight="1">
      <c r="A301" s="29" t="n"/>
      <c r="B301" s="29" t="n"/>
      <c r="C301" s="29" t="n"/>
      <c r="D301" s="29" t="n"/>
      <c r="E301" s="29" t="n"/>
      <c r="F301" s="29" t="n"/>
      <c r="G301" s="29" t="n"/>
      <c r="H301" s="29" t="n"/>
      <c r="I301" s="29" t="n"/>
      <c r="J301" s="49" t="n"/>
      <c r="K301" s="51" t="n"/>
      <c r="L301" s="29" t="n"/>
      <c r="M301" s="29" t="n"/>
      <c r="N301" s="29" t="n"/>
      <c r="O301" s="29" t="n"/>
      <c r="P301" s="29" t="n"/>
      <c r="Q301" s="29" t="n"/>
      <c r="R301" s="29" t="n"/>
      <c r="S301" s="29" t="n"/>
      <c r="T301" s="29" t="n"/>
    </row>
    <row r="302" ht="54" customHeight="1">
      <c r="A302" s="29" t="n"/>
      <c r="B302" s="29" t="n"/>
      <c r="C302" s="29" t="n"/>
      <c r="D302" s="29" t="n"/>
      <c r="E302" s="29" t="n"/>
      <c r="F302" s="29" t="n"/>
      <c r="G302" s="29" t="n"/>
      <c r="H302" s="29" t="n"/>
      <c r="I302" s="29" t="n"/>
      <c r="J302" s="49" t="n"/>
      <c r="K302" s="51" t="n"/>
      <c r="L302" s="29" t="n"/>
      <c r="M302" s="29" t="n"/>
      <c r="N302" s="29" t="n"/>
      <c r="O302" s="29" t="n"/>
      <c r="P302" s="29" t="n"/>
      <c r="Q302" s="29" t="n"/>
      <c r="R302" s="29" t="n"/>
      <c r="S302" s="29" t="n"/>
      <c r="T302" s="29" t="n"/>
    </row>
    <row r="303" ht="54" customHeight="1">
      <c r="A303" s="29" t="n"/>
      <c r="B303" s="29" t="n"/>
      <c r="C303" s="29" t="n"/>
      <c r="D303" s="29" t="n"/>
      <c r="E303" s="29" t="n"/>
      <c r="F303" s="29" t="n"/>
      <c r="G303" s="29" t="n"/>
      <c r="H303" s="29" t="n"/>
      <c r="I303" s="29" t="n"/>
      <c r="J303" s="49" t="n"/>
      <c r="K303" s="51" t="n"/>
      <c r="L303" s="29" t="n"/>
      <c r="M303" s="29" t="n"/>
      <c r="N303" s="29" t="n"/>
      <c r="O303" s="29" t="n"/>
      <c r="P303" s="29" t="n"/>
      <c r="Q303" s="29" t="n"/>
      <c r="R303" s="29" t="n"/>
      <c r="S303" s="29" t="n"/>
      <c r="T303" s="29" t="n"/>
    </row>
    <row r="304" ht="54" customHeight="1">
      <c r="A304" s="29" t="n"/>
      <c r="B304" s="29" t="n"/>
      <c r="C304" s="29" t="n"/>
      <c r="D304" s="29" t="n"/>
      <c r="E304" s="29" t="n"/>
      <c r="F304" s="29" t="n"/>
      <c r="G304" s="29" t="n"/>
      <c r="H304" s="29" t="n"/>
      <c r="I304" s="29" t="n"/>
      <c r="J304" s="49" t="n"/>
      <c r="K304" s="51" t="n"/>
      <c r="L304" s="29" t="n"/>
      <c r="M304" s="29" t="n"/>
      <c r="N304" s="29" t="n"/>
      <c r="O304" s="29" t="n"/>
      <c r="P304" s="29" t="n"/>
      <c r="Q304" s="29" t="n"/>
      <c r="R304" s="29" t="n"/>
      <c r="S304" s="29" t="n"/>
      <c r="T304" s="29" t="n"/>
    </row>
    <row r="305" ht="54" customHeight="1">
      <c r="A305" s="29" t="n"/>
      <c r="B305" s="29" t="n"/>
      <c r="C305" s="29" t="n"/>
      <c r="D305" s="29" t="n"/>
      <c r="E305" s="29" t="n"/>
      <c r="F305" s="29" t="n"/>
      <c r="G305" s="29" t="n"/>
      <c r="H305" s="29" t="n"/>
      <c r="I305" s="29" t="n"/>
      <c r="J305" s="49" t="n"/>
      <c r="K305" s="51" t="n"/>
      <c r="L305" s="29" t="n"/>
      <c r="M305" s="29" t="n"/>
      <c r="N305" s="29" t="n"/>
      <c r="O305" s="29" t="n"/>
      <c r="P305" s="29" t="n"/>
      <c r="Q305" s="29" t="n"/>
      <c r="R305" s="29" t="n"/>
      <c r="S305" s="29" t="n"/>
      <c r="T305" s="29" t="n"/>
    </row>
    <row r="306" ht="54" customHeight="1">
      <c r="A306" s="29" t="n"/>
      <c r="B306" s="29" t="n"/>
      <c r="C306" s="29" t="n"/>
      <c r="D306" s="29" t="n"/>
      <c r="E306" s="29" t="n"/>
      <c r="F306" s="29" t="n"/>
      <c r="G306" s="29" t="n"/>
      <c r="H306" s="29" t="n"/>
      <c r="I306" s="29" t="n"/>
      <c r="J306" s="49" t="n"/>
      <c r="K306" s="51" t="n"/>
      <c r="L306" s="29" t="n"/>
      <c r="M306" s="29" t="n"/>
      <c r="N306" s="29" t="n"/>
      <c r="O306" s="29" t="n"/>
      <c r="P306" s="29" t="n"/>
      <c r="Q306" s="29" t="n"/>
      <c r="R306" s="29" t="n"/>
      <c r="S306" s="29" t="n"/>
      <c r="T306" s="29" t="n"/>
    </row>
    <row r="307" ht="54" customHeight="1">
      <c r="A307" s="29" t="n"/>
      <c r="B307" s="29" t="n"/>
      <c r="C307" s="29" t="n"/>
      <c r="D307" s="29" t="n"/>
      <c r="E307" s="29" t="n"/>
      <c r="F307" s="29" t="n"/>
      <c r="G307" s="29" t="n"/>
      <c r="H307" s="29" t="n"/>
      <c r="I307" s="29" t="n"/>
      <c r="J307" s="49" t="n"/>
      <c r="K307" s="51" t="n"/>
      <c r="L307" s="29" t="n"/>
      <c r="M307" s="29" t="n"/>
      <c r="N307" s="29" t="n"/>
      <c r="O307" s="29" t="n"/>
      <c r="P307" s="29" t="n"/>
      <c r="Q307" s="29" t="n"/>
      <c r="R307" s="29" t="n"/>
      <c r="S307" s="29" t="n"/>
      <c r="T307" s="29" t="n"/>
    </row>
  </sheetData>
  <mergeCells count="1">
    <mergeCell ref="A3:H3"/>
  </mergeCells>
  <conditionalFormatting sqref="A8:A307">
    <cfRule type="expression" priority="1" dxfId="1">
      <formula>AND($A8&lt;&gt;"",ISBLANK(A8))</formula>
    </cfRule>
  </conditionalFormatting>
  <conditionalFormatting sqref="B8:B307">
    <cfRule type="expression" priority="2" dxfId="1">
      <formula>AND($A8&lt;&gt;"",ISBLANK(B8))</formula>
    </cfRule>
  </conditionalFormatting>
  <conditionalFormatting sqref="C8:C307">
    <cfRule type="expression" priority="3" dxfId="1">
      <formula>AND($A8&lt;&gt;"",ISBLANK(C8))</formula>
    </cfRule>
  </conditionalFormatting>
  <conditionalFormatting sqref="D8:D307">
    <cfRule type="expression" priority="4" dxfId="1">
      <formula>AND($A8&lt;&gt;"",ISBLANK(D8))</formula>
    </cfRule>
  </conditionalFormatting>
  <conditionalFormatting sqref="F8:F307">
    <cfRule type="expression" priority="5" dxfId="1">
      <formula>AND($A8&lt;&gt;"",ISBLANK(F8))</formula>
    </cfRule>
  </conditionalFormatting>
  <conditionalFormatting sqref="I8:I307">
    <cfRule type="expression" priority="6" dxfId="1">
      <formula>AND($A8&lt;&gt;"",ISBLANK(I8))</formula>
    </cfRule>
  </conditionalFormatting>
  <conditionalFormatting sqref="J8:J307">
    <cfRule type="expression" priority="7" dxfId="1">
      <formula>AND($A8&lt;&gt;"",ISBLANK(J8))</formula>
    </cfRule>
  </conditionalFormatting>
  <conditionalFormatting sqref="K8:K307">
    <cfRule type="expression" priority="8" dxfId="1">
      <formula>AND($A8&lt;&gt;"",ISBLANK(K8))</formula>
    </cfRule>
  </conditionalFormatting>
  <conditionalFormatting sqref="L8:L307">
    <cfRule type="expression" priority="9" dxfId="1">
      <formula>AND($A8&lt;&gt;"",ISBLANK(L8))</formula>
    </cfRule>
  </conditionalFormatting>
  <conditionalFormatting sqref="M8:M307">
    <cfRule type="expression" priority="10" dxfId="1">
      <formula>AND($A8&lt;&gt;"",ISBLANK(M8))</formula>
    </cfRule>
  </conditionalFormatting>
  <conditionalFormatting sqref="N8:N307">
    <cfRule type="expression" priority="11" dxfId="1">
      <formula>AND($A8&lt;&gt;"",ISBLANK(N8))</formula>
    </cfRule>
  </conditionalFormatting>
  <conditionalFormatting sqref="O8:O307">
    <cfRule type="expression" priority="12" dxfId="1">
      <formula>AND($A8&lt;&gt;"",ISBLANK(O8))</formula>
    </cfRule>
  </conditionalFormatting>
  <dataValidations count="2">
    <dataValidation sqref="L8:L307" showDropDown="0" showInputMessage="0" showErrorMessage="0" allowBlank="0" type="list">
      <formula1>"Evet,Hayır"</formula1>
    </dataValidation>
    <dataValidation sqref="M8:M3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W18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58" customWidth="1" min="21" max="21"/>
    <col width="28" customWidth="1" min="22" max="22"/>
    <col width="2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Keşif noktaları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t>
        </is>
      </c>
      <c r="P5" s="22" t="inlineStr">
        <is>
          <t>Zorunlu</t>
        </is>
      </c>
      <c r="Q5" s="22" t="inlineStr">
        <is>
          <t>Zorunlu</t>
        </is>
      </c>
      <c r="R5" s="22" t="inlineStr">
        <is>
          <t>İsteğe bağlı</t>
        </is>
      </c>
      <c r="S5" s="22" t="inlineStr">
        <is>
          <t>İsteğe bağlı</t>
        </is>
      </c>
      <c r="T5" s="22" t="inlineStr">
        <is>
          <t>İsteğe bağlı</t>
        </is>
      </c>
      <c r="U5" s="22" t="inlineStr">
        <is>
          <t>İsteğe bağlı</t>
        </is>
      </c>
      <c r="V5" s="22" t="inlineStr">
        <is>
          <t>Zorunlu</t>
        </is>
      </c>
      <c r="W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Keşif grubu</t>
        </is>
      </c>
      <c r="O6" s="25" t="inlineStr">
        <is>
          <t>Mahalle / ilçe</t>
        </is>
      </c>
      <c r="P6" s="25" t="inlineStr">
        <is>
          <t>Ortam</t>
        </is>
      </c>
      <c r="Q6" s="25" t="inlineStr">
        <is>
          <t>Adres / konum</t>
        </is>
      </c>
      <c r="R6" s="25" t="inlineStr">
        <is>
          <t>Enlem</t>
        </is>
      </c>
      <c r="S6" s="25" t="inlineStr">
        <is>
          <t>Boylam</t>
        </is>
      </c>
      <c r="T6" s="25" t="inlineStr">
        <is>
          <t>Ziyaret durumu</t>
        </is>
      </c>
      <c r="U6" s="25" t="inlineStr">
        <is>
          <t>Ziyaret notu</t>
        </is>
      </c>
      <c r="V6" s="25" t="inlineStr">
        <is>
          <t>Derleme / dizin</t>
        </is>
      </c>
      <c r="W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group</t>
        </is>
      </c>
      <c r="O7" s="28" t="inlineStr">
        <is>
          <t>district</t>
        </is>
      </c>
      <c r="P7" s="28" t="inlineStr">
        <is>
          <t>setting</t>
        </is>
      </c>
      <c r="Q7" s="28" t="inlineStr">
        <is>
          <t>location</t>
        </is>
      </c>
      <c r="R7" s="28" t="inlineStr">
        <is>
          <t>latitude</t>
        </is>
      </c>
      <c r="S7" s="28" t="inlineStr">
        <is>
          <t>longitude</t>
        </is>
      </c>
      <c r="T7" s="28" t="inlineStr">
        <is>
          <t>visit_status</t>
        </is>
      </c>
      <c r="U7" s="28" t="inlineStr">
        <is>
          <t>note</t>
        </is>
      </c>
      <c r="V7" s="28" t="inlineStr">
        <is>
          <t>collection</t>
        </is>
      </c>
      <c r="W7" s="28" t="inlineStr">
        <is>
          <t>media_key</t>
        </is>
      </c>
    </row>
    <row r="8" ht="54" customHeight="1">
      <c r="A8" s="29" t="n"/>
      <c r="B8" s="29" t="n"/>
      <c r="C8" s="29" t="n"/>
      <c r="D8" s="29" t="n"/>
      <c r="E8" s="29" t="n"/>
      <c r="F8" s="29" t="n"/>
      <c r="G8" s="29" t="n"/>
      <c r="H8" s="29" t="n"/>
      <c r="I8" s="29" t="n"/>
      <c r="J8" s="49" t="n"/>
      <c r="K8" s="51" t="n"/>
      <c r="L8" s="29" t="n"/>
      <c r="M8" s="29" t="n"/>
      <c r="N8" s="29" t="n"/>
      <c r="O8" s="29" t="n"/>
      <c r="P8" s="29" t="n"/>
      <c r="Q8" s="29" t="n"/>
      <c r="R8" s="50" t="n"/>
      <c r="S8" s="50" t="n"/>
      <c r="T8" s="29" t="n"/>
      <c r="U8" s="29" t="n"/>
      <c r="V8" s="29" t="n"/>
      <c r="W8" s="29" t="n"/>
    </row>
    <row r="9" ht="54" customHeight="1">
      <c r="A9" s="29" t="n"/>
      <c r="B9" s="29" t="n"/>
      <c r="C9" s="29" t="n"/>
      <c r="D9" s="29" t="n"/>
      <c r="E9" s="29" t="n"/>
      <c r="F9" s="29" t="n"/>
      <c r="G9" s="29" t="n"/>
      <c r="H9" s="29" t="n"/>
      <c r="I9" s="29" t="n"/>
      <c r="J9" s="49" t="n"/>
      <c r="K9" s="51" t="n"/>
      <c r="L9" s="29" t="n"/>
      <c r="M9" s="29" t="n"/>
      <c r="N9" s="29" t="n"/>
      <c r="O9" s="29" t="n"/>
      <c r="P9" s="29" t="n"/>
      <c r="Q9" s="29" t="n"/>
      <c r="R9" s="50" t="n"/>
      <c r="S9" s="50" t="n"/>
      <c r="T9" s="29" t="n"/>
      <c r="U9" s="29" t="n"/>
      <c r="V9" s="29" t="n"/>
      <c r="W9" s="29" t="n"/>
    </row>
    <row r="10" ht="54" customHeight="1">
      <c r="A10" s="29" t="n"/>
      <c r="B10" s="29" t="n"/>
      <c r="C10" s="29" t="n"/>
      <c r="D10" s="29" t="n"/>
      <c r="E10" s="29" t="n"/>
      <c r="F10" s="29" t="n"/>
      <c r="G10" s="29" t="n"/>
      <c r="H10" s="29" t="n"/>
      <c r="I10" s="29" t="n"/>
      <c r="J10" s="49" t="n"/>
      <c r="K10" s="51" t="n"/>
      <c r="L10" s="29" t="n"/>
      <c r="M10" s="29" t="n"/>
      <c r="N10" s="29" t="n"/>
      <c r="O10" s="29" t="n"/>
      <c r="P10" s="29" t="n"/>
      <c r="Q10" s="29" t="n"/>
      <c r="R10" s="50" t="n"/>
      <c r="S10" s="50" t="n"/>
      <c r="T10" s="29" t="n"/>
      <c r="U10" s="29" t="n"/>
      <c r="V10" s="29" t="n"/>
      <c r="W10" s="29" t="n"/>
    </row>
    <row r="11" ht="54" customHeight="1">
      <c r="A11" s="29" t="n"/>
      <c r="B11" s="29" t="n"/>
      <c r="C11" s="29" t="n"/>
      <c r="D11" s="29" t="n"/>
      <c r="E11" s="29" t="n"/>
      <c r="F11" s="29" t="n"/>
      <c r="G11" s="29" t="n"/>
      <c r="H11" s="29" t="n"/>
      <c r="I11" s="29" t="n"/>
      <c r="J11" s="49" t="n"/>
      <c r="K11" s="51" t="n"/>
      <c r="L11" s="29" t="n"/>
      <c r="M11" s="29" t="n"/>
      <c r="N11" s="29" t="n"/>
      <c r="O11" s="29" t="n"/>
      <c r="P11" s="29" t="n"/>
      <c r="Q11" s="29" t="n"/>
      <c r="R11" s="50" t="n"/>
      <c r="S11" s="50" t="n"/>
      <c r="T11" s="29" t="n"/>
      <c r="U11" s="29" t="n"/>
      <c r="V11" s="29" t="n"/>
      <c r="W11" s="29" t="n"/>
    </row>
    <row r="12" ht="54" customHeight="1">
      <c r="A12" s="29" t="n"/>
      <c r="B12" s="29" t="n"/>
      <c r="C12" s="29" t="n"/>
      <c r="D12" s="29" t="n"/>
      <c r="E12" s="29" t="n"/>
      <c r="F12" s="29" t="n"/>
      <c r="G12" s="29" t="n"/>
      <c r="H12" s="29" t="n"/>
      <c r="I12" s="29" t="n"/>
      <c r="J12" s="49" t="n"/>
      <c r="K12" s="51" t="n"/>
      <c r="L12" s="29" t="n"/>
      <c r="M12" s="29" t="n"/>
      <c r="N12" s="29" t="n"/>
      <c r="O12" s="29" t="n"/>
      <c r="P12" s="29" t="n"/>
      <c r="Q12" s="29" t="n"/>
      <c r="R12" s="50" t="n"/>
      <c r="S12" s="50" t="n"/>
      <c r="T12" s="29" t="n"/>
      <c r="U12" s="29" t="n"/>
      <c r="V12" s="29" t="n"/>
      <c r="W12" s="29" t="n"/>
    </row>
    <row r="13" ht="54" customHeight="1">
      <c r="A13" s="29" t="n"/>
      <c r="B13" s="29" t="n"/>
      <c r="C13" s="29" t="n"/>
      <c r="D13" s="29" t="n"/>
      <c r="E13" s="29" t="n"/>
      <c r="F13" s="29" t="n"/>
      <c r="G13" s="29" t="n"/>
      <c r="H13" s="29" t="n"/>
      <c r="I13" s="29" t="n"/>
      <c r="J13" s="49" t="n"/>
      <c r="K13" s="51" t="n"/>
      <c r="L13" s="29" t="n"/>
      <c r="M13" s="29" t="n"/>
      <c r="N13" s="29" t="n"/>
      <c r="O13" s="29" t="n"/>
      <c r="P13" s="29" t="n"/>
      <c r="Q13" s="29" t="n"/>
      <c r="R13" s="50" t="n"/>
      <c r="S13" s="50" t="n"/>
      <c r="T13" s="29" t="n"/>
      <c r="U13" s="29" t="n"/>
      <c r="V13" s="29" t="n"/>
      <c r="W13" s="29" t="n"/>
    </row>
    <row r="14" ht="54" customHeight="1">
      <c r="A14" s="29" t="n"/>
      <c r="B14" s="29" t="n"/>
      <c r="C14" s="29" t="n"/>
      <c r="D14" s="29" t="n"/>
      <c r="E14" s="29" t="n"/>
      <c r="F14" s="29" t="n"/>
      <c r="G14" s="29" t="n"/>
      <c r="H14" s="29" t="n"/>
      <c r="I14" s="29" t="n"/>
      <c r="J14" s="49" t="n"/>
      <c r="K14" s="51" t="n"/>
      <c r="L14" s="29" t="n"/>
      <c r="M14" s="29" t="n"/>
      <c r="N14" s="29" t="n"/>
      <c r="O14" s="29" t="n"/>
      <c r="P14" s="29" t="n"/>
      <c r="Q14" s="29" t="n"/>
      <c r="R14" s="50" t="n"/>
      <c r="S14" s="50" t="n"/>
      <c r="T14" s="29" t="n"/>
      <c r="U14" s="29" t="n"/>
      <c r="V14" s="29" t="n"/>
      <c r="W14" s="29" t="n"/>
    </row>
    <row r="15" ht="54" customHeight="1">
      <c r="A15" s="29" t="n"/>
      <c r="B15" s="29" t="n"/>
      <c r="C15" s="29" t="n"/>
      <c r="D15" s="29" t="n"/>
      <c r="E15" s="29" t="n"/>
      <c r="F15" s="29" t="n"/>
      <c r="G15" s="29" t="n"/>
      <c r="H15" s="29" t="n"/>
      <c r="I15" s="29" t="n"/>
      <c r="J15" s="49" t="n"/>
      <c r="K15" s="51" t="n"/>
      <c r="L15" s="29" t="n"/>
      <c r="M15" s="29" t="n"/>
      <c r="N15" s="29" t="n"/>
      <c r="O15" s="29" t="n"/>
      <c r="P15" s="29" t="n"/>
      <c r="Q15" s="29" t="n"/>
      <c r="R15" s="50" t="n"/>
      <c r="S15" s="50" t="n"/>
      <c r="T15" s="29" t="n"/>
      <c r="U15" s="29" t="n"/>
      <c r="V15" s="29" t="n"/>
      <c r="W15" s="29" t="n"/>
    </row>
    <row r="16" ht="54" customHeight="1">
      <c r="A16" s="29" t="n"/>
      <c r="B16" s="29" t="n"/>
      <c r="C16" s="29" t="n"/>
      <c r="D16" s="29" t="n"/>
      <c r="E16" s="29" t="n"/>
      <c r="F16" s="29" t="n"/>
      <c r="G16" s="29" t="n"/>
      <c r="H16" s="29" t="n"/>
      <c r="I16" s="29" t="n"/>
      <c r="J16" s="49" t="n"/>
      <c r="K16" s="51" t="n"/>
      <c r="L16" s="29" t="n"/>
      <c r="M16" s="29" t="n"/>
      <c r="N16" s="29" t="n"/>
      <c r="O16" s="29" t="n"/>
      <c r="P16" s="29" t="n"/>
      <c r="Q16" s="29" t="n"/>
      <c r="R16" s="50" t="n"/>
      <c r="S16" s="50" t="n"/>
      <c r="T16" s="29" t="n"/>
      <c r="U16" s="29" t="n"/>
      <c r="V16" s="29" t="n"/>
      <c r="W16" s="29" t="n"/>
    </row>
    <row r="17" ht="54" customHeight="1">
      <c r="A17" s="29" t="n"/>
      <c r="B17" s="29" t="n"/>
      <c r="C17" s="29" t="n"/>
      <c r="D17" s="29" t="n"/>
      <c r="E17" s="29" t="n"/>
      <c r="F17" s="29" t="n"/>
      <c r="G17" s="29" t="n"/>
      <c r="H17" s="29" t="n"/>
      <c r="I17" s="29" t="n"/>
      <c r="J17" s="49" t="n"/>
      <c r="K17" s="51" t="n"/>
      <c r="L17" s="29" t="n"/>
      <c r="M17" s="29" t="n"/>
      <c r="N17" s="29" t="n"/>
      <c r="O17" s="29" t="n"/>
      <c r="P17" s="29" t="n"/>
      <c r="Q17" s="29" t="n"/>
      <c r="R17" s="50" t="n"/>
      <c r="S17" s="50" t="n"/>
      <c r="T17" s="29" t="n"/>
      <c r="U17" s="29" t="n"/>
      <c r="V17" s="29" t="n"/>
      <c r="W17" s="29" t="n"/>
    </row>
    <row r="18" ht="54" customHeight="1">
      <c r="A18" s="29" t="n"/>
      <c r="B18" s="29" t="n"/>
      <c r="C18" s="29" t="n"/>
      <c r="D18" s="29" t="n"/>
      <c r="E18" s="29" t="n"/>
      <c r="F18" s="29" t="n"/>
      <c r="G18" s="29" t="n"/>
      <c r="H18" s="29" t="n"/>
      <c r="I18" s="29" t="n"/>
      <c r="J18" s="49" t="n"/>
      <c r="K18" s="51" t="n"/>
      <c r="L18" s="29" t="n"/>
      <c r="M18" s="29" t="n"/>
      <c r="N18" s="29" t="n"/>
      <c r="O18" s="29" t="n"/>
      <c r="P18" s="29" t="n"/>
      <c r="Q18" s="29" t="n"/>
      <c r="R18" s="50" t="n"/>
      <c r="S18" s="50" t="n"/>
      <c r="T18" s="29" t="n"/>
      <c r="U18" s="29" t="n"/>
      <c r="V18" s="29" t="n"/>
      <c r="W18" s="29" t="n"/>
    </row>
    <row r="19" ht="54" customHeight="1">
      <c r="A19" s="29" t="n"/>
      <c r="B19" s="29" t="n"/>
      <c r="C19" s="29" t="n"/>
      <c r="D19" s="29" t="n"/>
      <c r="E19" s="29" t="n"/>
      <c r="F19" s="29" t="n"/>
      <c r="G19" s="29" t="n"/>
      <c r="H19" s="29" t="n"/>
      <c r="I19" s="29" t="n"/>
      <c r="J19" s="49" t="n"/>
      <c r="K19" s="51" t="n"/>
      <c r="L19" s="29" t="n"/>
      <c r="M19" s="29" t="n"/>
      <c r="N19" s="29" t="n"/>
      <c r="O19" s="29" t="n"/>
      <c r="P19" s="29" t="n"/>
      <c r="Q19" s="29" t="n"/>
      <c r="R19" s="50" t="n"/>
      <c r="S19" s="50" t="n"/>
      <c r="T19" s="29" t="n"/>
      <c r="U19" s="29" t="n"/>
      <c r="V19" s="29" t="n"/>
      <c r="W19" s="29" t="n"/>
    </row>
    <row r="20" ht="54" customHeight="1">
      <c r="A20" s="29" t="n"/>
      <c r="B20" s="29" t="n"/>
      <c r="C20" s="29" t="n"/>
      <c r="D20" s="29" t="n"/>
      <c r="E20" s="29" t="n"/>
      <c r="F20" s="29" t="n"/>
      <c r="G20" s="29" t="n"/>
      <c r="H20" s="29" t="n"/>
      <c r="I20" s="29" t="n"/>
      <c r="J20" s="49" t="n"/>
      <c r="K20" s="51" t="n"/>
      <c r="L20" s="29" t="n"/>
      <c r="M20" s="29" t="n"/>
      <c r="N20" s="29" t="n"/>
      <c r="O20" s="29" t="n"/>
      <c r="P20" s="29" t="n"/>
      <c r="Q20" s="29" t="n"/>
      <c r="R20" s="50" t="n"/>
      <c r="S20" s="50" t="n"/>
      <c r="T20" s="29" t="n"/>
      <c r="U20" s="29" t="n"/>
      <c r="V20" s="29" t="n"/>
      <c r="W20" s="29" t="n"/>
    </row>
    <row r="21" ht="54" customHeight="1">
      <c r="A21" s="29" t="n"/>
      <c r="B21" s="29" t="n"/>
      <c r="C21" s="29" t="n"/>
      <c r="D21" s="29" t="n"/>
      <c r="E21" s="29" t="n"/>
      <c r="F21" s="29" t="n"/>
      <c r="G21" s="29" t="n"/>
      <c r="H21" s="29" t="n"/>
      <c r="I21" s="29" t="n"/>
      <c r="J21" s="49" t="n"/>
      <c r="K21" s="51" t="n"/>
      <c r="L21" s="29" t="n"/>
      <c r="M21" s="29" t="n"/>
      <c r="N21" s="29" t="n"/>
      <c r="O21" s="29" t="n"/>
      <c r="P21" s="29" t="n"/>
      <c r="Q21" s="29" t="n"/>
      <c r="R21" s="50" t="n"/>
      <c r="S21" s="50" t="n"/>
      <c r="T21" s="29" t="n"/>
      <c r="U21" s="29" t="n"/>
      <c r="V21" s="29" t="n"/>
      <c r="W21" s="29" t="n"/>
    </row>
    <row r="22" ht="54" customHeight="1">
      <c r="A22" s="29" t="n"/>
      <c r="B22" s="29" t="n"/>
      <c r="C22" s="29" t="n"/>
      <c r="D22" s="29" t="n"/>
      <c r="E22" s="29" t="n"/>
      <c r="F22" s="29" t="n"/>
      <c r="G22" s="29" t="n"/>
      <c r="H22" s="29" t="n"/>
      <c r="I22" s="29" t="n"/>
      <c r="J22" s="49" t="n"/>
      <c r="K22" s="51" t="n"/>
      <c r="L22" s="29" t="n"/>
      <c r="M22" s="29" t="n"/>
      <c r="N22" s="29" t="n"/>
      <c r="O22" s="29" t="n"/>
      <c r="P22" s="29" t="n"/>
      <c r="Q22" s="29" t="n"/>
      <c r="R22" s="50" t="n"/>
      <c r="S22" s="50" t="n"/>
      <c r="T22" s="29" t="n"/>
      <c r="U22" s="29" t="n"/>
      <c r="V22" s="29" t="n"/>
      <c r="W22" s="29" t="n"/>
    </row>
    <row r="23" ht="54" customHeight="1">
      <c r="A23" s="29" t="n"/>
      <c r="B23" s="29" t="n"/>
      <c r="C23" s="29" t="n"/>
      <c r="D23" s="29" t="n"/>
      <c r="E23" s="29" t="n"/>
      <c r="F23" s="29" t="n"/>
      <c r="G23" s="29" t="n"/>
      <c r="H23" s="29" t="n"/>
      <c r="I23" s="29" t="n"/>
      <c r="J23" s="49" t="n"/>
      <c r="K23" s="51" t="n"/>
      <c r="L23" s="29" t="n"/>
      <c r="M23" s="29" t="n"/>
      <c r="N23" s="29" t="n"/>
      <c r="O23" s="29" t="n"/>
      <c r="P23" s="29" t="n"/>
      <c r="Q23" s="29" t="n"/>
      <c r="R23" s="50" t="n"/>
      <c r="S23" s="50" t="n"/>
      <c r="T23" s="29" t="n"/>
      <c r="U23" s="29" t="n"/>
      <c r="V23" s="29" t="n"/>
      <c r="W23" s="29" t="n"/>
    </row>
    <row r="24" ht="54" customHeight="1">
      <c r="A24" s="29" t="n"/>
      <c r="B24" s="29" t="n"/>
      <c r="C24" s="29" t="n"/>
      <c r="D24" s="29" t="n"/>
      <c r="E24" s="29" t="n"/>
      <c r="F24" s="29" t="n"/>
      <c r="G24" s="29" t="n"/>
      <c r="H24" s="29" t="n"/>
      <c r="I24" s="29" t="n"/>
      <c r="J24" s="49" t="n"/>
      <c r="K24" s="51" t="n"/>
      <c r="L24" s="29" t="n"/>
      <c r="M24" s="29" t="n"/>
      <c r="N24" s="29" t="n"/>
      <c r="O24" s="29" t="n"/>
      <c r="P24" s="29" t="n"/>
      <c r="Q24" s="29" t="n"/>
      <c r="R24" s="50" t="n"/>
      <c r="S24" s="50" t="n"/>
      <c r="T24" s="29" t="n"/>
      <c r="U24" s="29" t="n"/>
      <c r="V24" s="29" t="n"/>
      <c r="W24" s="29" t="n"/>
    </row>
    <row r="25" ht="54" customHeight="1">
      <c r="A25" s="29" t="n"/>
      <c r="B25" s="29" t="n"/>
      <c r="C25" s="29" t="n"/>
      <c r="D25" s="29" t="n"/>
      <c r="E25" s="29" t="n"/>
      <c r="F25" s="29" t="n"/>
      <c r="G25" s="29" t="n"/>
      <c r="H25" s="29" t="n"/>
      <c r="I25" s="29" t="n"/>
      <c r="J25" s="49" t="n"/>
      <c r="K25" s="51" t="n"/>
      <c r="L25" s="29" t="n"/>
      <c r="M25" s="29" t="n"/>
      <c r="N25" s="29" t="n"/>
      <c r="O25" s="29" t="n"/>
      <c r="P25" s="29" t="n"/>
      <c r="Q25" s="29" t="n"/>
      <c r="R25" s="50" t="n"/>
      <c r="S25" s="50" t="n"/>
      <c r="T25" s="29" t="n"/>
      <c r="U25" s="29" t="n"/>
      <c r="V25" s="29" t="n"/>
      <c r="W25" s="29" t="n"/>
    </row>
    <row r="26" ht="54" customHeight="1">
      <c r="A26" s="29" t="n"/>
      <c r="B26" s="29" t="n"/>
      <c r="C26" s="29" t="n"/>
      <c r="D26" s="29" t="n"/>
      <c r="E26" s="29" t="n"/>
      <c r="F26" s="29" t="n"/>
      <c r="G26" s="29" t="n"/>
      <c r="H26" s="29" t="n"/>
      <c r="I26" s="29" t="n"/>
      <c r="J26" s="49" t="n"/>
      <c r="K26" s="51" t="n"/>
      <c r="L26" s="29" t="n"/>
      <c r="M26" s="29" t="n"/>
      <c r="N26" s="29" t="n"/>
      <c r="O26" s="29" t="n"/>
      <c r="P26" s="29" t="n"/>
      <c r="Q26" s="29" t="n"/>
      <c r="R26" s="50" t="n"/>
      <c r="S26" s="50" t="n"/>
      <c r="T26" s="29" t="n"/>
      <c r="U26" s="29" t="n"/>
      <c r="V26" s="29" t="n"/>
      <c r="W26" s="29" t="n"/>
    </row>
    <row r="27" ht="54" customHeight="1">
      <c r="A27" s="29" t="n"/>
      <c r="B27" s="29" t="n"/>
      <c r="C27" s="29" t="n"/>
      <c r="D27" s="29" t="n"/>
      <c r="E27" s="29" t="n"/>
      <c r="F27" s="29" t="n"/>
      <c r="G27" s="29" t="n"/>
      <c r="H27" s="29" t="n"/>
      <c r="I27" s="29" t="n"/>
      <c r="J27" s="49" t="n"/>
      <c r="K27" s="51" t="n"/>
      <c r="L27" s="29" t="n"/>
      <c r="M27" s="29" t="n"/>
      <c r="N27" s="29" t="n"/>
      <c r="O27" s="29" t="n"/>
      <c r="P27" s="29" t="n"/>
      <c r="Q27" s="29" t="n"/>
      <c r="R27" s="50" t="n"/>
      <c r="S27" s="50" t="n"/>
      <c r="T27" s="29" t="n"/>
      <c r="U27" s="29" t="n"/>
      <c r="V27" s="29" t="n"/>
      <c r="W27" s="29" t="n"/>
    </row>
    <row r="28" ht="54" customHeight="1">
      <c r="A28" s="29" t="n"/>
      <c r="B28" s="29" t="n"/>
      <c r="C28" s="29" t="n"/>
      <c r="D28" s="29" t="n"/>
      <c r="E28" s="29" t="n"/>
      <c r="F28" s="29" t="n"/>
      <c r="G28" s="29" t="n"/>
      <c r="H28" s="29" t="n"/>
      <c r="I28" s="29" t="n"/>
      <c r="J28" s="49" t="n"/>
      <c r="K28" s="51" t="n"/>
      <c r="L28" s="29" t="n"/>
      <c r="M28" s="29" t="n"/>
      <c r="N28" s="29" t="n"/>
      <c r="O28" s="29" t="n"/>
      <c r="P28" s="29" t="n"/>
      <c r="Q28" s="29" t="n"/>
      <c r="R28" s="50" t="n"/>
      <c r="S28" s="50" t="n"/>
      <c r="T28" s="29" t="n"/>
      <c r="U28" s="29" t="n"/>
      <c r="V28" s="29" t="n"/>
      <c r="W28" s="29" t="n"/>
    </row>
    <row r="29" ht="54" customHeight="1">
      <c r="A29" s="29" t="n"/>
      <c r="B29" s="29" t="n"/>
      <c r="C29" s="29" t="n"/>
      <c r="D29" s="29" t="n"/>
      <c r="E29" s="29" t="n"/>
      <c r="F29" s="29" t="n"/>
      <c r="G29" s="29" t="n"/>
      <c r="H29" s="29" t="n"/>
      <c r="I29" s="29" t="n"/>
      <c r="J29" s="49" t="n"/>
      <c r="K29" s="51" t="n"/>
      <c r="L29" s="29" t="n"/>
      <c r="M29" s="29" t="n"/>
      <c r="N29" s="29" t="n"/>
      <c r="O29" s="29" t="n"/>
      <c r="P29" s="29" t="n"/>
      <c r="Q29" s="29" t="n"/>
      <c r="R29" s="50" t="n"/>
      <c r="S29" s="50" t="n"/>
      <c r="T29" s="29" t="n"/>
      <c r="U29" s="29" t="n"/>
      <c r="V29" s="29" t="n"/>
      <c r="W29" s="29" t="n"/>
    </row>
    <row r="30" ht="54" customHeight="1">
      <c r="A30" s="29" t="n"/>
      <c r="B30" s="29" t="n"/>
      <c r="C30" s="29" t="n"/>
      <c r="D30" s="29" t="n"/>
      <c r="E30" s="29" t="n"/>
      <c r="F30" s="29" t="n"/>
      <c r="G30" s="29" t="n"/>
      <c r="H30" s="29" t="n"/>
      <c r="I30" s="29" t="n"/>
      <c r="J30" s="49" t="n"/>
      <c r="K30" s="51" t="n"/>
      <c r="L30" s="29" t="n"/>
      <c r="M30" s="29" t="n"/>
      <c r="N30" s="29" t="n"/>
      <c r="O30" s="29" t="n"/>
      <c r="P30" s="29" t="n"/>
      <c r="Q30" s="29" t="n"/>
      <c r="R30" s="50" t="n"/>
      <c r="S30" s="50" t="n"/>
      <c r="T30" s="29" t="n"/>
      <c r="U30" s="29" t="n"/>
      <c r="V30" s="29" t="n"/>
      <c r="W30" s="29" t="n"/>
    </row>
    <row r="31" ht="54" customHeight="1">
      <c r="A31" s="29" t="n"/>
      <c r="B31" s="29" t="n"/>
      <c r="C31" s="29" t="n"/>
      <c r="D31" s="29" t="n"/>
      <c r="E31" s="29" t="n"/>
      <c r="F31" s="29" t="n"/>
      <c r="G31" s="29" t="n"/>
      <c r="H31" s="29" t="n"/>
      <c r="I31" s="29" t="n"/>
      <c r="J31" s="49" t="n"/>
      <c r="K31" s="51" t="n"/>
      <c r="L31" s="29" t="n"/>
      <c r="M31" s="29" t="n"/>
      <c r="N31" s="29" t="n"/>
      <c r="O31" s="29" t="n"/>
      <c r="P31" s="29" t="n"/>
      <c r="Q31" s="29" t="n"/>
      <c r="R31" s="50" t="n"/>
      <c r="S31" s="50" t="n"/>
      <c r="T31" s="29" t="n"/>
      <c r="U31" s="29" t="n"/>
      <c r="V31" s="29" t="n"/>
      <c r="W31" s="29" t="n"/>
    </row>
    <row r="32" ht="54" customHeight="1">
      <c r="A32" s="29" t="n"/>
      <c r="B32" s="29" t="n"/>
      <c r="C32" s="29" t="n"/>
      <c r="D32" s="29" t="n"/>
      <c r="E32" s="29" t="n"/>
      <c r="F32" s="29" t="n"/>
      <c r="G32" s="29" t="n"/>
      <c r="H32" s="29" t="n"/>
      <c r="I32" s="29" t="n"/>
      <c r="J32" s="49" t="n"/>
      <c r="K32" s="51" t="n"/>
      <c r="L32" s="29" t="n"/>
      <c r="M32" s="29" t="n"/>
      <c r="N32" s="29" t="n"/>
      <c r="O32" s="29" t="n"/>
      <c r="P32" s="29" t="n"/>
      <c r="Q32" s="29" t="n"/>
      <c r="R32" s="50" t="n"/>
      <c r="S32" s="50" t="n"/>
      <c r="T32" s="29" t="n"/>
      <c r="U32" s="29" t="n"/>
      <c r="V32" s="29" t="n"/>
      <c r="W32" s="29" t="n"/>
    </row>
    <row r="33" ht="54" customHeight="1">
      <c r="A33" s="29" t="n"/>
      <c r="B33" s="29" t="n"/>
      <c r="C33" s="29" t="n"/>
      <c r="D33" s="29" t="n"/>
      <c r="E33" s="29" t="n"/>
      <c r="F33" s="29" t="n"/>
      <c r="G33" s="29" t="n"/>
      <c r="H33" s="29" t="n"/>
      <c r="I33" s="29" t="n"/>
      <c r="J33" s="49" t="n"/>
      <c r="K33" s="51" t="n"/>
      <c r="L33" s="29" t="n"/>
      <c r="M33" s="29" t="n"/>
      <c r="N33" s="29" t="n"/>
      <c r="O33" s="29" t="n"/>
      <c r="P33" s="29" t="n"/>
      <c r="Q33" s="29" t="n"/>
      <c r="R33" s="50" t="n"/>
      <c r="S33" s="50" t="n"/>
      <c r="T33" s="29" t="n"/>
      <c r="U33" s="29" t="n"/>
      <c r="V33" s="29" t="n"/>
      <c r="W33" s="29" t="n"/>
    </row>
    <row r="34" ht="54" customHeight="1">
      <c r="A34" s="29" t="n"/>
      <c r="B34" s="29" t="n"/>
      <c r="C34" s="29" t="n"/>
      <c r="D34" s="29" t="n"/>
      <c r="E34" s="29" t="n"/>
      <c r="F34" s="29" t="n"/>
      <c r="G34" s="29" t="n"/>
      <c r="H34" s="29" t="n"/>
      <c r="I34" s="29" t="n"/>
      <c r="J34" s="49" t="n"/>
      <c r="K34" s="51" t="n"/>
      <c r="L34" s="29" t="n"/>
      <c r="M34" s="29" t="n"/>
      <c r="N34" s="29" t="n"/>
      <c r="O34" s="29" t="n"/>
      <c r="P34" s="29" t="n"/>
      <c r="Q34" s="29" t="n"/>
      <c r="R34" s="50" t="n"/>
      <c r="S34" s="50" t="n"/>
      <c r="T34" s="29" t="n"/>
      <c r="U34" s="29" t="n"/>
      <c r="V34" s="29" t="n"/>
      <c r="W34" s="29" t="n"/>
    </row>
    <row r="35" ht="54" customHeight="1">
      <c r="A35" s="29" t="n"/>
      <c r="B35" s="29" t="n"/>
      <c r="C35" s="29" t="n"/>
      <c r="D35" s="29" t="n"/>
      <c r="E35" s="29" t="n"/>
      <c r="F35" s="29" t="n"/>
      <c r="G35" s="29" t="n"/>
      <c r="H35" s="29" t="n"/>
      <c r="I35" s="29" t="n"/>
      <c r="J35" s="49" t="n"/>
      <c r="K35" s="51" t="n"/>
      <c r="L35" s="29" t="n"/>
      <c r="M35" s="29" t="n"/>
      <c r="N35" s="29" t="n"/>
      <c r="O35" s="29" t="n"/>
      <c r="P35" s="29" t="n"/>
      <c r="Q35" s="29" t="n"/>
      <c r="R35" s="50" t="n"/>
      <c r="S35" s="50" t="n"/>
      <c r="T35" s="29" t="n"/>
      <c r="U35" s="29" t="n"/>
      <c r="V35" s="29" t="n"/>
      <c r="W35" s="29" t="n"/>
    </row>
    <row r="36" ht="54" customHeight="1">
      <c r="A36" s="29" t="n"/>
      <c r="B36" s="29" t="n"/>
      <c r="C36" s="29" t="n"/>
      <c r="D36" s="29" t="n"/>
      <c r="E36" s="29" t="n"/>
      <c r="F36" s="29" t="n"/>
      <c r="G36" s="29" t="n"/>
      <c r="H36" s="29" t="n"/>
      <c r="I36" s="29" t="n"/>
      <c r="J36" s="49" t="n"/>
      <c r="K36" s="51" t="n"/>
      <c r="L36" s="29" t="n"/>
      <c r="M36" s="29" t="n"/>
      <c r="N36" s="29" t="n"/>
      <c r="O36" s="29" t="n"/>
      <c r="P36" s="29" t="n"/>
      <c r="Q36" s="29" t="n"/>
      <c r="R36" s="50" t="n"/>
      <c r="S36" s="50" t="n"/>
      <c r="T36" s="29" t="n"/>
      <c r="U36" s="29" t="n"/>
      <c r="V36" s="29" t="n"/>
      <c r="W36" s="29" t="n"/>
    </row>
    <row r="37" ht="54" customHeight="1">
      <c r="A37" s="29" t="n"/>
      <c r="B37" s="29" t="n"/>
      <c r="C37" s="29" t="n"/>
      <c r="D37" s="29" t="n"/>
      <c r="E37" s="29" t="n"/>
      <c r="F37" s="29" t="n"/>
      <c r="G37" s="29" t="n"/>
      <c r="H37" s="29" t="n"/>
      <c r="I37" s="29" t="n"/>
      <c r="J37" s="49" t="n"/>
      <c r="K37" s="51" t="n"/>
      <c r="L37" s="29" t="n"/>
      <c r="M37" s="29" t="n"/>
      <c r="N37" s="29" t="n"/>
      <c r="O37" s="29" t="n"/>
      <c r="P37" s="29" t="n"/>
      <c r="Q37" s="29" t="n"/>
      <c r="R37" s="50" t="n"/>
      <c r="S37" s="50" t="n"/>
      <c r="T37" s="29" t="n"/>
      <c r="U37" s="29" t="n"/>
      <c r="V37" s="29" t="n"/>
      <c r="W37" s="29" t="n"/>
    </row>
    <row r="38" ht="54" customHeight="1">
      <c r="A38" s="29" t="n"/>
      <c r="B38" s="29" t="n"/>
      <c r="C38" s="29" t="n"/>
      <c r="D38" s="29" t="n"/>
      <c r="E38" s="29" t="n"/>
      <c r="F38" s="29" t="n"/>
      <c r="G38" s="29" t="n"/>
      <c r="H38" s="29" t="n"/>
      <c r="I38" s="29" t="n"/>
      <c r="J38" s="49" t="n"/>
      <c r="K38" s="51" t="n"/>
      <c r="L38" s="29" t="n"/>
      <c r="M38" s="29" t="n"/>
      <c r="N38" s="29" t="n"/>
      <c r="O38" s="29" t="n"/>
      <c r="P38" s="29" t="n"/>
      <c r="Q38" s="29" t="n"/>
      <c r="R38" s="50" t="n"/>
      <c r="S38" s="50" t="n"/>
      <c r="T38" s="29" t="n"/>
      <c r="U38" s="29" t="n"/>
      <c r="V38" s="29" t="n"/>
      <c r="W38" s="29" t="n"/>
    </row>
    <row r="39" ht="54" customHeight="1">
      <c r="A39" s="29" t="n"/>
      <c r="B39" s="29" t="n"/>
      <c r="C39" s="29" t="n"/>
      <c r="D39" s="29" t="n"/>
      <c r="E39" s="29" t="n"/>
      <c r="F39" s="29" t="n"/>
      <c r="G39" s="29" t="n"/>
      <c r="H39" s="29" t="n"/>
      <c r="I39" s="29" t="n"/>
      <c r="J39" s="49" t="n"/>
      <c r="K39" s="51" t="n"/>
      <c r="L39" s="29" t="n"/>
      <c r="M39" s="29" t="n"/>
      <c r="N39" s="29" t="n"/>
      <c r="O39" s="29" t="n"/>
      <c r="P39" s="29" t="n"/>
      <c r="Q39" s="29" t="n"/>
      <c r="R39" s="50" t="n"/>
      <c r="S39" s="50" t="n"/>
      <c r="T39" s="29" t="n"/>
      <c r="U39" s="29" t="n"/>
      <c r="V39" s="29" t="n"/>
      <c r="W39" s="29" t="n"/>
    </row>
    <row r="40" ht="54" customHeight="1">
      <c r="A40" s="29" t="n"/>
      <c r="B40" s="29" t="n"/>
      <c r="C40" s="29" t="n"/>
      <c r="D40" s="29" t="n"/>
      <c r="E40" s="29" t="n"/>
      <c r="F40" s="29" t="n"/>
      <c r="G40" s="29" t="n"/>
      <c r="H40" s="29" t="n"/>
      <c r="I40" s="29" t="n"/>
      <c r="J40" s="49" t="n"/>
      <c r="K40" s="51" t="n"/>
      <c r="L40" s="29" t="n"/>
      <c r="M40" s="29" t="n"/>
      <c r="N40" s="29" t="n"/>
      <c r="O40" s="29" t="n"/>
      <c r="P40" s="29" t="n"/>
      <c r="Q40" s="29" t="n"/>
      <c r="R40" s="50" t="n"/>
      <c r="S40" s="50" t="n"/>
      <c r="T40" s="29" t="n"/>
      <c r="U40" s="29" t="n"/>
      <c r="V40" s="29" t="n"/>
      <c r="W40" s="29" t="n"/>
    </row>
    <row r="41" ht="54" customHeight="1">
      <c r="A41" s="29" t="n"/>
      <c r="B41" s="29" t="n"/>
      <c r="C41" s="29" t="n"/>
      <c r="D41" s="29" t="n"/>
      <c r="E41" s="29" t="n"/>
      <c r="F41" s="29" t="n"/>
      <c r="G41" s="29" t="n"/>
      <c r="H41" s="29" t="n"/>
      <c r="I41" s="29" t="n"/>
      <c r="J41" s="49" t="n"/>
      <c r="K41" s="51" t="n"/>
      <c r="L41" s="29" t="n"/>
      <c r="M41" s="29" t="n"/>
      <c r="N41" s="29" t="n"/>
      <c r="O41" s="29" t="n"/>
      <c r="P41" s="29" t="n"/>
      <c r="Q41" s="29" t="n"/>
      <c r="R41" s="50" t="n"/>
      <c r="S41" s="50" t="n"/>
      <c r="T41" s="29" t="n"/>
      <c r="U41" s="29" t="n"/>
      <c r="V41" s="29" t="n"/>
      <c r="W41" s="29" t="n"/>
    </row>
    <row r="42" ht="54" customHeight="1">
      <c r="A42" s="29" t="n"/>
      <c r="B42" s="29" t="n"/>
      <c r="C42" s="29" t="n"/>
      <c r="D42" s="29" t="n"/>
      <c r="E42" s="29" t="n"/>
      <c r="F42" s="29" t="n"/>
      <c r="G42" s="29" t="n"/>
      <c r="H42" s="29" t="n"/>
      <c r="I42" s="29" t="n"/>
      <c r="J42" s="49" t="n"/>
      <c r="K42" s="51" t="n"/>
      <c r="L42" s="29" t="n"/>
      <c r="M42" s="29" t="n"/>
      <c r="N42" s="29" t="n"/>
      <c r="O42" s="29" t="n"/>
      <c r="P42" s="29" t="n"/>
      <c r="Q42" s="29" t="n"/>
      <c r="R42" s="50" t="n"/>
      <c r="S42" s="50" t="n"/>
      <c r="T42" s="29" t="n"/>
      <c r="U42" s="29" t="n"/>
      <c r="V42" s="29" t="n"/>
      <c r="W42" s="29" t="n"/>
    </row>
    <row r="43" ht="54" customHeight="1">
      <c r="A43" s="29" t="n"/>
      <c r="B43" s="29" t="n"/>
      <c r="C43" s="29" t="n"/>
      <c r="D43" s="29" t="n"/>
      <c r="E43" s="29" t="n"/>
      <c r="F43" s="29" t="n"/>
      <c r="G43" s="29" t="n"/>
      <c r="H43" s="29" t="n"/>
      <c r="I43" s="29" t="n"/>
      <c r="J43" s="49" t="n"/>
      <c r="K43" s="51" t="n"/>
      <c r="L43" s="29" t="n"/>
      <c r="M43" s="29" t="n"/>
      <c r="N43" s="29" t="n"/>
      <c r="O43" s="29" t="n"/>
      <c r="P43" s="29" t="n"/>
      <c r="Q43" s="29" t="n"/>
      <c r="R43" s="50" t="n"/>
      <c r="S43" s="50" t="n"/>
      <c r="T43" s="29" t="n"/>
      <c r="U43" s="29" t="n"/>
      <c r="V43" s="29" t="n"/>
      <c r="W43" s="29" t="n"/>
    </row>
    <row r="44" ht="54" customHeight="1">
      <c r="A44" s="29" t="n"/>
      <c r="B44" s="29" t="n"/>
      <c r="C44" s="29" t="n"/>
      <c r="D44" s="29" t="n"/>
      <c r="E44" s="29" t="n"/>
      <c r="F44" s="29" t="n"/>
      <c r="G44" s="29" t="n"/>
      <c r="H44" s="29" t="n"/>
      <c r="I44" s="29" t="n"/>
      <c r="J44" s="49" t="n"/>
      <c r="K44" s="51" t="n"/>
      <c r="L44" s="29" t="n"/>
      <c r="M44" s="29" t="n"/>
      <c r="N44" s="29" t="n"/>
      <c r="O44" s="29" t="n"/>
      <c r="P44" s="29" t="n"/>
      <c r="Q44" s="29" t="n"/>
      <c r="R44" s="50" t="n"/>
      <c r="S44" s="50" t="n"/>
      <c r="T44" s="29" t="n"/>
      <c r="U44" s="29" t="n"/>
      <c r="V44" s="29" t="n"/>
      <c r="W44" s="29" t="n"/>
    </row>
    <row r="45" ht="54" customHeight="1">
      <c r="A45" s="29" t="n"/>
      <c r="B45" s="29" t="n"/>
      <c r="C45" s="29" t="n"/>
      <c r="D45" s="29" t="n"/>
      <c r="E45" s="29" t="n"/>
      <c r="F45" s="29" t="n"/>
      <c r="G45" s="29" t="n"/>
      <c r="H45" s="29" t="n"/>
      <c r="I45" s="29" t="n"/>
      <c r="J45" s="49" t="n"/>
      <c r="K45" s="51" t="n"/>
      <c r="L45" s="29" t="n"/>
      <c r="M45" s="29" t="n"/>
      <c r="N45" s="29" t="n"/>
      <c r="O45" s="29" t="n"/>
      <c r="P45" s="29" t="n"/>
      <c r="Q45" s="29" t="n"/>
      <c r="R45" s="50" t="n"/>
      <c r="S45" s="50" t="n"/>
      <c r="T45" s="29" t="n"/>
      <c r="U45" s="29" t="n"/>
      <c r="V45" s="29" t="n"/>
      <c r="W45" s="29" t="n"/>
    </row>
    <row r="46" ht="54" customHeight="1">
      <c r="A46" s="29" t="n"/>
      <c r="B46" s="29" t="n"/>
      <c r="C46" s="29" t="n"/>
      <c r="D46" s="29" t="n"/>
      <c r="E46" s="29" t="n"/>
      <c r="F46" s="29" t="n"/>
      <c r="G46" s="29" t="n"/>
      <c r="H46" s="29" t="n"/>
      <c r="I46" s="29" t="n"/>
      <c r="J46" s="49" t="n"/>
      <c r="K46" s="51" t="n"/>
      <c r="L46" s="29" t="n"/>
      <c r="M46" s="29" t="n"/>
      <c r="N46" s="29" t="n"/>
      <c r="O46" s="29" t="n"/>
      <c r="P46" s="29" t="n"/>
      <c r="Q46" s="29" t="n"/>
      <c r="R46" s="50" t="n"/>
      <c r="S46" s="50" t="n"/>
      <c r="T46" s="29" t="n"/>
      <c r="U46" s="29" t="n"/>
      <c r="V46" s="29" t="n"/>
      <c r="W46" s="29" t="n"/>
    </row>
    <row r="47" ht="54" customHeight="1">
      <c r="A47" s="29" t="n"/>
      <c r="B47" s="29" t="n"/>
      <c r="C47" s="29" t="n"/>
      <c r="D47" s="29" t="n"/>
      <c r="E47" s="29" t="n"/>
      <c r="F47" s="29" t="n"/>
      <c r="G47" s="29" t="n"/>
      <c r="H47" s="29" t="n"/>
      <c r="I47" s="29" t="n"/>
      <c r="J47" s="49" t="n"/>
      <c r="K47" s="51" t="n"/>
      <c r="L47" s="29" t="n"/>
      <c r="M47" s="29" t="n"/>
      <c r="N47" s="29" t="n"/>
      <c r="O47" s="29" t="n"/>
      <c r="P47" s="29" t="n"/>
      <c r="Q47" s="29" t="n"/>
      <c r="R47" s="50" t="n"/>
      <c r="S47" s="50" t="n"/>
      <c r="T47" s="29" t="n"/>
      <c r="U47" s="29" t="n"/>
      <c r="V47" s="29" t="n"/>
      <c r="W47" s="29" t="n"/>
    </row>
    <row r="48" ht="54" customHeight="1">
      <c r="A48" s="29" t="n"/>
      <c r="B48" s="29" t="n"/>
      <c r="C48" s="29" t="n"/>
      <c r="D48" s="29" t="n"/>
      <c r="E48" s="29" t="n"/>
      <c r="F48" s="29" t="n"/>
      <c r="G48" s="29" t="n"/>
      <c r="H48" s="29" t="n"/>
      <c r="I48" s="29" t="n"/>
      <c r="J48" s="49" t="n"/>
      <c r="K48" s="51" t="n"/>
      <c r="L48" s="29" t="n"/>
      <c r="M48" s="29" t="n"/>
      <c r="N48" s="29" t="n"/>
      <c r="O48" s="29" t="n"/>
      <c r="P48" s="29" t="n"/>
      <c r="Q48" s="29" t="n"/>
      <c r="R48" s="50" t="n"/>
      <c r="S48" s="50" t="n"/>
      <c r="T48" s="29" t="n"/>
      <c r="U48" s="29" t="n"/>
      <c r="V48" s="29" t="n"/>
      <c r="W48" s="29" t="n"/>
    </row>
    <row r="49" ht="54" customHeight="1">
      <c r="A49" s="29" t="n"/>
      <c r="B49" s="29" t="n"/>
      <c r="C49" s="29" t="n"/>
      <c r="D49" s="29" t="n"/>
      <c r="E49" s="29" t="n"/>
      <c r="F49" s="29" t="n"/>
      <c r="G49" s="29" t="n"/>
      <c r="H49" s="29" t="n"/>
      <c r="I49" s="29" t="n"/>
      <c r="J49" s="49" t="n"/>
      <c r="K49" s="51" t="n"/>
      <c r="L49" s="29" t="n"/>
      <c r="M49" s="29" t="n"/>
      <c r="N49" s="29" t="n"/>
      <c r="O49" s="29" t="n"/>
      <c r="P49" s="29" t="n"/>
      <c r="Q49" s="29" t="n"/>
      <c r="R49" s="50" t="n"/>
      <c r="S49" s="50" t="n"/>
      <c r="T49" s="29" t="n"/>
      <c r="U49" s="29" t="n"/>
      <c r="V49" s="29" t="n"/>
      <c r="W49" s="29" t="n"/>
    </row>
    <row r="50" ht="54" customHeight="1">
      <c r="A50" s="29" t="n"/>
      <c r="B50" s="29" t="n"/>
      <c r="C50" s="29" t="n"/>
      <c r="D50" s="29" t="n"/>
      <c r="E50" s="29" t="n"/>
      <c r="F50" s="29" t="n"/>
      <c r="G50" s="29" t="n"/>
      <c r="H50" s="29" t="n"/>
      <c r="I50" s="29" t="n"/>
      <c r="J50" s="49" t="n"/>
      <c r="K50" s="51" t="n"/>
      <c r="L50" s="29" t="n"/>
      <c r="M50" s="29" t="n"/>
      <c r="N50" s="29" t="n"/>
      <c r="O50" s="29" t="n"/>
      <c r="P50" s="29" t="n"/>
      <c r="Q50" s="29" t="n"/>
      <c r="R50" s="50" t="n"/>
      <c r="S50" s="50" t="n"/>
      <c r="T50" s="29" t="n"/>
      <c r="U50" s="29" t="n"/>
      <c r="V50" s="29" t="n"/>
      <c r="W50" s="29" t="n"/>
    </row>
    <row r="51" ht="54" customHeight="1">
      <c r="A51" s="29" t="n"/>
      <c r="B51" s="29" t="n"/>
      <c r="C51" s="29" t="n"/>
      <c r="D51" s="29" t="n"/>
      <c r="E51" s="29" t="n"/>
      <c r="F51" s="29" t="n"/>
      <c r="G51" s="29" t="n"/>
      <c r="H51" s="29" t="n"/>
      <c r="I51" s="29" t="n"/>
      <c r="J51" s="49" t="n"/>
      <c r="K51" s="51" t="n"/>
      <c r="L51" s="29" t="n"/>
      <c r="M51" s="29" t="n"/>
      <c r="N51" s="29" t="n"/>
      <c r="O51" s="29" t="n"/>
      <c r="P51" s="29" t="n"/>
      <c r="Q51" s="29" t="n"/>
      <c r="R51" s="50" t="n"/>
      <c r="S51" s="50" t="n"/>
      <c r="T51" s="29" t="n"/>
      <c r="U51" s="29" t="n"/>
      <c r="V51" s="29" t="n"/>
      <c r="W51" s="29" t="n"/>
    </row>
    <row r="52" ht="54" customHeight="1">
      <c r="A52" s="29" t="n"/>
      <c r="B52" s="29" t="n"/>
      <c r="C52" s="29" t="n"/>
      <c r="D52" s="29" t="n"/>
      <c r="E52" s="29" t="n"/>
      <c r="F52" s="29" t="n"/>
      <c r="G52" s="29" t="n"/>
      <c r="H52" s="29" t="n"/>
      <c r="I52" s="29" t="n"/>
      <c r="J52" s="49" t="n"/>
      <c r="K52" s="51" t="n"/>
      <c r="L52" s="29" t="n"/>
      <c r="M52" s="29" t="n"/>
      <c r="N52" s="29" t="n"/>
      <c r="O52" s="29" t="n"/>
      <c r="P52" s="29" t="n"/>
      <c r="Q52" s="29" t="n"/>
      <c r="R52" s="50" t="n"/>
      <c r="S52" s="50" t="n"/>
      <c r="T52" s="29" t="n"/>
      <c r="U52" s="29" t="n"/>
      <c r="V52" s="29" t="n"/>
      <c r="W52" s="29" t="n"/>
    </row>
    <row r="53" ht="54" customHeight="1">
      <c r="A53" s="29" t="n"/>
      <c r="B53" s="29" t="n"/>
      <c r="C53" s="29" t="n"/>
      <c r="D53" s="29" t="n"/>
      <c r="E53" s="29" t="n"/>
      <c r="F53" s="29" t="n"/>
      <c r="G53" s="29" t="n"/>
      <c r="H53" s="29" t="n"/>
      <c r="I53" s="29" t="n"/>
      <c r="J53" s="49" t="n"/>
      <c r="K53" s="51" t="n"/>
      <c r="L53" s="29" t="n"/>
      <c r="M53" s="29" t="n"/>
      <c r="N53" s="29" t="n"/>
      <c r="O53" s="29" t="n"/>
      <c r="P53" s="29" t="n"/>
      <c r="Q53" s="29" t="n"/>
      <c r="R53" s="50" t="n"/>
      <c r="S53" s="50" t="n"/>
      <c r="T53" s="29" t="n"/>
      <c r="U53" s="29" t="n"/>
      <c r="V53" s="29" t="n"/>
      <c r="W53" s="29" t="n"/>
    </row>
    <row r="54" ht="54" customHeight="1">
      <c r="A54" s="29" t="n"/>
      <c r="B54" s="29" t="n"/>
      <c r="C54" s="29" t="n"/>
      <c r="D54" s="29" t="n"/>
      <c r="E54" s="29" t="n"/>
      <c r="F54" s="29" t="n"/>
      <c r="G54" s="29" t="n"/>
      <c r="H54" s="29" t="n"/>
      <c r="I54" s="29" t="n"/>
      <c r="J54" s="49" t="n"/>
      <c r="K54" s="51" t="n"/>
      <c r="L54" s="29" t="n"/>
      <c r="M54" s="29" t="n"/>
      <c r="N54" s="29" t="n"/>
      <c r="O54" s="29" t="n"/>
      <c r="P54" s="29" t="n"/>
      <c r="Q54" s="29" t="n"/>
      <c r="R54" s="50" t="n"/>
      <c r="S54" s="50" t="n"/>
      <c r="T54" s="29" t="n"/>
      <c r="U54" s="29" t="n"/>
      <c r="V54" s="29" t="n"/>
      <c r="W54" s="29" t="n"/>
    </row>
    <row r="55" ht="54" customHeight="1">
      <c r="A55" s="29" t="n"/>
      <c r="B55" s="29" t="n"/>
      <c r="C55" s="29" t="n"/>
      <c r="D55" s="29" t="n"/>
      <c r="E55" s="29" t="n"/>
      <c r="F55" s="29" t="n"/>
      <c r="G55" s="29" t="n"/>
      <c r="H55" s="29" t="n"/>
      <c r="I55" s="29" t="n"/>
      <c r="J55" s="49" t="n"/>
      <c r="K55" s="51" t="n"/>
      <c r="L55" s="29" t="n"/>
      <c r="M55" s="29" t="n"/>
      <c r="N55" s="29" t="n"/>
      <c r="O55" s="29" t="n"/>
      <c r="P55" s="29" t="n"/>
      <c r="Q55" s="29" t="n"/>
      <c r="R55" s="50" t="n"/>
      <c r="S55" s="50" t="n"/>
      <c r="T55" s="29" t="n"/>
      <c r="U55" s="29" t="n"/>
      <c r="V55" s="29" t="n"/>
      <c r="W55" s="29" t="n"/>
    </row>
    <row r="56" ht="54" customHeight="1">
      <c r="A56" s="29" t="n"/>
      <c r="B56" s="29" t="n"/>
      <c r="C56" s="29" t="n"/>
      <c r="D56" s="29" t="n"/>
      <c r="E56" s="29" t="n"/>
      <c r="F56" s="29" t="n"/>
      <c r="G56" s="29" t="n"/>
      <c r="H56" s="29" t="n"/>
      <c r="I56" s="29" t="n"/>
      <c r="J56" s="49" t="n"/>
      <c r="K56" s="51" t="n"/>
      <c r="L56" s="29" t="n"/>
      <c r="M56" s="29" t="n"/>
      <c r="N56" s="29" t="n"/>
      <c r="O56" s="29" t="n"/>
      <c r="P56" s="29" t="n"/>
      <c r="Q56" s="29" t="n"/>
      <c r="R56" s="50" t="n"/>
      <c r="S56" s="50" t="n"/>
      <c r="T56" s="29" t="n"/>
      <c r="U56" s="29" t="n"/>
      <c r="V56" s="29" t="n"/>
      <c r="W56" s="29" t="n"/>
    </row>
    <row r="57" ht="54" customHeight="1">
      <c r="A57" s="29" t="n"/>
      <c r="B57" s="29" t="n"/>
      <c r="C57" s="29" t="n"/>
      <c r="D57" s="29" t="n"/>
      <c r="E57" s="29" t="n"/>
      <c r="F57" s="29" t="n"/>
      <c r="G57" s="29" t="n"/>
      <c r="H57" s="29" t="n"/>
      <c r="I57" s="29" t="n"/>
      <c r="J57" s="49" t="n"/>
      <c r="K57" s="51" t="n"/>
      <c r="L57" s="29" t="n"/>
      <c r="M57" s="29" t="n"/>
      <c r="N57" s="29" t="n"/>
      <c r="O57" s="29" t="n"/>
      <c r="P57" s="29" t="n"/>
      <c r="Q57" s="29" t="n"/>
      <c r="R57" s="50" t="n"/>
      <c r="S57" s="50" t="n"/>
      <c r="T57" s="29" t="n"/>
      <c r="U57" s="29" t="n"/>
      <c r="V57" s="29" t="n"/>
      <c r="W57" s="29" t="n"/>
    </row>
    <row r="58" ht="54" customHeight="1">
      <c r="A58" s="29" t="n"/>
      <c r="B58" s="29" t="n"/>
      <c r="C58" s="29" t="n"/>
      <c r="D58" s="29" t="n"/>
      <c r="E58" s="29" t="n"/>
      <c r="F58" s="29" t="n"/>
      <c r="G58" s="29" t="n"/>
      <c r="H58" s="29" t="n"/>
      <c r="I58" s="29" t="n"/>
      <c r="J58" s="49" t="n"/>
      <c r="K58" s="51" t="n"/>
      <c r="L58" s="29" t="n"/>
      <c r="M58" s="29" t="n"/>
      <c r="N58" s="29" t="n"/>
      <c r="O58" s="29" t="n"/>
      <c r="P58" s="29" t="n"/>
      <c r="Q58" s="29" t="n"/>
      <c r="R58" s="50" t="n"/>
      <c r="S58" s="50" t="n"/>
      <c r="T58" s="29" t="n"/>
      <c r="U58" s="29" t="n"/>
      <c r="V58" s="29" t="n"/>
      <c r="W58" s="29" t="n"/>
    </row>
    <row r="59" ht="54" customHeight="1">
      <c r="A59" s="29" t="n"/>
      <c r="B59" s="29" t="n"/>
      <c r="C59" s="29" t="n"/>
      <c r="D59" s="29" t="n"/>
      <c r="E59" s="29" t="n"/>
      <c r="F59" s="29" t="n"/>
      <c r="G59" s="29" t="n"/>
      <c r="H59" s="29" t="n"/>
      <c r="I59" s="29" t="n"/>
      <c r="J59" s="49" t="n"/>
      <c r="K59" s="51" t="n"/>
      <c r="L59" s="29" t="n"/>
      <c r="M59" s="29" t="n"/>
      <c r="N59" s="29" t="n"/>
      <c r="O59" s="29" t="n"/>
      <c r="P59" s="29" t="n"/>
      <c r="Q59" s="29" t="n"/>
      <c r="R59" s="50" t="n"/>
      <c r="S59" s="50" t="n"/>
      <c r="T59" s="29" t="n"/>
      <c r="U59" s="29" t="n"/>
      <c r="V59" s="29" t="n"/>
      <c r="W59" s="29" t="n"/>
    </row>
    <row r="60" ht="54" customHeight="1">
      <c r="A60" s="29" t="n"/>
      <c r="B60" s="29" t="n"/>
      <c r="C60" s="29" t="n"/>
      <c r="D60" s="29" t="n"/>
      <c r="E60" s="29" t="n"/>
      <c r="F60" s="29" t="n"/>
      <c r="G60" s="29" t="n"/>
      <c r="H60" s="29" t="n"/>
      <c r="I60" s="29" t="n"/>
      <c r="J60" s="49" t="n"/>
      <c r="K60" s="51" t="n"/>
      <c r="L60" s="29" t="n"/>
      <c r="M60" s="29" t="n"/>
      <c r="N60" s="29" t="n"/>
      <c r="O60" s="29" t="n"/>
      <c r="P60" s="29" t="n"/>
      <c r="Q60" s="29" t="n"/>
      <c r="R60" s="50" t="n"/>
      <c r="S60" s="50" t="n"/>
      <c r="T60" s="29" t="n"/>
      <c r="U60" s="29" t="n"/>
      <c r="V60" s="29" t="n"/>
      <c r="W60" s="29" t="n"/>
    </row>
    <row r="61" ht="54" customHeight="1">
      <c r="A61" s="29" t="n"/>
      <c r="B61" s="29" t="n"/>
      <c r="C61" s="29" t="n"/>
      <c r="D61" s="29" t="n"/>
      <c r="E61" s="29" t="n"/>
      <c r="F61" s="29" t="n"/>
      <c r="G61" s="29" t="n"/>
      <c r="H61" s="29" t="n"/>
      <c r="I61" s="29" t="n"/>
      <c r="J61" s="49" t="n"/>
      <c r="K61" s="51" t="n"/>
      <c r="L61" s="29" t="n"/>
      <c r="M61" s="29" t="n"/>
      <c r="N61" s="29" t="n"/>
      <c r="O61" s="29" t="n"/>
      <c r="P61" s="29" t="n"/>
      <c r="Q61" s="29" t="n"/>
      <c r="R61" s="50" t="n"/>
      <c r="S61" s="50" t="n"/>
      <c r="T61" s="29" t="n"/>
      <c r="U61" s="29" t="n"/>
      <c r="V61" s="29" t="n"/>
      <c r="W61" s="29" t="n"/>
    </row>
    <row r="62" ht="54" customHeight="1">
      <c r="A62" s="29" t="n"/>
      <c r="B62" s="29" t="n"/>
      <c r="C62" s="29" t="n"/>
      <c r="D62" s="29" t="n"/>
      <c r="E62" s="29" t="n"/>
      <c r="F62" s="29" t="n"/>
      <c r="G62" s="29" t="n"/>
      <c r="H62" s="29" t="n"/>
      <c r="I62" s="29" t="n"/>
      <c r="J62" s="49" t="n"/>
      <c r="K62" s="51" t="n"/>
      <c r="L62" s="29" t="n"/>
      <c r="M62" s="29" t="n"/>
      <c r="N62" s="29" t="n"/>
      <c r="O62" s="29" t="n"/>
      <c r="P62" s="29" t="n"/>
      <c r="Q62" s="29" t="n"/>
      <c r="R62" s="50" t="n"/>
      <c r="S62" s="50" t="n"/>
      <c r="T62" s="29" t="n"/>
      <c r="U62" s="29" t="n"/>
      <c r="V62" s="29" t="n"/>
      <c r="W62" s="29" t="n"/>
    </row>
    <row r="63" ht="54" customHeight="1">
      <c r="A63" s="29" t="n"/>
      <c r="B63" s="29" t="n"/>
      <c r="C63" s="29" t="n"/>
      <c r="D63" s="29" t="n"/>
      <c r="E63" s="29" t="n"/>
      <c r="F63" s="29" t="n"/>
      <c r="G63" s="29" t="n"/>
      <c r="H63" s="29" t="n"/>
      <c r="I63" s="29" t="n"/>
      <c r="J63" s="49" t="n"/>
      <c r="K63" s="51" t="n"/>
      <c r="L63" s="29" t="n"/>
      <c r="M63" s="29" t="n"/>
      <c r="N63" s="29" t="n"/>
      <c r="O63" s="29" t="n"/>
      <c r="P63" s="29" t="n"/>
      <c r="Q63" s="29" t="n"/>
      <c r="R63" s="50" t="n"/>
      <c r="S63" s="50" t="n"/>
      <c r="T63" s="29" t="n"/>
      <c r="U63" s="29" t="n"/>
      <c r="V63" s="29" t="n"/>
      <c r="W63" s="29" t="n"/>
    </row>
    <row r="64" ht="54" customHeight="1">
      <c r="A64" s="29" t="n"/>
      <c r="B64" s="29" t="n"/>
      <c r="C64" s="29" t="n"/>
      <c r="D64" s="29" t="n"/>
      <c r="E64" s="29" t="n"/>
      <c r="F64" s="29" t="n"/>
      <c r="G64" s="29" t="n"/>
      <c r="H64" s="29" t="n"/>
      <c r="I64" s="29" t="n"/>
      <c r="J64" s="49" t="n"/>
      <c r="K64" s="51" t="n"/>
      <c r="L64" s="29" t="n"/>
      <c r="M64" s="29" t="n"/>
      <c r="N64" s="29" t="n"/>
      <c r="O64" s="29" t="n"/>
      <c r="P64" s="29" t="n"/>
      <c r="Q64" s="29" t="n"/>
      <c r="R64" s="50" t="n"/>
      <c r="S64" s="50" t="n"/>
      <c r="T64" s="29" t="n"/>
      <c r="U64" s="29" t="n"/>
      <c r="V64" s="29" t="n"/>
      <c r="W64" s="29" t="n"/>
    </row>
    <row r="65" ht="54" customHeight="1">
      <c r="A65" s="29" t="n"/>
      <c r="B65" s="29" t="n"/>
      <c r="C65" s="29" t="n"/>
      <c r="D65" s="29" t="n"/>
      <c r="E65" s="29" t="n"/>
      <c r="F65" s="29" t="n"/>
      <c r="G65" s="29" t="n"/>
      <c r="H65" s="29" t="n"/>
      <c r="I65" s="29" t="n"/>
      <c r="J65" s="49" t="n"/>
      <c r="K65" s="51" t="n"/>
      <c r="L65" s="29" t="n"/>
      <c r="M65" s="29" t="n"/>
      <c r="N65" s="29" t="n"/>
      <c r="O65" s="29" t="n"/>
      <c r="P65" s="29" t="n"/>
      <c r="Q65" s="29" t="n"/>
      <c r="R65" s="50" t="n"/>
      <c r="S65" s="50" t="n"/>
      <c r="T65" s="29" t="n"/>
      <c r="U65" s="29" t="n"/>
      <c r="V65" s="29" t="n"/>
      <c r="W65" s="29" t="n"/>
    </row>
    <row r="66" ht="54" customHeight="1">
      <c r="A66" s="29" t="n"/>
      <c r="B66" s="29" t="n"/>
      <c r="C66" s="29" t="n"/>
      <c r="D66" s="29" t="n"/>
      <c r="E66" s="29" t="n"/>
      <c r="F66" s="29" t="n"/>
      <c r="G66" s="29" t="n"/>
      <c r="H66" s="29" t="n"/>
      <c r="I66" s="29" t="n"/>
      <c r="J66" s="49" t="n"/>
      <c r="K66" s="51" t="n"/>
      <c r="L66" s="29" t="n"/>
      <c r="M66" s="29" t="n"/>
      <c r="N66" s="29" t="n"/>
      <c r="O66" s="29" t="n"/>
      <c r="P66" s="29" t="n"/>
      <c r="Q66" s="29" t="n"/>
      <c r="R66" s="50" t="n"/>
      <c r="S66" s="50" t="n"/>
      <c r="T66" s="29" t="n"/>
      <c r="U66" s="29" t="n"/>
      <c r="V66" s="29" t="n"/>
      <c r="W66" s="29" t="n"/>
    </row>
    <row r="67" ht="54" customHeight="1">
      <c r="A67" s="29" t="n"/>
      <c r="B67" s="29" t="n"/>
      <c r="C67" s="29" t="n"/>
      <c r="D67" s="29" t="n"/>
      <c r="E67" s="29" t="n"/>
      <c r="F67" s="29" t="n"/>
      <c r="G67" s="29" t="n"/>
      <c r="H67" s="29" t="n"/>
      <c r="I67" s="29" t="n"/>
      <c r="J67" s="49" t="n"/>
      <c r="K67" s="51" t="n"/>
      <c r="L67" s="29" t="n"/>
      <c r="M67" s="29" t="n"/>
      <c r="N67" s="29" t="n"/>
      <c r="O67" s="29" t="n"/>
      <c r="P67" s="29" t="n"/>
      <c r="Q67" s="29" t="n"/>
      <c r="R67" s="50" t="n"/>
      <c r="S67" s="50" t="n"/>
      <c r="T67" s="29" t="n"/>
      <c r="U67" s="29" t="n"/>
      <c r="V67" s="29" t="n"/>
      <c r="W67" s="29" t="n"/>
    </row>
    <row r="68" ht="54" customHeight="1">
      <c r="A68" s="29" t="n"/>
      <c r="B68" s="29" t="n"/>
      <c r="C68" s="29" t="n"/>
      <c r="D68" s="29" t="n"/>
      <c r="E68" s="29" t="n"/>
      <c r="F68" s="29" t="n"/>
      <c r="G68" s="29" t="n"/>
      <c r="H68" s="29" t="n"/>
      <c r="I68" s="29" t="n"/>
      <c r="J68" s="49" t="n"/>
      <c r="K68" s="51" t="n"/>
      <c r="L68" s="29" t="n"/>
      <c r="M68" s="29" t="n"/>
      <c r="N68" s="29" t="n"/>
      <c r="O68" s="29" t="n"/>
      <c r="P68" s="29" t="n"/>
      <c r="Q68" s="29" t="n"/>
      <c r="R68" s="50" t="n"/>
      <c r="S68" s="50" t="n"/>
      <c r="T68" s="29" t="n"/>
      <c r="U68" s="29" t="n"/>
      <c r="V68" s="29" t="n"/>
      <c r="W68" s="29" t="n"/>
    </row>
    <row r="69" ht="54" customHeight="1">
      <c r="A69" s="29" t="n"/>
      <c r="B69" s="29" t="n"/>
      <c r="C69" s="29" t="n"/>
      <c r="D69" s="29" t="n"/>
      <c r="E69" s="29" t="n"/>
      <c r="F69" s="29" t="n"/>
      <c r="G69" s="29" t="n"/>
      <c r="H69" s="29" t="n"/>
      <c r="I69" s="29" t="n"/>
      <c r="J69" s="49" t="n"/>
      <c r="K69" s="51" t="n"/>
      <c r="L69" s="29" t="n"/>
      <c r="M69" s="29" t="n"/>
      <c r="N69" s="29" t="n"/>
      <c r="O69" s="29" t="n"/>
      <c r="P69" s="29" t="n"/>
      <c r="Q69" s="29" t="n"/>
      <c r="R69" s="50" t="n"/>
      <c r="S69" s="50" t="n"/>
      <c r="T69" s="29" t="n"/>
      <c r="U69" s="29" t="n"/>
      <c r="V69" s="29" t="n"/>
      <c r="W69" s="29" t="n"/>
    </row>
    <row r="70" ht="54" customHeight="1">
      <c r="A70" s="29" t="n"/>
      <c r="B70" s="29" t="n"/>
      <c r="C70" s="29" t="n"/>
      <c r="D70" s="29" t="n"/>
      <c r="E70" s="29" t="n"/>
      <c r="F70" s="29" t="n"/>
      <c r="G70" s="29" t="n"/>
      <c r="H70" s="29" t="n"/>
      <c r="I70" s="29" t="n"/>
      <c r="J70" s="49" t="n"/>
      <c r="K70" s="51" t="n"/>
      <c r="L70" s="29" t="n"/>
      <c r="M70" s="29" t="n"/>
      <c r="N70" s="29" t="n"/>
      <c r="O70" s="29" t="n"/>
      <c r="P70" s="29" t="n"/>
      <c r="Q70" s="29" t="n"/>
      <c r="R70" s="50" t="n"/>
      <c r="S70" s="50" t="n"/>
      <c r="T70" s="29" t="n"/>
      <c r="U70" s="29" t="n"/>
      <c r="V70" s="29" t="n"/>
      <c r="W70" s="29" t="n"/>
    </row>
    <row r="71" ht="54" customHeight="1">
      <c r="A71" s="29" t="n"/>
      <c r="B71" s="29" t="n"/>
      <c r="C71" s="29" t="n"/>
      <c r="D71" s="29" t="n"/>
      <c r="E71" s="29" t="n"/>
      <c r="F71" s="29" t="n"/>
      <c r="G71" s="29" t="n"/>
      <c r="H71" s="29" t="n"/>
      <c r="I71" s="29" t="n"/>
      <c r="J71" s="49" t="n"/>
      <c r="K71" s="51" t="n"/>
      <c r="L71" s="29" t="n"/>
      <c r="M71" s="29" t="n"/>
      <c r="N71" s="29" t="n"/>
      <c r="O71" s="29" t="n"/>
      <c r="P71" s="29" t="n"/>
      <c r="Q71" s="29" t="n"/>
      <c r="R71" s="50" t="n"/>
      <c r="S71" s="50" t="n"/>
      <c r="T71" s="29" t="n"/>
      <c r="U71" s="29" t="n"/>
      <c r="V71" s="29" t="n"/>
      <c r="W71" s="29" t="n"/>
    </row>
    <row r="72" ht="54" customHeight="1">
      <c r="A72" s="29" t="n"/>
      <c r="B72" s="29" t="n"/>
      <c r="C72" s="29" t="n"/>
      <c r="D72" s="29" t="n"/>
      <c r="E72" s="29" t="n"/>
      <c r="F72" s="29" t="n"/>
      <c r="G72" s="29" t="n"/>
      <c r="H72" s="29" t="n"/>
      <c r="I72" s="29" t="n"/>
      <c r="J72" s="49" t="n"/>
      <c r="K72" s="51" t="n"/>
      <c r="L72" s="29" t="n"/>
      <c r="M72" s="29" t="n"/>
      <c r="N72" s="29" t="n"/>
      <c r="O72" s="29" t="n"/>
      <c r="P72" s="29" t="n"/>
      <c r="Q72" s="29" t="n"/>
      <c r="R72" s="50" t="n"/>
      <c r="S72" s="50" t="n"/>
      <c r="T72" s="29" t="n"/>
      <c r="U72" s="29" t="n"/>
      <c r="V72" s="29" t="n"/>
      <c r="W72" s="29" t="n"/>
    </row>
    <row r="73" ht="54" customHeight="1">
      <c r="A73" s="29" t="n"/>
      <c r="B73" s="29" t="n"/>
      <c r="C73" s="29" t="n"/>
      <c r="D73" s="29" t="n"/>
      <c r="E73" s="29" t="n"/>
      <c r="F73" s="29" t="n"/>
      <c r="G73" s="29" t="n"/>
      <c r="H73" s="29" t="n"/>
      <c r="I73" s="29" t="n"/>
      <c r="J73" s="49" t="n"/>
      <c r="K73" s="51" t="n"/>
      <c r="L73" s="29" t="n"/>
      <c r="M73" s="29" t="n"/>
      <c r="N73" s="29" t="n"/>
      <c r="O73" s="29" t="n"/>
      <c r="P73" s="29" t="n"/>
      <c r="Q73" s="29" t="n"/>
      <c r="R73" s="50" t="n"/>
      <c r="S73" s="50" t="n"/>
      <c r="T73" s="29" t="n"/>
      <c r="U73" s="29" t="n"/>
      <c r="V73" s="29" t="n"/>
      <c r="W73" s="29" t="n"/>
    </row>
    <row r="74" ht="54" customHeight="1">
      <c r="A74" s="29" t="n"/>
      <c r="B74" s="29" t="n"/>
      <c r="C74" s="29" t="n"/>
      <c r="D74" s="29" t="n"/>
      <c r="E74" s="29" t="n"/>
      <c r="F74" s="29" t="n"/>
      <c r="G74" s="29" t="n"/>
      <c r="H74" s="29" t="n"/>
      <c r="I74" s="29" t="n"/>
      <c r="J74" s="49" t="n"/>
      <c r="K74" s="51" t="n"/>
      <c r="L74" s="29" t="n"/>
      <c r="M74" s="29" t="n"/>
      <c r="N74" s="29" t="n"/>
      <c r="O74" s="29" t="n"/>
      <c r="P74" s="29" t="n"/>
      <c r="Q74" s="29" t="n"/>
      <c r="R74" s="50" t="n"/>
      <c r="S74" s="50" t="n"/>
      <c r="T74" s="29" t="n"/>
      <c r="U74" s="29" t="n"/>
      <c r="V74" s="29" t="n"/>
      <c r="W74" s="29" t="n"/>
    </row>
    <row r="75" ht="54" customHeight="1">
      <c r="A75" s="29" t="n"/>
      <c r="B75" s="29" t="n"/>
      <c r="C75" s="29" t="n"/>
      <c r="D75" s="29" t="n"/>
      <c r="E75" s="29" t="n"/>
      <c r="F75" s="29" t="n"/>
      <c r="G75" s="29" t="n"/>
      <c r="H75" s="29" t="n"/>
      <c r="I75" s="29" t="n"/>
      <c r="J75" s="49" t="n"/>
      <c r="K75" s="51" t="n"/>
      <c r="L75" s="29" t="n"/>
      <c r="M75" s="29" t="n"/>
      <c r="N75" s="29" t="n"/>
      <c r="O75" s="29" t="n"/>
      <c r="P75" s="29" t="n"/>
      <c r="Q75" s="29" t="n"/>
      <c r="R75" s="50" t="n"/>
      <c r="S75" s="50" t="n"/>
      <c r="T75" s="29" t="n"/>
      <c r="U75" s="29" t="n"/>
      <c r="V75" s="29" t="n"/>
      <c r="W75" s="29" t="n"/>
    </row>
    <row r="76" ht="54" customHeight="1">
      <c r="A76" s="29" t="n"/>
      <c r="B76" s="29" t="n"/>
      <c r="C76" s="29" t="n"/>
      <c r="D76" s="29" t="n"/>
      <c r="E76" s="29" t="n"/>
      <c r="F76" s="29" t="n"/>
      <c r="G76" s="29" t="n"/>
      <c r="H76" s="29" t="n"/>
      <c r="I76" s="29" t="n"/>
      <c r="J76" s="49" t="n"/>
      <c r="K76" s="51" t="n"/>
      <c r="L76" s="29" t="n"/>
      <c r="M76" s="29" t="n"/>
      <c r="N76" s="29" t="n"/>
      <c r="O76" s="29" t="n"/>
      <c r="P76" s="29" t="n"/>
      <c r="Q76" s="29" t="n"/>
      <c r="R76" s="50" t="n"/>
      <c r="S76" s="50" t="n"/>
      <c r="T76" s="29" t="n"/>
      <c r="U76" s="29" t="n"/>
      <c r="V76" s="29" t="n"/>
      <c r="W76" s="29" t="n"/>
    </row>
    <row r="77" ht="54" customHeight="1">
      <c r="A77" s="29" t="n"/>
      <c r="B77" s="29" t="n"/>
      <c r="C77" s="29" t="n"/>
      <c r="D77" s="29" t="n"/>
      <c r="E77" s="29" t="n"/>
      <c r="F77" s="29" t="n"/>
      <c r="G77" s="29" t="n"/>
      <c r="H77" s="29" t="n"/>
      <c r="I77" s="29" t="n"/>
      <c r="J77" s="49" t="n"/>
      <c r="K77" s="51" t="n"/>
      <c r="L77" s="29" t="n"/>
      <c r="M77" s="29" t="n"/>
      <c r="N77" s="29" t="n"/>
      <c r="O77" s="29" t="n"/>
      <c r="P77" s="29" t="n"/>
      <c r="Q77" s="29" t="n"/>
      <c r="R77" s="50" t="n"/>
      <c r="S77" s="50" t="n"/>
      <c r="T77" s="29" t="n"/>
      <c r="U77" s="29" t="n"/>
      <c r="V77" s="29" t="n"/>
      <c r="W77" s="29" t="n"/>
    </row>
    <row r="78" ht="54" customHeight="1">
      <c r="A78" s="29" t="n"/>
      <c r="B78" s="29" t="n"/>
      <c r="C78" s="29" t="n"/>
      <c r="D78" s="29" t="n"/>
      <c r="E78" s="29" t="n"/>
      <c r="F78" s="29" t="n"/>
      <c r="G78" s="29" t="n"/>
      <c r="H78" s="29" t="n"/>
      <c r="I78" s="29" t="n"/>
      <c r="J78" s="49" t="n"/>
      <c r="K78" s="51" t="n"/>
      <c r="L78" s="29" t="n"/>
      <c r="M78" s="29" t="n"/>
      <c r="N78" s="29" t="n"/>
      <c r="O78" s="29" t="n"/>
      <c r="P78" s="29" t="n"/>
      <c r="Q78" s="29" t="n"/>
      <c r="R78" s="50" t="n"/>
      <c r="S78" s="50" t="n"/>
      <c r="T78" s="29" t="n"/>
      <c r="U78" s="29" t="n"/>
      <c r="V78" s="29" t="n"/>
      <c r="W78" s="29" t="n"/>
    </row>
    <row r="79" ht="54" customHeight="1">
      <c r="A79" s="29" t="n"/>
      <c r="B79" s="29" t="n"/>
      <c r="C79" s="29" t="n"/>
      <c r="D79" s="29" t="n"/>
      <c r="E79" s="29" t="n"/>
      <c r="F79" s="29" t="n"/>
      <c r="G79" s="29" t="n"/>
      <c r="H79" s="29" t="n"/>
      <c r="I79" s="29" t="n"/>
      <c r="J79" s="49" t="n"/>
      <c r="K79" s="51" t="n"/>
      <c r="L79" s="29" t="n"/>
      <c r="M79" s="29" t="n"/>
      <c r="N79" s="29" t="n"/>
      <c r="O79" s="29" t="n"/>
      <c r="P79" s="29" t="n"/>
      <c r="Q79" s="29" t="n"/>
      <c r="R79" s="50" t="n"/>
      <c r="S79" s="50" t="n"/>
      <c r="T79" s="29" t="n"/>
      <c r="U79" s="29" t="n"/>
      <c r="V79" s="29" t="n"/>
      <c r="W79" s="29" t="n"/>
    </row>
    <row r="80" ht="54" customHeight="1">
      <c r="A80" s="29" t="n"/>
      <c r="B80" s="29" t="n"/>
      <c r="C80" s="29" t="n"/>
      <c r="D80" s="29" t="n"/>
      <c r="E80" s="29" t="n"/>
      <c r="F80" s="29" t="n"/>
      <c r="G80" s="29" t="n"/>
      <c r="H80" s="29" t="n"/>
      <c r="I80" s="29" t="n"/>
      <c r="J80" s="49" t="n"/>
      <c r="K80" s="51" t="n"/>
      <c r="L80" s="29" t="n"/>
      <c r="M80" s="29" t="n"/>
      <c r="N80" s="29" t="n"/>
      <c r="O80" s="29" t="n"/>
      <c r="P80" s="29" t="n"/>
      <c r="Q80" s="29" t="n"/>
      <c r="R80" s="50" t="n"/>
      <c r="S80" s="50" t="n"/>
      <c r="T80" s="29" t="n"/>
      <c r="U80" s="29" t="n"/>
      <c r="V80" s="29" t="n"/>
      <c r="W80" s="29" t="n"/>
    </row>
    <row r="81" ht="54" customHeight="1">
      <c r="A81" s="29" t="n"/>
      <c r="B81" s="29" t="n"/>
      <c r="C81" s="29" t="n"/>
      <c r="D81" s="29" t="n"/>
      <c r="E81" s="29" t="n"/>
      <c r="F81" s="29" t="n"/>
      <c r="G81" s="29" t="n"/>
      <c r="H81" s="29" t="n"/>
      <c r="I81" s="29" t="n"/>
      <c r="J81" s="49" t="n"/>
      <c r="K81" s="51" t="n"/>
      <c r="L81" s="29" t="n"/>
      <c r="M81" s="29" t="n"/>
      <c r="N81" s="29" t="n"/>
      <c r="O81" s="29" t="n"/>
      <c r="P81" s="29" t="n"/>
      <c r="Q81" s="29" t="n"/>
      <c r="R81" s="50" t="n"/>
      <c r="S81" s="50" t="n"/>
      <c r="T81" s="29" t="n"/>
      <c r="U81" s="29" t="n"/>
      <c r="V81" s="29" t="n"/>
      <c r="W81" s="29" t="n"/>
    </row>
    <row r="82" ht="54" customHeight="1">
      <c r="A82" s="29" t="n"/>
      <c r="B82" s="29" t="n"/>
      <c r="C82" s="29" t="n"/>
      <c r="D82" s="29" t="n"/>
      <c r="E82" s="29" t="n"/>
      <c r="F82" s="29" t="n"/>
      <c r="G82" s="29" t="n"/>
      <c r="H82" s="29" t="n"/>
      <c r="I82" s="29" t="n"/>
      <c r="J82" s="49" t="n"/>
      <c r="K82" s="51" t="n"/>
      <c r="L82" s="29" t="n"/>
      <c r="M82" s="29" t="n"/>
      <c r="N82" s="29" t="n"/>
      <c r="O82" s="29" t="n"/>
      <c r="P82" s="29" t="n"/>
      <c r="Q82" s="29" t="n"/>
      <c r="R82" s="50" t="n"/>
      <c r="S82" s="50" t="n"/>
      <c r="T82" s="29" t="n"/>
      <c r="U82" s="29" t="n"/>
      <c r="V82" s="29" t="n"/>
      <c r="W82" s="29" t="n"/>
    </row>
    <row r="83" ht="54" customHeight="1">
      <c r="A83" s="29" t="n"/>
      <c r="B83" s="29" t="n"/>
      <c r="C83" s="29" t="n"/>
      <c r="D83" s="29" t="n"/>
      <c r="E83" s="29" t="n"/>
      <c r="F83" s="29" t="n"/>
      <c r="G83" s="29" t="n"/>
      <c r="H83" s="29" t="n"/>
      <c r="I83" s="29" t="n"/>
      <c r="J83" s="49" t="n"/>
      <c r="K83" s="51" t="n"/>
      <c r="L83" s="29" t="n"/>
      <c r="M83" s="29" t="n"/>
      <c r="N83" s="29" t="n"/>
      <c r="O83" s="29" t="n"/>
      <c r="P83" s="29" t="n"/>
      <c r="Q83" s="29" t="n"/>
      <c r="R83" s="50" t="n"/>
      <c r="S83" s="50" t="n"/>
      <c r="T83" s="29" t="n"/>
      <c r="U83" s="29" t="n"/>
      <c r="V83" s="29" t="n"/>
      <c r="W83" s="29" t="n"/>
    </row>
    <row r="84" ht="54" customHeight="1">
      <c r="A84" s="29" t="n"/>
      <c r="B84" s="29" t="n"/>
      <c r="C84" s="29" t="n"/>
      <c r="D84" s="29" t="n"/>
      <c r="E84" s="29" t="n"/>
      <c r="F84" s="29" t="n"/>
      <c r="G84" s="29" t="n"/>
      <c r="H84" s="29" t="n"/>
      <c r="I84" s="29" t="n"/>
      <c r="J84" s="49" t="n"/>
      <c r="K84" s="51" t="n"/>
      <c r="L84" s="29" t="n"/>
      <c r="M84" s="29" t="n"/>
      <c r="N84" s="29" t="n"/>
      <c r="O84" s="29" t="n"/>
      <c r="P84" s="29" t="n"/>
      <c r="Q84" s="29" t="n"/>
      <c r="R84" s="50" t="n"/>
      <c r="S84" s="50" t="n"/>
      <c r="T84" s="29" t="n"/>
      <c r="U84" s="29" t="n"/>
      <c r="V84" s="29" t="n"/>
      <c r="W84" s="29" t="n"/>
    </row>
    <row r="85" ht="54" customHeight="1">
      <c r="A85" s="29" t="n"/>
      <c r="B85" s="29" t="n"/>
      <c r="C85" s="29" t="n"/>
      <c r="D85" s="29" t="n"/>
      <c r="E85" s="29" t="n"/>
      <c r="F85" s="29" t="n"/>
      <c r="G85" s="29" t="n"/>
      <c r="H85" s="29" t="n"/>
      <c r="I85" s="29" t="n"/>
      <c r="J85" s="49" t="n"/>
      <c r="K85" s="51" t="n"/>
      <c r="L85" s="29" t="n"/>
      <c r="M85" s="29" t="n"/>
      <c r="N85" s="29" t="n"/>
      <c r="O85" s="29" t="n"/>
      <c r="P85" s="29" t="n"/>
      <c r="Q85" s="29" t="n"/>
      <c r="R85" s="50" t="n"/>
      <c r="S85" s="50" t="n"/>
      <c r="T85" s="29" t="n"/>
      <c r="U85" s="29" t="n"/>
      <c r="V85" s="29" t="n"/>
      <c r="W85" s="29" t="n"/>
    </row>
    <row r="86" ht="54" customHeight="1">
      <c r="A86" s="29" t="n"/>
      <c r="B86" s="29" t="n"/>
      <c r="C86" s="29" t="n"/>
      <c r="D86" s="29" t="n"/>
      <c r="E86" s="29" t="n"/>
      <c r="F86" s="29" t="n"/>
      <c r="G86" s="29" t="n"/>
      <c r="H86" s="29" t="n"/>
      <c r="I86" s="29" t="n"/>
      <c r="J86" s="49" t="n"/>
      <c r="K86" s="51" t="n"/>
      <c r="L86" s="29" t="n"/>
      <c r="M86" s="29" t="n"/>
      <c r="N86" s="29" t="n"/>
      <c r="O86" s="29" t="n"/>
      <c r="P86" s="29" t="n"/>
      <c r="Q86" s="29" t="n"/>
      <c r="R86" s="50" t="n"/>
      <c r="S86" s="50" t="n"/>
      <c r="T86" s="29" t="n"/>
      <c r="U86" s="29" t="n"/>
      <c r="V86" s="29" t="n"/>
      <c r="W86" s="29" t="n"/>
    </row>
    <row r="87" ht="54" customHeight="1">
      <c r="A87" s="29" t="n"/>
      <c r="B87" s="29" t="n"/>
      <c r="C87" s="29" t="n"/>
      <c r="D87" s="29" t="n"/>
      <c r="E87" s="29" t="n"/>
      <c r="F87" s="29" t="n"/>
      <c r="G87" s="29" t="n"/>
      <c r="H87" s="29" t="n"/>
      <c r="I87" s="29" t="n"/>
      <c r="J87" s="49" t="n"/>
      <c r="K87" s="51" t="n"/>
      <c r="L87" s="29" t="n"/>
      <c r="M87" s="29" t="n"/>
      <c r="N87" s="29" t="n"/>
      <c r="O87" s="29" t="n"/>
      <c r="P87" s="29" t="n"/>
      <c r="Q87" s="29" t="n"/>
      <c r="R87" s="50" t="n"/>
      <c r="S87" s="50" t="n"/>
      <c r="T87" s="29" t="n"/>
      <c r="U87" s="29" t="n"/>
      <c r="V87" s="29" t="n"/>
      <c r="W87" s="29" t="n"/>
    </row>
    <row r="88" ht="54" customHeight="1">
      <c r="A88" s="29" t="n"/>
      <c r="B88" s="29" t="n"/>
      <c r="C88" s="29" t="n"/>
      <c r="D88" s="29" t="n"/>
      <c r="E88" s="29" t="n"/>
      <c r="F88" s="29" t="n"/>
      <c r="G88" s="29" t="n"/>
      <c r="H88" s="29" t="n"/>
      <c r="I88" s="29" t="n"/>
      <c r="J88" s="49" t="n"/>
      <c r="K88" s="51" t="n"/>
      <c r="L88" s="29" t="n"/>
      <c r="M88" s="29" t="n"/>
      <c r="N88" s="29" t="n"/>
      <c r="O88" s="29" t="n"/>
      <c r="P88" s="29" t="n"/>
      <c r="Q88" s="29" t="n"/>
      <c r="R88" s="50" t="n"/>
      <c r="S88" s="50" t="n"/>
      <c r="T88" s="29" t="n"/>
      <c r="U88" s="29" t="n"/>
      <c r="V88" s="29" t="n"/>
      <c r="W88" s="29" t="n"/>
    </row>
    <row r="89" ht="54" customHeight="1">
      <c r="A89" s="29" t="n"/>
      <c r="B89" s="29" t="n"/>
      <c r="C89" s="29" t="n"/>
      <c r="D89" s="29" t="n"/>
      <c r="E89" s="29" t="n"/>
      <c r="F89" s="29" t="n"/>
      <c r="G89" s="29" t="n"/>
      <c r="H89" s="29" t="n"/>
      <c r="I89" s="29" t="n"/>
      <c r="J89" s="49" t="n"/>
      <c r="K89" s="51" t="n"/>
      <c r="L89" s="29" t="n"/>
      <c r="M89" s="29" t="n"/>
      <c r="N89" s="29" t="n"/>
      <c r="O89" s="29" t="n"/>
      <c r="P89" s="29" t="n"/>
      <c r="Q89" s="29" t="n"/>
      <c r="R89" s="50" t="n"/>
      <c r="S89" s="50" t="n"/>
      <c r="T89" s="29" t="n"/>
      <c r="U89" s="29" t="n"/>
      <c r="V89" s="29" t="n"/>
      <c r="W89" s="29" t="n"/>
    </row>
    <row r="90" ht="54" customHeight="1">
      <c r="A90" s="29" t="n"/>
      <c r="B90" s="29" t="n"/>
      <c r="C90" s="29" t="n"/>
      <c r="D90" s="29" t="n"/>
      <c r="E90" s="29" t="n"/>
      <c r="F90" s="29" t="n"/>
      <c r="G90" s="29" t="n"/>
      <c r="H90" s="29" t="n"/>
      <c r="I90" s="29" t="n"/>
      <c r="J90" s="49" t="n"/>
      <c r="K90" s="51" t="n"/>
      <c r="L90" s="29" t="n"/>
      <c r="M90" s="29" t="n"/>
      <c r="N90" s="29" t="n"/>
      <c r="O90" s="29" t="n"/>
      <c r="P90" s="29" t="n"/>
      <c r="Q90" s="29" t="n"/>
      <c r="R90" s="50" t="n"/>
      <c r="S90" s="50" t="n"/>
      <c r="T90" s="29" t="n"/>
      <c r="U90" s="29" t="n"/>
      <c r="V90" s="29" t="n"/>
      <c r="W90" s="29" t="n"/>
    </row>
    <row r="91" ht="54" customHeight="1">
      <c r="A91" s="29" t="n"/>
      <c r="B91" s="29" t="n"/>
      <c r="C91" s="29" t="n"/>
      <c r="D91" s="29" t="n"/>
      <c r="E91" s="29" t="n"/>
      <c r="F91" s="29" t="n"/>
      <c r="G91" s="29" t="n"/>
      <c r="H91" s="29" t="n"/>
      <c r="I91" s="29" t="n"/>
      <c r="J91" s="49" t="n"/>
      <c r="K91" s="51" t="n"/>
      <c r="L91" s="29" t="n"/>
      <c r="M91" s="29" t="n"/>
      <c r="N91" s="29" t="n"/>
      <c r="O91" s="29" t="n"/>
      <c r="P91" s="29" t="n"/>
      <c r="Q91" s="29" t="n"/>
      <c r="R91" s="50" t="n"/>
      <c r="S91" s="50" t="n"/>
      <c r="T91" s="29" t="n"/>
      <c r="U91" s="29" t="n"/>
      <c r="V91" s="29" t="n"/>
      <c r="W91" s="29" t="n"/>
    </row>
    <row r="92" ht="54" customHeight="1">
      <c r="A92" s="29" t="n"/>
      <c r="B92" s="29" t="n"/>
      <c r="C92" s="29" t="n"/>
      <c r="D92" s="29" t="n"/>
      <c r="E92" s="29" t="n"/>
      <c r="F92" s="29" t="n"/>
      <c r="G92" s="29" t="n"/>
      <c r="H92" s="29" t="n"/>
      <c r="I92" s="29" t="n"/>
      <c r="J92" s="49" t="n"/>
      <c r="K92" s="51" t="n"/>
      <c r="L92" s="29" t="n"/>
      <c r="M92" s="29" t="n"/>
      <c r="N92" s="29" t="n"/>
      <c r="O92" s="29" t="n"/>
      <c r="P92" s="29" t="n"/>
      <c r="Q92" s="29" t="n"/>
      <c r="R92" s="50" t="n"/>
      <c r="S92" s="50" t="n"/>
      <c r="T92" s="29" t="n"/>
      <c r="U92" s="29" t="n"/>
      <c r="V92" s="29" t="n"/>
      <c r="W92" s="29" t="n"/>
    </row>
    <row r="93" ht="54" customHeight="1">
      <c r="A93" s="29" t="n"/>
      <c r="B93" s="29" t="n"/>
      <c r="C93" s="29" t="n"/>
      <c r="D93" s="29" t="n"/>
      <c r="E93" s="29" t="n"/>
      <c r="F93" s="29" t="n"/>
      <c r="G93" s="29" t="n"/>
      <c r="H93" s="29" t="n"/>
      <c r="I93" s="29" t="n"/>
      <c r="J93" s="49" t="n"/>
      <c r="K93" s="51" t="n"/>
      <c r="L93" s="29" t="n"/>
      <c r="M93" s="29" t="n"/>
      <c r="N93" s="29" t="n"/>
      <c r="O93" s="29" t="n"/>
      <c r="P93" s="29" t="n"/>
      <c r="Q93" s="29" t="n"/>
      <c r="R93" s="50" t="n"/>
      <c r="S93" s="50" t="n"/>
      <c r="T93" s="29" t="n"/>
      <c r="U93" s="29" t="n"/>
      <c r="V93" s="29" t="n"/>
      <c r="W93" s="29" t="n"/>
    </row>
    <row r="94" ht="54" customHeight="1">
      <c r="A94" s="29" t="n"/>
      <c r="B94" s="29" t="n"/>
      <c r="C94" s="29" t="n"/>
      <c r="D94" s="29" t="n"/>
      <c r="E94" s="29" t="n"/>
      <c r="F94" s="29" t="n"/>
      <c r="G94" s="29" t="n"/>
      <c r="H94" s="29" t="n"/>
      <c r="I94" s="29" t="n"/>
      <c r="J94" s="49" t="n"/>
      <c r="K94" s="51" t="n"/>
      <c r="L94" s="29" t="n"/>
      <c r="M94" s="29" t="n"/>
      <c r="N94" s="29" t="n"/>
      <c r="O94" s="29" t="n"/>
      <c r="P94" s="29" t="n"/>
      <c r="Q94" s="29" t="n"/>
      <c r="R94" s="50" t="n"/>
      <c r="S94" s="50" t="n"/>
      <c r="T94" s="29" t="n"/>
      <c r="U94" s="29" t="n"/>
      <c r="V94" s="29" t="n"/>
      <c r="W94" s="29" t="n"/>
    </row>
    <row r="95" ht="54" customHeight="1">
      <c r="A95" s="29" t="n"/>
      <c r="B95" s="29" t="n"/>
      <c r="C95" s="29" t="n"/>
      <c r="D95" s="29" t="n"/>
      <c r="E95" s="29" t="n"/>
      <c r="F95" s="29" t="n"/>
      <c r="G95" s="29" t="n"/>
      <c r="H95" s="29" t="n"/>
      <c r="I95" s="29" t="n"/>
      <c r="J95" s="49" t="n"/>
      <c r="K95" s="51" t="n"/>
      <c r="L95" s="29" t="n"/>
      <c r="M95" s="29" t="n"/>
      <c r="N95" s="29" t="n"/>
      <c r="O95" s="29" t="n"/>
      <c r="P95" s="29" t="n"/>
      <c r="Q95" s="29" t="n"/>
      <c r="R95" s="50" t="n"/>
      <c r="S95" s="50" t="n"/>
      <c r="T95" s="29" t="n"/>
      <c r="U95" s="29" t="n"/>
      <c r="V95" s="29" t="n"/>
      <c r="W95" s="29" t="n"/>
    </row>
    <row r="96" ht="54" customHeight="1">
      <c r="A96" s="29" t="n"/>
      <c r="B96" s="29" t="n"/>
      <c r="C96" s="29" t="n"/>
      <c r="D96" s="29" t="n"/>
      <c r="E96" s="29" t="n"/>
      <c r="F96" s="29" t="n"/>
      <c r="G96" s="29" t="n"/>
      <c r="H96" s="29" t="n"/>
      <c r="I96" s="29" t="n"/>
      <c r="J96" s="49" t="n"/>
      <c r="K96" s="51" t="n"/>
      <c r="L96" s="29" t="n"/>
      <c r="M96" s="29" t="n"/>
      <c r="N96" s="29" t="n"/>
      <c r="O96" s="29" t="n"/>
      <c r="P96" s="29" t="n"/>
      <c r="Q96" s="29" t="n"/>
      <c r="R96" s="50" t="n"/>
      <c r="S96" s="50" t="n"/>
      <c r="T96" s="29" t="n"/>
      <c r="U96" s="29" t="n"/>
      <c r="V96" s="29" t="n"/>
      <c r="W96" s="29" t="n"/>
    </row>
    <row r="97" ht="54" customHeight="1">
      <c r="A97" s="29" t="n"/>
      <c r="B97" s="29" t="n"/>
      <c r="C97" s="29" t="n"/>
      <c r="D97" s="29" t="n"/>
      <c r="E97" s="29" t="n"/>
      <c r="F97" s="29" t="n"/>
      <c r="G97" s="29" t="n"/>
      <c r="H97" s="29" t="n"/>
      <c r="I97" s="29" t="n"/>
      <c r="J97" s="49" t="n"/>
      <c r="K97" s="51" t="n"/>
      <c r="L97" s="29" t="n"/>
      <c r="M97" s="29" t="n"/>
      <c r="N97" s="29" t="n"/>
      <c r="O97" s="29" t="n"/>
      <c r="P97" s="29" t="n"/>
      <c r="Q97" s="29" t="n"/>
      <c r="R97" s="50" t="n"/>
      <c r="S97" s="50" t="n"/>
      <c r="T97" s="29" t="n"/>
      <c r="U97" s="29" t="n"/>
      <c r="V97" s="29" t="n"/>
      <c r="W97" s="29" t="n"/>
    </row>
    <row r="98" ht="54" customHeight="1">
      <c r="A98" s="29" t="n"/>
      <c r="B98" s="29" t="n"/>
      <c r="C98" s="29" t="n"/>
      <c r="D98" s="29" t="n"/>
      <c r="E98" s="29" t="n"/>
      <c r="F98" s="29" t="n"/>
      <c r="G98" s="29" t="n"/>
      <c r="H98" s="29" t="n"/>
      <c r="I98" s="29" t="n"/>
      <c r="J98" s="49" t="n"/>
      <c r="K98" s="51" t="n"/>
      <c r="L98" s="29" t="n"/>
      <c r="M98" s="29" t="n"/>
      <c r="N98" s="29" t="n"/>
      <c r="O98" s="29" t="n"/>
      <c r="P98" s="29" t="n"/>
      <c r="Q98" s="29" t="n"/>
      <c r="R98" s="50" t="n"/>
      <c r="S98" s="50" t="n"/>
      <c r="T98" s="29" t="n"/>
      <c r="U98" s="29" t="n"/>
      <c r="V98" s="29" t="n"/>
      <c r="W98" s="29" t="n"/>
    </row>
    <row r="99" ht="54" customHeight="1">
      <c r="A99" s="29" t="n"/>
      <c r="B99" s="29" t="n"/>
      <c r="C99" s="29" t="n"/>
      <c r="D99" s="29" t="n"/>
      <c r="E99" s="29" t="n"/>
      <c r="F99" s="29" t="n"/>
      <c r="G99" s="29" t="n"/>
      <c r="H99" s="29" t="n"/>
      <c r="I99" s="29" t="n"/>
      <c r="J99" s="49" t="n"/>
      <c r="K99" s="51" t="n"/>
      <c r="L99" s="29" t="n"/>
      <c r="M99" s="29" t="n"/>
      <c r="N99" s="29" t="n"/>
      <c r="O99" s="29" t="n"/>
      <c r="P99" s="29" t="n"/>
      <c r="Q99" s="29" t="n"/>
      <c r="R99" s="50" t="n"/>
      <c r="S99" s="50" t="n"/>
      <c r="T99" s="29" t="n"/>
      <c r="U99" s="29" t="n"/>
      <c r="V99" s="29" t="n"/>
      <c r="W99" s="29" t="n"/>
    </row>
    <row r="100" ht="54" customHeight="1">
      <c r="A100" s="29" t="n"/>
      <c r="B100" s="29" t="n"/>
      <c r="C100" s="29" t="n"/>
      <c r="D100" s="29" t="n"/>
      <c r="E100" s="29" t="n"/>
      <c r="F100" s="29" t="n"/>
      <c r="G100" s="29" t="n"/>
      <c r="H100" s="29" t="n"/>
      <c r="I100" s="29" t="n"/>
      <c r="J100" s="49" t="n"/>
      <c r="K100" s="51" t="n"/>
      <c r="L100" s="29" t="n"/>
      <c r="M100" s="29" t="n"/>
      <c r="N100" s="29" t="n"/>
      <c r="O100" s="29" t="n"/>
      <c r="P100" s="29" t="n"/>
      <c r="Q100" s="29" t="n"/>
      <c r="R100" s="50" t="n"/>
      <c r="S100" s="50" t="n"/>
      <c r="T100" s="29" t="n"/>
      <c r="U100" s="29" t="n"/>
      <c r="V100" s="29" t="n"/>
      <c r="W100" s="29" t="n"/>
    </row>
    <row r="101" ht="54" customHeight="1">
      <c r="A101" s="29" t="n"/>
      <c r="B101" s="29" t="n"/>
      <c r="C101" s="29" t="n"/>
      <c r="D101" s="29" t="n"/>
      <c r="E101" s="29" t="n"/>
      <c r="F101" s="29" t="n"/>
      <c r="G101" s="29" t="n"/>
      <c r="H101" s="29" t="n"/>
      <c r="I101" s="29" t="n"/>
      <c r="J101" s="49" t="n"/>
      <c r="K101" s="51" t="n"/>
      <c r="L101" s="29" t="n"/>
      <c r="M101" s="29" t="n"/>
      <c r="N101" s="29" t="n"/>
      <c r="O101" s="29" t="n"/>
      <c r="P101" s="29" t="n"/>
      <c r="Q101" s="29" t="n"/>
      <c r="R101" s="50" t="n"/>
      <c r="S101" s="50" t="n"/>
      <c r="T101" s="29" t="n"/>
      <c r="U101" s="29" t="n"/>
      <c r="V101" s="29" t="n"/>
      <c r="W101" s="29" t="n"/>
    </row>
    <row r="102" ht="54" customHeight="1">
      <c r="A102" s="29" t="n"/>
      <c r="B102" s="29" t="n"/>
      <c r="C102" s="29" t="n"/>
      <c r="D102" s="29" t="n"/>
      <c r="E102" s="29" t="n"/>
      <c r="F102" s="29" t="n"/>
      <c r="G102" s="29" t="n"/>
      <c r="H102" s="29" t="n"/>
      <c r="I102" s="29" t="n"/>
      <c r="J102" s="49" t="n"/>
      <c r="K102" s="51" t="n"/>
      <c r="L102" s="29" t="n"/>
      <c r="M102" s="29" t="n"/>
      <c r="N102" s="29" t="n"/>
      <c r="O102" s="29" t="n"/>
      <c r="P102" s="29" t="n"/>
      <c r="Q102" s="29" t="n"/>
      <c r="R102" s="50" t="n"/>
      <c r="S102" s="50" t="n"/>
      <c r="T102" s="29" t="n"/>
      <c r="U102" s="29" t="n"/>
      <c r="V102" s="29" t="n"/>
      <c r="W102" s="29" t="n"/>
    </row>
    <row r="103" ht="54" customHeight="1">
      <c r="A103" s="29" t="n"/>
      <c r="B103" s="29" t="n"/>
      <c r="C103" s="29" t="n"/>
      <c r="D103" s="29" t="n"/>
      <c r="E103" s="29" t="n"/>
      <c r="F103" s="29" t="n"/>
      <c r="G103" s="29" t="n"/>
      <c r="H103" s="29" t="n"/>
      <c r="I103" s="29" t="n"/>
      <c r="J103" s="49" t="n"/>
      <c r="K103" s="51" t="n"/>
      <c r="L103" s="29" t="n"/>
      <c r="M103" s="29" t="n"/>
      <c r="N103" s="29" t="n"/>
      <c r="O103" s="29" t="n"/>
      <c r="P103" s="29" t="n"/>
      <c r="Q103" s="29" t="n"/>
      <c r="R103" s="50" t="n"/>
      <c r="S103" s="50" t="n"/>
      <c r="T103" s="29" t="n"/>
      <c r="U103" s="29" t="n"/>
      <c r="V103" s="29" t="n"/>
      <c r="W103" s="29" t="n"/>
    </row>
    <row r="104" ht="54" customHeight="1">
      <c r="A104" s="29" t="n"/>
      <c r="B104" s="29" t="n"/>
      <c r="C104" s="29" t="n"/>
      <c r="D104" s="29" t="n"/>
      <c r="E104" s="29" t="n"/>
      <c r="F104" s="29" t="n"/>
      <c r="G104" s="29" t="n"/>
      <c r="H104" s="29" t="n"/>
      <c r="I104" s="29" t="n"/>
      <c r="J104" s="49" t="n"/>
      <c r="K104" s="51" t="n"/>
      <c r="L104" s="29" t="n"/>
      <c r="M104" s="29" t="n"/>
      <c r="N104" s="29" t="n"/>
      <c r="O104" s="29" t="n"/>
      <c r="P104" s="29" t="n"/>
      <c r="Q104" s="29" t="n"/>
      <c r="R104" s="50" t="n"/>
      <c r="S104" s="50" t="n"/>
      <c r="T104" s="29" t="n"/>
      <c r="U104" s="29" t="n"/>
      <c r="V104" s="29" t="n"/>
      <c r="W104" s="29" t="n"/>
    </row>
    <row r="105" ht="54" customHeight="1">
      <c r="A105" s="29" t="n"/>
      <c r="B105" s="29" t="n"/>
      <c r="C105" s="29" t="n"/>
      <c r="D105" s="29" t="n"/>
      <c r="E105" s="29" t="n"/>
      <c r="F105" s="29" t="n"/>
      <c r="G105" s="29" t="n"/>
      <c r="H105" s="29" t="n"/>
      <c r="I105" s="29" t="n"/>
      <c r="J105" s="49" t="n"/>
      <c r="K105" s="51" t="n"/>
      <c r="L105" s="29" t="n"/>
      <c r="M105" s="29" t="n"/>
      <c r="N105" s="29" t="n"/>
      <c r="O105" s="29" t="n"/>
      <c r="P105" s="29" t="n"/>
      <c r="Q105" s="29" t="n"/>
      <c r="R105" s="50" t="n"/>
      <c r="S105" s="50" t="n"/>
      <c r="T105" s="29" t="n"/>
      <c r="U105" s="29" t="n"/>
      <c r="V105" s="29" t="n"/>
      <c r="W105" s="29" t="n"/>
    </row>
    <row r="106" ht="54" customHeight="1">
      <c r="A106" s="29" t="n"/>
      <c r="B106" s="29" t="n"/>
      <c r="C106" s="29" t="n"/>
      <c r="D106" s="29" t="n"/>
      <c r="E106" s="29" t="n"/>
      <c r="F106" s="29" t="n"/>
      <c r="G106" s="29" t="n"/>
      <c r="H106" s="29" t="n"/>
      <c r="I106" s="29" t="n"/>
      <c r="J106" s="49" t="n"/>
      <c r="K106" s="51" t="n"/>
      <c r="L106" s="29" t="n"/>
      <c r="M106" s="29" t="n"/>
      <c r="N106" s="29" t="n"/>
      <c r="O106" s="29" t="n"/>
      <c r="P106" s="29" t="n"/>
      <c r="Q106" s="29" t="n"/>
      <c r="R106" s="50" t="n"/>
      <c r="S106" s="50" t="n"/>
      <c r="T106" s="29" t="n"/>
      <c r="U106" s="29" t="n"/>
      <c r="V106" s="29" t="n"/>
      <c r="W106" s="29" t="n"/>
    </row>
    <row r="107" ht="54" customHeight="1">
      <c r="A107" s="29" t="n"/>
      <c r="B107" s="29" t="n"/>
      <c r="C107" s="29" t="n"/>
      <c r="D107" s="29" t="n"/>
      <c r="E107" s="29" t="n"/>
      <c r="F107" s="29" t="n"/>
      <c r="G107" s="29" t="n"/>
      <c r="H107" s="29" t="n"/>
      <c r="I107" s="29" t="n"/>
      <c r="J107" s="49" t="n"/>
      <c r="K107" s="51" t="n"/>
      <c r="L107" s="29" t="n"/>
      <c r="M107" s="29" t="n"/>
      <c r="N107" s="29" t="n"/>
      <c r="O107" s="29" t="n"/>
      <c r="P107" s="29" t="n"/>
      <c r="Q107" s="29" t="n"/>
      <c r="R107" s="50" t="n"/>
      <c r="S107" s="50" t="n"/>
      <c r="T107" s="29" t="n"/>
      <c r="U107" s="29" t="n"/>
      <c r="V107" s="29" t="n"/>
      <c r="W107" s="29" t="n"/>
    </row>
    <row r="108" ht="54" customHeight="1">
      <c r="A108" s="29" t="n"/>
      <c r="B108" s="29" t="n"/>
      <c r="C108" s="29" t="n"/>
      <c r="D108" s="29" t="n"/>
      <c r="E108" s="29" t="n"/>
      <c r="F108" s="29" t="n"/>
      <c r="G108" s="29" t="n"/>
      <c r="H108" s="29" t="n"/>
      <c r="I108" s="29" t="n"/>
      <c r="J108" s="49" t="n"/>
      <c r="K108" s="51" t="n"/>
      <c r="L108" s="29" t="n"/>
      <c r="M108" s="29" t="n"/>
      <c r="N108" s="29" t="n"/>
      <c r="O108" s="29" t="n"/>
      <c r="P108" s="29" t="n"/>
      <c r="Q108" s="29" t="n"/>
      <c r="R108" s="50" t="n"/>
      <c r="S108" s="50" t="n"/>
      <c r="T108" s="29" t="n"/>
      <c r="U108" s="29" t="n"/>
      <c r="V108" s="29" t="n"/>
      <c r="W108" s="29" t="n"/>
    </row>
    <row r="109" ht="54" customHeight="1">
      <c r="A109" s="29" t="n"/>
      <c r="B109" s="29" t="n"/>
      <c r="C109" s="29" t="n"/>
      <c r="D109" s="29" t="n"/>
      <c r="E109" s="29" t="n"/>
      <c r="F109" s="29" t="n"/>
      <c r="G109" s="29" t="n"/>
      <c r="H109" s="29" t="n"/>
      <c r="I109" s="29" t="n"/>
      <c r="J109" s="49" t="n"/>
      <c r="K109" s="51" t="n"/>
      <c r="L109" s="29" t="n"/>
      <c r="M109" s="29" t="n"/>
      <c r="N109" s="29" t="n"/>
      <c r="O109" s="29" t="n"/>
      <c r="P109" s="29" t="n"/>
      <c r="Q109" s="29" t="n"/>
      <c r="R109" s="50" t="n"/>
      <c r="S109" s="50" t="n"/>
      <c r="T109" s="29" t="n"/>
      <c r="U109" s="29" t="n"/>
      <c r="V109" s="29" t="n"/>
      <c r="W109" s="29" t="n"/>
    </row>
    <row r="110" ht="54" customHeight="1">
      <c r="A110" s="29" t="n"/>
      <c r="B110" s="29" t="n"/>
      <c r="C110" s="29" t="n"/>
      <c r="D110" s="29" t="n"/>
      <c r="E110" s="29" t="n"/>
      <c r="F110" s="29" t="n"/>
      <c r="G110" s="29" t="n"/>
      <c r="H110" s="29" t="n"/>
      <c r="I110" s="29" t="n"/>
      <c r="J110" s="49" t="n"/>
      <c r="K110" s="51" t="n"/>
      <c r="L110" s="29" t="n"/>
      <c r="M110" s="29" t="n"/>
      <c r="N110" s="29" t="n"/>
      <c r="O110" s="29" t="n"/>
      <c r="P110" s="29" t="n"/>
      <c r="Q110" s="29" t="n"/>
      <c r="R110" s="50" t="n"/>
      <c r="S110" s="50" t="n"/>
      <c r="T110" s="29" t="n"/>
      <c r="U110" s="29" t="n"/>
      <c r="V110" s="29" t="n"/>
      <c r="W110" s="29" t="n"/>
    </row>
    <row r="111" ht="54" customHeight="1">
      <c r="A111" s="29" t="n"/>
      <c r="B111" s="29" t="n"/>
      <c r="C111" s="29" t="n"/>
      <c r="D111" s="29" t="n"/>
      <c r="E111" s="29" t="n"/>
      <c r="F111" s="29" t="n"/>
      <c r="G111" s="29" t="n"/>
      <c r="H111" s="29" t="n"/>
      <c r="I111" s="29" t="n"/>
      <c r="J111" s="49" t="n"/>
      <c r="K111" s="51" t="n"/>
      <c r="L111" s="29" t="n"/>
      <c r="M111" s="29" t="n"/>
      <c r="N111" s="29" t="n"/>
      <c r="O111" s="29" t="n"/>
      <c r="P111" s="29" t="n"/>
      <c r="Q111" s="29" t="n"/>
      <c r="R111" s="50" t="n"/>
      <c r="S111" s="50" t="n"/>
      <c r="T111" s="29" t="n"/>
      <c r="U111" s="29" t="n"/>
      <c r="V111" s="29" t="n"/>
      <c r="W111" s="29" t="n"/>
    </row>
    <row r="112" ht="54" customHeight="1">
      <c r="A112" s="29" t="n"/>
      <c r="B112" s="29" t="n"/>
      <c r="C112" s="29" t="n"/>
      <c r="D112" s="29" t="n"/>
      <c r="E112" s="29" t="n"/>
      <c r="F112" s="29" t="n"/>
      <c r="G112" s="29" t="n"/>
      <c r="H112" s="29" t="n"/>
      <c r="I112" s="29" t="n"/>
      <c r="J112" s="49" t="n"/>
      <c r="K112" s="51" t="n"/>
      <c r="L112" s="29" t="n"/>
      <c r="M112" s="29" t="n"/>
      <c r="N112" s="29" t="n"/>
      <c r="O112" s="29" t="n"/>
      <c r="P112" s="29" t="n"/>
      <c r="Q112" s="29" t="n"/>
      <c r="R112" s="50" t="n"/>
      <c r="S112" s="50" t="n"/>
      <c r="T112" s="29" t="n"/>
      <c r="U112" s="29" t="n"/>
      <c r="V112" s="29" t="n"/>
      <c r="W112" s="29" t="n"/>
    </row>
    <row r="113" ht="54" customHeight="1">
      <c r="A113" s="29" t="n"/>
      <c r="B113" s="29" t="n"/>
      <c r="C113" s="29" t="n"/>
      <c r="D113" s="29" t="n"/>
      <c r="E113" s="29" t="n"/>
      <c r="F113" s="29" t="n"/>
      <c r="G113" s="29" t="n"/>
      <c r="H113" s="29" t="n"/>
      <c r="I113" s="29" t="n"/>
      <c r="J113" s="49" t="n"/>
      <c r="K113" s="51" t="n"/>
      <c r="L113" s="29" t="n"/>
      <c r="M113" s="29" t="n"/>
      <c r="N113" s="29" t="n"/>
      <c r="O113" s="29" t="n"/>
      <c r="P113" s="29" t="n"/>
      <c r="Q113" s="29" t="n"/>
      <c r="R113" s="50" t="n"/>
      <c r="S113" s="50" t="n"/>
      <c r="T113" s="29" t="n"/>
      <c r="U113" s="29" t="n"/>
      <c r="V113" s="29" t="n"/>
      <c r="W113" s="29" t="n"/>
    </row>
    <row r="114" ht="54" customHeight="1">
      <c r="A114" s="29" t="n"/>
      <c r="B114" s="29" t="n"/>
      <c r="C114" s="29" t="n"/>
      <c r="D114" s="29" t="n"/>
      <c r="E114" s="29" t="n"/>
      <c r="F114" s="29" t="n"/>
      <c r="G114" s="29" t="n"/>
      <c r="H114" s="29" t="n"/>
      <c r="I114" s="29" t="n"/>
      <c r="J114" s="49" t="n"/>
      <c r="K114" s="51" t="n"/>
      <c r="L114" s="29" t="n"/>
      <c r="M114" s="29" t="n"/>
      <c r="N114" s="29" t="n"/>
      <c r="O114" s="29" t="n"/>
      <c r="P114" s="29" t="n"/>
      <c r="Q114" s="29" t="n"/>
      <c r="R114" s="50" t="n"/>
      <c r="S114" s="50" t="n"/>
      <c r="T114" s="29" t="n"/>
      <c r="U114" s="29" t="n"/>
      <c r="V114" s="29" t="n"/>
      <c r="W114" s="29" t="n"/>
    </row>
    <row r="115" ht="54" customHeight="1">
      <c r="A115" s="29" t="n"/>
      <c r="B115" s="29" t="n"/>
      <c r="C115" s="29" t="n"/>
      <c r="D115" s="29" t="n"/>
      <c r="E115" s="29" t="n"/>
      <c r="F115" s="29" t="n"/>
      <c r="G115" s="29" t="n"/>
      <c r="H115" s="29" t="n"/>
      <c r="I115" s="29" t="n"/>
      <c r="J115" s="49" t="n"/>
      <c r="K115" s="51" t="n"/>
      <c r="L115" s="29" t="n"/>
      <c r="M115" s="29" t="n"/>
      <c r="N115" s="29" t="n"/>
      <c r="O115" s="29" t="n"/>
      <c r="P115" s="29" t="n"/>
      <c r="Q115" s="29" t="n"/>
      <c r="R115" s="50" t="n"/>
      <c r="S115" s="50" t="n"/>
      <c r="T115" s="29" t="n"/>
      <c r="U115" s="29" t="n"/>
      <c r="V115" s="29" t="n"/>
      <c r="W115" s="29" t="n"/>
    </row>
    <row r="116" ht="54" customHeight="1">
      <c r="A116" s="29" t="n"/>
      <c r="B116" s="29" t="n"/>
      <c r="C116" s="29" t="n"/>
      <c r="D116" s="29" t="n"/>
      <c r="E116" s="29" t="n"/>
      <c r="F116" s="29" t="n"/>
      <c r="G116" s="29" t="n"/>
      <c r="H116" s="29" t="n"/>
      <c r="I116" s="29" t="n"/>
      <c r="J116" s="49" t="n"/>
      <c r="K116" s="51" t="n"/>
      <c r="L116" s="29" t="n"/>
      <c r="M116" s="29" t="n"/>
      <c r="N116" s="29" t="n"/>
      <c r="O116" s="29" t="n"/>
      <c r="P116" s="29" t="n"/>
      <c r="Q116" s="29" t="n"/>
      <c r="R116" s="50" t="n"/>
      <c r="S116" s="50" t="n"/>
      <c r="T116" s="29" t="n"/>
      <c r="U116" s="29" t="n"/>
      <c r="V116" s="29" t="n"/>
      <c r="W116" s="29" t="n"/>
    </row>
    <row r="117" ht="54" customHeight="1">
      <c r="A117" s="29" t="n"/>
      <c r="B117" s="29" t="n"/>
      <c r="C117" s="29" t="n"/>
      <c r="D117" s="29" t="n"/>
      <c r="E117" s="29" t="n"/>
      <c r="F117" s="29" t="n"/>
      <c r="G117" s="29" t="n"/>
      <c r="H117" s="29" t="n"/>
      <c r="I117" s="29" t="n"/>
      <c r="J117" s="49" t="n"/>
      <c r="K117" s="51" t="n"/>
      <c r="L117" s="29" t="n"/>
      <c r="M117" s="29" t="n"/>
      <c r="N117" s="29" t="n"/>
      <c r="O117" s="29" t="n"/>
      <c r="P117" s="29" t="n"/>
      <c r="Q117" s="29" t="n"/>
      <c r="R117" s="50" t="n"/>
      <c r="S117" s="50" t="n"/>
      <c r="T117" s="29" t="n"/>
      <c r="U117" s="29" t="n"/>
      <c r="V117" s="29" t="n"/>
      <c r="W117" s="29" t="n"/>
    </row>
    <row r="118" ht="54" customHeight="1">
      <c r="A118" s="29" t="n"/>
      <c r="B118" s="29" t="n"/>
      <c r="C118" s="29" t="n"/>
      <c r="D118" s="29" t="n"/>
      <c r="E118" s="29" t="n"/>
      <c r="F118" s="29" t="n"/>
      <c r="G118" s="29" t="n"/>
      <c r="H118" s="29" t="n"/>
      <c r="I118" s="29" t="n"/>
      <c r="J118" s="49" t="n"/>
      <c r="K118" s="51" t="n"/>
      <c r="L118" s="29" t="n"/>
      <c r="M118" s="29" t="n"/>
      <c r="N118" s="29" t="n"/>
      <c r="O118" s="29" t="n"/>
      <c r="P118" s="29" t="n"/>
      <c r="Q118" s="29" t="n"/>
      <c r="R118" s="50" t="n"/>
      <c r="S118" s="50" t="n"/>
      <c r="T118" s="29" t="n"/>
      <c r="U118" s="29" t="n"/>
      <c r="V118" s="29" t="n"/>
      <c r="W118" s="29" t="n"/>
    </row>
    <row r="119" ht="54" customHeight="1">
      <c r="A119" s="29" t="n"/>
      <c r="B119" s="29" t="n"/>
      <c r="C119" s="29" t="n"/>
      <c r="D119" s="29" t="n"/>
      <c r="E119" s="29" t="n"/>
      <c r="F119" s="29" t="n"/>
      <c r="G119" s="29" t="n"/>
      <c r="H119" s="29" t="n"/>
      <c r="I119" s="29" t="n"/>
      <c r="J119" s="49" t="n"/>
      <c r="K119" s="51" t="n"/>
      <c r="L119" s="29" t="n"/>
      <c r="M119" s="29" t="n"/>
      <c r="N119" s="29" t="n"/>
      <c r="O119" s="29" t="n"/>
      <c r="P119" s="29" t="n"/>
      <c r="Q119" s="29" t="n"/>
      <c r="R119" s="50" t="n"/>
      <c r="S119" s="50" t="n"/>
      <c r="T119" s="29" t="n"/>
      <c r="U119" s="29" t="n"/>
      <c r="V119" s="29" t="n"/>
      <c r="W119" s="29" t="n"/>
    </row>
    <row r="120" ht="54" customHeight="1">
      <c r="A120" s="29" t="n"/>
      <c r="B120" s="29" t="n"/>
      <c r="C120" s="29" t="n"/>
      <c r="D120" s="29" t="n"/>
      <c r="E120" s="29" t="n"/>
      <c r="F120" s="29" t="n"/>
      <c r="G120" s="29" t="n"/>
      <c r="H120" s="29" t="n"/>
      <c r="I120" s="29" t="n"/>
      <c r="J120" s="49" t="n"/>
      <c r="K120" s="51" t="n"/>
      <c r="L120" s="29" t="n"/>
      <c r="M120" s="29" t="n"/>
      <c r="N120" s="29" t="n"/>
      <c r="O120" s="29" t="n"/>
      <c r="P120" s="29" t="n"/>
      <c r="Q120" s="29" t="n"/>
      <c r="R120" s="50" t="n"/>
      <c r="S120" s="50" t="n"/>
      <c r="T120" s="29" t="n"/>
      <c r="U120" s="29" t="n"/>
      <c r="V120" s="29" t="n"/>
      <c r="W120" s="29" t="n"/>
    </row>
    <row r="121" ht="54" customHeight="1">
      <c r="A121" s="29" t="n"/>
      <c r="B121" s="29" t="n"/>
      <c r="C121" s="29" t="n"/>
      <c r="D121" s="29" t="n"/>
      <c r="E121" s="29" t="n"/>
      <c r="F121" s="29" t="n"/>
      <c r="G121" s="29" t="n"/>
      <c r="H121" s="29" t="n"/>
      <c r="I121" s="29" t="n"/>
      <c r="J121" s="49" t="n"/>
      <c r="K121" s="51" t="n"/>
      <c r="L121" s="29" t="n"/>
      <c r="M121" s="29" t="n"/>
      <c r="N121" s="29" t="n"/>
      <c r="O121" s="29" t="n"/>
      <c r="P121" s="29" t="n"/>
      <c r="Q121" s="29" t="n"/>
      <c r="R121" s="50" t="n"/>
      <c r="S121" s="50" t="n"/>
      <c r="T121" s="29" t="n"/>
      <c r="U121" s="29" t="n"/>
      <c r="V121" s="29" t="n"/>
      <c r="W121" s="29" t="n"/>
    </row>
    <row r="122" ht="54" customHeight="1">
      <c r="A122" s="29" t="n"/>
      <c r="B122" s="29" t="n"/>
      <c r="C122" s="29" t="n"/>
      <c r="D122" s="29" t="n"/>
      <c r="E122" s="29" t="n"/>
      <c r="F122" s="29" t="n"/>
      <c r="G122" s="29" t="n"/>
      <c r="H122" s="29" t="n"/>
      <c r="I122" s="29" t="n"/>
      <c r="J122" s="49" t="n"/>
      <c r="K122" s="51" t="n"/>
      <c r="L122" s="29" t="n"/>
      <c r="M122" s="29" t="n"/>
      <c r="N122" s="29" t="n"/>
      <c r="O122" s="29" t="n"/>
      <c r="P122" s="29" t="n"/>
      <c r="Q122" s="29" t="n"/>
      <c r="R122" s="50" t="n"/>
      <c r="S122" s="50" t="n"/>
      <c r="T122" s="29" t="n"/>
      <c r="U122" s="29" t="n"/>
      <c r="V122" s="29" t="n"/>
      <c r="W122" s="29" t="n"/>
    </row>
    <row r="123" ht="54" customHeight="1">
      <c r="A123" s="29" t="n"/>
      <c r="B123" s="29" t="n"/>
      <c r="C123" s="29" t="n"/>
      <c r="D123" s="29" t="n"/>
      <c r="E123" s="29" t="n"/>
      <c r="F123" s="29" t="n"/>
      <c r="G123" s="29" t="n"/>
      <c r="H123" s="29" t="n"/>
      <c r="I123" s="29" t="n"/>
      <c r="J123" s="49" t="n"/>
      <c r="K123" s="51" t="n"/>
      <c r="L123" s="29" t="n"/>
      <c r="M123" s="29" t="n"/>
      <c r="N123" s="29" t="n"/>
      <c r="O123" s="29" t="n"/>
      <c r="P123" s="29" t="n"/>
      <c r="Q123" s="29" t="n"/>
      <c r="R123" s="50" t="n"/>
      <c r="S123" s="50" t="n"/>
      <c r="T123" s="29" t="n"/>
      <c r="U123" s="29" t="n"/>
      <c r="V123" s="29" t="n"/>
      <c r="W123" s="29" t="n"/>
    </row>
    <row r="124" ht="54" customHeight="1">
      <c r="A124" s="29" t="n"/>
      <c r="B124" s="29" t="n"/>
      <c r="C124" s="29" t="n"/>
      <c r="D124" s="29" t="n"/>
      <c r="E124" s="29" t="n"/>
      <c r="F124" s="29" t="n"/>
      <c r="G124" s="29" t="n"/>
      <c r="H124" s="29" t="n"/>
      <c r="I124" s="29" t="n"/>
      <c r="J124" s="49" t="n"/>
      <c r="K124" s="51" t="n"/>
      <c r="L124" s="29" t="n"/>
      <c r="M124" s="29" t="n"/>
      <c r="N124" s="29" t="n"/>
      <c r="O124" s="29" t="n"/>
      <c r="P124" s="29" t="n"/>
      <c r="Q124" s="29" t="n"/>
      <c r="R124" s="50" t="n"/>
      <c r="S124" s="50" t="n"/>
      <c r="T124" s="29" t="n"/>
      <c r="U124" s="29" t="n"/>
      <c r="V124" s="29" t="n"/>
      <c r="W124" s="29" t="n"/>
    </row>
    <row r="125" ht="54" customHeight="1">
      <c r="A125" s="29" t="n"/>
      <c r="B125" s="29" t="n"/>
      <c r="C125" s="29" t="n"/>
      <c r="D125" s="29" t="n"/>
      <c r="E125" s="29" t="n"/>
      <c r="F125" s="29" t="n"/>
      <c r="G125" s="29" t="n"/>
      <c r="H125" s="29" t="n"/>
      <c r="I125" s="29" t="n"/>
      <c r="J125" s="49" t="n"/>
      <c r="K125" s="51" t="n"/>
      <c r="L125" s="29" t="n"/>
      <c r="M125" s="29" t="n"/>
      <c r="N125" s="29" t="n"/>
      <c r="O125" s="29" t="n"/>
      <c r="P125" s="29" t="n"/>
      <c r="Q125" s="29" t="n"/>
      <c r="R125" s="50" t="n"/>
      <c r="S125" s="50" t="n"/>
      <c r="T125" s="29" t="n"/>
      <c r="U125" s="29" t="n"/>
      <c r="V125" s="29" t="n"/>
      <c r="W125" s="29" t="n"/>
    </row>
    <row r="126" ht="54" customHeight="1">
      <c r="A126" s="29" t="n"/>
      <c r="B126" s="29" t="n"/>
      <c r="C126" s="29" t="n"/>
      <c r="D126" s="29" t="n"/>
      <c r="E126" s="29" t="n"/>
      <c r="F126" s="29" t="n"/>
      <c r="G126" s="29" t="n"/>
      <c r="H126" s="29" t="n"/>
      <c r="I126" s="29" t="n"/>
      <c r="J126" s="49" t="n"/>
      <c r="K126" s="51" t="n"/>
      <c r="L126" s="29" t="n"/>
      <c r="M126" s="29" t="n"/>
      <c r="N126" s="29" t="n"/>
      <c r="O126" s="29" t="n"/>
      <c r="P126" s="29" t="n"/>
      <c r="Q126" s="29" t="n"/>
      <c r="R126" s="50" t="n"/>
      <c r="S126" s="50" t="n"/>
      <c r="T126" s="29" t="n"/>
      <c r="U126" s="29" t="n"/>
      <c r="V126" s="29" t="n"/>
      <c r="W126" s="29" t="n"/>
    </row>
    <row r="127" ht="54" customHeight="1">
      <c r="A127" s="29" t="n"/>
      <c r="B127" s="29" t="n"/>
      <c r="C127" s="29" t="n"/>
      <c r="D127" s="29" t="n"/>
      <c r="E127" s="29" t="n"/>
      <c r="F127" s="29" t="n"/>
      <c r="G127" s="29" t="n"/>
      <c r="H127" s="29" t="n"/>
      <c r="I127" s="29" t="n"/>
      <c r="J127" s="49" t="n"/>
      <c r="K127" s="51" t="n"/>
      <c r="L127" s="29" t="n"/>
      <c r="M127" s="29" t="n"/>
      <c r="N127" s="29" t="n"/>
      <c r="O127" s="29" t="n"/>
      <c r="P127" s="29" t="n"/>
      <c r="Q127" s="29" t="n"/>
      <c r="R127" s="50" t="n"/>
      <c r="S127" s="50" t="n"/>
      <c r="T127" s="29" t="n"/>
      <c r="U127" s="29" t="n"/>
      <c r="V127" s="29" t="n"/>
      <c r="W127" s="29" t="n"/>
    </row>
    <row r="128" ht="54" customHeight="1">
      <c r="A128" s="29" t="n"/>
      <c r="B128" s="29" t="n"/>
      <c r="C128" s="29" t="n"/>
      <c r="D128" s="29" t="n"/>
      <c r="E128" s="29" t="n"/>
      <c r="F128" s="29" t="n"/>
      <c r="G128" s="29" t="n"/>
      <c r="H128" s="29" t="n"/>
      <c r="I128" s="29" t="n"/>
      <c r="J128" s="49" t="n"/>
      <c r="K128" s="51" t="n"/>
      <c r="L128" s="29" t="n"/>
      <c r="M128" s="29" t="n"/>
      <c r="N128" s="29" t="n"/>
      <c r="O128" s="29" t="n"/>
      <c r="P128" s="29" t="n"/>
      <c r="Q128" s="29" t="n"/>
      <c r="R128" s="50" t="n"/>
      <c r="S128" s="50" t="n"/>
      <c r="T128" s="29" t="n"/>
      <c r="U128" s="29" t="n"/>
      <c r="V128" s="29" t="n"/>
      <c r="W128" s="29" t="n"/>
    </row>
    <row r="129" ht="54" customHeight="1">
      <c r="A129" s="29" t="n"/>
      <c r="B129" s="29" t="n"/>
      <c r="C129" s="29" t="n"/>
      <c r="D129" s="29" t="n"/>
      <c r="E129" s="29" t="n"/>
      <c r="F129" s="29" t="n"/>
      <c r="G129" s="29" t="n"/>
      <c r="H129" s="29" t="n"/>
      <c r="I129" s="29" t="n"/>
      <c r="J129" s="49" t="n"/>
      <c r="K129" s="51" t="n"/>
      <c r="L129" s="29" t="n"/>
      <c r="M129" s="29" t="n"/>
      <c r="N129" s="29" t="n"/>
      <c r="O129" s="29" t="n"/>
      <c r="P129" s="29" t="n"/>
      <c r="Q129" s="29" t="n"/>
      <c r="R129" s="50" t="n"/>
      <c r="S129" s="50" t="n"/>
      <c r="T129" s="29" t="n"/>
      <c r="U129" s="29" t="n"/>
      <c r="V129" s="29" t="n"/>
      <c r="W129" s="29" t="n"/>
    </row>
    <row r="130" ht="54" customHeight="1">
      <c r="A130" s="29" t="n"/>
      <c r="B130" s="29" t="n"/>
      <c r="C130" s="29" t="n"/>
      <c r="D130" s="29" t="n"/>
      <c r="E130" s="29" t="n"/>
      <c r="F130" s="29" t="n"/>
      <c r="G130" s="29" t="n"/>
      <c r="H130" s="29" t="n"/>
      <c r="I130" s="29" t="n"/>
      <c r="J130" s="49" t="n"/>
      <c r="K130" s="51" t="n"/>
      <c r="L130" s="29" t="n"/>
      <c r="M130" s="29" t="n"/>
      <c r="N130" s="29" t="n"/>
      <c r="O130" s="29" t="n"/>
      <c r="P130" s="29" t="n"/>
      <c r="Q130" s="29" t="n"/>
      <c r="R130" s="50" t="n"/>
      <c r="S130" s="50" t="n"/>
      <c r="T130" s="29" t="n"/>
      <c r="U130" s="29" t="n"/>
      <c r="V130" s="29" t="n"/>
      <c r="W130" s="29" t="n"/>
    </row>
    <row r="131" ht="54" customHeight="1">
      <c r="A131" s="29" t="n"/>
      <c r="B131" s="29" t="n"/>
      <c r="C131" s="29" t="n"/>
      <c r="D131" s="29" t="n"/>
      <c r="E131" s="29" t="n"/>
      <c r="F131" s="29" t="n"/>
      <c r="G131" s="29" t="n"/>
      <c r="H131" s="29" t="n"/>
      <c r="I131" s="29" t="n"/>
      <c r="J131" s="49" t="n"/>
      <c r="K131" s="51" t="n"/>
      <c r="L131" s="29" t="n"/>
      <c r="M131" s="29" t="n"/>
      <c r="N131" s="29" t="n"/>
      <c r="O131" s="29" t="n"/>
      <c r="P131" s="29" t="n"/>
      <c r="Q131" s="29" t="n"/>
      <c r="R131" s="50" t="n"/>
      <c r="S131" s="50" t="n"/>
      <c r="T131" s="29" t="n"/>
      <c r="U131" s="29" t="n"/>
      <c r="V131" s="29" t="n"/>
      <c r="W131" s="29" t="n"/>
    </row>
    <row r="132" ht="54" customHeight="1">
      <c r="A132" s="29" t="n"/>
      <c r="B132" s="29" t="n"/>
      <c r="C132" s="29" t="n"/>
      <c r="D132" s="29" t="n"/>
      <c r="E132" s="29" t="n"/>
      <c r="F132" s="29" t="n"/>
      <c r="G132" s="29" t="n"/>
      <c r="H132" s="29" t="n"/>
      <c r="I132" s="29" t="n"/>
      <c r="J132" s="49" t="n"/>
      <c r="K132" s="51" t="n"/>
      <c r="L132" s="29" t="n"/>
      <c r="M132" s="29" t="n"/>
      <c r="N132" s="29" t="n"/>
      <c r="O132" s="29" t="n"/>
      <c r="P132" s="29" t="n"/>
      <c r="Q132" s="29" t="n"/>
      <c r="R132" s="50" t="n"/>
      <c r="S132" s="50" t="n"/>
      <c r="T132" s="29" t="n"/>
      <c r="U132" s="29" t="n"/>
      <c r="V132" s="29" t="n"/>
      <c r="W132" s="29" t="n"/>
    </row>
    <row r="133" ht="54" customHeight="1">
      <c r="A133" s="29" t="n"/>
      <c r="B133" s="29" t="n"/>
      <c r="C133" s="29" t="n"/>
      <c r="D133" s="29" t="n"/>
      <c r="E133" s="29" t="n"/>
      <c r="F133" s="29" t="n"/>
      <c r="G133" s="29" t="n"/>
      <c r="H133" s="29" t="n"/>
      <c r="I133" s="29" t="n"/>
      <c r="J133" s="49" t="n"/>
      <c r="K133" s="51" t="n"/>
      <c r="L133" s="29" t="n"/>
      <c r="M133" s="29" t="n"/>
      <c r="N133" s="29" t="n"/>
      <c r="O133" s="29" t="n"/>
      <c r="P133" s="29" t="n"/>
      <c r="Q133" s="29" t="n"/>
      <c r="R133" s="50" t="n"/>
      <c r="S133" s="50" t="n"/>
      <c r="T133" s="29" t="n"/>
      <c r="U133" s="29" t="n"/>
      <c r="V133" s="29" t="n"/>
      <c r="W133" s="29" t="n"/>
    </row>
    <row r="134" ht="54" customHeight="1">
      <c r="A134" s="29" t="n"/>
      <c r="B134" s="29" t="n"/>
      <c r="C134" s="29" t="n"/>
      <c r="D134" s="29" t="n"/>
      <c r="E134" s="29" t="n"/>
      <c r="F134" s="29" t="n"/>
      <c r="G134" s="29" t="n"/>
      <c r="H134" s="29" t="n"/>
      <c r="I134" s="29" t="n"/>
      <c r="J134" s="49" t="n"/>
      <c r="K134" s="51" t="n"/>
      <c r="L134" s="29" t="n"/>
      <c r="M134" s="29" t="n"/>
      <c r="N134" s="29" t="n"/>
      <c r="O134" s="29" t="n"/>
      <c r="P134" s="29" t="n"/>
      <c r="Q134" s="29" t="n"/>
      <c r="R134" s="50" t="n"/>
      <c r="S134" s="50" t="n"/>
      <c r="T134" s="29" t="n"/>
      <c r="U134" s="29" t="n"/>
      <c r="V134" s="29" t="n"/>
      <c r="W134" s="29" t="n"/>
    </row>
    <row r="135" ht="54" customHeight="1">
      <c r="A135" s="29" t="n"/>
      <c r="B135" s="29" t="n"/>
      <c r="C135" s="29" t="n"/>
      <c r="D135" s="29" t="n"/>
      <c r="E135" s="29" t="n"/>
      <c r="F135" s="29" t="n"/>
      <c r="G135" s="29" t="n"/>
      <c r="H135" s="29" t="n"/>
      <c r="I135" s="29" t="n"/>
      <c r="J135" s="49" t="n"/>
      <c r="K135" s="51" t="n"/>
      <c r="L135" s="29" t="n"/>
      <c r="M135" s="29" t="n"/>
      <c r="N135" s="29" t="n"/>
      <c r="O135" s="29" t="n"/>
      <c r="P135" s="29" t="n"/>
      <c r="Q135" s="29" t="n"/>
      <c r="R135" s="50" t="n"/>
      <c r="S135" s="50" t="n"/>
      <c r="T135" s="29" t="n"/>
      <c r="U135" s="29" t="n"/>
      <c r="V135" s="29" t="n"/>
      <c r="W135" s="29" t="n"/>
    </row>
    <row r="136" ht="54" customHeight="1">
      <c r="A136" s="29" t="n"/>
      <c r="B136" s="29" t="n"/>
      <c r="C136" s="29" t="n"/>
      <c r="D136" s="29" t="n"/>
      <c r="E136" s="29" t="n"/>
      <c r="F136" s="29" t="n"/>
      <c r="G136" s="29" t="n"/>
      <c r="H136" s="29" t="n"/>
      <c r="I136" s="29" t="n"/>
      <c r="J136" s="49" t="n"/>
      <c r="K136" s="51" t="n"/>
      <c r="L136" s="29" t="n"/>
      <c r="M136" s="29" t="n"/>
      <c r="N136" s="29" t="n"/>
      <c r="O136" s="29" t="n"/>
      <c r="P136" s="29" t="n"/>
      <c r="Q136" s="29" t="n"/>
      <c r="R136" s="50" t="n"/>
      <c r="S136" s="50" t="n"/>
      <c r="T136" s="29" t="n"/>
      <c r="U136" s="29" t="n"/>
      <c r="V136" s="29" t="n"/>
      <c r="W136" s="29" t="n"/>
    </row>
    <row r="137" ht="54" customHeight="1">
      <c r="A137" s="29" t="n"/>
      <c r="B137" s="29" t="n"/>
      <c r="C137" s="29" t="n"/>
      <c r="D137" s="29" t="n"/>
      <c r="E137" s="29" t="n"/>
      <c r="F137" s="29" t="n"/>
      <c r="G137" s="29" t="n"/>
      <c r="H137" s="29" t="n"/>
      <c r="I137" s="29" t="n"/>
      <c r="J137" s="49" t="n"/>
      <c r="K137" s="51" t="n"/>
      <c r="L137" s="29" t="n"/>
      <c r="M137" s="29" t="n"/>
      <c r="N137" s="29" t="n"/>
      <c r="O137" s="29" t="n"/>
      <c r="P137" s="29" t="n"/>
      <c r="Q137" s="29" t="n"/>
      <c r="R137" s="50" t="n"/>
      <c r="S137" s="50" t="n"/>
      <c r="T137" s="29" t="n"/>
      <c r="U137" s="29" t="n"/>
      <c r="V137" s="29" t="n"/>
      <c r="W137" s="29" t="n"/>
    </row>
    <row r="138" ht="54" customHeight="1">
      <c r="A138" s="29" t="n"/>
      <c r="B138" s="29" t="n"/>
      <c r="C138" s="29" t="n"/>
      <c r="D138" s="29" t="n"/>
      <c r="E138" s="29" t="n"/>
      <c r="F138" s="29" t="n"/>
      <c r="G138" s="29" t="n"/>
      <c r="H138" s="29" t="n"/>
      <c r="I138" s="29" t="n"/>
      <c r="J138" s="49" t="n"/>
      <c r="K138" s="51" t="n"/>
      <c r="L138" s="29" t="n"/>
      <c r="M138" s="29" t="n"/>
      <c r="N138" s="29" t="n"/>
      <c r="O138" s="29" t="n"/>
      <c r="P138" s="29" t="n"/>
      <c r="Q138" s="29" t="n"/>
      <c r="R138" s="50" t="n"/>
      <c r="S138" s="50" t="n"/>
      <c r="T138" s="29" t="n"/>
      <c r="U138" s="29" t="n"/>
      <c r="V138" s="29" t="n"/>
      <c r="W138" s="29" t="n"/>
    </row>
    <row r="139" ht="54" customHeight="1">
      <c r="A139" s="29" t="n"/>
      <c r="B139" s="29" t="n"/>
      <c r="C139" s="29" t="n"/>
      <c r="D139" s="29" t="n"/>
      <c r="E139" s="29" t="n"/>
      <c r="F139" s="29" t="n"/>
      <c r="G139" s="29" t="n"/>
      <c r="H139" s="29" t="n"/>
      <c r="I139" s="29" t="n"/>
      <c r="J139" s="49" t="n"/>
      <c r="K139" s="51" t="n"/>
      <c r="L139" s="29" t="n"/>
      <c r="M139" s="29" t="n"/>
      <c r="N139" s="29" t="n"/>
      <c r="O139" s="29" t="n"/>
      <c r="P139" s="29" t="n"/>
      <c r="Q139" s="29" t="n"/>
      <c r="R139" s="50" t="n"/>
      <c r="S139" s="50" t="n"/>
      <c r="T139" s="29" t="n"/>
      <c r="U139" s="29" t="n"/>
      <c r="V139" s="29" t="n"/>
      <c r="W139" s="29" t="n"/>
    </row>
    <row r="140" ht="54" customHeight="1">
      <c r="A140" s="29" t="n"/>
      <c r="B140" s="29" t="n"/>
      <c r="C140" s="29" t="n"/>
      <c r="D140" s="29" t="n"/>
      <c r="E140" s="29" t="n"/>
      <c r="F140" s="29" t="n"/>
      <c r="G140" s="29" t="n"/>
      <c r="H140" s="29" t="n"/>
      <c r="I140" s="29" t="n"/>
      <c r="J140" s="49" t="n"/>
      <c r="K140" s="51" t="n"/>
      <c r="L140" s="29" t="n"/>
      <c r="M140" s="29" t="n"/>
      <c r="N140" s="29" t="n"/>
      <c r="O140" s="29" t="n"/>
      <c r="P140" s="29" t="n"/>
      <c r="Q140" s="29" t="n"/>
      <c r="R140" s="50" t="n"/>
      <c r="S140" s="50" t="n"/>
      <c r="T140" s="29" t="n"/>
      <c r="U140" s="29" t="n"/>
      <c r="V140" s="29" t="n"/>
      <c r="W140" s="29" t="n"/>
    </row>
    <row r="141" ht="54" customHeight="1">
      <c r="A141" s="29" t="n"/>
      <c r="B141" s="29" t="n"/>
      <c r="C141" s="29" t="n"/>
      <c r="D141" s="29" t="n"/>
      <c r="E141" s="29" t="n"/>
      <c r="F141" s="29" t="n"/>
      <c r="G141" s="29" t="n"/>
      <c r="H141" s="29" t="n"/>
      <c r="I141" s="29" t="n"/>
      <c r="J141" s="49" t="n"/>
      <c r="K141" s="51" t="n"/>
      <c r="L141" s="29" t="n"/>
      <c r="M141" s="29" t="n"/>
      <c r="N141" s="29" t="n"/>
      <c r="O141" s="29" t="n"/>
      <c r="P141" s="29" t="n"/>
      <c r="Q141" s="29" t="n"/>
      <c r="R141" s="50" t="n"/>
      <c r="S141" s="50" t="n"/>
      <c r="T141" s="29" t="n"/>
      <c r="U141" s="29" t="n"/>
      <c r="V141" s="29" t="n"/>
      <c r="W141" s="29" t="n"/>
    </row>
    <row r="142" ht="54" customHeight="1">
      <c r="A142" s="29" t="n"/>
      <c r="B142" s="29" t="n"/>
      <c r="C142" s="29" t="n"/>
      <c r="D142" s="29" t="n"/>
      <c r="E142" s="29" t="n"/>
      <c r="F142" s="29" t="n"/>
      <c r="G142" s="29" t="n"/>
      <c r="H142" s="29" t="n"/>
      <c r="I142" s="29" t="n"/>
      <c r="J142" s="49" t="n"/>
      <c r="K142" s="51" t="n"/>
      <c r="L142" s="29" t="n"/>
      <c r="M142" s="29" t="n"/>
      <c r="N142" s="29" t="n"/>
      <c r="O142" s="29" t="n"/>
      <c r="P142" s="29" t="n"/>
      <c r="Q142" s="29" t="n"/>
      <c r="R142" s="50" t="n"/>
      <c r="S142" s="50" t="n"/>
      <c r="T142" s="29" t="n"/>
      <c r="U142" s="29" t="n"/>
      <c r="V142" s="29" t="n"/>
      <c r="W142" s="29" t="n"/>
    </row>
    <row r="143" ht="54" customHeight="1">
      <c r="A143" s="29" t="n"/>
      <c r="B143" s="29" t="n"/>
      <c r="C143" s="29" t="n"/>
      <c r="D143" s="29" t="n"/>
      <c r="E143" s="29" t="n"/>
      <c r="F143" s="29" t="n"/>
      <c r="G143" s="29" t="n"/>
      <c r="H143" s="29" t="n"/>
      <c r="I143" s="29" t="n"/>
      <c r="J143" s="49" t="n"/>
      <c r="K143" s="51" t="n"/>
      <c r="L143" s="29" t="n"/>
      <c r="M143" s="29" t="n"/>
      <c r="N143" s="29" t="n"/>
      <c r="O143" s="29" t="n"/>
      <c r="P143" s="29" t="n"/>
      <c r="Q143" s="29" t="n"/>
      <c r="R143" s="50" t="n"/>
      <c r="S143" s="50" t="n"/>
      <c r="T143" s="29" t="n"/>
      <c r="U143" s="29" t="n"/>
      <c r="V143" s="29" t="n"/>
      <c r="W143" s="29" t="n"/>
    </row>
    <row r="144" ht="54" customHeight="1">
      <c r="A144" s="29" t="n"/>
      <c r="B144" s="29" t="n"/>
      <c r="C144" s="29" t="n"/>
      <c r="D144" s="29" t="n"/>
      <c r="E144" s="29" t="n"/>
      <c r="F144" s="29" t="n"/>
      <c r="G144" s="29" t="n"/>
      <c r="H144" s="29" t="n"/>
      <c r="I144" s="29" t="n"/>
      <c r="J144" s="49" t="n"/>
      <c r="K144" s="51" t="n"/>
      <c r="L144" s="29" t="n"/>
      <c r="M144" s="29" t="n"/>
      <c r="N144" s="29" t="n"/>
      <c r="O144" s="29" t="n"/>
      <c r="P144" s="29" t="n"/>
      <c r="Q144" s="29" t="n"/>
      <c r="R144" s="50" t="n"/>
      <c r="S144" s="50" t="n"/>
      <c r="T144" s="29" t="n"/>
      <c r="U144" s="29" t="n"/>
      <c r="V144" s="29" t="n"/>
      <c r="W144" s="29" t="n"/>
    </row>
    <row r="145" ht="54" customHeight="1">
      <c r="A145" s="29" t="n"/>
      <c r="B145" s="29" t="n"/>
      <c r="C145" s="29" t="n"/>
      <c r="D145" s="29" t="n"/>
      <c r="E145" s="29" t="n"/>
      <c r="F145" s="29" t="n"/>
      <c r="G145" s="29" t="n"/>
      <c r="H145" s="29" t="n"/>
      <c r="I145" s="29" t="n"/>
      <c r="J145" s="49" t="n"/>
      <c r="K145" s="51" t="n"/>
      <c r="L145" s="29" t="n"/>
      <c r="M145" s="29" t="n"/>
      <c r="N145" s="29" t="n"/>
      <c r="O145" s="29" t="n"/>
      <c r="P145" s="29" t="n"/>
      <c r="Q145" s="29" t="n"/>
      <c r="R145" s="50" t="n"/>
      <c r="S145" s="50" t="n"/>
      <c r="T145" s="29" t="n"/>
      <c r="U145" s="29" t="n"/>
      <c r="V145" s="29" t="n"/>
      <c r="W145" s="29" t="n"/>
    </row>
    <row r="146" ht="54" customHeight="1">
      <c r="A146" s="29" t="n"/>
      <c r="B146" s="29" t="n"/>
      <c r="C146" s="29" t="n"/>
      <c r="D146" s="29" t="n"/>
      <c r="E146" s="29" t="n"/>
      <c r="F146" s="29" t="n"/>
      <c r="G146" s="29" t="n"/>
      <c r="H146" s="29" t="n"/>
      <c r="I146" s="29" t="n"/>
      <c r="J146" s="49" t="n"/>
      <c r="K146" s="51" t="n"/>
      <c r="L146" s="29" t="n"/>
      <c r="M146" s="29" t="n"/>
      <c r="N146" s="29" t="n"/>
      <c r="O146" s="29" t="n"/>
      <c r="P146" s="29" t="n"/>
      <c r="Q146" s="29" t="n"/>
      <c r="R146" s="50" t="n"/>
      <c r="S146" s="50" t="n"/>
      <c r="T146" s="29" t="n"/>
      <c r="U146" s="29" t="n"/>
      <c r="V146" s="29" t="n"/>
      <c r="W146" s="29" t="n"/>
    </row>
    <row r="147" ht="54" customHeight="1">
      <c r="A147" s="29" t="n"/>
      <c r="B147" s="29" t="n"/>
      <c r="C147" s="29" t="n"/>
      <c r="D147" s="29" t="n"/>
      <c r="E147" s="29" t="n"/>
      <c r="F147" s="29" t="n"/>
      <c r="G147" s="29" t="n"/>
      <c r="H147" s="29" t="n"/>
      <c r="I147" s="29" t="n"/>
      <c r="J147" s="49" t="n"/>
      <c r="K147" s="51" t="n"/>
      <c r="L147" s="29" t="n"/>
      <c r="M147" s="29" t="n"/>
      <c r="N147" s="29" t="n"/>
      <c r="O147" s="29" t="n"/>
      <c r="P147" s="29" t="n"/>
      <c r="Q147" s="29" t="n"/>
      <c r="R147" s="50" t="n"/>
      <c r="S147" s="50" t="n"/>
      <c r="T147" s="29" t="n"/>
      <c r="U147" s="29" t="n"/>
      <c r="V147" s="29" t="n"/>
      <c r="W147" s="29" t="n"/>
    </row>
    <row r="148" ht="54" customHeight="1">
      <c r="A148" s="29" t="n"/>
      <c r="B148" s="29" t="n"/>
      <c r="C148" s="29" t="n"/>
      <c r="D148" s="29" t="n"/>
      <c r="E148" s="29" t="n"/>
      <c r="F148" s="29" t="n"/>
      <c r="G148" s="29" t="n"/>
      <c r="H148" s="29" t="n"/>
      <c r="I148" s="29" t="n"/>
      <c r="J148" s="49" t="n"/>
      <c r="K148" s="51" t="n"/>
      <c r="L148" s="29" t="n"/>
      <c r="M148" s="29" t="n"/>
      <c r="N148" s="29" t="n"/>
      <c r="O148" s="29" t="n"/>
      <c r="P148" s="29" t="n"/>
      <c r="Q148" s="29" t="n"/>
      <c r="R148" s="50" t="n"/>
      <c r="S148" s="50" t="n"/>
      <c r="T148" s="29" t="n"/>
      <c r="U148" s="29" t="n"/>
      <c r="V148" s="29" t="n"/>
      <c r="W148" s="29" t="n"/>
    </row>
    <row r="149" ht="54" customHeight="1">
      <c r="A149" s="29" t="n"/>
      <c r="B149" s="29" t="n"/>
      <c r="C149" s="29" t="n"/>
      <c r="D149" s="29" t="n"/>
      <c r="E149" s="29" t="n"/>
      <c r="F149" s="29" t="n"/>
      <c r="G149" s="29" t="n"/>
      <c r="H149" s="29" t="n"/>
      <c r="I149" s="29" t="n"/>
      <c r="J149" s="49" t="n"/>
      <c r="K149" s="51" t="n"/>
      <c r="L149" s="29" t="n"/>
      <c r="M149" s="29" t="n"/>
      <c r="N149" s="29" t="n"/>
      <c r="O149" s="29" t="n"/>
      <c r="P149" s="29" t="n"/>
      <c r="Q149" s="29" t="n"/>
      <c r="R149" s="50" t="n"/>
      <c r="S149" s="50" t="n"/>
      <c r="T149" s="29" t="n"/>
      <c r="U149" s="29" t="n"/>
      <c r="V149" s="29" t="n"/>
      <c r="W149" s="29" t="n"/>
    </row>
    <row r="150" ht="54" customHeight="1">
      <c r="A150" s="29" t="n"/>
      <c r="B150" s="29" t="n"/>
      <c r="C150" s="29" t="n"/>
      <c r="D150" s="29" t="n"/>
      <c r="E150" s="29" t="n"/>
      <c r="F150" s="29" t="n"/>
      <c r="G150" s="29" t="n"/>
      <c r="H150" s="29" t="n"/>
      <c r="I150" s="29" t="n"/>
      <c r="J150" s="49" t="n"/>
      <c r="K150" s="51" t="n"/>
      <c r="L150" s="29" t="n"/>
      <c r="M150" s="29" t="n"/>
      <c r="N150" s="29" t="n"/>
      <c r="O150" s="29" t="n"/>
      <c r="P150" s="29" t="n"/>
      <c r="Q150" s="29" t="n"/>
      <c r="R150" s="50" t="n"/>
      <c r="S150" s="50" t="n"/>
      <c r="T150" s="29" t="n"/>
      <c r="U150" s="29" t="n"/>
      <c r="V150" s="29" t="n"/>
      <c r="W150" s="29" t="n"/>
    </row>
    <row r="151" ht="54" customHeight="1">
      <c r="A151" s="29" t="n"/>
      <c r="B151" s="29" t="n"/>
      <c r="C151" s="29" t="n"/>
      <c r="D151" s="29" t="n"/>
      <c r="E151" s="29" t="n"/>
      <c r="F151" s="29" t="n"/>
      <c r="G151" s="29" t="n"/>
      <c r="H151" s="29" t="n"/>
      <c r="I151" s="29" t="n"/>
      <c r="J151" s="49" t="n"/>
      <c r="K151" s="51" t="n"/>
      <c r="L151" s="29" t="n"/>
      <c r="M151" s="29" t="n"/>
      <c r="N151" s="29" t="n"/>
      <c r="O151" s="29" t="n"/>
      <c r="P151" s="29" t="n"/>
      <c r="Q151" s="29" t="n"/>
      <c r="R151" s="50" t="n"/>
      <c r="S151" s="50" t="n"/>
      <c r="T151" s="29" t="n"/>
      <c r="U151" s="29" t="n"/>
      <c r="V151" s="29" t="n"/>
      <c r="W151" s="29" t="n"/>
    </row>
    <row r="152" ht="54" customHeight="1">
      <c r="A152" s="29" t="n"/>
      <c r="B152" s="29" t="n"/>
      <c r="C152" s="29" t="n"/>
      <c r="D152" s="29" t="n"/>
      <c r="E152" s="29" t="n"/>
      <c r="F152" s="29" t="n"/>
      <c r="G152" s="29" t="n"/>
      <c r="H152" s="29" t="n"/>
      <c r="I152" s="29" t="n"/>
      <c r="J152" s="49" t="n"/>
      <c r="K152" s="51" t="n"/>
      <c r="L152" s="29" t="n"/>
      <c r="M152" s="29" t="n"/>
      <c r="N152" s="29" t="n"/>
      <c r="O152" s="29" t="n"/>
      <c r="P152" s="29" t="n"/>
      <c r="Q152" s="29" t="n"/>
      <c r="R152" s="50" t="n"/>
      <c r="S152" s="50" t="n"/>
      <c r="T152" s="29" t="n"/>
      <c r="U152" s="29" t="n"/>
      <c r="V152" s="29" t="n"/>
      <c r="W152" s="29" t="n"/>
    </row>
    <row r="153" ht="54" customHeight="1">
      <c r="A153" s="29" t="n"/>
      <c r="B153" s="29" t="n"/>
      <c r="C153" s="29" t="n"/>
      <c r="D153" s="29" t="n"/>
      <c r="E153" s="29" t="n"/>
      <c r="F153" s="29" t="n"/>
      <c r="G153" s="29" t="n"/>
      <c r="H153" s="29" t="n"/>
      <c r="I153" s="29" t="n"/>
      <c r="J153" s="49" t="n"/>
      <c r="K153" s="51" t="n"/>
      <c r="L153" s="29" t="n"/>
      <c r="M153" s="29" t="n"/>
      <c r="N153" s="29" t="n"/>
      <c r="O153" s="29" t="n"/>
      <c r="P153" s="29" t="n"/>
      <c r="Q153" s="29" t="n"/>
      <c r="R153" s="50" t="n"/>
      <c r="S153" s="50" t="n"/>
      <c r="T153" s="29" t="n"/>
      <c r="U153" s="29" t="n"/>
      <c r="V153" s="29" t="n"/>
      <c r="W153" s="29" t="n"/>
    </row>
    <row r="154" ht="54" customHeight="1">
      <c r="A154" s="29" t="n"/>
      <c r="B154" s="29" t="n"/>
      <c r="C154" s="29" t="n"/>
      <c r="D154" s="29" t="n"/>
      <c r="E154" s="29" t="n"/>
      <c r="F154" s="29" t="n"/>
      <c r="G154" s="29" t="n"/>
      <c r="H154" s="29" t="n"/>
      <c r="I154" s="29" t="n"/>
      <c r="J154" s="49" t="n"/>
      <c r="K154" s="51" t="n"/>
      <c r="L154" s="29" t="n"/>
      <c r="M154" s="29" t="n"/>
      <c r="N154" s="29" t="n"/>
      <c r="O154" s="29" t="n"/>
      <c r="P154" s="29" t="n"/>
      <c r="Q154" s="29" t="n"/>
      <c r="R154" s="50" t="n"/>
      <c r="S154" s="50" t="n"/>
      <c r="T154" s="29" t="n"/>
      <c r="U154" s="29" t="n"/>
      <c r="V154" s="29" t="n"/>
      <c r="W154" s="29" t="n"/>
    </row>
    <row r="155" ht="54" customHeight="1">
      <c r="A155" s="29" t="n"/>
      <c r="B155" s="29" t="n"/>
      <c r="C155" s="29" t="n"/>
      <c r="D155" s="29" t="n"/>
      <c r="E155" s="29" t="n"/>
      <c r="F155" s="29" t="n"/>
      <c r="G155" s="29" t="n"/>
      <c r="H155" s="29" t="n"/>
      <c r="I155" s="29" t="n"/>
      <c r="J155" s="49" t="n"/>
      <c r="K155" s="51" t="n"/>
      <c r="L155" s="29" t="n"/>
      <c r="M155" s="29" t="n"/>
      <c r="N155" s="29" t="n"/>
      <c r="O155" s="29" t="n"/>
      <c r="P155" s="29" t="n"/>
      <c r="Q155" s="29" t="n"/>
      <c r="R155" s="50" t="n"/>
      <c r="S155" s="50" t="n"/>
      <c r="T155" s="29" t="n"/>
      <c r="U155" s="29" t="n"/>
      <c r="V155" s="29" t="n"/>
      <c r="W155" s="29" t="n"/>
    </row>
    <row r="156" ht="54" customHeight="1">
      <c r="A156" s="29" t="n"/>
      <c r="B156" s="29" t="n"/>
      <c r="C156" s="29" t="n"/>
      <c r="D156" s="29" t="n"/>
      <c r="E156" s="29" t="n"/>
      <c r="F156" s="29" t="n"/>
      <c r="G156" s="29" t="n"/>
      <c r="H156" s="29" t="n"/>
      <c r="I156" s="29" t="n"/>
      <c r="J156" s="49" t="n"/>
      <c r="K156" s="51" t="n"/>
      <c r="L156" s="29" t="n"/>
      <c r="M156" s="29" t="n"/>
      <c r="N156" s="29" t="n"/>
      <c r="O156" s="29" t="n"/>
      <c r="P156" s="29" t="n"/>
      <c r="Q156" s="29" t="n"/>
      <c r="R156" s="50" t="n"/>
      <c r="S156" s="50" t="n"/>
      <c r="T156" s="29" t="n"/>
      <c r="U156" s="29" t="n"/>
      <c r="V156" s="29" t="n"/>
      <c r="W156" s="29" t="n"/>
    </row>
    <row r="157" ht="54" customHeight="1">
      <c r="A157" s="29" t="n"/>
      <c r="B157" s="29" t="n"/>
      <c r="C157" s="29" t="n"/>
      <c r="D157" s="29" t="n"/>
      <c r="E157" s="29" t="n"/>
      <c r="F157" s="29" t="n"/>
      <c r="G157" s="29" t="n"/>
      <c r="H157" s="29" t="n"/>
      <c r="I157" s="29" t="n"/>
      <c r="J157" s="49" t="n"/>
      <c r="K157" s="51" t="n"/>
      <c r="L157" s="29" t="n"/>
      <c r="M157" s="29" t="n"/>
      <c r="N157" s="29" t="n"/>
      <c r="O157" s="29" t="n"/>
      <c r="P157" s="29" t="n"/>
      <c r="Q157" s="29" t="n"/>
      <c r="R157" s="50" t="n"/>
      <c r="S157" s="50" t="n"/>
      <c r="T157" s="29" t="n"/>
      <c r="U157" s="29" t="n"/>
      <c r="V157" s="29" t="n"/>
      <c r="W157" s="29" t="n"/>
    </row>
    <row r="158" ht="54" customHeight="1">
      <c r="A158" s="29" t="n"/>
      <c r="B158" s="29" t="n"/>
      <c r="C158" s="29" t="n"/>
      <c r="D158" s="29" t="n"/>
      <c r="E158" s="29" t="n"/>
      <c r="F158" s="29" t="n"/>
      <c r="G158" s="29" t="n"/>
      <c r="H158" s="29" t="n"/>
      <c r="I158" s="29" t="n"/>
      <c r="J158" s="49" t="n"/>
      <c r="K158" s="51" t="n"/>
      <c r="L158" s="29" t="n"/>
      <c r="M158" s="29" t="n"/>
      <c r="N158" s="29" t="n"/>
      <c r="O158" s="29" t="n"/>
      <c r="P158" s="29" t="n"/>
      <c r="Q158" s="29" t="n"/>
      <c r="R158" s="50" t="n"/>
      <c r="S158" s="50" t="n"/>
      <c r="T158" s="29" t="n"/>
      <c r="U158" s="29" t="n"/>
      <c r="V158" s="29" t="n"/>
      <c r="W158" s="29" t="n"/>
    </row>
    <row r="159" ht="54" customHeight="1">
      <c r="A159" s="29" t="n"/>
      <c r="B159" s="29" t="n"/>
      <c r="C159" s="29" t="n"/>
      <c r="D159" s="29" t="n"/>
      <c r="E159" s="29" t="n"/>
      <c r="F159" s="29" t="n"/>
      <c r="G159" s="29" t="n"/>
      <c r="H159" s="29" t="n"/>
      <c r="I159" s="29" t="n"/>
      <c r="J159" s="49" t="n"/>
      <c r="K159" s="51" t="n"/>
      <c r="L159" s="29" t="n"/>
      <c r="M159" s="29" t="n"/>
      <c r="N159" s="29" t="n"/>
      <c r="O159" s="29" t="n"/>
      <c r="P159" s="29" t="n"/>
      <c r="Q159" s="29" t="n"/>
      <c r="R159" s="50" t="n"/>
      <c r="S159" s="50" t="n"/>
      <c r="T159" s="29" t="n"/>
      <c r="U159" s="29" t="n"/>
      <c r="V159" s="29" t="n"/>
      <c r="W159" s="29" t="n"/>
    </row>
    <row r="160" ht="54" customHeight="1">
      <c r="A160" s="29" t="n"/>
      <c r="B160" s="29" t="n"/>
      <c r="C160" s="29" t="n"/>
      <c r="D160" s="29" t="n"/>
      <c r="E160" s="29" t="n"/>
      <c r="F160" s="29" t="n"/>
      <c r="G160" s="29" t="n"/>
      <c r="H160" s="29" t="n"/>
      <c r="I160" s="29" t="n"/>
      <c r="J160" s="49" t="n"/>
      <c r="K160" s="51" t="n"/>
      <c r="L160" s="29" t="n"/>
      <c r="M160" s="29" t="n"/>
      <c r="N160" s="29" t="n"/>
      <c r="O160" s="29" t="n"/>
      <c r="P160" s="29" t="n"/>
      <c r="Q160" s="29" t="n"/>
      <c r="R160" s="50" t="n"/>
      <c r="S160" s="50" t="n"/>
      <c r="T160" s="29" t="n"/>
      <c r="U160" s="29" t="n"/>
      <c r="V160" s="29" t="n"/>
      <c r="W160" s="29" t="n"/>
    </row>
    <row r="161" ht="54" customHeight="1">
      <c r="A161" s="29" t="n"/>
      <c r="B161" s="29" t="n"/>
      <c r="C161" s="29" t="n"/>
      <c r="D161" s="29" t="n"/>
      <c r="E161" s="29" t="n"/>
      <c r="F161" s="29" t="n"/>
      <c r="G161" s="29" t="n"/>
      <c r="H161" s="29" t="n"/>
      <c r="I161" s="29" t="n"/>
      <c r="J161" s="49" t="n"/>
      <c r="K161" s="51" t="n"/>
      <c r="L161" s="29" t="n"/>
      <c r="M161" s="29" t="n"/>
      <c r="N161" s="29" t="n"/>
      <c r="O161" s="29" t="n"/>
      <c r="P161" s="29" t="n"/>
      <c r="Q161" s="29" t="n"/>
      <c r="R161" s="50" t="n"/>
      <c r="S161" s="50" t="n"/>
      <c r="T161" s="29" t="n"/>
      <c r="U161" s="29" t="n"/>
      <c r="V161" s="29" t="n"/>
      <c r="W161" s="29" t="n"/>
    </row>
    <row r="162" ht="54" customHeight="1">
      <c r="A162" s="29" t="n"/>
      <c r="B162" s="29" t="n"/>
      <c r="C162" s="29" t="n"/>
      <c r="D162" s="29" t="n"/>
      <c r="E162" s="29" t="n"/>
      <c r="F162" s="29" t="n"/>
      <c r="G162" s="29" t="n"/>
      <c r="H162" s="29" t="n"/>
      <c r="I162" s="29" t="n"/>
      <c r="J162" s="49" t="n"/>
      <c r="K162" s="51" t="n"/>
      <c r="L162" s="29" t="n"/>
      <c r="M162" s="29" t="n"/>
      <c r="N162" s="29" t="n"/>
      <c r="O162" s="29" t="n"/>
      <c r="P162" s="29" t="n"/>
      <c r="Q162" s="29" t="n"/>
      <c r="R162" s="50" t="n"/>
      <c r="S162" s="50" t="n"/>
      <c r="T162" s="29" t="n"/>
      <c r="U162" s="29" t="n"/>
      <c r="V162" s="29" t="n"/>
      <c r="W162" s="29" t="n"/>
    </row>
    <row r="163" ht="54" customHeight="1">
      <c r="A163" s="29" t="n"/>
      <c r="B163" s="29" t="n"/>
      <c r="C163" s="29" t="n"/>
      <c r="D163" s="29" t="n"/>
      <c r="E163" s="29" t="n"/>
      <c r="F163" s="29" t="n"/>
      <c r="G163" s="29" t="n"/>
      <c r="H163" s="29" t="n"/>
      <c r="I163" s="29" t="n"/>
      <c r="J163" s="49" t="n"/>
      <c r="K163" s="51" t="n"/>
      <c r="L163" s="29" t="n"/>
      <c r="M163" s="29" t="n"/>
      <c r="N163" s="29" t="n"/>
      <c r="O163" s="29" t="n"/>
      <c r="P163" s="29" t="n"/>
      <c r="Q163" s="29" t="n"/>
      <c r="R163" s="50" t="n"/>
      <c r="S163" s="50" t="n"/>
      <c r="T163" s="29" t="n"/>
      <c r="U163" s="29" t="n"/>
      <c r="V163" s="29" t="n"/>
      <c r="W163" s="29" t="n"/>
    </row>
    <row r="164" ht="54" customHeight="1">
      <c r="A164" s="29" t="n"/>
      <c r="B164" s="29" t="n"/>
      <c r="C164" s="29" t="n"/>
      <c r="D164" s="29" t="n"/>
      <c r="E164" s="29" t="n"/>
      <c r="F164" s="29" t="n"/>
      <c r="G164" s="29" t="n"/>
      <c r="H164" s="29" t="n"/>
      <c r="I164" s="29" t="n"/>
      <c r="J164" s="49" t="n"/>
      <c r="K164" s="51" t="n"/>
      <c r="L164" s="29" t="n"/>
      <c r="M164" s="29" t="n"/>
      <c r="N164" s="29" t="n"/>
      <c r="O164" s="29" t="n"/>
      <c r="P164" s="29" t="n"/>
      <c r="Q164" s="29" t="n"/>
      <c r="R164" s="50" t="n"/>
      <c r="S164" s="50" t="n"/>
      <c r="T164" s="29" t="n"/>
      <c r="U164" s="29" t="n"/>
      <c r="V164" s="29" t="n"/>
      <c r="W164" s="29" t="n"/>
    </row>
    <row r="165" ht="54" customHeight="1">
      <c r="A165" s="29" t="n"/>
      <c r="B165" s="29" t="n"/>
      <c r="C165" s="29" t="n"/>
      <c r="D165" s="29" t="n"/>
      <c r="E165" s="29" t="n"/>
      <c r="F165" s="29" t="n"/>
      <c r="G165" s="29" t="n"/>
      <c r="H165" s="29" t="n"/>
      <c r="I165" s="29" t="n"/>
      <c r="J165" s="49" t="n"/>
      <c r="K165" s="51" t="n"/>
      <c r="L165" s="29" t="n"/>
      <c r="M165" s="29" t="n"/>
      <c r="N165" s="29" t="n"/>
      <c r="O165" s="29" t="n"/>
      <c r="P165" s="29" t="n"/>
      <c r="Q165" s="29" t="n"/>
      <c r="R165" s="50" t="n"/>
      <c r="S165" s="50" t="n"/>
      <c r="T165" s="29" t="n"/>
      <c r="U165" s="29" t="n"/>
      <c r="V165" s="29" t="n"/>
      <c r="W165" s="29" t="n"/>
    </row>
    <row r="166" ht="54" customHeight="1">
      <c r="A166" s="29" t="n"/>
      <c r="B166" s="29" t="n"/>
      <c r="C166" s="29" t="n"/>
      <c r="D166" s="29" t="n"/>
      <c r="E166" s="29" t="n"/>
      <c r="F166" s="29" t="n"/>
      <c r="G166" s="29" t="n"/>
      <c r="H166" s="29" t="n"/>
      <c r="I166" s="29" t="n"/>
      <c r="J166" s="49" t="n"/>
      <c r="K166" s="51" t="n"/>
      <c r="L166" s="29" t="n"/>
      <c r="M166" s="29" t="n"/>
      <c r="N166" s="29" t="n"/>
      <c r="O166" s="29" t="n"/>
      <c r="P166" s="29" t="n"/>
      <c r="Q166" s="29" t="n"/>
      <c r="R166" s="50" t="n"/>
      <c r="S166" s="50" t="n"/>
      <c r="T166" s="29" t="n"/>
      <c r="U166" s="29" t="n"/>
      <c r="V166" s="29" t="n"/>
      <c r="W166" s="29" t="n"/>
    </row>
    <row r="167" ht="54" customHeight="1">
      <c r="A167" s="29" t="n"/>
      <c r="B167" s="29" t="n"/>
      <c r="C167" s="29" t="n"/>
      <c r="D167" s="29" t="n"/>
      <c r="E167" s="29" t="n"/>
      <c r="F167" s="29" t="n"/>
      <c r="G167" s="29" t="n"/>
      <c r="H167" s="29" t="n"/>
      <c r="I167" s="29" t="n"/>
      <c r="J167" s="49" t="n"/>
      <c r="K167" s="51" t="n"/>
      <c r="L167" s="29" t="n"/>
      <c r="M167" s="29" t="n"/>
      <c r="N167" s="29" t="n"/>
      <c r="O167" s="29" t="n"/>
      <c r="P167" s="29" t="n"/>
      <c r="Q167" s="29" t="n"/>
      <c r="R167" s="50" t="n"/>
      <c r="S167" s="50" t="n"/>
      <c r="T167" s="29" t="n"/>
      <c r="U167" s="29" t="n"/>
      <c r="V167" s="29" t="n"/>
      <c r="W167" s="29" t="n"/>
    </row>
    <row r="168" ht="54" customHeight="1">
      <c r="A168" s="29" t="n"/>
      <c r="B168" s="29" t="n"/>
      <c r="C168" s="29" t="n"/>
      <c r="D168" s="29" t="n"/>
      <c r="E168" s="29" t="n"/>
      <c r="F168" s="29" t="n"/>
      <c r="G168" s="29" t="n"/>
      <c r="H168" s="29" t="n"/>
      <c r="I168" s="29" t="n"/>
      <c r="J168" s="49" t="n"/>
      <c r="K168" s="51" t="n"/>
      <c r="L168" s="29" t="n"/>
      <c r="M168" s="29" t="n"/>
      <c r="N168" s="29" t="n"/>
      <c r="O168" s="29" t="n"/>
      <c r="P168" s="29" t="n"/>
      <c r="Q168" s="29" t="n"/>
      <c r="R168" s="50" t="n"/>
      <c r="S168" s="50" t="n"/>
      <c r="T168" s="29" t="n"/>
      <c r="U168" s="29" t="n"/>
      <c r="V168" s="29" t="n"/>
      <c r="W168" s="29" t="n"/>
    </row>
    <row r="169" ht="54" customHeight="1">
      <c r="A169" s="29" t="n"/>
      <c r="B169" s="29" t="n"/>
      <c r="C169" s="29" t="n"/>
      <c r="D169" s="29" t="n"/>
      <c r="E169" s="29" t="n"/>
      <c r="F169" s="29" t="n"/>
      <c r="G169" s="29" t="n"/>
      <c r="H169" s="29" t="n"/>
      <c r="I169" s="29" t="n"/>
      <c r="J169" s="49" t="n"/>
      <c r="K169" s="51" t="n"/>
      <c r="L169" s="29" t="n"/>
      <c r="M169" s="29" t="n"/>
      <c r="N169" s="29" t="n"/>
      <c r="O169" s="29" t="n"/>
      <c r="P169" s="29" t="n"/>
      <c r="Q169" s="29" t="n"/>
      <c r="R169" s="50" t="n"/>
      <c r="S169" s="50" t="n"/>
      <c r="T169" s="29" t="n"/>
      <c r="U169" s="29" t="n"/>
      <c r="V169" s="29" t="n"/>
      <c r="W169" s="29" t="n"/>
    </row>
    <row r="170" ht="54" customHeight="1">
      <c r="A170" s="29" t="n"/>
      <c r="B170" s="29" t="n"/>
      <c r="C170" s="29" t="n"/>
      <c r="D170" s="29" t="n"/>
      <c r="E170" s="29" t="n"/>
      <c r="F170" s="29" t="n"/>
      <c r="G170" s="29" t="n"/>
      <c r="H170" s="29" t="n"/>
      <c r="I170" s="29" t="n"/>
      <c r="J170" s="49" t="n"/>
      <c r="K170" s="51" t="n"/>
      <c r="L170" s="29" t="n"/>
      <c r="M170" s="29" t="n"/>
      <c r="N170" s="29" t="n"/>
      <c r="O170" s="29" t="n"/>
      <c r="P170" s="29" t="n"/>
      <c r="Q170" s="29" t="n"/>
      <c r="R170" s="50" t="n"/>
      <c r="S170" s="50" t="n"/>
      <c r="T170" s="29" t="n"/>
      <c r="U170" s="29" t="n"/>
      <c r="V170" s="29" t="n"/>
      <c r="W170" s="29" t="n"/>
    </row>
    <row r="171" ht="54" customHeight="1">
      <c r="A171" s="29" t="n"/>
      <c r="B171" s="29" t="n"/>
      <c r="C171" s="29" t="n"/>
      <c r="D171" s="29" t="n"/>
      <c r="E171" s="29" t="n"/>
      <c r="F171" s="29" t="n"/>
      <c r="G171" s="29" t="n"/>
      <c r="H171" s="29" t="n"/>
      <c r="I171" s="29" t="n"/>
      <c r="J171" s="49" t="n"/>
      <c r="K171" s="51" t="n"/>
      <c r="L171" s="29" t="n"/>
      <c r="M171" s="29" t="n"/>
      <c r="N171" s="29" t="n"/>
      <c r="O171" s="29" t="n"/>
      <c r="P171" s="29" t="n"/>
      <c r="Q171" s="29" t="n"/>
      <c r="R171" s="50" t="n"/>
      <c r="S171" s="50" t="n"/>
      <c r="T171" s="29" t="n"/>
      <c r="U171" s="29" t="n"/>
      <c r="V171" s="29" t="n"/>
      <c r="W171" s="29" t="n"/>
    </row>
    <row r="172" ht="54" customHeight="1">
      <c r="A172" s="29" t="n"/>
      <c r="B172" s="29" t="n"/>
      <c r="C172" s="29" t="n"/>
      <c r="D172" s="29" t="n"/>
      <c r="E172" s="29" t="n"/>
      <c r="F172" s="29" t="n"/>
      <c r="G172" s="29" t="n"/>
      <c r="H172" s="29" t="n"/>
      <c r="I172" s="29" t="n"/>
      <c r="J172" s="49" t="n"/>
      <c r="K172" s="51" t="n"/>
      <c r="L172" s="29" t="n"/>
      <c r="M172" s="29" t="n"/>
      <c r="N172" s="29" t="n"/>
      <c r="O172" s="29" t="n"/>
      <c r="P172" s="29" t="n"/>
      <c r="Q172" s="29" t="n"/>
      <c r="R172" s="50" t="n"/>
      <c r="S172" s="50" t="n"/>
      <c r="T172" s="29" t="n"/>
      <c r="U172" s="29" t="n"/>
      <c r="V172" s="29" t="n"/>
      <c r="W172" s="29" t="n"/>
    </row>
    <row r="173" ht="54" customHeight="1">
      <c r="A173" s="29" t="n"/>
      <c r="B173" s="29" t="n"/>
      <c r="C173" s="29" t="n"/>
      <c r="D173" s="29" t="n"/>
      <c r="E173" s="29" t="n"/>
      <c r="F173" s="29" t="n"/>
      <c r="G173" s="29" t="n"/>
      <c r="H173" s="29" t="n"/>
      <c r="I173" s="29" t="n"/>
      <c r="J173" s="49" t="n"/>
      <c r="K173" s="51" t="n"/>
      <c r="L173" s="29" t="n"/>
      <c r="M173" s="29" t="n"/>
      <c r="N173" s="29" t="n"/>
      <c r="O173" s="29" t="n"/>
      <c r="P173" s="29" t="n"/>
      <c r="Q173" s="29" t="n"/>
      <c r="R173" s="50" t="n"/>
      <c r="S173" s="50" t="n"/>
      <c r="T173" s="29" t="n"/>
      <c r="U173" s="29" t="n"/>
      <c r="V173" s="29" t="n"/>
      <c r="W173" s="29" t="n"/>
    </row>
    <row r="174" ht="54" customHeight="1">
      <c r="A174" s="29" t="n"/>
      <c r="B174" s="29" t="n"/>
      <c r="C174" s="29" t="n"/>
      <c r="D174" s="29" t="n"/>
      <c r="E174" s="29" t="n"/>
      <c r="F174" s="29" t="n"/>
      <c r="G174" s="29" t="n"/>
      <c r="H174" s="29" t="n"/>
      <c r="I174" s="29" t="n"/>
      <c r="J174" s="49" t="n"/>
      <c r="K174" s="51" t="n"/>
      <c r="L174" s="29" t="n"/>
      <c r="M174" s="29" t="n"/>
      <c r="N174" s="29" t="n"/>
      <c r="O174" s="29" t="n"/>
      <c r="P174" s="29" t="n"/>
      <c r="Q174" s="29" t="n"/>
      <c r="R174" s="50" t="n"/>
      <c r="S174" s="50" t="n"/>
      <c r="T174" s="29" t="n"/>
      <c r="U174" s="29" t="n"/>
      <c r="V174" s="29" t="n"/>
      <c r="W174" s="29" t="n"/>
    </row>
    <row r="175" ht="54" customHeight="1">
      <c r="A175" s="29" t="n"/>
      <c r="B175" s="29" t="n"/>
      <c r="C175" s="29" t="n"/>
      <c r="D175" s="29" t="n"/>
      <c r="E175" s="29" t="n"/>
      <c r="F175" s="29" t="n"/>
      <c r="G175" s="29" t="n"/>
      <c r="H175" s="29" t="n"/>
      <c r="I175" s="29" t="n"/>
      <c r="J175" s="49" t="n"/>
      <c r="K175" s="51" t="n"/>
      <c r="L175" s="29" t="n"/>
      <c r="M175" s="29" t="n"/>
      <c r="N175" s="29" t="n"/>
      <c r="O175" s="29" t="n"/>
      <c r="P175" s="29" t="n"/>
      <c r="Q175" s="29" t="n"/>
      <c r="R175" s="50" t="n"/>
      <c r="S175" s="50" t="n"/>
      <c r="T175" s="29" t="n"/>
      <c r="U175" s="29" t="n"/>
      <c r="V175" s="29" t="n"/>
      <c r="W175" s="29" t="n"/>
    </row>
    <row r="176" ht="54" customHeight="1">
      <c r="A176" s="29" t="n"/>
      <c r="B176" s="29" t="n"/>
      <c r="C176" s="29" t="n"/>
      <c r="D176" s="29" t="n"/>
      <c r="E176" s="29" t="n"/>
      <c r="F176" s="29" t="n"/>
      <c r="G176" s="29" t="n"/>
      <c r="H176" s="29" t="n"/>
      <c r="I176" s="29" t="n"/>
      <c r="J176" s="49" t="n"/>
      <c r="K176" s="51" t="n"/>
      <c r="L176" s="29" t="n"/>
      <c r="M176" s="29" t="n"/>
      <c r="N176" s="29" t="n"/>
      <c r="O176" s="29" t="n"/>
      <c r="P176" s="29" t="n"/>
      <c r="Q176" s="29" t="n"/>
      <c r="R176" s="50" t="n"/>
      <c r="S176" s="50" t="n"/>
      <c r="T176" s="29" t="n"/>
      <c r="U176" s="29" t="n"/>
      <c r="V176" s="29" t="n"/>
      <c r="W176" s="29" t="n"/>
    </row>
    <row r="177" ht="54" customHeight="1">
      <c r="A177" s="29" t="n"/>
      <c r="B177" s="29" t="n"/>
      <c r="C177" s="29" t="n"/>
      <c r="D177" s="29" t="n"/>
      <c r="E177" s="29" t="n"/>
      <c r="F177" s="29" t="n"/>
      <c r="G177" s="29" t="n"/>
      <c r="H177" s="29" t="n"/>
      <c r="I177" s="29" t="n"/>
      <c r="J177" s="49" t="n"/>
      <c r="K177" s="51" t="n"/>
      <c r="L177" s="29" t="n"/>
      <c r="M177" s="29" t="n"/>
      <c r="N177" s="29" t="n"/>
      <c r="O177" s="29" t="n"/>
      <c r="P177" s="29" t="n"/>
      <c r="Q177" s="29" t="n"/>
      <c r="R177" s="50" t="n"/>
      <c r="S177" s="50" t="n"/>
      <c r="T177" s="29" t="n"/>
      <c r="U177" s="29" t="n"/>
      <c r="V177" s="29" t="n"/>
      <c r="W177" s="29" t="n"/>
    </row>
    <row r="178" ht="54" customHeight="1">
      <c r="A178" s="29" t="n"/>
      <c r="B178" s="29" t="n"/>
      <c r="C178" s="29" t="n"/>
      <c r="D178" s="29" t="n"/>
      <c r="E178" s="29" t="n"/>
      <c r="F178" s="29" t="n"/>
      <c r="G178" s="29" t="n"/>
      <c r="H178" s="29" t="n"/>
      <c r="I178" s="29" t="n"/>
      <c r="J178" s="49" t="n"/>
      <c r="K178" s="51" t="n"/>
      <c r="L178" s="29" t="n"/>
      <c r="M178" s="29" t="n"/>
      <c r="N178" s="29" t="n"/>
      <c r="O178" s="29" t="n"/>
      <c r="P178" s="29" t="n"/>
      <c r="Q178" s="29" t="n"/>
      <c r="R178" s="50" t="n"/>
      <c r="S178" s="50" t="n"/>
      <c r="T178" s="29" t="n"/>
      <c r="U178" s="29" t="n"/>
      <c r="V178" s="29" t="n"/>
      <c r="W178" s="29" t="n"/>
    </row>
    <row r="179" ht="54" customHeight="1">
      <c r="A179" s="29" t="n"/>
      <c r="B179" s="29" t="n"/>
      <c r="C179" s="29" t="n"/>
      <c r="D179" s="29" t="n"/>
      <c r="E179" s="29" t="n"/>
      <c r="F179" s="29" t="n"/>
      <c r="G179" s="29" t="n"/>
      <c r="H179" s="29" t="n"/>
      <c r="I179" s="29" t="n"/>
      <c r="J179" s="49" t="n"/>
      <c r="K179" s="51" t="n"/>
      <c r="L179" s="29" t="n"/>
      <c r="M179" s="29" t="n"/>
      <c r="N179" s="29" t="n"/>
      <c r="O179" s="29" t="n"/>
      <c r="P179" s="29" t="n"/>
      <c r="Q179" s="29" t="n"/>
      <c r="R179" s="50" t="n"/>
      <c r="S179" s="50" t="n"/>
      <c r="T179" s="29" t="n"/>
      <c r="U179" s="29" t="n"/>
      <c r="V179" s="29" t="n"/>
      <c r="W179" s="29" t="n"/>
    </row>
    <row r="180" ht="54" customHeight="1">
      <c r="A180" s="29" t="n"/>
      <c r="B180" s="29" t="n"/>
      <c r="C180" s="29" t="n"/>
      <c r="D180" s="29" t="n"/>
      <c r="E180" s="29" t="n"/>
      <c r="F180" s="29" t="n"/>
      <c r="G180" s="29" t="n"/>
      <c r="H180" s="29" t="n"/>
      <c r="I180" s="29" t="n"/>
      <c r="J180" s="49" t="n"/>
      <c r="K180" s="51" t="n"/>
      <c r="L180" s="29" t="n"/>
      <c r="M180" s="29" t="n"/>
      <c r="N180" s="29" t="n"/>
      <c r="O180" s="29" t="n"/>
      <c r="P180" s="29" t="n"/>
      <c r="Q180" s="29" t="n"/>
      <c r="R180" s="50" t="n"/>
      <c r="S180" s="50" t="n"/>
      <c r="T180" s="29" t="n"/>
      <c r="U180" s="29" t="n"/>
      <c r="V180" s="29" t="n"/>
      <c r="W180" s="29" t="n"/>
    </row>
    <row r="181" ht="54" customHeight="1">
      <c r="A181" s="29" t="n"/>
      <c r="B181" s="29" t="n"/>
      <c r="C181" s="29" t="n"/>
      <c r="D181" s="29" t="n"/>
      <c r="E181" s="29" t="n"/>
      <c r="F181" s="29" t="n"/>
      <c r="G181" s="29" t="n"/>
      <c r="H181" s="29" t="n"/>
      <c r="I181" s="29" t="n"/>
      <c r="J181" s="49" t="n"/>
      <c r="K181" s="51" t="n"/>
      <c r="L181" s="29" t="n"/>
      <c r="M181" s="29" t="n"/>
      <c r="N181" s="29" t="n"/>
      <c r="O181" s="29" t="n"/>
      <c r="P181" s="29" t="n"/>
      <c r="Q181" s="29" t="n"/>
      <c r="R181" s="50" t="n"/>
      <c r="S181" s="50" t="n"/>
      <c r="T181" s="29" t="n"/>
      <c r="U181" s="29" t="n"/>
      <c r="V181" s="29" t="n"/>
      <c r="W181" s="29" t="n"/>
    </row>
    <row r="182" ht="54" customHeight="1">
      <c r="A182" s="29" t="n"/>
      <c r="B182" s="29" t="n"/>
      <c r="C182" s="29" t="n"/>
      <c r="D182" s="29" t="n"/>
      <c r="E182" s="29" t="n"/>
      <c r="F182" s="29" t="n"/>
      <c r="G182" s="29" t="n"/>
      <c r="H182" s="29" t="n"/>
      <c r="I182" s="29" t="n"/>
      <c r="J182" s="49" t="n"/>
      <c r="K182" s="51" t="n"/>
      <c r="L182" s="29" t="n"/>
      <c r="M182" s="29" t="n"/>
      <c r="N182" s="29" t="n"/>
      <c r="O182" s="29" t="n"/>
      <c r="P182" s="29" t="n"/>
      <c r="Q182" s="29" t="n"/>
      <c r="R182" s="50" t="n"/>
      <c r="S182" s="50" t="n"/>
      <c r="T182" s="29" t="n"/>
      <c r="U182" s="29" t="n"/>
      <c r="V182" s="29" t="n"/>
      <c r="W182" s="29" t="n"/>
    </row>
    <row r="183" ht="54" customHeight="1">
      <c r="A183" s="29" t="n"/>
      <c r="B183" s="29" t="n"/>
      <c r="C183" s="29" t="n"/>
      <c r="D183" s="29" t="n"/>
      <c r="E183" s="29" t="n"/>
      <c r="F183" s="29" t="n"/>
      <c r="G183" s="29" t="n"/>
      <c r="H183" s="29" t="n"/>
      <c r="I183" s="29" t="n"/>
      <c r="J183" s="49" t="n"/>
      <c r="K183" s="51" t="n"/>
      <c r="L183" s="29" t="n"/>
      <c r="M183" s="29" t="n"/>
      <c r="N183" s="29" t="n"/>
      <c r="O183" s="29" t="n"/>
      <c r="P183" s="29" t="n"/>
      <c r="Q183" s="29" t="n"/>
      <c r="R183" s="50" t="n"/>
      <c r="S183" s="50" t="n"/>
      <c r="T183" s="29" t="n"/>
      <c r="U183" s="29" t="n"/>
      <c r="V183" s="29" t="n"/>
      <c r="W183" s="29" t="n"/>
    </row>
    <row r="184" ht="54" customHeight="1">
      <c r="A184" s="29" t="n"/>
      <c r="B184" s="29" t="n"/>
      <c r="C184" s="29" t="n"/>
      <c r="D184" s="29" t="n"/>
      <c r="E184" s="29" t="n"/>
      <c r="F184" s="29" t="n"/>
      <c r="G184" s="29" t="n"/>
      <c r="H184" s="29" t="n"/>
      <c r="I184" s="29" t="n"/>
      <c r="J184" s="49" t="n"/>
      <c r="K184" s="51" t="n"/>
      <c r="L184" s="29" t="n"/>
      <c r="M184" s="29" t="n"/>
      <c r="N184" s="29" t="n"/>
      <c r="O184" s="29" t="n"/>
      <c r="P184" s="29" t="n"/>
      <c r="Q184" s="29" t="n"/>
      <c r="R184" s="50" t="n"/>
      <c r="S184" s="50" t="n"/>
      <c r="T184" s="29" t="n"/>
      <c r="U184" s="29" t="n"/>
      <c r="V184" s="29" t="n"/>
      <c r="W184" s="29" t="n"/>
    </row>
    <row r="185" ht="54" customHeight="1">
      <c r="A185" s="29" t="n"/>
      <c r="B185" s="29" t="n"/>
      <c r="C185" s="29" t="n"/>
      <c r="D185" s="29" t="n"/>
      <c r="E185" s="29" t="n"/>
      <c r="F185" s="29" t="n"/>
      <c r="G185" s="29" t="n"/>
      <c r="H185" s="29" t="n"/>
      <c r="I185" s="29" t="n"/>
      <c r="J185" s="49" t="n"/>
      <c r="K185" s="51" t="n"/>
      <c r="L185" s="29" t="n"/>
      <c r="M185" s="29" t="n"/>
      <c r="N185" s="29" t="n"/>
      <c r="O185" s="29" t="n"/>
      <c r="P185" s="29" t="n"/>
      <c r="Q185" s="29" t="n"/>
      <c r="R185" s="50" t="n"/>
      <c r="S185" s="50" t="n"/>
      <c r="T185" s="29" t="n"/>
      <c r="U185" s="29" t="n"/>
      <c r="V185" s="29" t="n"/>
      <c r="W185" s="29" t="n"/>
    </row>
    <row r="186" ht="54" customHeight="1">
      <c r="A186" s="29" t="n"/>
      <c r="B186" s="29" t="n"/>
      <c r="C186" s="29" t="n"/>
      <c r="D186" s="29" t="n"/>
      <c r="E186" s="29" t="n"/>
      <c r="F186" s="29" t="n"/>
      <c r="G186" s="29" t="n"/>
      <c r="H186" s="29" t="n"/>
      <c r="I186" s="29" t="n"/>
      <c r="J186" s="49" t="n"/>
      <c r="K186" s="51" t="n"/>
      <c r="L186" s="29" t="n"/>
      <c r="M186" s="29" t="n"/>
      <c r="N186" s="29" t="n"/>
      <c r="O186" s="29" t="n"/>
      <c r="P186" s="29" t="n"/>
      <c r="Q186" s="29" t="n"/>
      <c r="R186" s="50" t="n"/>
      <c r="S186" s="50" t="n"/>
      <c r="T186" s="29" t="n"/>
      <c r="U186" s="29" t="n"/>
      <c r="V186" s="29" t="n"/>
      <c r="W186" s="29" t="n"/>
    </row>
    <row r="187" ht="54" customHeight="1">
      <c r="A187" s="29" t="n"/>
      <c r="B187" s="29" t="n"/>
      <c r="C187" s="29" t="n"/>
      <c r="D187" s="29" t="n"/>
      <c r="E187" s="29" t="n"/>
      <c r="F187" s="29" t="n"/>
      <c r="G187" s="29" t="n"/>
      <c r="H187" s="29" t="n"/>
      <c r="I187" s="29" t="n"/>
      <c r="J187" s="49" t="n"/>
      <c r="K187" s="51" t="n"/>
      <c r="L187" s="29" t="n"/>
      <c r="M187" s="29" t="n"/>
      <c r="N187" s="29" t="n"/>
      <c r="O187" s="29" t="n"/>
      <c r="P187" s="29" t="n"/>
      <c r="Q187" s="29" t="n"/>
      <c r="R187" s="50" t="n"/>
      <c r="S187" s="50" t="n"/>
      <c r="T187" s="29" t="n"/>
      <c r="U187" s="29" t="n"/>
      <c r="V187" s="29" t="n"/>
      <c r="W187" s="29" t="n"/>
    </row>
  </sheetData>
  <mergeCells count="1">
    <mergeCell ref="A3:H3"/>
  </mergeCells>
  <conditionalFormatting sqref="A8:A187">
    <cfRule type="expression" priority="1" dxfId="1">
      <formula>AND($A8&lt;&gt;"",ISBLANK(A8))</formula>
    </cfRule>
  </conditionalFormatting>
  <conditionalFormatting sqref="B8:B187">
    <cfRule type="expression" priority="2" dxfId="1">
      <formula>AND($A8&lt;&gt;"",ISBLANK(B8))</formula>
    </cfRule>
  </conditionalFormatting>
  <conditionalFormatting sqref="C8:C187">
    <cfRule type="expression" priority="3" dxfId="1">
      <formula>AND($A8&lt;&gt;"",ISBLANK(C8))</formula>
    </cfRule>
  </conditionalFormatting>
  <conditionalFormatting sqref="D8:D187">
    <cfRule type="expression" priority="4" dxfId="1">
      <formula>AND($A8&lt;&gt;"",ISBLANK(D8))</formula>
    </cfRule>
  </conditionalFormatting>
  <conditionalFormatting sqref="F8:F187">
    <cfRule type="expression" priority="5" dxfId="1">
      <formula>AND($A8&lt;&gt;"",ISBLANK(F8))</formula>
    </cfRule>
  </conditionalFormatting>
  <conditionalFormatting sqref="I8:I187">
    <cfRule type="expression" priority="6" dxfId="1">
      <formula>AND($A8&lt;&gt;"",ISBLANK(I8))</formula>
    </cfRule>
  </conditionalFormatting>
  <conditionalFormatting sqref="J8:J187">
    <cfRule type="expression" priority="7" dxfId="1">
      <formula>AND($A8&lt;&gt;"",ISBLANK(J8))</formula>
    </cfRule>
  </conditionalFormatting>
  <conditionalFormatting sqref="K8:K187">
    <cfRule type="expression" priority="8" dxfId="1">
      <formula>AND($A8&lt;&gt;"",ISBLANK(K8))</formula>
    </cfRule>
  </conditionalFormatting>
  <conditionalFormatting sqref="L8:L187">
    <cfRule type="expression" priority="9" dxfId="1">
      <formula>AND($A8&lt;&gt;"",ISBLANK(L8))</formula>
    </cfRule>
  </conditionalFormatting>
  <conditionalFormatting sqref="M8:M187">
    <cfRule type="expression" priority="10" dxfId="1">
      <formula>AND($A8&lt;&gt;"",ISBLANK(M8))</formula>
    </cfRule>
  </conditionalFormatting>
  <conditionalFormatting sqref="N8:N187">
    <cfRule type="expression" priority="11" dxfId="1">
      <formula>AND($A8&lt;&gt;"",ISBLANK(N8))</formula>
    </cfRule>
  </conditionalFormatting>
  <conditionalFormatting sqref="O8:O187">
    <cfRule type="expression" priority="12" dxfId="1">
      <formula>AND($A8&lt;&gt;"",ISBLANK(O8))</formula>
    </cfRule>
  </conditionalFormatting>
  <conditionalFormatting sqref="P8:P187">
    <cfRule type="expression" priority="13" dxfId="1">
      <formula>AND($A8&lt;&gt;"",ISBLANK(P8))</formula>
    </cfRule>
  </conditionalFormatting>
  <conditionalFormatting sqref="Q8:Q187">
    <cfRule type="expression" priority="14" dxfId="1">
      <formula>AND($A8&lt;&gt;"",ISBLANK(Q8))</formula>
    </cfRule>
  </conditionalFormatting>
  <conditionalFormatting sqref="V8:V187">
    <cfRule type="expression" priority="15" dxfId="1">
      <formula>AND($A8&lt;&gt;"",ISBLANK(V8))</formula>
    </cfRule>
  </conditionalFormatting>
  <dataValidations count="5">
    <dataValidation sqref="L8:L187" showDropDown="0" showInputMessage="0" showErrorMessage="0" allowBlank="0" type="list">
      <formula1>"Evet,Hayır"</formula1>
    </dataValidation>
    <dataValidation sqref="M8:M187" showDropDown="0" showInputMessage="0" showErrorMessage="0" allowBlank="0" type="list">
      <formula1>"Taslak,İnceleme,Düzeltme,Onaylandı"</formula1>
    </dataValidation>
    <dataValidation sqref="N8:N187" showDropDown="0" showInputMessage="0" showErrorMessage="0" allowBlank="0" type="list">
      <formula1>"Müzeler,Sanat ve sergiler,Sahne ve müzik,Spor,Doğa ve açık hava,Çocuklarla keşif,Yeme ve içme,Tarih ve mimari"</formula1>
    </dataValidation>
    <dataValidation sqref="P8:P187" showDropDown="0" showInputMessage="0" showErrorMessage="0" allowBlank="0" type="list">
      <formula1>"Kapalı alan,Açık hava,Karma"</formula1>
    </dataValidation>
    <dataValidation sqref="V8:V18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48" customWidth="1" min="16" max="16"/>
    <col width="58" customWidth="1" min="17" max="17"/>
    <col width="28" customWidth="1" min="18" max="18"/>
  </cols>
  <sheetData>
    <row r="1" ht="30" customHeight="1">
      <c r="A1" s="2" t="n"/>
      <c r="B1" s="2" t="n"/>
      <c r="C1" s="2" t="n"/>
      <c r="D1" s="2" t="n"/>
      <c r="E1" s="2" t="n"/>
      <c r="F1" s="2" t="n"/>
      <c r="G1" s="2" t="n"/>
      <c r="H1" s="2" t="n"/>
      <c r="I1" s="2" t="n"/>
      <c r="J1" s="2" t="n"/>
      <c r="K1" s="2" t="n"/>
      <c r="L1" s="2" t="n"/>
      <c r="M1" s="2" t="n"/>
      <c r="N1" s="2" t="n"/>
      <c r="O1" s="2" t="n"/>
      <c r="P1" s="2" t="n"/>
      <c r="Q1" s="2" t="n"/>
      <c r="R1" s="2" t="n"/>
    </row>
    <row r="2" ht="30" customHeight="1">
      <c r="A2" s="19" t="inlineStr">
        <is>
          <t>Corteqs · Mahalle ve yerel bölge</t>
        </is>
      </c>
      <c r="B2" s="2" t="n"/>
      <c r="C2" s="2" t="n"/>
      <c r="D2" s="2" t="n"/>
      <c r="E2" s="2" t="n"/>
      <c r="F2" s="2" t="n"/>
      <c r="G2" s="2" t="n"/>
      <c r="H2" s="2" t="n"/>
      <c r="I2" s="2" t="n"/>
      <c r="J2" s="2" t="n"/>
      <c r="K2" s="2" t="n"/>
      <c r="L2" s="2" t="n"/>
      <c r="M2" s="2" t="n"/>
      <c r="N2" s="2" t="n"/>
      <c r="O2" s="2" t="n"/>
      <c r="P2" s="2" t="n"/>
      <c r="Q2" s="2" t="n"/>
      <c r="R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row>
    <row r="4" ht="30" customHeight="1">
      <c r="A4" s="21" t="n"/>
      <c r="B4" s="21" t="n"/>
      <c r="C4" s="21" t="n"/>
      <c r="D4" s="21" t="n"/>
      <c r="E4" s="21" t="n"/>
      <c r="F4" s="21" t="n"/>
      <c r="G4" s="21" t="n"/>
      <c r="H4" s="21" t="n"/>
      <c r="I4" s="21" t="n"/>
      <c r="J4" s="21" t="n"/>
      <c r="K4" s="21" t="n"/>
      <c r="L4" s="21" t="n"/>
      <c r="M4" s="21" t="n"/>
      <c r="N4" s="21" t="n"/>
      <c r="O4" s="21" t="n"/>
      <c r="P4" s="21" t="n"/>
      <c r="Q4" s="21" t="n"/>
      <c r="R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İsteğe bağlı · alt satır</t>
        </is>
      </c>
      <c r="P5" s="22" t="inlineStr">
        <is>
          <t>İsteğe bağlı · JSON</t>
        </is>
      </c>
      <c r="Q5" s="22" t="inlineStr">
        <is>
          <t>İsteğe bağlı</t>
        </is>
      </c>
      <c r="R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Yer / konum</t>
        </is>
      </c>
      <c r="O6" s="25" t="inlineStr">
        <is>
          <t>Öne çıkan özellikler</t>
        </is>
      </c>
      <c r="P6" s="25" t="inlineStr">
        <is>
          <t>Karşılaştırma alanları (JSON)</t>
        </is>
      </c>
      <c r="Q6" s="25" t="inlineStr">
        <is>
          <t>Yaşam ve ev seçimi notu</t>
        </is>
      </c>
      <c r="R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location</t>
        </is>
      </c>
      <c r="O7" s="28" t="inlineStr">
        <is>
          <t>tags</t>
        </is>
      </c>
      <c r="P7" s="28" t="inlineStr">
        <is>
          <t>compare_json</t>
        </is>
      </c>
      <c r="Q7" s="28" t="inlineStr">
        <is>
          <t>note</t>
        </is>
      </c>
      <c r="R7" s="28" t="inlineStr">
        <is>
          <t>media_key</t>
        </is>
      </c>
    </row>
    <row r="8" ht="54" customHeight="1">
      <c r="A8" s="29" t="n"/>
      <c r="B8" s="29" t="n"/>
      <c r="C8" s="29" t="n"/>
      <c r="D8" s="29" t="n"/>
      <c r="E8" s="29" t="n"/>
      <c r="F8" s="29" t="n"/>
      <c r="G8" s="29" t="n"/>
      <c r="H8" s="29" t="n"/>
      <c r="I8" s="29" t="n"/>
      <c r="J8" s="49" t="n"/>
      <c r="K8" s="51" t="n"/>
      <c r="L8" s="29" t="n"/>
      <c r="M8" s="29" t="n"/>
      <c r="N8" s="29" t="n"/>
      <c r="O8" s="29" t="n"/>
      <c r="P8" s="29" t="n"/>
      <c r="Q8" s="29" t="n"/>
      <c r="R8" s="29" t="n"/>
    </row>
    <row r="9" ht="54" customHeight="1">
      <c r="A9" s="29" t="n"/>
      <c r="B9" s="29" t="n"/>
      <c r="C9" s="29" t="n"/>
      <c r="D9" s="29" t="n"/>
      <c r="E9" s="29" t="n"/>
      <c r="F9" s="29" t="n"/>
      <c r="G9" s="29" t="n"/>
      <c r="H9" s="29" t="n"/>
      <c r="I9" s="29" t="n"/>
      <c r="J9" s="49" t="n"/>
      <c r="K9" s="51" t="n"/>
      <c r="L9" s="29" t="n"/>
      <c r="M9" s="29" t="n"/>
      <c r="N9" s="29" t="n"/>
      <c r="O9" s="29" t="n"/>
      <c r="P9" s="29" t="n"/>
      <c r="Q9" s="29" t="n"/>
      <c r="R9" s="29" t="n"/>
    </row>
    <row r="10" ht="54" customHeight="1">
      <c r="A10" s="29" t="n"/>
      <c r="B10" s="29" t="n"/>
      <c r="C10" s="29" t="n"/>
      <c r="D10" s="29" t="n"/>
      <c r="E10" s="29" t="n"/>
      <c r="F10" s="29" t="n"/>
      <c r="G10" s="29" t="n"/>
      <c r="H10" s="29" t="n"/>
      <c r="I10" s="29" t="n"/>
      <c r="J10" s="49" t="n"/>
      <c r="K10" s="51" t="n"/>
      <c r="L10" s="29" t="n"/>
      <c r="M10" s="29" t="n"/>
      <c r="N10" s="29" t="n"/>
      <c r="O10" s="29" t="n"/>
      <c r="P10" s="29" t="n"/>
      <c r="Q10" s="29" t="n"/>
      <c r="R10" s="29" t="n"/>
    </row>
    <row r="11" ht="54" customHeight="1">
      <c r="A11" s="29" t="n"/>
      <c r="B11" s="29" t="n"/>
      <c r="C11" s="29" t="n"/>
      <c r="D11" s="29" t="n"/>
      <c r="E11" s="29" t="n"/>
      <c r="F11" s="29" t="n"/>
      <c r="G11" s="29" t="n"/>
      <c r="H11" s="29" t="n"/>
      <c r="I11" s="29" t="n"/>
      <c r="J11" s="49" t="n"/>
      <c r="K11" s="51" t="n"/>
      <c r="L11" s="29" t="n"/>
      <c r="M11" s="29" t="n"/>
      <c r="N11" s="29" t="n"/>
      <c r="O11" s="29" t="n"/>
      <c r="P11" s="29" t="n"/>
      <c r="Q11" s="29" t="n"/>
      <c r="R11" s="29" t="n"/>
    </row>
    <row r="12" ht="54" customHeight="1">
      <c r="A12" s="29" t="n"/>
      <c r="B12" s="29" t="n"/>
      <c r="C12" s="29" t="n"/>
      <c r="D12" s="29" t="n"/>
      <c r="E12" s="29" t="n"/>
      <c r="F12" s="29" t="n"/>
      <c r="G12" s="29" t="n"/>
      <c r="H12" s="29" t="n"/>
      <c r="I12" s="29" t="n"/>
      <c r="J12" s="49" t="n"/>
      <c r="K12" s="51" t="n"/>
      <c r="L12" s="29" t="n"/>
      <c r="M12" s="29" t="n"/>
      <c r="N12" s="29" t="n"/>
      <c r="O12" s="29" t="n"/>
      <c r="P12" s="29" t="n"/>
      <c r="Q12" s="29" t="n"/>
      <c r="R12" s="29" t="n"/>
    </row>
    <row r="13" ht="54" customHeight="1">
      <c r="A13" s="29" t="n"/>
      <c r="B13" s="29" t="n"/>
      <c r="C13" s="29" t="n"/>
      <c r="D13" s="29" t="n"/>
      <c r="E13" s="29" t="n"/>
      <c r="F13" s="29" t="n"/>
      <c r="G13" s="29" t="n"/>
      <c r="H13" s="29" t="n"/>
      <c r="I13" s="29" t="n"/>
      <c r="J13" s="49" t="n"/>
      <c r="K13" s="51" t="n"/>
      <c r="L13" s="29" t="n"/>
      <c r="M13" s="29" t="n"/>
      <c r="N13" s="29" t="n"/>
      <c r="O13" s="29" t="n"/>
      <c r="P13" s="29" t="n"/>
      <c r="Q13" s="29" t="n"/>
      <c r="R13" s="29" t="n"/>
    </row>
    <row r="14" ht="54" customHeight="1">
      <c r="A14" s="29" t="n"/>
      <c r="B14" s="29" t="n"/>
      <c r="C14" s="29" t="n"/>
      <c r="D14" s="29" t="n"/>
      <c r="E14" s="29" t="n"/>
      <c r="F14" s="29" t="n"/>
      <c r="G14" s="29" t="n"/>
      <c r="H14" s="29" t="n"/>
      <c r="I14" s="29" t="n"/>
      <c r="J14" s="49" t="n"/>
      <c r="K14" s="51" t="n"/>
      <c r="L14" s="29" t="n"/>
      <c r="M14" s="29" t="n"/>
      <c r="N14" s="29" t="n"/>
      <c r="O14" s="29" t="n"/>
      <c r="P14" s="29" t="n"/>
      <c r="Q14" s="29" t="n"/>
      <c r="R14" s="29" t="n"/>
    </row>
    <row r="15" ht="54" customHeight="1">
      <c r="A15" s="29" t="n"/>
      <c r="B15" s="29" t="n"/>
      <c r="C15" s="29" t="n"/>
      <c r="D15" s="29" t="n"/>
      <c r="E15" s="29" t="n"/>
      <c r="F15" s="29" t="n"/>
      <c r="G15" s="29" t="n"/>
      <c r="H15" s="29" t="n"/>
      <c r="I15" s="29" t="n"/>
      <c r="J15" s="49" t="n"/>
      <c r="K15" s="51" t="n"/>
      <c r="L15" s="29" t="n"/>
      <c r="M15" s="29" t="n"/>
      <c r="N15" s="29" t="n"/>
      <c r="O15" s="29" t="n"/>
      <c r="P15" s="29" t="n"/>
      <c r="Q15" s="29" t="n"/>
      <c r="R15" s="29" t="n"/>
    </row>
    <row r="16" ht="54" customHeight="1">
      <c r="A16" s="29" t="n"/>
      <c r="B16" s="29" t="n"/>
      <c r="C16" s="29" t="n"/>
      <c r="D16" s="29" t="n"/>
      <c r="E16" s="29" t="n"/>
      <c r="F16" s="29" t="n"/>
      <c r="G16" s="29" t="n"/>
      <c r="H16" s="29" t="n"/>
      <c r="I16" s="29" t="n"/>
      <c r="J16" s="49" t="n"/>
      <c r="K16" s="51" t="n"/>
      <c r="L16" s="29" t="n"/>
      <c r="M16" s="29" t="n"/>
      <c r="N16" s="29" t="n"/>
      <c r="O16" s="29" t="n"/>
      <c r="P16" s="29" t="n"/>
      <c r="Q16" s="29" t="n"/>
      <c r="R16" s="29" t="n"/>
    </row>
    <row r="17" ht="54" customHeight="1">
      <c r="A17" s="29" t="n"/>
      <c r="B17" s="29" t="n"/>
      <c r="C17" s="29" t="n"/>
      <c r="D17" s="29" t="n"/>
      <c r="E17" s="29" t="n"/>
      <c r="F17" s="29" t="n"/>
      <c r="G17" s="29" t="n"/>
      <c r="H17" s="29" t="n"/>
      <c r="I17" s="29" t="n"/>
      <c r="J17" s="49" t="n"/>
      <c r="K17" s="51" t="n"/>
      <c r="L17" s="29" t="n"/>
      <c r="M17" s="29" t="n"/>
      <c r="N17" s="29" t="n"/>
      <c r="O17" s="29" t="n"/>
      <c r="P17" s="29" t="n"/>
      <c r="Q17" s="29" t="n"/>
      <c r="R17" s="29" t="n"/>
    </row>
    <row r="18" ht="54" customHeight="1">
      <c r="A18" s="29" t="n"/>
      <c r="B18" s="29" t="n"/>
      <c r="C18" s="29" t="n"/>
      <c r="D18" s="29" t="n"/>
      <c r="E18" s="29" t="n"/>
      <c r="F18" s="29" t="n"/>
      <c r="G18" s="29" t="n"/>
      <c r="H18" s="29" t="n"/>
      <c r="I18" s="29" t="n"/>
      <c r="J18" s="49" t="n"/>
      <c r="K18" s="51" t="n"/>
      <c r="L18" s="29" t="n"/>
      <c r="M18" s="29" t="n"/>
      <c r="N18" s="29" t="n"/>
      <c r="O18" s="29" t="n"/>
      <c r="P18" s="29" t="n"/>
      <c r="Q18" s="29" t="n"/>
      <c r="R18" s="29" t="n"/>
    </row>
    <row r="19" ht="54" customHeight="1">
      <c r="A19" s="29" t="n"/>
      <c r="B19" s="29" t="n"/>
      <c r="C19" s="29" t="n"/>
      <c r="D19" s="29" t="n"/>
      <c r="E19" s="29" t="n"/>
      <c r="F19" s="29" t="n"/>
      <c r="G19" s="29" t="n"/>
      <c r="H19" s="29" t="n"/>
      <c r="I19" s="29" t="n"/>
      <c r="J19" s="49" t="n"/>
      <c r="K19" s="51" t="n"/>
      <c r="L19" s="29" t="n"/>
      <c r="M19" s="29" t="n"/>
      <c r="N19" s="29" t="n"/>
      <c r="O19" s="29" t="n"/>
      <c r="P19" s="29" t="n"/>
      <c r="Q19" s="29" t="n"/>
      <c r="R19" s="29" t="n"/>
    </row>
    <row r="20" ht="54" customHeight="1">
      <c r="A20" s="29" t="n"/>
      <c r="B20" s="29" t="n"/>
      <c r="C20" s="29" t="n"/>
      <c r="D20" s="29" t="n"/>
      <c r="E20" s="29" t="n"/>
      <c r="F20" s="29" t="n"/>
      <c r="G20" s="29" t="n"/>
      <c r="H20" s="29" t="n"/>
      <c r="I20" s="29" t="n"/>
      <c r="J20" s="49" t="n"/>
      <c r="K20" s="51" t="n"/>
      <c r="L20" s="29" t="n"/>
      <c r="M20" s="29" t="n"/>
      <c r="N20" s="29" t="n"/>
      <c r="O20" s="29" t="n"/>
      <c r="P20" s="29" t="n"/>
      <c r="Q20" s="29" t="n"/>
      <c r="R20" s="29" t="n"/>
    </row>
    <row r="21" ht="54" customHeight="1">
      <c r="A21" s="29" t="n"/>
      <c r="B21" s="29" t="n"/>
      <c r="C21" s="29" t="n"/>
      <c r="D21" s="29" t="n"/>
      <c r="E21" s="29" t="n"/>
      <c r="F21" s="29" t="n"/>
      <c r="G21" s="29" t="n"/>
      <c r="H21" s="29" t="n"/>
      <c r="I21" s="29" t="n"/>
      <c r="J21" s="49" t="n"/>
      <c r="K21" s="51" t="n"/>
      <c r="L21" s="29" t="n"/>
      <c r="M21" s="29" t="n"/>
      <c r="N21" s="29" t="n"/>
      <c r="O21" s="29" t="n"/>
      <c r="P21" s="29" t="n"/>
      <c r="Q21" s="29" t="n"/>
      <c r="R21" s="29" t="n"/>
    </row>
    <row r="22" ht="54" customHeight="1">
      <c r="A22" s="29" t="n"/>
      <c r="B22" s="29" t="n"/>
      <c r="C22" s="29" t="n"/>
      <c r="D22" s="29" t="n"/>
      <c r="E22" s="29" t="n"/>
      <c r="F22" s="29" t="n"/>
      <c r="G22" s="29" t="n"/>
      <c r="H22" s="29" t="n"/>
      <c r="I22" s="29" t="n"/>
      <c r="J22" s="49" t="n"/>
      <c r="K22" s="51" t="n"/>
      <c r="L22" s="29" t="n"/>
      <c r="M22" s="29" t="n"/>
      <c r="N22" s="29" t="n"/>
      <c r="O22" s="29" t="n"/>
      <c r="P22" s="29" t="n"/>
      <c r="Q22" s="29" t="n"/>
      <c r="R22" s="29" t="n"/>
    </row>
    <row r="23" ht="54" customHeight="1">
      <c r="A23" s="29" t="n"/>
      <c r="B23" s="29" t="n"/>
      <c r="C23" s="29" t="n"/>
      <c r="D23" s="29" t="n"/>
      <c r="E23" s="29" t="n"/>
      <c r="F23" s="29" t="n"/>
      <c r="G23" s="29" t="n"/>
      <c r="H23" s="29" t="n"/>
      <c r="I23" s="29" t="n"/>
      <c r="J23" s="49" t="n"/>
      <c r="K23" s="51" t="n"/>
      <c r="L23" s="29" t="n"/>
      <c r="M23" s="29" t="n"/>
      <c r="N23" s="29" t="n"/>
      <c r="O23" s="29" t="n"/>
      <c r="P23" s="29" t="n"/>
      <c r="Q23" s="29" t="n"/>
      <c r="R23" s="29" t="n"/>
    </row>
    <row r="24" ht="54" customHeight="1">
      <c r="A24" s="29" t="n"/>
      <c r="B24" s="29" t="n"/>
      <c r="C24" s="29" t="n"/>
      <c r="D24" s="29" t="n"/>
      <c r="E24" s="29" t="n"/>
      <c r="F24" s="29" t="n"/>
      <c r="G24" s="29" t="n"/>
      <c r="H24" s="29" t="n"/>
      <c r="I24" s="29" t="n"/>
      <c r="J24" s="49" t="n"/>
      <c r="K24" s="51" t="n"/>
      <c r="L24" s="29" t="n"/>
      <c r="M24" s="29" t="n"/>
      <c r="N24" s="29" t="n"/>
      <c r="O24" s="29" t="n"/>
      <c r="P24" s="29" t="n"/>
      <c r="Q24" s="29" t="n"/>
      <c r="R24" s="29" t="n"/>
    </row>
    <row r="25" ht="54" customHeight="1">
      <c r="A25" s="29" t="n"/>
      <c r="B25" s="29" t="n"/>
      <c r="C25" s="29" t="n"/>
      <c r="D25" s="29" t="n"/>
      <c r="E25" s="29" t="n"/>
      <c r="F25" s="29" t="n"/>
      <c r="G25" s="29" t="n"/>
      <c r="H25" s="29" t="n"/>
      <c r="I25" s="29" t="n"/>
      <c r="J25" s="49" t="n"/>
      <c r="K25" s="51" t="n"/>
      <c r="L25" s="29" t="n"/>
      <c r="M25" s="29" t="n"/>
      <c r="N25" s="29" t="n"/>
      <c r="O25" s="29" t="n"/>
      <c r="P25" s="29" t="n"/>
      <c r="Q25" s="29" t="n"/>
      <c r="R25" s="29" t="n"/>
    </row>
    <row r="26" ht="54" customHeight="1">
      <c r="A26" s="29" t="n"/>
      <c r="B26" s="29" t="n"/>
      <c r="C26" s="29" t="n"/>
      <c r="D26" s="29" t="n"/>
      <c r="E26" s="29" t="n"/>
      <c r="F26" s="29" t="n"/>
      <c r="G26" s="29" t="n"/>
      <c r="H26" s="29" t="n"/>
      <c r="I26" s="29" t="n"/>
      <c r="J26" s="49" t="n"/>
      <c r="K26" s="51" t="n"/>
      <c r="L26" s="29" t="n"/>
      <c r="M26" s="29" t="n"/>
      <c r="N26" s="29" t="n"/>
      <c r="O26" s="29" t="n"/>
      <c r="P26" s="29" t="n"/>
      <c r="Q26" s="29" t="n"/>
      <c r="R26" s="29" t="n"/>
    </row>
    <row r="27" ht="54" customHeight="1">
      <c r="A27" s="29" t="n"/>
      <c r="B27" s="29" t="n"/>
      <c r="C27" s="29" t="n"/>
      <c r="D27" s="29" t="n"/>
      <c r="E27" s="29" t="n"/>
      <c r="F27" s="29" t="n"/>
      <c r="G27" s="29" t="n"/>
      <c r="H27" s="29" t="n"/>
      <c r="I27" s="29" t="n"/>
      <c r="J27" s="49" t="n"/>
      <c r="K27" s="51" t="n"/>
      <c r="L27" s="29" t="n"/>
      <c r="M27" s="29" t="n"/>
      <c r="N27" s="29" t="n"/>
      <c r="O27" s="29" t="n"/>
      <c r="P27" s="29" t="n"/>
      <c r="Q27" s="29" t="n"/>
      <c r="R27" s="29" t="n"/>
    </row>
    <row r="28" ht="54" customHeight="1">
      <c r="A28" s="29" t="n"/>
      <c r="B28" s="29" t="n"/>
      <c r="C28" s="29" t="n"/>
      <c r="D28" s="29" t="n"/>
      <c r="E28" s="29" t="n"/>
      <c r="F28" s="29" t="n"/>
      <c r="G28" s="29" t="n"/>
      <c r="H28" s="29" t="n"/>
      <c r="I28" s="29" t="n"/>
      <c r="J28" s="49" t="n"/>
      <c r="K28" s="51" t="n"/>
      <c r="L28" s="29" t="n"/>
      <c r="M28" s="29" t="n"/>
      <c r="N28" s="29" t="n"/>
      <c r="O28" s="29" t="n"/>
      <c r="P28" s="29" t="n"/>
      <c r="Q28" s="29" t="n"/>
      <c r="R28" s="29" t="n"/>
    </row>
    <row r="29" ht="54" customHeight="1">
      <c r="A29" s="29" t="n"/>
      <c r="B29" s="29" t="n"/>
      <c r="C29" s="29" t="n"/>
      <c r="D29" s="29" t="n"/>
      <c r="E29" s="29" t="n"/>
      <c r="F29" s="29" t="n"/>
      <c r="G29" s="29" t="n"/>
      <c r="H29" s="29" t="n"/>
      <c r="I29" s="29" t="n"/>
      <c r="J29" s="49" t="n"/>
      <c r="K29" s="51" t="n"/>
      <c r="L29" s="29" t="n"/>
      <c r="M29" s="29" t="n"/>
      <c r="N29" s="29" t="n"/>
      <c r="O29" s="29" t="n"/>
      <c r="P29" s="29" t="n"/>
      <c r="Q29" s="29" t="n"/>
      <c r="R29" s="29" t="n"/>
    </row>
    <row r="30" ht="54" customHeight="1">
      <c r="A30" s="29" t="n"/>
      <c r="B30" s="29" t="n"/>
      <c r="C30" s="29" t="n"/>
      <c r="D30" s="29" t="n"/>
      <c r="E30" s="29" t="n"/>
      <c r="F30" s="29" t="n"/>
      <c r="G30" s="29" t="n"/>
      <c r="H30" s="29" t="n"/>
      <c r="I30" s="29" t="n"/>
      <c r="J30" s="49" t="n"/>
      <c r="K30" s="51" t="n"/>
      <c r="L30" s="29" t="n"/>
      <c r="M30" s="29" t="n"/>
      <c r="N30" s="29" t="n"/>
      <c r="O30" s="29" t="n"/>
      <c r="P30" s="29" t="n"/>
      <c r="Q30" s="29" t="n"/>
      <c r="R30" s="29" t="n"/>
    </row>
    <row r="31" ht="54" customHeight="1">
      <c r="A31" s="29" t="n"/>
      <c r="B31" s="29" t="n"/>
      <c r="C31" s="29" t="n"/>
      <c r="D31" s="29" t="n"/>
      <c r="E31" s="29" t="n"/>
      <c r="F31" s="29" t="n"/>
      <c r="G31" s="29" t="n"/>
      <c r="H31" s="29" t="n"/>
      <c r="I31" s="29" t="n"/>
      <c r="J31" s="49" t="n"/>
      <c r="K31" s="51" t="n"/>
      <c r="L31" s="29" t="n"/>
      <c r="M31" s="29" t="n"/>
      <c r="N31" s="29" t="n"/>
      <c r="O31" s="29" t="n"/>
      <c r="P31" s="29" t="n"/>
      <c r="Q31" s="29" t="n"/>
      <c r="R31" s="29" t="n"/>
    </row>
    <row r="32" ht="54" customHeight="1">
      <c r="A32" s="29" t="n"/>
      <c r="B32" s="29" t="n"/>
      <c r="C32" s="29" t="n"/>
      <c r="D32" s="29" t="n"/>
      <c r="E32" s="29" t="n"/>
      <c r="F32" s="29" t="n"/>
      <c r="G32" s="29" t="n"/>
      <c r="H32" s="29" t="n"/>
      <c r="I32" s="29" t="n"/>
      <c r="J32" s="49" t="n"/>
      <c r="K32" s="51" t="n"/>
      <c r="L32" s="29" t="n"/>
      <c r="M32" s="29" t="n"/>
      <c r="N32" s="29" t="n"/>
      <c r="O32" s="29" t="n"/>
      <c r="P32" s="29" t="n"/>
      <c r="Q32" s="29" t="n"/>
      <c r="R32" s="29" t="n"/>
    </row>
    <row r="33" ht="54" customHeight="1">
      <c r="A33" s="29" t="n"/>
      <c r="B33" s="29" t="n"/>
      <c r="C33" s="29" t="n"/>
      <c r="D33" s="29" t="n"/>
      <c r="E33" s="29" t="n"/>
      <c r="F33" s="29" t="n"/>
      <c r="G33" s="29" t="n"/>
      <c r="H33" s="29" t="n"/>
      <c r="I33" s="29" t="n"/>
      <c r="J33" s="49" t="n"/>
      <c r="K33" s="51" t="n"/>
      <c r="L33" s="29" t="n"/>
      <c r="M33" s="29" t="n"/>
      <c r="N33" s="29" t="n"/>
      <c r="O33" s="29" t="n"/>
      <c r="P33" s="29" t="n"/>
      <c r="Q33" s="29" t="n"/>
      <c r="R33" s="29" t="n"/>
    </row>
    <row r="34" ht="54" customHeight="1">
      <c r="A34" s="29" t="n"/>
      <c r="B34" s="29" t="n"/>
      <c r="C34" s="29" t="n"/>
      <c r="D34" s="29" t="n"/>
      <c r="E34" s="29" t="n"/>
      <c r="F34" s="29" t="n"/>
      <c r="G34" s="29" t="n"/>
      <c r="H34" s="29" t="n"/>
      <c r="I34" s="29" t="n"/>
      <c r="J34" s="49" t="n"/>
      <c r="K34" s="51" t="n"/>
      <c r="L34" s="29" t="n"/>
      <c r="M34" s="29" t="n"/>
      <c r="N34" s="29" t="n"/>
      <c r="O34" s="29" t="n"/>
      <c r="P34" s="29" t="n"/>
      <c r="Q34" s="29" t="n"/>
      <c r="R34" s="29" t="n"/>
    </row>
    <row r="35" ht="54" customHeight="1">
      <c r="A35" s="29" t="n"/>
      <c r="B35" s="29" t="n"/>
      <c r="C35" s="29" t="n"/>
      <c r="D35" s="29" t="n"/>
      <c r="E35" s="29" t="n"/>
      <c r="F35" s="29" t="n"/>
      <c r="G35" s="29" t="n"/>
      <c r="H35" s="29" t="n"/>
      <c r="I35" s="29" t="n"/>
      <c r="J35" s="49" t="n"/>
      <c r="K35" s="51" t="n"/>
      <c r="L35" s="29" t="n"/>
      <c r="M35" s="29" t="n"/>
      <c r="N35" s="29" t="n"/>
      <c r="O35" s="29" t="n"/>
      <c r="P35" s="29" t="n"/>
      <c r="Q35" s="29" t="n"/>
      <c r="R35" s="29" t="n"/>
    </row>
    <row r="36" ht="54" customHeight="1">
      <c r="A36" s="29" t="n"/>
      <c r="B36" s="29" t="n"/>
      <c r="C36" s="29" t="n"/>
      <c r="D36" s="29" t="n"/>
      <c r="E36" s="29" t="n"/>
      <c r="F36" s="29" t="n"/>
      <c r="G36" s="29" t="n"/>
      <c r="H36" s="29" t="n"/>
      <c r="I36" s="29" t="n"/>
      <c r="J36" s="49" t="n"/>
      <c r="K36" s="51" t="n"/>
      <c r="L36" s="29" t="n"/>
      <c r="M36" s="29" t="n"/>
      <c r="N36" s="29" t="n"/>
      <c r="O36" s="29" t="n"/>
      <c r="P36" s="29" t="n"/>
      <c r="Q36" s="29" t="n"/>
      <c r="R36" s="29" t="n"/>
    </row>
    <row r="37" ht="54" customHeight="1">
      <c r="A37" s="29" t="n"/>
      <c r="B37" s="29" t="n"/>
      <c r="C37" s="29" t="n"/>
      <c r="D37" s="29" t="n"/>
      <c r="E37" s="29" t="n"/>
      <c r="F37" s="29" t="n"/>
      <c r="G37" s="29" t="n"/>
      <c r="H37" s="29" t="n"/>
      <c r="I37" s="29" t="n"/>
      <c r="J37" s="49" t="n"/>
      <c r="K37" s="51" t="n"/>
      <c r="L37" s="29" t="n"/>
      <c r="M37" s="29" t="n"/>
      <c r="N37" s="29" t="n"/>
      <c r="O37" s="29" t="n"/>
      <c r="P37" s="29" t="n"/>
      <c r="Q37" s="29" t="n"/>
      <c r="R37" s="29" t="n"/>
    </row>
    <row r="38" ht="54" customHeight="1">
      <c r="A38" s="29" t="n"/>
      <c r="B38" s="29" t="n"/>
      <c r="C38" s="29" t="n"/>
      <c r="D38" s="29" t="n"/>
      <c r="E38" s="29" t="n"/>
      <c r="F38" s="29" t="n"/>
      <c r="G38" s="29" t="n"/>
      <c r="H38" s="29" t="n"/>
      <c r="I38" s="29" t="n"/>
      <c r="J38" s="49" t="n"/>
      <c r="K38" s="51" t="n"/>
      <c r="L38" s="29" t="n"/>
      <c r="M38" s="29" t="n"/>
      <c r="N38" s="29" t="n"/>
      <c r="O38" s="29" t="n"/>
      <c r="P38" s="29" t="n"/>
      <c r="Q38" s="29" t="n"/>
      <c r="R38" s="29" t="n"/>
    </row>
    <row r="39" ht="54" customHeight="1">
      <c r="A39" s="29" t="n"/>
      <c r="B39" s="29" t="n"/>
      <c r="C39" s="29" t="n"/>
      <c r="D39" s="29" t="n"/>
      <c r="E39" s="29" t="n"/>
      <c r="F39" s="29" t="n"/>
      <c r="G39" s="29" t="n"/>
      <c r="H39" s="29" t="n"/>
      <c r="I39" s="29" t="n"/>
      <c r="J39" s="49" t="n"/>
      <c r="K39" s="51" t="n"/>
      <c r="L39" s="29" t="n"/>
      <c r="M39" s="29" t="n"/>
      <c r="N39" s="29" t="n"/>
      <c r="O39" s="29" t="n"/>
      <c r="P39" s="29" t="n"/>
      <c r="Q39" s="29" t="n"/>
      <c r="R39" s="29" t="n"/>
    </row>
    <row r="40" ht="54" customHeight="1">
      <c r="A40" s="29" t="n"/>
      <c r="B40" s="29" t="n"/>
      <c r="C40" s="29" t="n"/>
      <c r="D40" s="29" t="n"/>
      <c r="E40" s="29" t="n"/>
      <c r="F40" s="29" t="n"/>
      <c r="G40" s="29" t="n"/>
      <c r="H40" s="29" t="n"/>
      <c r="I40" s="29" t="n"/>
      <c r="J40" s="49" t="n"/>
      <c r="K40" s="51" t="n"/>
      <c r="L40" s="29" t="n"/>
      <c r="M40" s="29" t="n"/>
      <c r="N40" s="29" t="n"/>
      <c r="O40" s="29" t="n"/>
      <c r="P40" s="29" t="n"/>
      <c r="Q40" s="29" t="n"/>
      <c r="R40" s="29" t="n"/>
    </row>
    <row r="41" ht="54" customHeight="1">
      <c r="A41" s="29" t="n"/>
      <c r="B41" s="29" t="n"/>
      <c r="C41" s="29" t="n"/>
      <c r="D41" s="29" t="n"/>
      <c r="E41" s="29" t="n"/>
      <c r="F41" s="29" t="n"/>
      <c r="G41" s="29" t="n"/>
      <c r="H41" s="29" t="n"/>
      <c r="I41" s="29" t="n"/>
      <c r="J41" s="49" t="n"/>
      <c r="K41" s="51" t="n"/>
      <c r="L41" s="29" t="n"/>
      <c r="M41" s="29" t="n"/>
      <c r="N41" s="29" t="n"/>
      <c r="O41" s="29" t="n"/>
      <c r="P41" s="29" t="n"/>
      <c r="Q41" s="29" t="n"/>
      <c r="R41" s="29" t="n"/>
    </row>
    <row r="42" ht="54" customHeight="1">
      <c r="A42" s="29" t="n"/>
      <c r="B42" s="29" t="n"/>
      <c r="C42" s="29" t="n"/>
      <c r="D42" s="29" t="n"/>
      <c r="E42" s="29" t="n"/>
      <c r="F42" s="29" t="n"/>
      <c r="G42" s="29" t="n"/>
      <c r="H42" s="29" t="n"/>
      <c r="I42" s="29" t="n"/>
      <c r="J42" s="49" t="n"/>
      <c r="K42" s="51" t="n"/>
      <c r="L42" s="29" t="n"/>
      <c r="M42" s="29" t="n"/>
      <c r="N42" s="29" t="n"/>
      <c r="O42" s="29" t="n"/>
      <c r="P42" s="29" t="n"/>
      <c r="Q42" s="29" t="n"/>
      <c r="R42" s="29" t="n"/>
    </row>
    <row r="43" ht="54" customHeight="1">
      <c r="A43" s="29" t="n"/>
      <c r="B43" s="29" t="n"/>
      <c r="C43" s="29" t="n"/>
      <c r="D43" s="29" t="n"/>
      <c r="E43" s="29" t="n"/>
      <c r="F43" s="29" t="n"/>
      <c r="G43" s="29" t="n"/>
      <c r="H43" s="29" t="n"/>
      <c r="I43" s="29" t="n"/>
      <c r="J43" s="49" t="n"/>
      <c r="K43" s="51" t="n"/>
      <c r="L43" s="29" t="n"/>
      <c r="M43" s="29" t="n"/>
      <c r="N43" s="29" t="n"/>
      <c r="O43" s="29" t="n"/>
      <c r="P43" s="29" t="n"/>
      <c r="Q43" s="29" t="n"/>
      <c r="R43" s="29" t="n"/>
    </row>
    <row r="44" ht="54" customHeight="1">
      <c r="A44" s="29" t="n"/>
      <c r="B44" s="29" t="n"/>
      <c r="C44" s="29" t="n"/>
      <c r="D44" s="29" t="n"/>
      <c r="E44" s="29" t="n"/>
      <c r="F44" s="29" t="n"/>
      <c r="G44" s="29" t="n"/>
      <c r="H44" s="29" t="n"/>
      <c r="I44" s="29" t="n"/>
      <c r="J44" s="49" t="n"/>
      <c r="K44" s="51" t="n"/>
      <c r="L44" s="29" t="n"/>
      <c r="M44" s="29" t="n"/>
      <c r="N44" s="29" t="n"/>
      <c r="O44" s="29" t="n"/>
      <c r="P44" s="29" t="n"/>
      <c r="Q44" s="29" t="n"/>
      <c r="R44" s="29" t="n"/>
    </row>
    <row r="45" ht="54" customHeight="1">
      <c r="A45" s="29" t="n"/>
      <c r="B45" s="29" t="n"/>
      <c r="C45" s="29" t="n"/>
      <c r="D45" s="29" t="n"/>
      <c r="E45" s="29" t="n"/>
      <c r="F45" s="29" t="n"/>
      <c r="G45" s="29" t="n"/>
      <c r="H45" s="29" t="n"/>
      <c r="I45" s="29" t="n"/>
      <c r="J45" s="49" t="n"/>
      <c r="K45" s="51" t="n"/>
      <c r="L45" s="29" t="n"/>
      <c r="M45" s="29" t="n"/>
      <c r="N45" s="29" t="n"/>
      <c r="O45" s="29" t="n"/>
      <c r="P45" s="29" t="n"/>
      <c r="Q45" s="29" t="n"/>
      <c r="R45" s="29" t="n"/>
    </row>
    <row r="46" ht="54" customHeight="1">
      <c r="A46" s="29" t="n"/>
      <c r="B46" s="29" t="n"/>
      <c r="C46" s="29" t="n"/>
      <c r="D46" s="29" t="n"/>
      <c r="E46" s="29" t="n"/>
      <c r="F46" s="29" t="n"/>
      <c r="G46" s="29" t="n"/>
      <c r="H46" s="29" t="n"/>
      <c r="I46" s="29" t="n"/>
      <c r="J46" s="49" t="n"/>
      <c r="K46" s="51" t="n"/>
      <c r="L46" s="29" t="n"/>
      <c r="M46" s="29" t="n"/>
      <c r="N46" s="29" t="n"/>
      <c r="O46" s="29" t="n"/>
      <c r="P46" s="29" t="n"/>
      <c r="Q46" s="29" t="n"/>
      <c r="R46" s="29" t="n"/>
    </row>
    <row r="47" ht="54" customHeight="1">
      <c r="A47" s="29" t="n"/>
      <c r="B47" s="29" t="n"/>
      <c r="C47" s="29" t="n"/>
      <c r="D47" s="29" t="n"/>
      <c r="E47" s="29" t="n"/>
      <c r="F47" s="29" t="n"/>
      <c r="G47" s="29" t="n"/>
      <c r="H47" s="29" t="n"/>
      <c r="I47" s="29" t="n"/>
      <c r="J47" s="49" t="n"/>
      <c r="K47" s="51" t="n"/>
      <c r="L47" s="29" t="n"/>
      <c r="M47" s="29" t="n"/>
      <c r="N47" s="29" t="n"/>
      <c r="O47" s="29" t="n"/>
      <c r="P47" s="29" t="n"/>
      <c r="Q47" s="29" t="n"/>
      <c r="R47" s="29" t="n"/>
    </row>
  </sheetData>
  <mergeCells count="1">
    <mergeCell ref="A3:H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F8:F47">
    <cfRule type="expression" priority="5" dxfId="1">
      <formula>AND($A8&lt;&gt;"",ISBLANK(F8))</formula>
    </cfRule>
  </conditionalFormatting>
  <conditionalFormatting sqref="I8:I47">
    <cfRule type="expression" priority="6" dxfId="1">
      <formula>AND($A8&lt;&gt;"",ISBLANK(I8))</formula>
    </cfRule>
  </conditionalFormatting>
  <conditionalFormatting sqref="J8:J47">
    <cfRule type="expression" priority="7" dxfId="1">
      <formula>AND($A8&lt;&gt;"",ISBLANK(J8))</formula>
    </cfRule>
  </conditionalFormatting>
  <conditionalFormatting sqref="K8:K47">
    <cfRule type="expression" priority="8" dxfId="1">
      <formula>AND($A8&lt;&gt;"",ISBLANK(K8))</formula>
    </cfRule>
  </conditionalFormatting>
  <conditionalFormatting sqref="L8:L47">
    <cfRule type="expression" priority="9" dxfId="1">
      <formula>AND($A8&lt;&gt;"",ISBLANK(L8))</formula>
    </cfRule>
  </conditionalFormatting>
  <conditionalFormatting sqref="M8:M47">
    <cfRule type="expression" priority="10" dxfId="1">
      <formula>AND($A8&lt;&gt;"",ISBLANK(M8))</formula>
    </cfRule>
  </conditionalFormatting>
  <conditionalFormatting sqref="N8:N47">
    <cfRule type="expression" priority="11" dxfId="1">
      <formula>AND($A8&lt;&gt;"",ISBLANK(N8))</formula>
    </cfRule>
  </conditionalFormatting>
  <dataValidations count="2">
    <dataValidation sqref="L8:L47" showDropDown="0" showInputMessage="0" showErrorMessage="0" allowBlank="0" type="list">
      <formula1>"Evet,Hayır"</formula1>
    </dataValidation>
    <dataValidation sqref="M8:M4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8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48" customWidth="1" min="5" max="5"/>
    <col width="20" customWidth="1" min="6" max="6"/>
    <col width="28" customWidth="1" min="7" max="7"/>
  </cols>
  <sheetData>
    <row r="1" ht="30" customHeight="1">
      <c r="A1" s="2" t="n"/>
      <c r="B1" s="2" t="n"/>
      <c r="C1" s="2" t="n"/>
      <c r="D1" s="2" t="n"/>
      <c r="E1" s="2" t="n"/>
      <c r="F1" s="2" t="n"/>
      <c r="G1" s="2" t="n"/>
    </row>
    <row r="2" ht="30" customHeight="1">
      <c r="A2" s="19" t="inlineStr">
        <is>
          <t>Corteqs · Doğrudan kurum ve işlem bağlantıları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Zorunlu</t>
        </is>
      </c>
    </row>
    <row r="6" ht="44" customHeight="1">
      <c r="A6" s="25" t="inlineStr">
        <is>
          <t>Bağlantı kimliği</t>
        </is>
      </c>
      <c r="B6" s="25" t="inlineStr">
        <is>
          <t>Şehir kimliği</t>
        </is>
      </c>
      <c r="C6" s="25" t="inlineStr">
        <is>
          <t>İçerik kimliği</t>
        </is>
      </c>
      <c r="D6" s="25" t="inlineStr">
        <is>
          <t>Bağlantı metni</t>
        </is>
      </c>
      <c r="E6" s="25" t="inlineStr">
        <is>
          <t>Doğrudan bağlantı</t>
        </is>
      </c>
      <c r="F6" s="25" t="inlineStr">
        <is>
          <t>Bağlantı kontrol tarihi</t>
        </is>
      </c>
      <c r="G6" s="25" t="inlineStr">
        <is>
          <t>Sıra</t>
        </is>
      </c>
    </row>
    <row r="7" ht="32" customHeight="1">
      <c r="A7" s="28" t="inlineStr">
        <is>
          <t>action_id</t>
        </is>
      </c>
      <c r="B7" s="28" t="inlineStr">
        <is>
          <t>city_id</t>
        </is>
      </c>
      <c r="C7" s="28" t="inlineStr">
        <is>
          <t>entry_id</t>
        </is>
      </c>
      <c r="D7" s="28" t="inlineStr">
        <is>
          <t>label</t>
        </is>
      </c>
      <c r="E7" s="28" t="inlineStr">
        <is>
          <t>url</t>
        </is>
      </c>
      <c r="F7" s="28" t="inlineStr">
        <is>
          <t>checked_on</t>
        </is>
      </c>
      <c r="G7" s="28" t="inlineStr">
        <is>
          <t>order</t>
        </is>
      </c>
    </row>
    <row r="8" ht="54" customHeight="1">
      <c r="A8" s="29" t="inlineStr">
        <is>
          <t>marbella:action:egitim-sistemi-zorunlu-egitim-ve-okul-turleri-1</t>
        </is>
      </c>
      <c r="B8" s="29" t="inlineStr">
        <is>
          <t>marbella</t>
        </is>
      </c>
      <c r="C8" s="29" t="inlineStr">
        <is>
          <t>marbella:egitim-sistemi-zorunlu-egitim-ve-okul-turleri</t>
        </is>
      </c>
      <c r="D8" s="29" t="inlineStr">
        <is>
          <t>Bilgi al</t>
        </is>
      </c>
      <c r="E8" s="29" t="inlineStr">
        <is>
          <t>https://www.boe.es/buscar/act.php?id=BOE-A-2006-7899</t>
        </is>
      </c>
      <c r="F8" s="49" t="n">
        <v>46319</v>
      </c>
      <c r="G8" s="51" t="n">
        <v>1</v>
      </c>
    </row>
    <row r="9" ht="54" customHeight="1">
      <c r="A9" s="29" t="inlineStr">
        <is>
          <t>marbella:action:yabanci-lise-diplomasi-ile-universiteye-giris-1</t>
        </is>
      </c>
      <c r="B9" s="29" t="inlineStr">
        <is>
          <t>marbella</t>
        </is>
      </c>
      <c r="C9" s="29" t="inlineStr">
        <is>
          <t>marbella:yabanci-lise-diplomasi-ile-universiteye-giris</t>
        </is>
      </c>
      <c r="D9" s="29" t="inlineStr">
        <is>
          <t>Bilgi al</t>
        </is>
      </c>
      <c r="E9" s="29" t="inlineStr">
        <is>
          <t>https://unedasiss.uned.es/publico_destino</t>
        </is>
      </c>
      <c r="F9" s="49" t="n">
        <v>46319</v>
      </c>
      <c r="G9" s="51" t="n">
        <v>1</v>
      </c>
    </row>
    <row r="10" ht="54" customHeight="1">
      <c r="A10" s="29" t="inlineStr">
        <is>
          <t>marbella:action:yabanci-lise-diplomasi-ile-universiteye-giris-2</t>
        </is>
      </c>
      <c r="B10" s="29" t="inlineStr">
        <is>
          <t>marbella</t>
        </is>
      </c>
      <c r="C10" s="29" t="inlineStr">
        <is>
          <t>marbella:yabanci-lise-diplomasi-ile-universiteye-giris</t>
        </is>
      </c>
      <c r="D10" s="29" t="inlineStr">
        <is>
          <t>Bilgi al</t>
        </is>
      </c>
      <c r="E10" s="29" t="inlineStr">
        <is>
          <t>https://www.boe.es/buscar/act.php?id=BOE-A-2024-11858</t>
        </is>
      </c>
      <c r="F10" s="49" t="n">
        <v>46319</v>
      </c>
      <c r="G10" s="51" t="n">
        <v>2</v>
      </c>
    </row>
    <row r="11" ht="54" customHeight="1">
      <c r="A11" s="29" t="inlineStr">
        <is>
          <t>marbella:action:ingreso-minimo-vital-ve-cocuk-destegi-1</t>
        </is>
      </c>
      <c r="B11" s="29" t="inlineStr">
        <is>
          <t>marbella</t>
        </is>
      </c>
      <c r="C11" s="29" t="inlineStr">
        <is>
          <t>marbella:ingreso-minimo-vital-ve-cocuk-destegi</t>
        </is>
      </c>
      <c r="D11" s="29" t="inlineStr">
        <is>
          <t>Bilgi al</t>
        </is>
      </c>
      <c r="E11" s="29" t="inlineStr">
        <is>
          <t>https://www.seg-social.es/wps/portal/wss/internet/Trabajadores/PrestacionesPensionesTrabajadores/65850d68-8d06-4645-bde7-05374ee42ac7</t>
        </is>
      </c>
      <c r="F11" s="49" t="n">
        <v>46319</v>
      </c>
      <c r="G11" s="51" t="n">
        <v>1</v>
      </c>
    </row>
    <row r="12" ht="54" customHeight="1">
      <c r="A12" s="29" t="inlineStr">
        <is>
          <t>marbella:action:ingreso-minimo-vital-ve-cocuk-destegi-2</t>
        </is>
      </c>
      <c r="B12" s="29" t="inlineStr">
        <is>
          <t>marbella</t>
        </is>
      </c>
      <c r="C12" s="29" t="inlineStr">
        <is>
          <t>marbella:ingreso-minimo-vital-ve-cocuk-destegi</t>
        </is>
      </c>
      <c r="D12" s="29" t="inlineStr">
        <is>
          <t>Bilgi al</t>
        </is>
      </c>
      <c r="E12" s="29" t="inlineStr">
        <is>
          <t>https://www.boe.es/buscar/act.php?id=BOE-A-2021-21007</t>
        </is>
      </c>
      <c r="F12" s="49" t="n">
        <v>46319</v>
      </c>
      <c r="G12" s="51" t="n">
        <v>2</v>
      </c>
    </row>
    <row r="13" ht="54" customHeight="1">
      <c r="A13" s="29" t="inlineStr">
        <is>
          <t>marbella:action:mec-burslari-ab-disi-sart-ve-basvuru-donemi-1</t>
        </is>
      </c>
      <c r="B13" s="29" t="inlineStr">
        <is>
          <t>marbella</t>
        </is>
      </c>
      <c r="C13" s="29" t="inlineStr">
        <is>
          <t>marbella:mec-burslari-ab-disi-sart-ve-basvuru-donemi</t>
        </is>
      </c>
      <c r="D13" s="29" t="inlineStr">
        <is>
          <t>Bilgi al</t>
        </is>
      </c>
      <c r="E13" s="29" t="inlineStr">
        <is>
          <t>https://www.becaseducacion.gob.es/becas-y-ayudas/universidad-grado-master/que-necesitas.html</t>
        </is>
      </c>
      <c r="F13" s="49" t="n">
        <v>46319</v>
      </c>
      <c r="G13" s="51" t="n">
        <v>1</v>
      </c>
    </row>
    <row r="14" ht="54" customHeight="1">
      <c r="A14" s="29" t="inlineStr">
        <is>
          <t>marbella:action:mec-burslari-ab-disi-sart-ve-basvuru-donemi-2</t>
        </is>
      </c>
      <c r="B14" s="29" t="inlineStr">
        <is>
          <t>marbella</t>
        </is>
      </c>
      <c r="C14" s="29" t="inlineStr">
        <is>
          <t>marbella:mec-burslari-ab-disi-sart-ve-basvuru-donemi</t>
        </is>
      </c>
      <c r="D14" s="29" t="inlineStr">
        <is>
          <t>Bilgi al</t>
        </is>
      </c>
      <c r="E14" s="29" t="inlineStr">
        <is>
          <t>https://www.becaseducacion.gob.es/becas-y-ayudas/fp-bachillerato-otros/como-solicitarla.html</t>
        </is>
      </c>
      <c r="F14" s="49" t="n">
        <v>46319</v>
      </c>
      <c r="G14" s="51" t="n">
        <v>2</v>
      </c>
    </row>
    <row r="15" ht="54" customHeight="1">
      <c r="A15" s="29" t="inlineStr">
        <is>
          <t>marbella:action:endulus-okul-kaydi-basvuru-donemi-ve-gec-gelen-ogrenci-1</t>
        </is>
      </c>
      <c r="B15" s="29" t="inlineStr">
        <is>
          <t>marbella</t>
        </is>
      </c>
      <c r="C15" s="29" t="inlineStr">
        <is>
          <t>marbella:endulus-okul-kaydi-basvuru-donemi-ve-gec-gelen-ogrenci</t>
        </is>
      </c>
      <c r="D15" s="29" t="inlineStr">
        <is>
          <t>Bilgi al</t>
        </is>
      </c>
      <c r="E15" s="29" t="inlineStr">
        <is>
          <t>https://www.juntadeandalucia.es/educacion/portales/web/escolarizacion/infantil-a-bachillerato/preguntas-frecuentes</t>
        </is>
      </c>
      <c r="F15" s="49" t="n">
        <v>46319</v>
      </c>
      <c r="G15" s="51" t="n">
        <v>1</v>
      </c>
    </row>
    <row r="16" ht="54" customHeight="1">
      <c r="A16" s="29" t="inlineStr">
        <is>
          <t>marbella:action:endulus-okul-kaydi-basvuru-donemi-ve-gec-gelen-ogrenci-2</t>
        </is>
      </c>
      <c r="B16" s="29" t="inlineStr">
        <is>
          <t>marbella</t>
        </is>
      </c>
      <c r="C16" s="29" t="inlineStr">
        <is>
          <t>marbella:endulus-okul-kaydi-basvuru-donemi-ve-gec-gelen-ogrenci</t>
        </is>
      </c>
      <c r="D16" s="29" t="inlineStr">
        <is>
          <t>Bilgi al</t>
        </is>
      </c>
      <c r="E16" s="29" t="inlineStr">
        <is>
          <t>https://www.juntadeandalucia.es/boja/2020/34/1</t>
        </is>
      </c>
      <c r="F16" s="49" t="n">
        <v>46319</v>
      </c>
      <c r="G16" s="51" t="n">
        <v>2</v>
      </c>
    </row>
    <row r="17" ht="54" customHeight="1">
      <c r="A17" s="29" t="inlineStr">
        <is>
          <t>marbella:action:okul-basvurusu-icin-bilgi-hatti-ve-malaga-egitim-delegasyonu-1</t>
        </is>
      </c>
      <c r="B17" s="29" t="inlineStr">
        <is>
          <t>marbella</t>
        </is>
      </c>
      <c r="C17" s="29" t="inlineStr">
        <is>
          <t>marbella:okul-basvurusu-icin-bilgi-hatti-ve-malaga-egitim-delegasyonu</t>
        </is>
      </c>
      <c r="D17" s="29" t="inlineStr">
        <is>
          <t>Başvur</t>
        </is>
      </c>
      <c r="E17" s="29" t="inlineStr">
        <is>
          <t>https://www.juntadeandalucia.es/educacion/portales/web/escolarizacion/infantil-a-bachillerato</t>
        </is>
      </c>
      <c r="F17" s="49" t="n">
        <v>46323</v>
      </c>
      <c r="G17" s="51" t="n">
        <v>1</v>
      </c>
    </row>
    <row r="18" ht="54" customHeight="1">
      <c r="A18" s="29" t="inlineStr">
        <is>
          <t>marbella:action:okul-basvurusu-icin-bilgi-hatti-ve-malaga-egitim-delegasyonu-2</t>
        </is>
      </c>
      <c r="B18" s="29" t="inlineStr">
        <is>
          <t>marbella</t>
        </is>
      </c>
      <c r="C18" s="29" t="inlineStr">
        <is>
          <t>marbella:okul-basvurusu-icin-bilgi-hatti-ve-malaga-egitim-delegasyonu</t>
        </is>
      </c>
      <c r="D18" s="29" t="inlineStr">
        <is>
          <t>Bilgi al</t>
        </is>
      </c>
      <c r="E18" s="29" t="inlineStr">
        <is>
          <t>https://www.juntadeandalucia.es/organismos/educacion/consejeria/delegaciones/malaga.html</t>
        </is>
      </c>
      <c r="F18" s="49" t="n">
        <v>46323</v>
      </c>
      <c r="G18" s="51" t="n">
        <v>2</v>
      </c>
    </row>
    <row r="19" ht="54" customHeight="1">
      <c r="A19" s="29" t="inlineStr">
        <is>
          <t>marbella:action:okul-basvurusu-sonrasi-puan-listesi-itiraz-kura-ve-matricula-1</t>
        </is>
      </c>
      <c r="B19" s="29" t="inlineStr">
        <is>
          <t>marbella</t>
        </is>
      </c>
      <c r="C19" s="29" t="inlineStr">
        <is>
          <t>marbella:okul-basvurusu-sonrasi-puan-listesi-itiraz-kura-ve-matricula</t>
        </is>
      </c>
      <c r="D19" s="29" t="inlineStr">
        <is>
          <t>Bilgi al</t>
        </is>
      </c>
      <c r="E19" s="29" t="inlineStr">
        <is>
          <t>https://www.juntadeandalucia.es/educacion/portales/web/escolarizacion/infantil-a-bachillerato</t>
        </is>
      </c>
      <c r="F19" s="49" t="n">
        <v>46323</v>
      </c>
      <c r="G19" s="51" t="n">
        <v>1</v>
      </c>
    </row>
    <row r="20" ht="54" customHeight="1">
      <c r="A20" s="29" t="inlineStr">
        <is>
          <t>marbella:action:okul-basvurusu-sonrasi-puan-listesi-itiraz-kura-ve-matricula-2</t>
        </is>
      </c>
      <c r="B20" s="29" t="inlineStr">
        <is>
          <t>marbella</t>
        </is>
      </c>
      <c r="C20" s="29" t="inlineStr">
        <is>
          <t>marbella:okul-basvurusu-sonrasi-puan-listesi-itiraz-kura-ve-matricula</t>
        </is>
      </c>
      <c r="D20" s="29" t="inlineStr">
        <is>
          <t>Bilgi al</t>
        </is>
      </c>
      <c r="E20" s="29" t="inlineStr">
        <is>
          <t>https://www.juntadeandalucia.es/educacion/portales/web/escolarizacion/infantil-a-bachillerato/preguntas-frecuentes</t>
        </is>
      </c>
      <c r="F20" s="49" t="n">
        <v>46323</v>
      </c>
      <c r="G20" s="51" t="n">
        <v>2</v>
      </c>
    </row>
    <row r="21" ht="54" customHeight="1">
      <c r="A21" s="29" t="inlineStr">
        <is>
          <t>marbella:action:okul-etaplarina-giris-yas-ve-diploma-kosullari-1</t>
        </is>
      </c>
      <c r="B21" s="29" t="inlineStr">
        <is>
          <t>marbella</t>
        </is>
      </c>
      <c r="C21" s="29" t="inlineStr">
        <is>
          <t>marbella:okul-etaplarina-giris-yas-ve-diploma-kosullari</t>
        </is>
      </c>
      <c r="D21" s="29" t="inlineStr">
        <is>
          <t>Bilgi al</t>
        </is>
      </c>
      <c r="E21" s="29" t="inlineStr">
        <is>
          <t>https://www.juntadeandalucia.es/educacion/portales/web/escolarizacion/infantil-a-bachillerato/preguntas-frecuentes</t>
        </is>
      </c>
      <c r="F21" s="49" t="n">
        <v>46323</v>
      </c>
      <c r="G21" s="51" t="n">
        <v>1</v>
      </c>
    </row>
    <row r="22" ht="54" customHeight="1">
      <c r="A22" s="29" t="inlineStr">
        <is>
          <t>marbella:action:okul-yerlestirme-puanlama-olcutleri-kardes-adres-gelir-aile-durumu-1</t>
        </is>
      </c>
      <c r="B22" s="29" t="inlineStr">
        <is>
          <t>marbella</t>
        </is>
      </c>
      <c r="C22" s="29" t="inlineStr">
        <is>
          <t>marbella:okul-yerlestirme-puanlama-olcutleri-kardes-adres-gelir-aile-durumu</t>
        </is>
      </c>
      <c r="D22" s="29" t="inlineStr">
        <is>
          <t>Bilgi al</t>
        </is>
      </c>
      <c r="E22" s="29" t="inlineStr">
        <is>
          <t>https://www.juntadeandalucia.es/educacion/portales/web/escolarizacion/infantil-a-bachillerato/preguntas-frecuentes</t>
        </is>
      </c>
      <c r="F22" s="49" t="n">
        <v>46323</v>
      </c>
      <c r="G22" s="51" t="n">
        <v>1</v>
      </c>
    </row>
    <row r="23" ht="54" customHeight="1">
      <c r="A23" s="29" t="inlineStr">
        <is>
          <t>marbella:action:okul-yerlestirme-puanlama-olcutleri-kardes-adres-gelir-aile-durumu-2</t>
        </is>
      </c>
      <c r="B23" s="29" t="inlineStr">
        <is>
          <t>marbella</t>
        </is>
      </c>
      <c r="C23" s="29" t="inlineStr">
        <is>
          <t>marbella:okul-yerlestirme-puanlama-olcutleri-kardes-adres-gelir-aile-durumu</t>
        </is>
      </c>
      <c r="D23" s="29" t="inlineStr">
        <is>
          <t>Bilgi al</t>
        </is>
      </c>
      <c r="E23" s="29" t="inlineStr">
        <is>
          <t>https://www.juntadeandalucia.es/educacion/portales/web/escolarizacion/infantil-a-bachillerato</t>
        </is>
      </c>
      <c r="F23" s="49" t="n">
        <v>46323</v>
      </c>
      <c r="G23" s="51" t="n">
        <v>2</v>
      </c>
    </row>
    <row r="24" ht="54" customHeight="1">
      <c r="A24" s="29" t="inlineStr">
        <is>
          <t>marbella:action:okul-basvurusunda-adres-kaniti-ve-marbella-empadronamiento-ofisleri-1</t>
        </is>
      </c>
      <c r="B24" s="29" t="inlineStr">
        <is>
          <t>marbella</t>
        </is>
      </c>
      <c r="C24" s="29" t="inlineStr">
        <is>
          <t>marbella:okul-basvurusunda-adres-kaniti-ve-marbella-empadronamiento-ofisleri</t>
        </is>
      </c>
      <c r="D24" s="29" t="inlineStr">
        <is>
          <t>Randevu al</t>
        </is>
      </c>
      <c r="E24" s="29" t="inlineStr">
        <is>
          <t>https://extranjeros.marbella.es/empadronamiento</t>
        </is>
      </c>
      <c r="F24" s="49" t="n">
        <v>46323</v>
      </c>
      <c r="G24" s="51" t="n">
        <v>1</v>
      </c>
    </row>
    <row r="25" ht="54" customHeight="1">
      <c r="A25" s="29" t="inlineStr">
        <is>
          <t>marbella:action:okul-basvurusunda-adres-kaniti-ve-marbella-empadronamiento-ofisleri-2</t>
        </is>
      </c>
      <c r="B25" s="29" t="inlineStr">
        <is>
          <t>marbella</t>
        </is>
      </c>
      <c r="C25" s="29" t="inlineStr">
        <is>
          <t>marbella:okul-basvurusunda-adres-kaniti-ve-marbella-empadronamiento-ofisleri</t>
        </is>
      </c>
      <c r="D25" s="29" t="inlineStr">
        <is>
          <t>Bilgi al</t>
        </is>
      </c>
      <c r="E25" s="29" t="inlineStr">
        <is>
          <t>https://www.juntadeandalucia.es/educacion/portales/web/escolarizacion/infantil-a-bachillerato/preguntas-frecuentes</t>
        </is>
      </c>
      <c r="F25" s="49" t="n">
        <v>46323</v>
      </c>
      <c r="G25" s="51" t="n">
        <v>2</v>
      </c>
    </row>
    <row r="26" ht="54" customHeight="1">
      <c r="A26" s="29" t="inlineStr">
        <is>
          <t>marbella:action:okul-puaninda-calisma-ve-gelir-olcutu-icin-belgeler-1</t>
        </is>
      </c>
      <c r="B26" s="29" t="inlineStr">
        <is>
          <t>marbella</t>
        </is>
      </c>
      <c r="C26" s="29" t="inlineStr">
        <is>
          <t>marbella:okul-puaninda-calisma-ve-gelir-olcutu-icin-belgeler</t>
        </is>
      </c>
      <c r="D26" s="29" t="inlineStr">
        <is>
          <t>Bilgi al</t>
        </is>
      </c>
      <c r="E26" s="29" t="inlineStr">
        <is>
          <t>https://www.juntadeandalucia.es/educacion/portales/web/escolarizacion/infantil-a-bachillerato/preguntas-frecuentes</t>
        </is>
      </c>
      <c r="F26" s="49" t="n">
        <v>46323</v>
      </c>
      <c r="G26" s="51" t="n">
        <v>1</v>
      </c>
    </row>
    <row r="27" ht="54" customHeight="1">
      <c r="A27" s="29" t="inlineStr">
        <is>
          <t>marbella:action:engelli-ya-da-ozel-gereksinimli-cocuk-icin-okul-puani-ve-kontenjan-1</t>
        </is>
      </c>
      <c r="B27" s="29" t="inlineStr">
        <is>
          <t>marbella</t>
        </is>
      </c>
      <c r="C27" s="29" t="inlineStr">
        <is>
          <t>marbella:engelli-ya-da-ozel-gereksinimli-cocuk-icin-okul-puani-ve-kontenjan</t>
        </is>
      </c>
      <c r="D27" s="29" t="inlineStr">
        <is>
          <t>Bilgi al</t>
        </is>
      </c>
      <c r="E27" s="29" t="inlineStr">
        <is>
          <t>https://www.juntadeandalucia.es/educacion/portales/web/escolarizacion/infantil-a-bachillerato/preguntas-frecuentes</t>
        </is>
      </c>
      <c r="F27" s="49" t="n">
        <v>46323</v>
      </c>
      <c r="G27" s="51" t="n">
        <v>1</v>
      </c>
    </row>
    <row r="28" ht="54" customHeight="1">
      <c r="A28" s="29" t="inlineStr">
        <is>
          <t>marbella:action:zorunlu-gorev-degisikligiyle-tasinan-aile-icin-okul-onceligi-1</t>
        </is>
      </c>
      <c r="B28" s="29" t="inlineStr">
        <is>
          <t>marbella</t>
        </is>
      </c>
      <c r="C28" s="29" t="inlineStr">
        <is>
          <t>marbella:zorunlu-gorev-degisikligiyle-tasinan-aile-icin-okul-onceligi</t>
        </is>
      </c>
      <c r="D28" s="29" t="inlineStr">
        <is>
          <t>Bilgi al</t>
        </is>
      </c>
      <c r="E28" s="29" t="inlineStr">
        <is>
          <t>https://www.juntadeandalucia.es/educacion/portales/web/escolarizacion/infantil-a-bachillerato/preguntas-frecuentes</t>
        </is>
      </c>
      <c r="F28" s="49" t="n">
        <v>46323</v>
      </c>
      <c r="G28" s="51" t="n">
        <v>1</v>
      </c>
    </row>
    <row r="29" ht="54" customHeight="1">
      <c r="A29" s="29" t="inlineStr">
        <is>
          <t>marbella:action:okul-yemegi-erken-servis-basvurusu-ve-concertado-okul-ucretleri-1</t>
        </is>
      </c>
      <c r="B29" s="29" t="inlineStr">
        <is>
          <t>marbella</t>
        </is>
      </c>
      <c r="C29" s="29" t="inlineStr">
        <is>
          <t>marbella:okul-yemegi-erken-servis-basvurusu-ve-concertado-okul-ucretleri</t>
        </is>
      </c>
      <c r="D29" s="29" t="inlineStr">
        <is>
          <t>Bilgi al</t>
        </is>
      </c>
      <c r="E29" s="29" t="inlineStr">
        <is>
          <t>https://www.juntadeandalucia.es/educacion/portales/web/escolarizacion/infantil-a-bachillerato/preguntas-frecuentes</t>
        </is>
      </c>
      <c r="F29" s="49" t="n">
        <v>46323</v>
      </c>
      <c r="G29" s="51" t="n">
        <v>1</v>
      </c>
    </row>
    <row r="30" ht="54" customHeight="1">
      <c r="A30" s="29" t="inlineStr">
        <is>
          <t>marbella:action:junta-escuela-infantil-0-3-yas-basvurusu-ve-ucretsiz-kontenjan-1</t>
        </is>
      </c>
      <c r="B30" s="29" t="inlineStr">
        <is>
          <t>marbella</t>
        </is>
      </c>
      <c r="C30" s="29" t="inlineStr">
        <is>
          <t>marbella:junta-escuela-infantil-0-3-yas-basvurusu-ve-ucretsiz-kontenjan</t>
        </is>
      </c>
      <c r="D30" s="29" t="inlineStr">
        <is>
          <t>Başvur</t>
        </is>
      </c>
      <c r="E30" s="29" t="inlineStr">
        <is>
          <t>https://www.juntadeandalucia.es/educacion/portales/web/escolarizacion/0-a-3-anos</t>
        </is>
      </c>
      <c r="F30" s="49" t="n">
        <v>46323</v>
      </c>
      <c r="G30" s="51" t="n">
        <v>1</v>
      </c>
    </row>
    <row r="31" ht="54" customHeight="1">
      <c r="A31" s="29" t="inlineStr">
        <is>
          <t>marbella:action:junta-escuela-infantil-0-3-yas-basvurusu-ve-ucretsiz-kontenjan-2</t>
        </is>
      </c>
      <c r="B31" s="29" t="inlineStr">
        <is>
          <t>marbella</t>
        </is>
      </c>
      <c r="C31" s="29" t="inlineStr">
        <is>
          <t>marbella:junta-escuela-infantil-0-3-yas-basvurusu-ve-ucretsiz-kontenjan</t>
        </is>
      </c>
      <c r="D31" s="29" t="inlineStr">
        <is>
          <t>Bilgi al</t>
        </is>
      </c>
      <c r="E31" s="29" t="inlineStr">
        <is>
          <t>https://www.juntadeandalucia.es/educacion/portales/web/escolarizacion/0-a-3-anos/programa-de-ayudas-a-las-familias</t>
        </is>
      </c>
      <c r="F31" s="49" t="n">
        <v>46323</v>
      </c>
      <c r="G31" s="51" t="n">
        <v>2</v>
      </c>
    </row>
    <row r="32" ht="54" customHeight="1">
      <c r="A32" s="29" t="inlineStr">
        <is>
          <t>marbella:action:belediye-escuela-infantil-basvuru-kosullari-ve-2026-27-listeleri-1</t>
        </is>
      </c>
      <c r="B32" s="29" t="inlineStr">
        <is>
          <t>marbella</t>
        </is>
      </c>
      <c r="C32" s="29" t="inlineStr">
        <is>
          <t>marbella:belediye-escuela-infantil-basvuru-kosullari-ve-2026-27-listeleri</t>
        </is>
      </c>
      <c r="D32" s="29" t="inlineStr">
        <is>
          <t>Bilgi al</t>
        </is>
      </c>
      <c r="E32" s="29" t="inlineStr">
        <is>
          <t>https://ayuntamiento.marbella.es/historial-de-comunicados-muncipales/5127-escuelas-infantiles-municipales-26-27.html</t>
        </is>
      </c>
      <c r="F32" s="49" t="n">
        <v>46323</v>
      </c>
      <c r="G32" s="51" t="n">
        <v>1</v>
      </c>
    </row>
    <row r="33" ht="54" customHeight="1">
      <c r="A33" s="29" t="inlineStr">
        <is>
          <t>marbella:action:belediye-escuela-infantil-basvuru-kosullari-ve-2026-27-listeleri-2</t>
        </is>
      </c>
      <c r="B33" s="29" t="inlineStr">
        <is>
          <t>marbella</t>
        </is>
      </c>
      <c r="C33" s="29" t="inlineStr">
        <is>
          <t>marbella:belediye-escuela-infantil-basvuru-kosullari-ve-2026-27-listeleri</t>
        </is>
      </c>
      <c r="D33" s="29" t="inlineStr">
        <is>
          <t>Bilgi al</t>
        </is>
      </c>
      <c r="E33" s="29" t="inlineStr">
        <is>
          <t>https://www.marbella.es/actualidad/noticias/el-plazo-de-solicitudes-para-las-escuelas-infantiles-municipales-estara-abierto-hasta-el-31-de-marzo.html</t>
        </is>
      </c>
      <c r="F33" s="49" t="n">
        <v>46323</v>
      </c>
      <c r="G33" s="51" t="n">
        <v>2</v>
      </c>
    </row>
    <row r="34" ht="54" customHeight="1">
      <c r="A34" s="29" t="inlineStr">
        <is>
          <t>marbella:action:ispanyolca-bilmeyen-cocuk-icin-okulda-dil-destegi-atal-proa-ave-1</t>
        </is>
      </c>
      <c r="B34" s="29" t="inlineStr">
        <is>
          <t>marbella</t>
        </is>
      </c>
      <c r="C34" s="29" t="inlineStr">
        <is>
          <t>marbella:ispanyolca-bilmeyen-cocuk-icin-okulda-dil-destegi-atal-proa-ave</t>
        </is>
      </c>
      <c r="D34" s="29" t="inlineStr">
        <is>
          <t>Bilgi al</t>
        </is>
      </c>
      <c r="E34" s="29" t="inlineStr">
        <is>
          <t>https://www.juntadeandalucia.es/temas/estudiar/primaria-eso/integracion.html</t>
        </is>
      </c>
      <c r="F34" s="49" t="n">
        <v>46323</v>
      </c>
      <c r="G34" s="51" t="n">
        <v>1</v>
      </c>
    </row>
    <row r="35" ht="54" customHeight="1">
      <c r="A35" s="29" t="inlineStr">
        <is>
          <t>marbella:action:ispanyolca-bilmeyen-cocuk-icin-okulda-dil-destegi-atal-proa-ave-2</t>
        </is>
      </c>
      <c r="B35" s="29" t="inlineStr">
        <is>
          <t>marbella</t>
        </is>
      </c>
      <c r="C35" s="29" t="inlineStr">
        <is>
          <t>marbella:ispanyolca-bilmeyen-cocuk-icin-okulda-dil-destegi-atal-proa-ave</t>
        </is>
      </c>
      <c r="D35" s="29" t="inlineStr">
        <is>
          <t>Bilgi al</t>
        </is>
      </c>
      <c r="E35" s="29" t="inlineStr">
        <is>
          <t>https://www.juntadeandalucia.es/organismos/educacion/consejeria/delegaciones/malaga.html</t>
        </is>
      </c>
      <c r="F35" s="49" t="n">
        <v>46323</v>
      </c>
      <c r="G35" s="51" t="n">
        <v>2</v>
      </c>
    </row>
    <row r="36" ht="54" customHeight="1">
      <c r="A36" s="29" t="inlineStr">
        <is>
          <t>marbella:action:marbella-registro-civil-dogum-kaydi-adres-telefon-ve-saatler-1</t>
        </is>
      </c>
      <c r="B36" s="29" t="inlineStr">
        <is>
          <t>marbella</t>
        </is>
      </c>
      <c r="C36" s="29" t="inlineStr">
        <is>
          <t>marbella:marbella-registro-civil-dogum-kaydi-adres-telefon-ve-saatler</t>
        </is>
      </c>
      <c r="D36" s="29" t="inlineStr">
        <is>
          <t>Randevu al</t>
        </is>
      </c>
      <c r="E36" s="29" t="inlineStr">
        <is>
          <t>https://www.mjusticia.gob.es/BUSCADIR/ServletControlador?apartado=buscadorEnteEspecialidad&amp;ente=2906992700000&amp;partido=29069&amp;municipioDelDetalle=29076&amp;lang=es_es</t>
        </is>
      </c>
      <c r="F36" s="49" t="n">
        <v>46323</v>
      </c>
      <c r="G36" s="51" t="n">
        <v>1</v>
      </c>
    </row>
    <row r="37" ht="54" customHeight="1">
      <c r="A37" s="29" t="inlineStr">
        <is>
          <t>marbella:action:marbella-registro-civil-dogum-kaydi-adres-telefon-ve-saatler-2</t>
        </is>
      </c>
      <c r="B37" s="29" t="inlineStr">
        <is>
          <t>marbella</t>
        </is>
      </c>
      <c r="C37" s="29" t="inlineStr">
        <is>
          <t>marbella:marbella-registro-civil-dogum-kaydi-adres-telefon-ve-saatler</t>
        </is>
      </c>
      <c r="D37" s="29" t="inlineStr">
        <is>
          <t>Bilgi al</t>
        </is>
      </c>
      <c r="E37" s="29" t="inlineStr">
        <is>
          <t>https://extranjeros.marbella.es/informacion/direcciones-de-interes/oficina-registro-civil</t>
        </is>
      </c>
      <c r="F37" s="49" t="n">
        <v>46323</v>
      </c>
      <c r="G37" s="51" t="n">
        <v>2</v>
      </c>
    </row>
    <row r="38" ht="54" customHeight="1">
      <c r="A38" s="29" t="inlineStr">
        <is>
          <t>marbella:action:endulus-dogum-ve-evlat-edinme-gelir-vergisi-indirimi-200-euro-1</t>
        </is>
      </c>
      <c r="B38" s="29" t="inlineStr">
        <is>
          <t>marbella</t>
        </is>
      </c>
      <c r="C38" s="29" t="inlineStr">
        <is>
          <t>marbella:endulus-dogum-ve-evlat-edinme-gelir-vergisi-indirimi-200-euro</t>
        </is>
      </c>
      <c r="D38" s="29" t="inlineStr">
        <is>
          <t>Hesapla</t>
        </is>
      </c>
      <c r="E38" s="29" t="inlineStr">
        <is>
          <t>https://www.juntadeandalucia.es/organismos/economiahaciendayfondoseuropeos/areas/tributos-juego/tributos/paginas/hijosirpf.html</t>
        </is>
      </c>
      <c r="F38" s="49" t="n">
        <v>46323</v>
      </c>
      <c r="G38" s="51" t="n">
        <v>1</v>
      </c>
    </row>
    <row r="39" ht="54" customHeight="1">
      <c r="A39" s="29" t="inlineStr">
        <is>
          <t>marbella:action:kira-sozlesmesi-suresi-ve-uzama-1</t>
        </is>
      </c>
      <c r="B39" s="29" t="inlineStr">
        <is>
          <t>marbella</t>
        </is>
      </c>
      <c r="C39" s="29" t="inlineStr">
        <is>
          <t>marbella:kira-sozlesmesi-suresi-ve-uzama</t>
        </is>
      </c>
      <c r="D39" s="29" t="inlineStr">
        <is>
          <t>Bilgi al</t>
        </is>
      </c>
      <c r="E39" s="29" t="inlineStr">
        <is>
          <t>https://www.boe.es/buscar/act.php?id=BOE-A-1994-26003</t>
        </is>
      </c>
      <c r="F39" s="49" t="n">
        <v>46319</v>
      </c>
      <c r="G39" s="51" t="n">
        <v>1</v>
      </c>
    </row>
    <row r="40" ht="54" customHeight="1">
      <c r="A40" s="29" t="inlineStr">
        <is>
          <t>marbella:action:kira-depozitosu-fianza-ve-iade-1</t>
        </is>
      </c>
      <c r="B40" s="29" t="inlineStr">
        <is>
          <t>marbella</t>
        </is>
      </c>
      <c r="C40" s="29" t="inlineStr">
        <is>
          <t>marbella:kira-depozitosu-fianza-ve-iade</t>
        </is>
      </c>
      <c r="D40" s="29" t="inlineStr">
        <is>
          <t>Bilgi al</t>
        </is>
      </c>
      <c r="E40" s="29" t="inlineStr">
        <is>
          <t>https://www.boe.es/buscar/act.php?id=BOE-A-1994-26003</t>
        </is>
      </c>
      <c r="F40" s="49" t="n">
        <v>46319</v>
      </c>
      <c r="G40" s="51" t="n">
        <v>1</v>
      </c>
    </row>
    <row r="41" ht="54" customHeight="1">
      <c r="A41" s="29" t="inlineStr">
        <is>
          <t>marbella:action:kira-artisi-siniri-irav-1</t>
        </is>
      </c>
      <c r="B41" s="29" t="inlineStr">
        <is>
          <t>marbella</t>
        </is>
      </c>
      <c r="C41" s="29" t="inlineStr">
        <is>
          <t>marbella:kira-artisi-siniri-irav</t>
        </is>
      </c>
      <c r="D41" s="29" t="inlineStr">
        <is>
          <t>Bilgi al</t>
        </is>
      </c>
      <c r="E41" s="29" t="inlineStr">
        <is>
          <t>https://ine.es/dyngs/INEbase/operacion.htm?c=Estadistica_C&amp;cid=1254736177110&amp;idp=1254735976607&amp;menu=ultiDatos</t>
        </is>
      </c>
      <c r="F41" s="49" t="n">
        <v>46319</v>
      </c>
      <c r="G41" s="51" t="n">
        <v>1</v>
      </c>
    </row>
    <row r="42" ht="54" customHeight="1">
      <c r="A42" s="29" t="inlineStr">
        <is>
          <t>marbella:action:kira-artisi-siniri-irav-2</t>
        </is>
      </c>
      <c r="B42" s="29" t="inlineStr">
        <is>
          <t>marbella</t>
        </is>
      </c>
      <c r="C42" s="29" t="inlineStr">
        <is>
          <t>marbella:kira-artisi-siniri-irav</t>
        </is>
      </c>
      <c r="D42" s="29" t="inlineStr">
        <is>
          <t>Bilgi al</t>
        </is>
      </c>
      <c r="E42" s="29" t="inlineStr">
        <is>
          <t>https://www.boe.es/buscar/act.php?id=BOE-A-1994-26003</t>
        </is>
      </c>
      <c r="F42" s="49" t="n">
        <v>46319</v>
      </c>
      <c r="G42" s="51" t="n">
        <v>2</v>
      </c>
    </row>
    <row r="43" ht="54" customHeight="1">
      <c r="A43" s="29" t="inlineStr">
        <is>
          <t>marbella:action:kirada-onarim-ve-hasar-sorumlulugu-1</t>
        </is>
      </c>
      <c r="B43" s="29" t="inlineStr">
        <is>
          <t>marbella</t>
        </is>
      </c>
      <c r="C43" s="29" t="inlineStr">
        <is>
          <t>marbella:kirada-onarim-ve-hasar-sorumlulugu</t>
        </is>
      </c>
      <c r="D43" s="29" t="inlineStr">
        <is>
          <t>Bilgi al</t>
        </is>
      </c>
      <c r="E43" s="29" t="inlineStr">
        <is>
          <t>https://www.boe.es/buscar/act.php?id=BOE-A-1994-26003</t>
        </is>
      </c>
      <c r="F43" s="49" t="n">
        <v>46319</v>
      </c>
      <c r="G43" s="51" t="n">
        <v>1</v>
      </c>
    </row>
    <row r="44" ht="54" customHeight="1">
      <c r="A44" s="29" t="inlineStr">
        <is>
          <t>marbella:action:kiralik-evden-cikis-ve-ihbar-suresi-1</t>
        </is>
      </c>
      <c r="B44" s="29" t="inlineStr">
        <is>
          <t>marbella</t>
        </is>
      </c>
      <c r="C44" s="29" t="inlineStr">
        <is>
          <t>marbella:kiralik-evden-cikis-ve-ihbar-suresi</t>
        </is>
      </c>
      <c r="D44" s="29" t="inlineStr">
        <is>
          <t>Bilgi al</t>
        </is>
      </c>
      <c r="E44" s="29" t="inlineStr">
        <is>
          <t>https://www.boe.es/buscar/act.php?id=BOE-A-1994-26003</t>
        </is>
      </c>
      <c r="F44" s="49" t="n">
        <v>46319</v>
      </c>
      <c r="G44" s="51" t="n">
        <v>1</v>
      </c>
    </row>
    <row r="45" ht="54" customHeight="1">
      <c r="A45" s="29" t="inlineStr">
        <is>
          <t>marbella:action:kiralik-ilan-dolandiriciligini-tanima-1</t>
        </is>
      </c>
      <c r="B45" s="29" t="inlineStr">
        <is>
          <t>marbella</t>
        </is>
      </c>
      <c r="C45" s="29" t="inlineStr">
        <is>
          <t>marbella:kiralik-ilan-dolandiriciligini-tanima</t>
        </is>
      </c>
      <c r="D45" s="29" t="inlineStr">
        <is>
          <t>Bilgi al</t>
        </is>
      </c>
      <c r="E45" s="29" t="inlineStr">
        <is>
          <t>https://www.incibe.es/ciudadania/estafas-alquileres</t>
        </is>
      </c>
      <c r="F45" s="49" t="n">
        <v>46319</v>
      </c>
      <c r="G45" s="51" t="n">
        <v>1</v>
      </c>
    </row>
    <row r="46" ht="54" customHeight="1">
      <c r="A46" s="29" t="inlineStr">
        <is>
          <t>marbella:action:kiralik-ilan-dolandiriciligini-tanima-2</t>
        </is>
      </c>
      <c r="B46" s="29" t="inlineStr">
        <is>
          <t>marbella</t>
        </is>
      </c>
      <c r="C46" s="29" t="inlineStr">
        <is>
          <t>marbella:kiralik-ilan-dolandiriciligini-tanima</t>
        </is>
      </c>
      <c r="D46" s="29" t="inlineStr">
        <is>
          <t>Bilgi al</t>
        </is>
      </c>
      <c r="E46" s="29" t="inlineStr">
        <is>
          <t>https://www.boe.es/buscar/act.php?id=BOE-A-1994-26003</t>
        </is>
      </c>
      <c r="F46" s="49" t="n">
        <v>46319</v>
      </c>
      <c r="G46" s="51" t="n">
        <v>2</v>
      </c>
    </row>
    <row r="47" ht="54" customHeight="1">
      <c r="A47" s="29" t="inlineStr">
        <is>
          <t>marbella:action:endulus-kira-depozitosu-fianza-avra-yatirma-zorunlulugu-1</t>
        </is>
      </c>
      <c r="B47" s="29" t="inlineStr">
        <is>
          <t>marbella</t>
        </is>
      </c>
      <c r="C47" s="29" t="inlineStr">
        <is>
          <t>marbella:endulus-kira-depozitosu-fianza-avra-yatirma-zorunlulugu</t>
        </is>
      </c>
      <c r="D47" s="29" t="inlineStr">
        <is>
          <t>Bilgi al</t>
        </is>
      </c>
      <c r="E47" s="29" t="inlineStr">
        <is>
          <t>https://www.juntadeandalucia.es/organismos/avra/areas/fianzas/notas-ley-vivienda-andalucia-2025.html</t>
        </is>
      </c>
      <c r="F47" s="49" t="n">
        <v>46319</v>
      </c>
      <c r="G47" s="51" t="n">
        <v>1</v>
      </c>
    </row>
    <row r="48" ht="54" customHeight="1">
      <c r="A48" s="29" t="inlineStr">
        <is>
          <t>marbella:action:korumali-konut-talep-kaydi-marbella-1</t>
        </is>
      </c>
      <c r="B48" s="29" t="inlineStr">
        <is>
          <t>marbella</t>
        </is>
      </c>
      <c r="C48" s="29" t="inlineStr">
        <is>
          <t>marbella:korumali-konut-talep-kaydi-marbella</t>
        </is>
      </c>
      <c r="D48" s="29" t="inlineStr">
        <is>
          <t>Başvur</t>
        </is>
      </c>
      <c r="E48" s="29" t="inlineStr">
        <is>
          <t>https://vivienda.marbella.es/registro-de-demandantes/como-se-realiza-el-tramite-y-donde.html</t>
        </is>
      </c>
      <c r="F48" s="49" t="n">
        <v>46323</v>
      </c>
      <c r="G48" s="51" t="n">
        <v>1</v>
      </c>
    </row>
    <row r="49" ht="54" customHeight="1">
      <c r="A49" s="29" t="inlineStr">
        <is>
          <t>marbella:action:korumali-konut-talep-kaydi-marbella-2</t>
        </is>
      </c>
      <c r="B49" s="29" t="inlineStr">
        <is>
          <t>marbella</t>
        </is>
      </c>
      <c r="C49" s="29" t="inlineStr">
        <is>
          <t>marbella:korumali-konut-talep-kaydi-marbella</t>
        </is>
      </c>
      <c r="D49" s="29" t="inlineStr">
        <is>
          <t>Bilgi al</t>
        </is>
      </c>
      <c r="E49" s="29" t="inlineStr">
        <is>
          <t>https://vivienda.marbella.es/registro-de-demandantes/requisitos.html</t>
        </is>
      </c>
      <c r="F49" s="49" t="n">
        <v>46323</v>
      </c>
      <c r="G49" s="51" t="n">
        <v>2</v>
      </c>
    </row>
    <row r="50" ht="54" customHeight="1">
      <c r="A50" s="29" t="inlineStr">
        <is>
          <t>marbella:action:korumali-konut-basvuru-kosullari-gelir-sinirlari-1</t>
        </is>
      </c>
      <c r="B50" s="29" t="inlineStr">
        <is>
          <t>marbella</t>
        </is>
      </c>
      <c r="C50" s="29" t="inlineStr">
        <is>
          <t>marbella:korumali-konut-basvuru-kosullari-gelir-sinirlari</t>
        </is>
      </c>
      <c r="D50" s="29" t="inlineStr">
        <is>
          <t>Başvur</t>
        </is>
      </c>
      <c r="E50" s="29" t="inlineStr">
        <is>
          <t>https://vivienda.marbella.es/registro-de-demandantes/como-se-realiza-el-tramite-y-donde.html</t>
        </is>
      </c>
      <c r="F50" s="49" t="n">
        <v>46323</v>
      </c>
      <c r="G50" s="51" t="n">
        <v>1</v>
      </c>
    </row>
    <row r="51" ht="54" customHeight="1">
      <c r="A51" s="29" t="inlineStr">
        <is>
          <t>marbella:action:korumali-konut-basvuru-kosullari-gelir-sinirlari-2</t>
        </is>
      </c>
      <c r="B51" s="29" t="inlineStr">
        <is>
          <t>marbella</t>
        </is>
      </c>
      <c r="C51" s="29" t="inlineStr">
        <is>
          <t>marbella:korumali-konut-basvuru-kosullari-gelir-sinirlari</t>
        </is>
      </c>
      <c r="D51" s="29" t="inlineStr">
        <is>
          <t>Bilgi al</t>
        </is>
      </c>
      <c r="E51" s="29" t="inlineStr">
        <is>
          <t>https://vivienda.marbella.es/registro-de-demandantes/requisitos.html</t>
        </is>
      </c>
      <c r="F51" s="49" t="n">
        <v>46323</v>
      </c>
      <c r="G51" s="51" t="n">
        <v>2</v>
      </c>
    </row>
    <row r="52" ht="54" customHeight="1">
      <c r="A52" s="29" t="inlineStr">
        <is>
          <t>marbella:action:san-pedro-84-korumali-konut-fiyatlari-ve-sorteo-1</t>
        </is>
      </c>
      <c r="B52" s="29" t="inlineStr">
        <is>
          <t>marbella</t>
        </is>
      </c>
      <c r="C52" s="29" t="inlineStr">
        <is>
          <t>marbella:san-pedro-84-korumali-konut-fiyatlari-ve-sorteo</t>
        </is>
      </c>
      <c r="D52" s="29" t="inlineStr">
        <is>
          <t>Başvur</t>
        </is>
      </c>
      <c r="E52" s="29" t="inlineStr">
        <is>
          <t>https://vivienda.marbella.es/registro-de-demandantes/como-se-realiza-el-tramite-y-donde.html</t>
        </is>
      </c>
      <c r="F52" s="49" t="n">
        <v>46323</v>
      </c>
      <c r="G52" s="51" t="n">
        <v>1</v>
      </c>
    </row>
    <row r="53" ht="54" customHeight="1">
      <c r="A53" s="29" t="inlineStr">
        <is>
          <t>marbella:action:san-pedro-84-korumali-konut-fiyatlari-ve-sorteo-2</t>
        </is>
      </c>
      <c r="B53" s="29" t="inlineStr">
        <is>
          <t>marbella</t>
        </is>
      </c>
      <c r="C53" s="29" t="inlineStr">
        <is>
          <t>marbella:san-pedro-84-korumali-konut-fiyatlari-ve-sorteo</t>
        </is>
      </c>
      <c r="D53" s="29" t="inlineStr">
        <is>
          <t>Bilgi al</t>
        </is>
      </c>
      <c r="E53" s="29" t="inlineStr">
        <is>
          <t>https://www.marbella.es/actualidad/noticias/los-interesados-en-optar-a-una-de-las-84-viviendas-protegidas-promovidas-por-el-ayuntamiento-en-san-pedro-alcantara-deberan-inscribirse-en-el-registro-municipal-antes-del-1-de-octubre.html</t>
        </is>
      </c>
      <c r="F53" s="49" t="n">
        <v>46323</v>
      </c>
      <c r="G53" s="51" t="n">
        <v>2</v>
      </c>
    </row>
    <row r="54" ht="54" customHeight="1">
      <c r="A54" s="29" t="inlineStr">
        <is>
          <t>marbella:action:genc-kiralik-konut-huerta-de-los-cristales-1</t>
        </is>
      </c>
      <c r="B54" s="29" t="inlineStr">
        <is>
          <t>marbella</t>
        </is>
      </c>
      <c r="C54" s="29" t="inlineStr">
        <is>
          <t>marbella:genc-kiralik-konut-huerta-de-los-cristales</t>
        </is>
      </c>
      <c r="D54" s="29" t="inlineStr">
        <is>
          <t>Başvur</t>
        </is>
      </c>
      <c r="E54" s="29" t="inlineStr">
        <is>
          <t>https://vivienda.marbella.es/registro-de-demandantes/como-se-realiza-el-tramite-y-donde.html</t>
        </is>
      </c>
      <c r="F54" s="49" t="n">
        <v>46323</v>
      </c>
      <c r="G54" s="51" t="n">
        <v>1</v>
      </c>
    </row>
    <row r="55" ht="54" customHeight="1">
      <c r="A55" s="29" t="inlineStr">
        <is>
          <t>marbella:action:genc-kiralik-konut-huerta-de-los-cristales-2</t>
        </is>
      </c>
      <c r="B55" s="29" t="inlineStr">
        <is>
          <t>marbella</t>
        </is>
      </c>
      <c r="C55" s="29" t="inlineStr">
        <is>
          <t>marbella:genc-kiralik-konut-huerta-de-los-cristales</t>
        </is>
      </c>
      <c r="D55" s="29" t="inlineStr">
        <is>
          <t>Bilgi al</t>
        </is>
      </c>
      <c r="E55" s="29" t="inlineStr">
        <is>
          <t>https://www.marbella.es/actualidad/noticias/el-ayuntamiento-y-la-junta-entregan-las-llaves-de-las-primeras-viviendas-de-alquiler-para-jovenes-de-marbella.html</t>
        </is>
      </c>
      <c r="F55" s="49" t="n">
        <v>46323</v>
      </c>
      <c r="G55" s="51" t="n">
        <v>2</v>
      </c>
    </row>
    <row r="56" ht="54" customHeight="1">
      <c r="A56" s="29" t="inlineStr">
        <is>
          <t>marbella:action:bono-alquiler-joven-andalucia-2026-yardim-ve-durum-1</t>
        </is>
      </c>
      <c r="B56" s="29" t="inlineStr">
        <is>
          <t>marbella</t>
        </is>
      </c>
      <c r="C56" s="29" t="inlineStr">
        <is>
          <t>marbella:bono-alquiler-joven-andalucia-2026-yardim-ve-durum</t>
        </is>
      </c>
      <c r="D56" s="29" t="inlineStr">
        <is>
          <t>Bilgi al</t>
        </is>
      </c>
      <c r="E56" s="29" t="inlineStr">
        <is>
          <t>https://www.juntadeandalucia.es/organismos/viviendajuventudyordenaciondelterritorio/areas/vivienda-rehabilitacion/fomento-alquiler/bono-alquiler-joven/paginas/convocatoria-2025.html</t>
        </is>
      </c>
      <c r="F56" s="49" t="n">
        <v>46323</v>
      </c>
      <c r="G56" s="51" t="n">
        <v>1</v>
      </c>
    </row>
    <row r="57" ht="54" customHeight="1">
      <c r="A57" s="29" t="inlineStr">
        <is>
          <t>marbella:action:bono-alquiler-joven-andalucia-2026-yardim-ve-durum-2</t>
        </is>
      </c>
      <c r="B57" s="29" t="inlineStr">
        <is>
          <t>marbella</t>
        </is>
      </c>
      <c r="C57" s="29" t="inlineStr">
        <is>
          <t>marbella:bono-alquiler-joven-andalucia-2026-yardim-ve-durum</t>
        </is>
      </c>
      <c r="D57" s="29" t="inlineStr">
        <is>
          <t>Bilgi al</t>
        </is>
      </c>
      <c r="E57" s="29" t="inlineStr">
        <is>
          <t>https://www.marbella.es/web/juventud/recursos-juveniles/vivienda/bono-alquiler-joven.html</t>
        </is>
      </c>
      <c r="F57" s="49" t="n">
        <v>46323</v>
      </c>
      <c r="G57" s="51" t="n">
        <v>2</v>
      </c>
    </row>
    <row r="58" ht="54" customHeight="1">
      <c r="A58" s="29" t="inlineStr">
        <is>
          <t>marbella:action:bono-alquiler-joven-kira-ust-siniri-oda-ve-yukumluluk-1</t>
        </is>
      </c>
      <c r="B58" s="29" t="inlineStr">
        <is>
          <t>marbella</t>
        </is>
      </c>
      <c r="C58" s="29" t="inlineStr">
        <is>
          <t>marbella:bono-alquiler-joven-kira-ust-siniri-oda-ve-yukumluluk</t>
        </is>
      </c>
      <c r="D58" s="29" t="inlineStr">
        <is>
          <t>Bilgi al</t>
        </is>
      </c>
      <c r="E58" s="29" t="inlineStr">
        <is>
          <t>https://www.juntadeandalucia.es/organismos/viviendajuventudyordenaciondelterritorio/areas/vivienda-rehabilitacion/fomento-alquiler/bono-alquiler-joven/paginas/convocatoria-2025.html</t>
        </is>
      </c>
      <c r="F58" s="49" t="n">
        <v>46323</v>
      </c>
      <c r="G58" s="51" t="n">
        <v>1</v>
      </c>
    </row>
    <row r="59" ht="54" customHeight="1">
      <c r="A59" s="29" t="inlineStr">
        <is>
          <t>marbella:action:kirilgan-kiraci-icin-junta-kira-yardimi-1</t>
        </is>
      </c>
      <c r="B59" s="29" t="inlineStr">
        <is>
          <t>marbella</t>
        </is>
      </c>
      <c r="C59" s="29" t="inlineStr">
        <is>
          <t>marbella:kirilgan-kiraci-icin-junta-kira-yardimi</t>
        </is>
      </c>
      <c r="D59" s="29" t="inlineStr">
        <is>
          <t>Başvur</t>
        </is>
      </c>
      <c r="E59" s="29" t="inlineStr">
        <is>
          <t>https://www.juntadeandalucia.es/organismos/fomentoarticulaciondelterritorioyvivienda/areas/vivienda-rehabilitacion/fomento-alquiler/ayudas-vulnerables-general/paginas/vulnerables-2025.html</t>
        </is>
      </c>
      <c r="F59" s="49" t="n">
        <v>46323</v>
      </c>
      <c r="G59" s="51" t="n">
        <v>1</v>
      </c>
    </row>
    <row r="60" ht="54" customHeight="1">
      <c r="A60" s="29" t="inlineStr">
        <is>
          <t>marbella:action:kirilgan-kiraci-icin-junta-kira-yardimi-2</t>
        </is>
      </c>
      <c r="B60" s="29" t="inlineStr">
        <is>
          <t>marbella</t>
        </is>
      </c>
      <c r="C60" s="29" t="inlineStr">
        <is>
          <t>marbella:kirilgan-kiraci-icin-junta-kira-yardimi</t>
        </is>
      </c>
      <c r="D60" s="29" t="inlineStr">
        <is>
          <t>Bilgi al</t>
        </is>
      </c>
      <c r="E60" s="29" t="inlineStr">
        <is>
          <t>https://www.juntadeandalucia.es/temas/vivienda-consumo/compra/desahucios.html</t>
        </is>
      </c>
      <c r="F60" s="49" t="n">
        <v>46323</v>
      </c>
      <c r="G60" s="51" t="n">
        <v>2</v>
      </c>
    </row>
    <row r="61" ht="54" customHeight="1">
      <c r="A61" s="29" t="inlineStr">
        <is>
          <t>marbella:action:tahliye-ve-ipotek-riskinde-marbella-sosyal-hizmetler-1</t>
        </is>
      </c>
      <c r="B61" s="29" t="inlineStr">
        <is>
          <t>marbella</t>
        </is>
      </c>
      <c r="C61" s="29" t="inlineStr">
        <is>
          <t>marbella:tahliye-ve-ipotek-riskinde-marbella-sosyal-hizmetler</t>
        </is>
      </c>
      <c r="D61" s="29" t="inlineStr">
        <is>
          <t>Bilgi al</t>
        </is>
      </c>
      <c r="E61" s="29" t="inlineStr">
        <is>
          <t>https://ayuntamiento.marbella.es/documentos/cartas-de-servicios-municipales/1062-carta-de-servicios-de-la-delegacion-de-derechos-sociales.html</t>
        </is>
      </c>
      <c r="F61" s="49" t="n">
        <v>46323</v>
      </c>
      <c r="G61" s="51" t="n">
        <v>1</v>
      </c>
    </row>
    <row r="62" ht="54" customHeight="1">
      <c r="A62" s="29" t="inlineStr">
        <is>
          <t>marbella:action:tahliye-ve-ipotek-riskinde-marbella-sosyal-hizmetler-2</t>
        </is>
      </c>
      <c r="B62" s="29" t="inlineStr">
        <is>
          <t>marbella</t>
        </is>
      </c>
      <c r="C62" s="29" t="inlineStr">
        <is>
          <t>marbella:tahliye-ve-ipotek-riskinde-marbella-sosyal-hizmetler</t>
        </is>
      </c>
      <c r="D62" s="29" t="inlineStr">
        <is>
          <t>Bilgi al</t>
        </is>
      </c>
      <c r="E62" s="29" t="inlineStr">
        <is>
          <t>https://www.juntadeandalucia.es/temas/vivienda-consumo/compra/desahucios.html</t>
        </is>
      </c>
      <c r="F62" s="49" t="n">
        <v>46323</v>
      </c>
      <c r="G62" s="51" t="n">
        <v>2</v>
      </c>
    </row>
    <row r="63" ht="54" customHeight="1">
      <c r="A63" s="29" t="inlineStr">
        <is>
          <t>marbella:action:turistik-kiralik-daire-kurallari-ve-kiraci-1</t>
        </is>
      </c>
      <c r="B63" s="29" t="inlineStr">
        <is>
          <t>marbella</t>
        </is>
      </c>
      <c r="C63" s="29" t="inlineStr">
        <is>
          <t>marbella:turistik-kiralik-daire-kurallari-ve-kiraci</t>
        </is>
      </c>
      <c r="D63" s="29" t="inlineStr">
        <is>
          <t>Bilgi al</t>
        </is>
      </c>
      <c r="E63" s="29" t="inlineStr">
        <is>
          <t>https://www.juntadeandalucia.es/organismos/turismoyandaluciaexterior/areas/registro-turismo/establecimientos-servicios/paginas/faq-viviendas-turismo.html</t>
        </is>
      </c>
      <c r="F63" s="49" t="n">
        <v>46323</v>
      </c>
      <c r="G63" s="51" t="n">
        <v>1</v>
      </c>
    </row>
    <row r="64" ht="54" customHeight="1">
      <c r="A64" s="29" t="inlineStr">
        <is>
          <t>marbella:action:turistik-kiralik-daire-kurallari-ve-kiraci-2</t>
        </is>
      </c>
      <c r="B64" s="29" t="inlineStr">
        <is>
          <t>marbella</t>
        </is>
      </c>
      <c r="C64" s="29" t="inlineStr">
        <is>
          <t>marbella:turistik-kiralik-daire-kurallari-ve-kiraci</t>
        </is>
      </c>
      <c r="D64" s="29" t="inlineStr">
        <is>
          <t>Bilgi al</t>
        </is>
      </c>
      <c r="E64" s="29" t="inlineStr">
        <is>
          <t>https://www.marbella.es/actualidad/noticias/marbella-contara-con-un-registro-municipal-de-viviendas-turisticas-y-con-una-nueva-normativa-que-limitara-el-cambio-de-uso-para-esta-actividad-de-los-locales-comerciales.html</t>
        </is>
      </c>
      <c r="F64" s="49" t="n">
        <v>46323</v>
      </c>
      <c r="G64" s="51" t="n">
        <v>2</v>
      </c>
    </row>
    <row r="65" ht="54" customHeight="1">
      <c r="A65" s="29" t="inlineStr">
        <is>
          <t>marbella:action:elektrik-aboneligi-serbest-piyasa-pvpc-1</t>
        </is>
      </c>
      <c r="B65" s="29" t="inlineStr">
        <is>
          <t>marbella</t>
        </is>
      </c>
      <c r="C65" s="29" t="inlineStr">
        <is>
          <t>marbella:elektrik-aboneligi-serbest-piyasa-pvpc</t>
        </is>
      </c>
      <c r="D65" s="29" t="inlineStr">
        <is>
          <t>Bilgi al</t>
        </is>
      </c>
      <c r="E65" s="29" t="inlineStr">
        <is>
          <t>https://www.miteco.gob.es/es/energia/energia-electrica/electricidad/contratacion-suministro.html</t>
        </is>
      </c>
      <c r="F65" s="49" t="n">
        <v>46319</v>
      </c>
      <c r="G65" s="51" t="n">
        <v>1</v>
      </c>
    </row>
    <row r="66" ht="54" customHeight="1">
      <c r="A66" s="29" t="inlineStr">
        <is>
          <t>marbella:action:elektrik-aboneligi-serbest-piyasa-pvpc-2</t>
        </is>
      </c>
      <c r="B66" s="29" t="inlineStr">
        <is>
          <t>marbella</t>
        </is>
      </c>
      <c r="C66" s="29" t="inlineStr">
        <is>
          <t>marbella:elektrik-aboneligi-serbest-piyasa-pvpc</t>
        </is>
      </c>
      <c r="D66" s="29" t="inlineStr">
        <is>
          <t>Bilgi al</t>
        </is>
      </c>
      <c r="E66" s="29" t="inlineStr">
        <is>
          <t>https://www.cnmc.es/facil-para-ti/que-hace-la-cnmc-para-consumidores/comercializacion-y-suministro-electrico</t>
        </is>
      </c>
      <c r="F66" s="49" t="n">
        <v>46319</v>
      </c>
      <c r="G66" s="51" t="n">
        <v>2</v>
      </c>
    </row>
    <row r="67" ht="54" customHeight="1">
      <c r="A67" s="29" t="inlineStr">
        <is>
          <t>marbella:action:elektrik-faturasi-nasil-okunur-1</t>
        </is>
      </c>
      <c r="B67" s="29" t="inlineStr">
        <is>
          <t>marbella</t>
        </is>
      </c>
      <c r="C67" s="29" t="inlineStr">
        <is>
          <t>marbella:elektrik-faturasi-nasil-okunur</t>
        </is>
      </c>
      <c r="D67" s="29" t="inlineStr">
        <is>
          <t>Bilgi al</t>
        </is>
      </c>
      <c r="E67" s="29" t="inlineStr">
        <is>
          <t>https://www.cnmc.es/facil-para-ti/que-hace-la-cnmc-para-consumidores/comercializacion-y-suministro-electrico</t>
        </is>
      </c>
      <c r="F67" s="49" t="n">
        <v>46319</v>
      </c>
      <c r="G67" s="51" t="n">
        <v>1</v>
      </c>
    </row>
    <row r="68" ht="54" customHeight="1">
      <c r="A68" s="29" t="inlineStr">
        <is>
          <t>marbella:action:elektrik-faturasi-nasil-okunur-2</t>
        </is>
      </c>
      <c r="B68" s="29" t="inlineStr">
        <is>
          <t>marbella</t>
        </is>
      </c>
      <c r="C68" s="29" t="inlineStr">
        <is>
          <t>marbella:elektrik-faturasi-nasil-okunur</t>
        </is>
      </c>
      <c r="D68" s="29" t="inlineStr">
        <is>
          <t>Bilgi al</t>
        </is>
      </c>
      <c r="E68" s="29" t="inlineStr">
        <is>
          <t>https://www.miteco.gob.es/es/energia/energia-electrica/electricidad/contratacion-suministro/precio-voluntario.html</t>
        </is>
      </c>
      <c r="F68" s="49" t="n">
        <v>46319</v>
      </c>
      <c r="G68" s="51" t="n">
        <v>2</v>
      </c>
    </row>
    <row r="69" ht="54" customHeight="1">
      <c r="A69" s="29" t="inlineStr">
        <is>
          <t>marbella:action:sozlesmeli-elektrik-gucu-nasil-secilir-1</t>
        </is>
      </c>
      <c r="B69" s="29" t="inlineStr">
        <is>
          <t>marbella</t>
        </is>
      </c>
      <c r="C69" s="29" t="inlineStr">
        <is>
          <t>marbella:sozlesmeli-elektrik-gucu-nasil-secilir</t>
        </is>
      </c>
      <c r="D69" s="29" t="inlineStr">
        <is>
          <t>Bilgi al</t>
        </is>
      </c>
      <c r="E69" s="29" t="inlineStr">
        <is>
          <t>https://www.cnmc.es/facil-para-ti/que-hace-la-cnmc-para-consumidores/comercializacion-y-suministro-electrico</t>
        </is>
      </c>
      <c r="F69" s="49" t="n">
        <v>46319</v>
      </c>
      <c r="G69" s="51" t="n">
        <v>1</v>
      </c>
    </row>
    <row r="70" ht="54" customHeight="1">
      <c r="A70" s="29" t="inlineStr">
        <is>
          <t>marbella:action:sozlesmeli-elektrik-gucu-nasil-secilir-2</t>
        </is>
      </c>
      <c r="B70" s="29" t="inlineStr">
        <is>
          <t>marbella</t>
        </is>
      </c>
      <c r="C70" s="29" t="inlineStr">
        <is>
          <t>marbella:sozlesmeli-elektrik-gucu-nasil-secilir</t>
        </is>
      </c>
      <c r="D70" s="29" t="inlineStr">
        <is>
          <t>Bilgi al</t>
        </is>
      </c>
      <c r="E70" s="29" t="inlineStr">
        <is>
          <t>https://www.miteco.gob.es/es/energia/energia-electrica/electricidad/contratacion-suministro.html</t>
        </is>
      </c>
      <c r="F70" s="49" t="n">
        <v>46319</v>
      </c>
      <c r="G70" s="51" t="n">
        <v>2</v>
      </c>
    </row>
    <row r="71" ht="54" customHeight="1">
      <c r="A71" s="29" t="inlineStr">
        <is>
          <t>marbella:action:dogalgaz-aboneligi-tur-ve-fatura-1</t>
        </is>
      </c>
      <c r="B71" s="29" t="inlineStr">
        <is>
          <t>marbella</t>
        </is>
      </c>
      <c r="C71" s="29" t="inlineStr">
        <is>
          <t>marbella:dogalgaz-aboneligi-tur-ve-fatura</t>
        </is>
      </c>
      <c r="D71" s="29" t="inlineStr">
        <is>
          <t>Bilgi al</t>
        </is>
      </c>
      <c r="E71" s="29" t="inlineStr">
        <is>
          <t>https://www.cnmc.es/facil-para-ti/que-hace-la-cnmc-para-consumidores/consumidores-gas</t>
        </is>
      </c>
      <c r="F71" s="49" t="n">
        <v>46319</v>
      </c>
      <c r="G71" s="51" t="n">
        <v>1</v>
      </c>
    </row>
    <row r="72" ht="54" customHeight="1">
      <c r="A72" s="29" t="inlineStr">
        <is>
          <t>marbella:action:bono-social-elektrik-kimler-alir-1</t>
        </is>
      </c>
      <c r="B72" s="29" t="inlineStr">
        <is>
          <t>marbella</t>
        </is>
      </c>
      <c r="C72" s="29" t="inlineStr">
        <is>
          <t>marbella:bono-social-elektrik-kimler-alir</t>
        </is>
      </c>
      <c r="D72" s="29" t="inlineStr">
        <is>
          <t>Bilgi al</t>
        </is>
      </c>
      <c r="E72" s="29" t="inlineStr">
        <is>
          <t>https://www.miteco.gob.es/es/energia/pobreza-energetica/pe-001/requisitos.html</t>
        </is>
      </c>
      <c r="F72" s="49" t="n">
        <v>46319</v>
      </c>
      <c r="G72" s="51" t="n">
        <v>1</v>
      </c>
    </row>
    <row r="73" ht="54" customHeight="1">
      <c r="A73" s="29" t="inlineStr">
        <is>
          <t>marbella:action:bono-social-elektrik-kimler-alir-2</t>
        </is>
      </c>
      <c r="B73" s="29" t="inlineStr">
        <is>
          <t>marbella</t>
        </is>
      </c>
      <c r="C73" s="29" t="inlineStr">
        <is>
          <t>marbella:bono-social-elektrik-kimler-alir</t>
        </is>
      </c>
      <c r="D73" s="29" t="inlineStr">
        <is>
          <t>Bilgi al</t>
        </is>
      </c>
      <c r="E73" s="29" t="inlineStr">
        <is>
          <t>https://www.boe.es/buscar/act.php?id=BOE-A-2017-11505</t>
        </is>
      </c>
      <c r="F73" s="49" t="n">
        <v>46319</v>
      </c>
      <c r="G73" s="51" t="n">
        <v>2</v>
      </c>
    </row>
    <row r="74" ht="54" customHeight="1">
      <c r="A74" s="29" t="inlineStr">
        <is>
          <t>marbella:action:internet-mobil-hat-sozlesmesi-taahhut-cayma-1</t>
        </is>
      </c>
      <c r="B74" s="29" t="inlineStr">
        <is>
          <t>marbella</t>
        </is>
      </c>
      <c r="C74" s="29" t="inlineStr">
        <is>
          <t>marbella:internet-mobil-hat-sozlesmesi-taahhut-cayma</t>
        </is>
      </c>
      <c r="D74" s="29" t="inlineStr">
        <is>
          <t>Bilgi al</t>
        </is>
      </c>
      <c r="E74" s="29" t="inlineStr">
        <is>
          <t>https://www.boe.es/buscar/act.php?id=BOE-A-2022-10757</t>
        </is>
      </c>
      <c r="F74" s="49" t="n">
        <v>46319</v>
      </c>
      <c r="G74" s="51" t="n">
        <v>1</v>
      </c>
    </row>
    <row r="75" ht="54" customHeight="1">
      <c r="A75" s="29" t="inlineStr">
        <is>
          <t>marbella:action:internet-mobil-hat-sozlesmesi-taahhut-cayma-2</t>
        </is>
      </c>
      <c r="B75" s="29" t="inlineStr">
        <is>
          <t>marbella</t>
        </is>
      </c>
      <c r="C75" s="29" t="inlineStr">
        <is>
          <t>marbella:internet-mobil-hat-sozlesmesi-taahhut-cayma</t>
        </is>
      </c>
      <c r="D75" s="29" t="inlineStr">
        <is>
          <t>Bilgi al</t>
        </is>
      </c>
      <c r="E75" s="29" t="inlineStr">
        <is>
          <t>https://www.boe.es/buscar/act.php?id=BOE-A-2007-20555</t>
        </is>
      </c>
      <c r="F75" s="49" t="n">
        <v>46319</v>
      </c>
      <c r="G75" s="51" t="n">
        <v>2</v>
      </c>
    </row>
    <row r="76" ht="54" customHeight="1">
      <c r="A76" s="29" t="inlineStr">
        <is>
          <t>marbella:action:cnmc-teklif-karsilastirma-araci-1</t>
        </is>
      </c>
      <c r="B76" s="29" t="inlineStr">
        <is>
          <t>marbella</t>
        </is>
      </c>
      <c r="C76" s="29" t="inlineStr">
        <is>
          <t>marbella:cnmc-teklif-karsilastirma-araci</t>
        </is>
      </c>
      <c r="D76" s="29" t="inlineStr">
        <is>
          <t>Hesapla</t>
        </is>
      </c>
      <c r="E76" s="29" t="inlineStr">
        <is>
          <t>https://www.cnmc.es/facil-para-ti/herramientas-utiles/energia</t>
        </is>
      </c>
      <c r="F76" s="49" t="n">
        <v>46319</v>
      </c>
      <c r="G76" s="51" t="n">
        <v>1</v>
      </c>
    </row>
    <row r="77" ht="54" customHeight="1">
      <c r="A77" s="29" t="inlineStr">
        <is>
          <t>marbella:action:cnmc-teklif-karsilastirma-araci-2</t>
        </is>
      </c>
      <c r="B77" s="29" t="inlineStr">
        <is>
          <t>marbella</t>
        </is>
      </c>
      <c r="C77" s="29" t="inlineStr">
        <is>
          <t>marbella:cnmc-teklif-karsilastirma-araci</t>
        </is>
      </c>
      <c r="D77" s="29" t="inlineStr">
        <is>
          <t>Bilgi al</t>
        </is>
      </c>
      <c r="E77" s="29" t="inlineStr">
        <is>
          <t>https://www.cnmc.es/facil-para-ti/que-hace-la-cnmc-para-consumidores/consumidores-gas</t>
        </is>
      </c>
      <c r="F77" s="49" t="n">
        <v>46319</v>
      </c>
      <c r="G77" s="51" t="n">
        <v>2</v>
      </c>
    </row>
    <row r="78" ht="54" customHeight="1">
      <c r="A78" s="29" t="inlineStr">
        <is>
          <t>marbella:action:elektrik-ve-telekom-sikayet-yollari-1</t>
        </is>
      </c>
      <c r="B78" s="29" t="inlineStr">
        <is>
          <t>marbella</t>
        </is>
      </c>
      <c r="C78" s="29" t="inlineStr">
        <is>
          <t>marbella:elektrik-ve-telekom-sikayet-yollari</t>
        </is>
      </c>
      <c r="D78" s="29" t="inlineStr">
        <is>
          <t>Bilgi al</t>
        </is>
      </c>
      <c r="E78" s="29" t="inlineStr">
        <is>
          <t>https://www.miteco.gob.es/es/energia/energia-electrica/electricidad/contratacion-suministro/reclamaciones.html</t>
        </is>
      </c>
      <c r="F78" s="49" t="n">
        <v>46319</v>
      </c>
      <c r="G78" s="51" t="n">
        <v>1</v>
      </c>
    </row>
    <row r="79" ht="54" customHeight="1">
      <c r="A79" s="29" t="inlineStr">
        <is>
          <t>marbella:action:elektrik-ve-telekom-sikayet-yollari-2</t>
        </is>
      </c>
      <c r="B79" s="29" t="inlineStr">
        <is>
          <t>marbella</t>
        </is>
      </c>
      <c r="C79" s="29" t="inlineStr">
        <is>
          <t>marbella:elektrik-ve-telekom-sikayet-yollari</t>
        </is>
      </c>
      <c r="D79" s="29" t="inlineStr">
        <is>
          <t>Formu doldur</t>
        </is>
      </c>
      <c r="E79" s="29" t="inlineStr">
        <is>
          <t>https://usuariosteleco.digital.gob.es/reclamaciones/telefonia-e-internet</t>
        </is>
      </c>
      <c r="F79" s="49" t="n">
        <v>46319</v>
      </c>
      <c r="G79" s="51" t="n">
        <v>2</v>
      </c>
    </row>
    <row r="80" ht="54" customHeight="1">
      <c r="A80" s="29" t="inlineStr">
        <is>
          <t>marbella:action:apartman-yonetimi-comunidad-de-vecinos-1</t>
        </is>
      </c>
      <c r="B80" s="29" t="inlineStr">
        <is>
          <t>marbella</t>
        </is>
      </c>
      <c r="C80" s="29" t="inlineStr">
        <is>
          <t>marbella:apartman-yonetimi-comunidad-de-vecinos</t>
        </is>
      </c>
      <c r="D80" s="29" t="inlineStr">
        <is>
          <t>Bilgi al</t>
        </is>
      </c>
      <c r="E80" s="29" t="inlineStr">
        <is>
          <t>https://www.boe.es/buscar/act.php?id=BOE-A-1960-10906</t>
        </is>
      </c>
      <c r="F80" s="49" t="n">
        <v>46319</v>
      </c>
      <c r="G80" s="51" t="n">
        <v>1</v>
      </c>
    </row>
    <row r="81" ht="54" customHeight="1">
      <c r="A81" s="29" t="inlineStr">
        <is>
          <t>marbella:action:apartman-yonetimi-comunidad-de-vecinos-2</t>
        </is>
      </c>
      <c r="B81" s="29" t="inlineStr">
        <is>
          <t>marbella</t>
        </is>
      </c>
      <c r="C81" s="29" t="inlineStr">
        <is>
          <t>marbella:apartman-yonetimi-comunidad-de-vecinos</t>
        </is>
      </c>
      <c r="D81" s="29" t="inlineStr">
        <is>
          <t>Bilgi al</t>
        </is>
      </c>
      <c r="E81" s="29" t="inlineStr">
        <is>
          <t>https://www.boe.es/buscar/act.php?id=BOE-A-2006-11130</t>
        </is>
      </c>
      <c r="F81" s="49" t="n">
        <v>46319</v>
      </c>
      <c r="G81" s="51" t="n">
        <v>2</v>
      </c>
    </row>
    <row r="82" ht="54" customHeight="1">
      <c r="A82" s="29" t="inlineStr">
        <is>
          <t>marbella:action:su-sozlesmesi-islemleri-acosol-marbella-1</t>
        </is>
      </c>
      <c r="B82" s="29" t="inlineStr">
        <is>
          <t>marbella</t>
        </is>
      </c>
      <c r="C82" s="29" t="inlineStr">
        <is>
          <t>marbella:su-sozlesmesi-islemleri-acosol-marbella</t>
        </is>
      </c>
      <c r="D82" s="29" t="inlineStr">
        <is>
          <t>Başvur</t>
        </is>
      </c>
      <c r="E82" s="29" t="inlineStr">
        <is>
          <t>https://www.acosol.es/gestiones/zona-de-clientes/oficina-virtual/</t>
        </is>
      </c>
      <c r="F82" s="49" t="n">
        <v>46323</v>
      </c>
      <c r="G82" s="51" t="n">
        <v>1</v>
      </c>
    </row>
    <row r="83" ht="54" customHeight="1">
      <c r="A83" s="29" t="inlineStr">
        <is>
          <t>marbella:action:su-sozlesmesi-islemleri-acosol-marbella-2</t>
        </is>
      </c>
      <c r="B83" s="29" t="inlineStr">
        <is>
          <t>marbella</t>
        </is>
      </c>
      <c r="C83" s="29" t="inlineStr">
        <is>
          <t>marbella:su-sozlesmesi-islemleri-acosol-marbella</t>
        </is>
      </c>
      <c r="D83" s="29" t="inlineStr">
        <is>
          <t>Bilgi al</t>
        </is>
      </c>
      <c r="E83" s="29" t="inlineStr">
        <is>
          <t>https://www.acosol.es/servicio/servicio-abastecimiento-baja/</t>
        </is>
      </c>
      <c r="F83" s="49" t="n">
        <v>46323</v>
      </c>
      <c r="G83" s="51" t="n">
        <v>2</v>
      </c>
    </row>
    <row r="84" ht="54" customHeight="1">
      <c r="A84" s="29" t="inlineStr">
        <is>
          <t>marbella:action:su-faturasi-acosol-oficina-virtual-ve-odeme-1</t>
        </is>
      </c>
      <c r="B84" s="29" t="inlineStr">
        <is>
          <t>marbella</t>
        </is>
      </c>
      <c r="C84" s="29" t="inlineStr">
        <is>
          <t>marbella:su-faturasi-acosol-oficina-virtual-ve-odeme</t>
        </is>
      </c>
      <c r="D84" s="29" t="inlineStr">
        <is>
          <t>Kayıt ol</t>
        </is>
      </c>
      <c r="E84" s="29" t="inlineStr">
        <is>
          <t>https://www.acosol.es/gestiones/zona-de-clientes/oficina-virtual/</t>
        </is>
      </c>
      <c r="F84" s="49" t="n">
        <v>46323</v>
      </c>
      <c r="G84" s="51" t="n">
        <v>1</v>
      </c>
    </row>
    <row r="85" ht="54" customHeight="1">
      <c r="A85" s="29" t="inlineStr">
        <is>
          <t>marbella:action:acosol-marbella-merkez-ofisi-randevu-ve-sikayet-1</t>
        </is>
      </c>
      <c r="B85" s="29" t="inlineStr">
        <is>
          <t>marbella</t>
        </is>
      </c>
      <c r="C85" s="29" t="inlineStr">
        <is>
          <t>marbella:acosol-marbella-merkez-ofisi-randevu-ve-sikayet</t>
        </is>
      </c>
      <c r="D85" s="29" t="inlineStr">
        <is>
          <t>Randevu al</t>
        </is>
      </c>
      <c r="E85" s="29" t="inlineStr">
        <is>
          <t>https://www.acosol.es/contactar/nuestras-sedes/</t>
        </is>
      </c>
      <c r="F85" s="49" t="n">
        <v>46323</v>
      </c>
      <c r="G85" s="51" t="n">
        <v>1</v>
      </c>
    </row>
    <row r="86" ht="54" customHeight="1">
      <c r="A86" s="29" t="inlineStr">
        <is>
          <t>marbella:action:acosol-marbella-merkez-ofisi-randevu-ve-sikayet-2</t>
        </is>
      </c>
      <c r="B86" s="29" t="inlineStr">
        <is>
          <t>marbella</t>
        </is>
      </c>
      <c r="C86" s="29" t="inlineStr">
        <is>
          <t>marbella:acosol-marbella-merkez-ofisi-randevu-ve-sikayet</t>
        </is>
      </c>
      <c r="D86" s="29" t="inlineStr">
        <is>
          <t>Bilgi al</t>
        </is>
      </c>
      <c r="E86" s="29" t="inlineStr">
        <is>
          <t>https://www.acosol.es/contactar/quejas-y-sugerencias/</t>
        </is>
      </c>
      <c r="F86" s="49" t="n">
        <v>46323</v>
      </c>
      <c r="G86" s="51" t="n">
        <v>2</v>
      </c>
    </row>
    <row r="87" ht="54" customHeight="1">
      <c r="A87" s="29" t="inlineStr">
        <is>
          <t>marbella:action:cop-konteyneri-arizasi-ve-buyuk-esya-toplama-telefonu-1</t>
        </is>
      </c>
      <c r="B87" s="29" t="inlineStr">
        <is>
          <t>marbella</t>
        </is>
      </c>
      <c r="C87" s="29" t="inlineStr">
        <is>
          <t>marbella:cop-konteyneri-arizasi-ve-buyuk-esya-toplama-telefonu</t>
        </is>
      </c>
      <c r="D87" s="29" t="inlineStr">
        <is>
          <t>Bilgi al</t>
        </is>
      </c>
      <c r="E87" s="29" t="inlineStr">
        <is>
          <t>https://www.marbella.es/actualidad/noticias/el-ayuntamiento-habilita-un-telefono-para-que-los-vecinos-informen-de-incidencias-relacionadas-con-los-contenedores-de-recogida-de-residuos-solidos-urbanos.html</t>
        </is>
      </c>
      <c r="F87" s="49" t="n">
        <v>46323</v>
      </c>
      <c r="G87" s="51" t="n">
        <v>1</v>
      </c>
    </row>
    <row r="88" ht="54" customHeight="1">
      <c r="A88" s="29" t="inlineStr">
        <is>
          <t>marbella:action:belediye-atik-deposu-marbella-adres-saat-ve-limitler-1</t>
        </is>
      </c>
      <c r="B88" s="29" t="inlineStr">
        <is>
          <t>marbella</t>
        </is>
      </c>
      <c r="C88" s="29" t="inlineStr">
        <is>
          <t>marbella:belediye-atik-deposu-marbella-adres-saat-ve-limitler</t>
        </is>
      </c>
      <c r="D88" s="29" t="inlineStr">
        <is>
          <t>Bilgi al</t>
        </is>
      </c>
      <c r="E88" s="29" t="inlineStr">
        <is>
          <t>https://www.marbella.es/web/medio-ambiente/area-de-medio-ambiente/residuos/deposito-municipal-de-residuos.html</t>
        </is>
      </c>
      <c r="F88" s="49" t="n">
        <v>46323</v>
      </c>
      <c r="G88" s="51" t="n">
        <v>1</v>
      </c>
    </row>
    <row r="89" ht="54" customHeight="1">
      <c r="A89" s="29" t="inlineStr">
        <is>
          <t>marbella:action:cop-tasasi-marbella-ordonans-ve-vergi-ofisleri-1</t>
        </is>
      </c>
      <c r="B89" s="29" t="inlineStr">
        <is>
          <t>marbella</t>
        </is>
      </c>
      <c r="C89" s="29" t="inlineStr">
        <is>
          <t>marbella:cop-tasasi-marbella-ordonans-ve-vergi-ofisleri</t>
        </is>
      </c>
      <c r="D89" s="29" t="inlineStr">
        <is>
          <t>Tarifeyi gör</t>
        </is>
      </c>
      <c r="E89" s="29" t="inlineStr">
        <is>
          <t>https://ayuntamiento.marbella.es/documentos/ordenanzas-fiscales/5086-ordenanzas-fiscales-2026.html</t>
        </is>
      </c>
      <c r="F89" s="49" t="n">
        <v>46323</v>
      </c>
      <c r="G89" s="51" t="n">
        <v>1</v>
      </c>
    </row>
    <row r="90" ht="54" customHeight="1">
      <c r="A90" s="29" t="inlineStr">
        <is>
          <t>marbella:action:cop-tasasi-marbella-ordonans-ve-vergi-ofisleri-2</t>
        </is>
      </c>
      <c r="B90" s="29" t="inlineStr">
        <is>
          <t>marbella</t>
        </is>
      </c>
      <c r="C90" s="29" t="inlineStr">
        <is>
          <t>marbella:cop-tasasi-marbella-ordonans-ve-vergi-ofisleri</t>
        </is>
      </c>
      <c r="D90" s="29" t="inlineStr">
        <is>
          <t>Bilgi al</t>
        </is>
      </c>
      <c r="E90" s="29" t="inlineStr">
        <is>
          <t>https://extranjeros.marbella.es/informacion/direcciones-de-interes</t>
        </is>
      </c>
      <c r="F90" s="49" t="n">
        <v>46323</v>
      </c>
      <c r="G90" s="51" t="n">
        <v>2</v>
      </c>
    </row>
    <row r="91" ht="54" customHeight="1">
      <c r="A91" s="29" t="inlineStr">
        <is>
          <t>marbella:action:tuketici-sikayeti-omic-ve-hoja-de-reclamaciones-marbella-1</t>
        </is>
      </c>
      <c r="B91" s="29" t="inlineStr">
        <is>
          <t>marbella</t>
        </is>
      </c>
      <c r="C91" s="29" t="inlineStr">
        <is>
          <t>marbella:tuketici-sikayeti-omic-ve-hoja-de-reclamaciones-marbella</t>
        </is>
      </c>
      <c r="D91" s="29" t="inlineStr">
        <is>
          <t>Bilgi al</t>
        </is>
      </c>
      <c r="E91" s="29" t="inlineStr">
        <is>
          <t>https://marbella.es/web/sanidad-consumo-y-servicios/omic.html</t>
        </is>
      </c>
      <c r="F91" s="49" t="n">
        <v>46323</v>
      </c>
      <c r="G91" s="51" t="n">
        <v>1</v>
      </c>
    </row>
    <row r="92" ht="54" customHeight="1">
      <c r="A92" s="29" t="inlineStr">
        <is>
          <t>marbella:action:tuketici-sikayeti-omic-ve-hoja-de-reclamaciones-marbella-2</t>
        </is>
      </c>
      <c r="B92" s="29" t="inlineStr">
        <is>
          <t>marbella</t>
        </is>
      </c>
      <c r="C92" s="29" t="inlineStr">
        <is>
          <t>marbella:tuketici-sikayeti-omic-ve-hoja-de-reclamaciones-marbella</t>
        </is>
      </c>
      <c r="D92" s="29" t="inlineStr">
        <is>
          <t>Formu doldur</t>
        </is>
      </c>
      <c r="E92" s="29" t="inlineStr">
        <is>
          <t>https://www.juntadeandalucia.es/temas/vivienda-consumo/consumo/reclamaciones.html</t>
        </is>
      </c>
      <c r="F92" s="49" t="n">
        <v>46323</v>
      </c>
      <c r="G92" s="51" t="n">
        <v>2</v>
      </c>
    </row>
    <row r="93" ht="54" customHeight="1">
      <c r="A93" s="29" t="inlineStr">
        <is>
          <t>marbella:action:resmi-tatiller-2027-1</t>
        </is>
      </c>
      <c r="B93" s="29" t="inlineStr">
        <is>
          <t>marbella</t>
        </is>
      </c>
      <c r="C93" s="29" t="inlineStr">
        <is>
          <t>marbella:resmi-tatiller-2027</t>
        </is>
      </c>
      <c r="D93" s="29" t="inlineStr">
        <is>
          <t>Bilgi al</t>
        </is>
      </c>
      <c r="E93" s="29" t="inlineStr">
        <is>
          <t>https://www.boe.es/buscar/doc.php?id=BOE-A-2026-21254</t>
        </is>
      </c>
      <c r="F93" s="49" t="n">
        <v>46319</v>
      </c>
      <c r="G93" s="51" t="n">
        <v>1</v>
      </c>
    </row>
    <row r="94" ht="54" customHeight="1">
      <c r="A94" s="29" t="inlineStr">
        <is>
          <t>marbella:action:magaza-acilis-saatleri-cercevesi-1</t>
        </is>
      </c>
      <c r="B94" s="29" t="inlineStr">
        <is>
          <t>marbella</t>
        </is>
      </c>
      <c r="C94" s="29" t="inlineStr">
        <is>
          <t>marbella:magaza-acilis-saatleri-cercevesi</t>
        </is>
      </c>
      <c r="D94" s="29" t="inlineStr">
        <is>
          <t>Bilgi al</t>
        </is>
      </c>
      <c r="E94" s="29" t="inlineStr">
        <is>
          <t>https://www.boe.es/buscar/act.php?id=BOE-A-2004-21421</t>
        </is>
      </c>
      <c r="F94" s="49" t="n">
        <v>46319</v>
      </c>
      <c r="G94" s="51" t="n">
        <v>1</v>
      </c>
    </row>
    <row r="95" ht="54" customHeight="1">
      <c r="A95" s="29" t="inlineStr">
        <is>
          <t>marbella:action:ab-disi-paket-gumruk-iva-1</t>
        </is>
      </c>
      <c r="B95" s="29" t="inlineStr">
        <is>
          <t>marbella</t>
        </is>
      </c>
      <c r="C95" s="29" t="inlineStr">
        <is>
          <t>marbella:ab-disi-paket-gumruk-iva</t>
        </is>
      </c>
      <c r="D95" s="29" t="inlineStr">
        <is>
          <t>Bilgi al</t>
        </is>
      </c>
      <c r="E95" s="29" t="inlineStr">
        <is>
          <t>https://sede.agenciatributaria.gob.es/Sede/aduanas/comercio-electronico-pipe-envios-particulares/compras-internet-envios-particulares/envios-valor-hasta-150-euros.html</t>
        </is>
      </c>
      <c r="F95" s="49" t="n">
        <v>46319</v>
      </c>
      <c r="G95" s="51" t="n">
        <v>1</v>
      </c>
    </row>
    <row r="96" ht="54" customHeight="1">
      <c r="A96" s="29" t="inlineStr">
        <is>
          <t>marbella:action:ab-disi-paket-gumruk-iva-2</t>
        </is>
      </c>
      <c r="B96" s="29" t="inlineStr">
        <is>
          <t>marbella</t>
        </is>
      </c>
      <c r="C96" s="29" t="inlineStr">
        <is>
          <t>marbella:ab-disi-paket-gumruk-iva</t>
        </is>
      </c>
      <c r="D96" s="29" t="inlineStr">
        <is>
          <t>Bilgi al</t>
        </is>
      </c>
      <c r="E96" s="29" t="inlineStr">
        <is>
          <t>https://www.correos.es/es/es/atencion-al-cliente/informacion-aduanera</t>
        </is>
      </c>
      <c r="F96" s="49" t="n">
        <v>46319</v>
      </c>
      <c r="G96" s="51" t="n">
        <v>2</v>
      </c>
    </row>
    <row r="97" ht="54" customHeight="1">
      <c r="A97" s="29" t="inlineStr">
        <is>
          <t>marbella:action:diger-resmi-yardim-hatlari-1</t>
        </is>
      </c>
      <c r="B97" s="29" t="inlineStr">
        <is>
          <t>marbella</t>
        </is>
      </c>
      <c r="C97" s="29" t="inlineStr">
        <is>
          <t>marbella:diger-resmi-yardim-hatlari</t>
        </is>
      </c>
      <c r="D97" s="29" t="inlineStr">
        <is>
          <t>Bilgi al</t>
        </is>
      </c>
      <c r="E97" s="29" t="inlineStr">
        <is>
          <t>https://www.igualdad.gob.es/accede-a-lineas-telefonicas-especializadas-para-atencion-apoyo-y-proteccion-en-casos-de-violencia-de-genero-lgtbifobia-o-discriminacion-racial/</t>
        </is>
      </c>
      <c r="F97" s="49" t="n">
        <v>46319</v>
      </c>
      <c r="G97" s="51" t="n">
        <v>1</v>
      </c>
    </row>
    <row r="98" ht="54" customHeight="1">
      <c r="A98" s="29" t="inlineStr">
        <is>
          <t>marbella:action:diger-resmi-yardim-hatlari-2</t>
        </is>
      </c>
      <c r="B98" s="29" t="inlineStr">
        <is>
          <t>marbella</t>
        </is>
      </c>
      <c r="C98" s="29" t="inlineStr">
        <is>
          <t>marbella:diger-resmi-yardim-hatlari</t>
        </is>
      </c>
      <c r="D98" s="29" t="inlineStr">
        <is>
          <t>Bilgi al</t>
        </is>
      </c>
      <c r="E98" s="29" t="inlineStr">
        <is>
          <t>https://www.sanidad.gob.es/linea024/home.htm</t>
        </is>
      </c>
      <c r="F98" s="49" t="n">
        <v>46319</v>
      </c>
      <c r="G98" s="51" t="n">
        <v>2</v>
      </c>
    </row>
    <row r="99" ht="54" customHeight="1">
      <c r="A99" s="29" t="inlineStr">
        <is>
          <t>marbella:action:bahsis-ve-odeme-aliskanliklari-1</t>
        </is>
      </c>
      <c r="B99" s="29" t="inlineStr">
        <is>
          <t>marbella</t>
        </is>
      </c>
      <c r="C99" s="29" t="inlineStr">
        <is>
          <t>marbella:bahsis-ve-odeme-aliskanliklari</t>
        </is>
      </c>
      <c r="D99" s="29" t="inlineStr">
        <is>
          <t>Bilgi al</t>
        </is>
      </c>
      <c r="E99" s="29" t="inlineStr">
        <is>
          <t>https://www.spain.info/es/consejos-viaje/moneda-billetes/</t>
        </is>
      </c>
      <c r="F99" s="49" t="n">
        <v>46319</v>
      </c>
      <c r="G99" s="51" t="n">
        <v>1</v>
      </c>
    </row>
    <row r="100" ht="54" customHeight="1">
      <c r="A100" s="29" t="inlineStr">
        <is>
          <t>marbella:action:endulus-2027-resmi-tatilleri-1</t>
        </is>
      </c>
      <c r="B100" s="29" t="inlineStr">
        <is>
          <t>marbella</t>
        </is>
      </c>
      <c r="C100" s="29" t="inlineStr">
        <is>
          <t>marbella:endulus-2027-resmi-tatilleri</t>
        </is>
      </c>
      <c r="D100" s="29" t="inlineStr">
        <is>
          <t>Bilgi al</t>
        </is>
      </c>
      <c r="E100" s="29" t="inlineStr">
        <is>
          <t>https://www.juntadeandalucia.es/boja/2026/84/1</t>
        </is>
      </c>
      <c r="F100" s="49" t="n">
        <v>46319</v>
      </c>
      <c r="G100" s="51" t="n">
        <v>1</v>
      </c>
    </row>
    <row r="101" ht="54" customHeight="1">
      <c r="A101" s="29" t="inlineStr">
        <is>
          <t>marbella:action:marbella-yerel-acil-numaralar-ve-polis-itfaiye-koruma-adresleri-1</t>
        </is>
      </c>
      <c r="B101" s="29" t="inlineStr">
        <is>
          <t>marbella</t>
        </is>
      </c>
      <c r="C101" s="29" t="inlineStr">
        <is>
          <t>marbella:marbella-yerel-acil-numaralar-ve-polis-itfaiye-koruma-adresleri</t>
        </is>
      </c>
      <c r="D101" s="29" t="inlineStr">
        <is>
          <t>Bilgi al</t>
        </is>
      </c>
      <c r="E101" s="29" t="inlineStr">
        <is>
          <t>https://ayuntamiento.marbella.es/gestion-municipal/delegaciones/policia-local-extincion-de-incendios-y-emergencias.html</t>
        </is>
      </c>
      <c r="F101" s="49" t="n">
        <v>46323</v>
      </c>
      <c r="G101" s="51" t="n">
        <v>1</v>
      </c>
    </row>
    <row r="102" ht="54" customHeight="1">
      <c r="A102" s="29" t="inlineStr">
        <is>
          <t>marbella:action:marbella-konteyner-renkleri-ve-temizlik-sorunu-bildirme-uygulamasi-1</t>
        </is>
      </c>
      <c r="B102" s="29" t="inlineStr">
        <is>
          <t>marbella</t>
        </is>
      </c>
      <c r="C102" s="29" t="inlineStr">
        <is>
          <t>marbella:marbella-konteyner-renkleri-ve-temizlik-sorunu-bildirme-uygulamasi</t>
        </is>
      </c>
      <c r="D102" s="29" t="inlineStr">
        <is>
          <t>Bilgi al</t>
        </is>
      </c>
      <c r="E102" s="29" t="inlineStr">
        <is>
          <t>https://www.marbella.es/web/medio-ambiente/area-de-medio-ambiente/residuos/residuos-ordinarios.html</t>
        </is>
      </c>
      <c r="F102" s="49" t="n">
        <v>46323</v>
      </c>
      <c r="G102" s="51" t="n">
        <v>1</v>
      </c>
    </row>
    <row r="103" ht="54" customHeight="1">
      <c r="A103" s="29" t="inlineStr">
        <is>
          <t>marbella:action:marbella-konteyner-renkleri-ve-temizlik-sorunu-bildirme-uygulamasi-2</t>
        </is>
      </c>
      <c r="B103" s="29" t="inlineStr">
        <is>
          <t>marbella</t>
        </is>
      </c>
      <c r="C103" s="29" t="inlineStr">
        <is>
          <t>marbella:marbella-konteyner-renkleri-ve-temizlik-sorunu-bildirme-uygulamasi</t>
        </is>
      </c>
      <c r="D103" s="29" t="inlineStr">
        <is>
          <t>Bilgi al</t>
        </is>
      </c>
      <c r="E103" s="29" t="inlineStr">
        <is>
          <t>https://www.marbella.es/apps/marbella-limpia.html</t>
        </is>
      </c>
      <c r="F103" s="49" t="n">
        <v>46323</v>
      </c>
      <c r="G103" s="51" t="n">
        <v>2</v>
      </c>
    </row>
    <row r="104" ht="54" customHeight="1">
      <c r="A104" s="29" t="inlineStr">
        <is>
          <t>marbella:action:marbella-mobilya-ve-buyuk-esya-toplama-telefon-ve-saat-1</t>
        </is>
      </c>
      <c r="B104" s="29" t="inlineStr">
        <is>
          <t>marbella</t>
        </is>
      </c>
      <c r="C104" s="29" t="inlineStr">
        <is>
          <t>marbella:marbella-mobilya-ve-buyuk-esya-toplama-telefon-ve-saat</t>
        </is>
      </c>
      <c r="D104" s="29" t="inlineStr">
        <is>
          <t>Bilgi al</t>
        </is>
      </c>
      <c r="E104" s="29" t="inlineStr">
        <is>
          <t>https://www.marbella.es/web/medio-ambiente/area-de-medio-ambiente/residuos/recogida-de-muebles-y-enseres.html</t>
        </is>
      </c>
      <c r="F104" s="49" t="n">
        <v>46323</v>
      </c>
      <c r="G104" s="51" t="n">
        <v>1</v>
      </c>
    </row>
    <row r="105" ht="54" customHeight="1">
      <c r="A105" s="29" t="inlineStr">
        <is>
          <t>marbella:action:marbella-mobilya-ve-buyuk-esya-toplama-telefon-ve-saat-2</t>
        </is>
      </c>
      <c r="B105" s="29" t="inlineStr">
        <is>
          <t>marbella</t>
        </is>
      </c>
      <c r="C105" s="29" t="inlineStr">
        <is>
          <t>marbella:marbella-mobilya-ve-buyuk-esya-toplama-telefon-ve-saat</t>
        </is>
      </c>
      <c r="D105" s="29" t="inlineStr">
        <is>
          <t>Bilgi al</t>
        </is>
      </c>
      <c r="E105" s="29" t="inlineStr">
        <is>
          <t>https://www.marbella.es/web/medio-ambiente/area-de-medio-ambiente/residuos/deposito-municipal-de-residuos.html</t>
        </is>
      </c>
      <c r="F105" s="49" t="n">
        <v>46323</v>
      </c>
      <c r="G105" s="51" t="n">
        <v>2</v>
      </c>
    </row>
    <row r="106" ht="54" customHeight="1">
      <c r="A106" s="29" t="inlineStr">
        <is>
          <t>marbella:action:marbella-belediye-atik-deposu-adres-saat-ve-kabul-limitleri-1</t>
        </is>
      </c>
      <c r="B106" s="29" t="inlineStr">
        <is>
          <t>marbella</t>
        </is>
      </c>
      <c r="C106" s="29" t="inlineStr">
        <is>
          <t>marbella:marbella-belediye-atik-deposu-adres-saat-ve-kabul-limitleri</t>
        </is>
      </c>
      <c r="D106" s="29" t="inlineStr">
        <is>
          <t>Bilgi al</t>
        </is>
      </c>
      <c r="E106" s="29" t="inlineStr">
        <is>
          <t>https://www.marbella.es/web/medio-ambiente/area-de-medio-ambiente/residuos/deposito-municipal-de-residuos.html</t>
        </is>
      </c>
      <c r="F106" s="49" t="n">
        <v>46323</v>
      </c>
      <c r="G106" s="51" t="n">
        <v>1</v>
      </c>
    </row>
    <row r="107" ht="54" customHeight="1">
      <c r="A107" s="29" t="inlineStr">
        <is>
          <t>marbella:action:marbella-punto-limpio-konumlari-ilce-ilce-1</t>
        </is>
      </c>
      <c r="B107" s="29" t="inlineStr">
        <is>
          <t>marbella</t>
        </is>
      </c>
      <c r="C107" s="29" t="inlineStr">
        <is>
          <t>marbella:marbella-punto-limpio-konumlari-ilce-ilce</t>
        </is>
      </c>
      <c r="D107" s="29" t="inlineStr">
        <is>
          <t>Bilgi al</t>
        </is>
      </c>
      <c r="E107" s="29" t="inlineStr">
        <is>
          <t>https://www.marbella.es/web/medio-ambiente/area-de-medio-ambiente/residuos/recogida-de-muebles-y-enseres.html</t>
        </is>
      </c>
      <c r="F107" s="49" t="n">
        <v>46323</v>
      </c>
      <c r="G107" s="51" t="n">
        <v>1</v>
      </c>
    </row>
    <row r="108" ht="54" customHeight="1">
      <c r="A108" s="29" t="inlineStr">
        <is>
          <t>marbella:action:marbella-punto-limpio-konumlari-ilce-ilce-2</t>
        </is>
      </c>
      <c r="B108" s="29" t="inlineStr">
        <is>
          <t>marbella</t>
        </is>
      </c>
      <c r="C108" s="29" t="inlineStr">
        <is>
          <t>marbella:marbella-punto-limpio-konumlari-ilce-ilce</t>
        </is>
      </c>
      <c r="D108" s="29" t="inlineStr">
        <is>
          <t>Bilgi al</t>
        </is>
      </c>
      <c r="E108" s="29" t="inlineStr">
        <is>
          <t>https://www.marbella.es/ayto/localizaciones-municipales/directorio-municipal/servicios/puntos-limpios/marbella-este.html</t>
        </is>
      </c>
      <c r="F108" s="49" t="n">
        <v>46323</v>
      </c>
      <c r="G108" s="51" t="n">
        <v>2</v>
      </c>
    </row>
    <row r="109" ht="54" customHeight="1">
      <c r="A109" s="29" t="inlineStr">
        <is>
          <t>marbella:action:marbella-plaj-cankurtaran-hizmeti-2026-tarih-saat-ve-su-kalitesi-1</t>
        </is>
      </c>
      <c r="B109" s="29" t="inlineStr">
        <is>
          <t>marbella</t>
        </is>
      </c>
      <c r="C109" s="29" t="inlineStr">
        <is>
          <t>marbella:marbella-plaj-cankurtaran-hizmeti-2026-tarih-saat-ve-su-kalitesi</t>
        </is>
      </c>
      <c r="D109" s="29" t="inlineStr">
        <is>
          <t>Bilgi al</t>
        </is>
      </c>
      <c r="E109" s="29" t="inlineStr">
        <is>
          <t>https://www.marbella.es/actualidad/noticias/marbella-activa-el-servicio-de-salvamento-y-socorrismo-en-sus-playas-para-la-temporada-2026-que-contara-con-mas-de-medio-centenar-de-efectivos-en-temporada-alta.html</t>
        </is>
      </c>
      <c r="F109" s="49" t="n">
        <v>46323</v>
      </c>
      <c r="G109" s="51" t="n">
        <v>1</v>
      </c>
    </row>
    <row r="110" ht="54" customHeight="1">
      <c r="A110" s="29" t="inlineStr">
        <is>
          <t>marbella:action:marbella-plaj-cankurtaran-hizmeti-2026-tarih-saat-ve-su-kalitesi-2</t>
        </is>
      </c>
      <c r="B110" s="29" t="inlineStr">
        <is>
          <t>marbella</t>
        </is>
      </c>
      <c r="C110" s="29" t="inlineStr">
        <is>
          <t>marbella:marbella-plaj-cankurtaran-hizmeti-2026-tarih-saat-ve-su-kalitesi</t>
        </is>
      </c>
      <c r="D110" s="29" t="inlineStr">
        <is>
          <t>Bilgi al</t>
        </is>
      </c>
      <c r="E110" s="29" t="inlineStr">
        <is>
          <t>https://www.marbella.es/web/medio-ambiente/area-de-medio-ambiente/planes-y-programas/playas.html</t>
        </is>
      </c>
      <c r="F110" s="49" t="n">
        <v>46323</v>
      </c>
      <c r="G110" s="51" t="n">
        <v>2</v>
      </c>
    </row>
    <row r="111" ht="54" customHeight="1">
      <c r="A111" s="29" t="inlineStr">
        <is>
          <t>marbella:action:marbella-ucretsiz-ispanyolca-kurslari-escuela-de-adultos-seviyeler-ve-kayit-1</t>
        </is>
      </c>
      <c r="B111" s="29" t="inlineStr">
        <is>
          <t>marbella</t>
        </is>
      </c>
      <c r="C111" s="29" t="inlineStr">
        <is>
          <t>marbella:marbella-ucretsiz-ispanyolca-kurslari-escuela-de-adultos-seviyeler-ve-kayit</t>
        </is>
      </c>
      <c r="D111" s="29" t="inlineStr">
        <is>
          <t>Bilgi al</t>
        </is>
      </c>
      <c r="E111" s="29" t="inlineStr">
        <is>
          <t>https://www.marbella.es/web/cultura/formacion-cultura/arte-cultura/cursos-en-marbella/formacion-para-inmigrantes.html</t>
        </is>
      </c>
      <c r="F111" s="49" t="n">
        <v>46323</v>
      </c>
      <c r="G111" s="51" t="n">
        <v>1</v>
      </c>
    </row>
    <row r="112" ht="54" customHeight="1">
      <c r="A112" s="29" t="inlineStr">
        <is>
          <t>marbella:action:marbella-vatandaslik-sinavina-hazirlik-kursu-dele-a2-ve-kultur-bilgisi-1</t>
        </is>
      </c>
      <c r="B112" s="29" t="inlineStr">
        <is>
          <t>marbella</t>
        </is>
      </c>
      <c r="C112" s="29" t="inlineStr">
        <is>
          <t>marbella:marbella-vatandaslik-sinavina-hazirlik-kursu-dele-a2-ve-kultur-bilgisi</t>
        </is>
      </c>
      <c r="D112" s="29" t="inlineStr">
        <is>
          <t>Bilgi al</t>
        </is>
      </c>
      <c r="E112" s="29" t="inlineStr">
        <is>
          <t>https://www.marbella.es/web/cultura/formacion-cultura/arte-cultura/cursos-en-marbella/formacion-para-inmigrantes.html</t>
        </is>
      </c>
      <c r="F112" s="49" t="n">
        <v>46323</v>
      </c>
      <c r="G112" s="51" t="n">
        <v>1</v>
      </c>
    </row>
    <row r="113" ht="54" customHeight="1">
      <c r="A113" s="29" t="inlineStr">
        <is>
          <t>marbella:action:las-chapas-ispanyolca-kursu-seviyeler-saatler-ve-fiyat-1</t>
        </is>
      </c>
      <c r="B113" s="29" t="inlineStr">
        <is>
          <t>marbella</t>
        </is>
      </c>
      <c r="C113" s="29" t="inlineStr">
        <is>
          <t>marbella:las-chapas-ispanyolca-kursu-seviyeler-saatler-ve-fiyat</t>
        </is>
      </c>
      <c r="D113" s="29" t="inlineStr">
        <is>
          <t>Bilgi al</t>
        </is>
      </c>
      <c r="E113" s="29" t="inlineStr">
        <is>
          <t>https://www.marbella.es/web/cultura/formacion-cultura/arte-cultura/cursos-en-marbella/espanol-para-extranjeros-spanish-for-foreigners.html</t>
        </is>
      </c>
      <c r="F113" s="49" t="n">
        <v>46323</v>
      </c>
      <c r="G113" s="51" t="n">
        <v>1</v>
      </c>
    </row>
    <row r="114" ht="54" customHeight="1">
      <c r="A114" s="29" t="inlineStr">
        <is>
          <t>marbella:action:san-pedro-ve-nueva-andalucia-ispanyolca-kurslari-seviye-saat-ve-fiyat-1</t>
        </is>
      </c>
      <c r="B114" s="29" t="inlineStr">
        <is>
          <t>marbella</t>
        </is>
      </c>
      <c r="C114" s="29" t="inlineStr">
        <is>
          <t>marbella:san-pedro-ve-nueva-andalucia-ispanyolca-kurslari-seviye-saat-ve-fiyat</t>
        </is>
      </c>
      <c r="D114" s="29" t="inlineStr">
        <is>
          <t>Bilgi al</t>
        </is>
      </c>
      <c r="E114" s="29" t="inlineStr">
        <is>
          <t>https://www.marbella.es/web/cultura/formacion-cultura/arte-cultura/cursos-en-san-pedro-alcantara/espanol-para-extranjeros.html</t>
        </is>
      </c>
      <c r="F114" s="49" t="n">
        <v>46323</v>
      </c>
      <c r="G114" s="51" t="n">
        <v>1</v>
      </c>
    </row>
    <row r="115" ht="54" customHeight="1">
      <c r="A115" s="29" t="inlineStr">
        <is>
          <t>marbella:action:marbella-merkez-kutuphane-fernando-alcala-marin-saatler-ve-diger-kutuphaneler-1</t>
        </is>
      </c>
      <c r="B115" s="29" t="inlineStr">
        <is>
          <t>marbella</t>
        </is>
      </c>
      <c r="C115" s="29" t="inlineStr">
        <is>
          <t>marbella:marbella-merkez-kutuphane-fernando-alcala-marin-saatler-ve-diger-kutuphaneler</t>
        </is>
      </c>
      <c r="D115" s="29" t="inlineStr">
        <is>
          <t>Bilgi al</t>
        </is>
      </c>
      <c r="E115" s="29" t="inlineStr">
        <is>
          <t>https://www.marbella.es/web/cultura/instalaciones-culturales/biblioteca-central-fernando-alcala-marin.html</t>
        </is>
      </c>
      <c r="F115" s="49" t="n">
        <v>46323</v>
      </c>
      <c r="G115" s="51" t="n">
        <v>1</v>
      </c>
    </row>
    <row r="116" ht="54" customHeight="1">
      <c r="A116" s="29" t="inlineStr">
        <is>
          <t>marbella:action:andalucia-2026-kalan-resmi-tatiller-ve-yerel-tatillerin-idari-surelere-etkisi-1</t>
        </is>
      </c>
      <c r="B116" s="29" t="inlineStr">
        <is>
          <t>marbella</t>
        </is>
      </c>
      <c r="C116" s="29" t="inlineStr">
        <is>
          <t>marbella:andalucia-2026-kalan-resmi-tatiller-ve-yerel-tatillerin-idari-surelere-etkisi</t>
        </is>
      </c>
      <c r="D116" s="29" t="inlineStr">
        <is>
          <t>Bilgi al</t>
        </is>
      </c>
      <c r="E116" s="29" t="inlineStr">
        <is>
          <t>https://www.juntadeandalucia.es/organismos/empleoempresaytrabajoautonomo/areas/relaciones-laborales/calendario-fiestas.html</t>
        </is>
      </c>
      <c r="F116" s="49" t="n">
        <v>46323</v>
      </c>
      <c r="G116" s="51" t="n">
        <v>1</v>
      </c>
    </row>
    <row r="117" ht="54" customHeight="1">
      <c r="A117" s="29" t="inlineStr">
        <is>
          <t>marbella:action:is-sozlesmesi-turleri-1</t>
        </is>
      </c>
      <c r="B117" s="29" t="inlineStr">
        <is>
          <t>marbella</t>
        </is>
      </c>
      <c r="C117" s="29" t="inlineStr">
        <is>
          <t>marbella:is-sozlesmesi-turleri</t>
        </is>
      </c>
      <c r="D117" s="29" t="inlineStr">
        <is>
          <t>Bilgi al</t>
        </is>
      </c>
      <c r="E117" s="29" t="inlineStr">
        <is>
          <t>https://www.boe.es/buscar/act.php?id=BOE-A-2015-11430</t>
        </is>
      </c>
      <c r="F117" s="49" t="n">
        <v>46319</v>
      </c>
      <c r="G117" s="51" t="n">
        <v>1</v>
      </c>
    </row>
    <row r="118" ht="54" customHeight="1">
      <c r="A118" s="29" t="inlineStr">
        <is>
          <t>marbella:action:asgari-ucret-smi-2026-calisma-saatleri-1</t>
        </is>
      </c>
      <c r="B118" s="29" t="inlineStr">
        <is>
          <t>marbella</t>
        </is>
      </c>
      <c r="C118" s="29" t="inlineStr">
        <is>
          <t>marbella:asgari-ucret-smi-2026-calisma-saatleri</t>
        </is>
      </c>
      <c r="D118" s="29" t="inlineStr">
        <is>
          <t>Bilgi al</t>
        </is>
      </c>
      <c r="E118" s="29" t="inlineStr">
        <is>
          <t>https://www.boe.es/eli/es/rd/2026/02/18/126/con</t>
        </is>
      </c>
      <c r="F118" s="49" t="n">
        <v>46319</v>
      </c>
      <c r="G118" s="51" t="n">
        <v>1</v>
      </c>
    </row>
    <row r="119" ht="54" customHeight="1">
      <c r="A119" s="29" t="inlineStr">
        <is>
          <t>marbella:action:asgari-ucret-smi-2026-calisma-saatleri-2</t>
        </is>
      </c>
      <c r="B119" s="29" t="inlineStr">
        <is>
          <t>marbella</t>
        </is>
      </c>
      <c r="C119" s="29" t="inlineStr">
        <is>
          <t>marbella:asgari-ucret-smi-2026-calisma-saatleri</t>
        </is>
      </c>
      <c r="D119" s="29" t="inlineStr">
        <is>
          <t>Bilgi al</t>
        </is>
      </c>
      <c r="E119" s="29" t="inlineStr">
        <is>
          <t>https://www.boe.es/buscar/act.php?id=BOE-A-2015-11430</t>
        </is>
      </c>
      <c r="F119" s="49" t="n">
        <v>46319</v>
      </c>
      <c r="G119" s="51" t="n">
        <v>2</v>
      </c>
    </row>
    <row r="120" ht="54" customHeight="1">
      <c r="A120" s="29" t="inlineStr">
        <is>
          <t>marbella:action:yillik-izin-ve-resmi-tatiller-2026-1</t>
        </is>
      </c>
      <c r="B120" s="29" t="inlineStr">
        <is>
          <t>marbella</t>
        </is>
      </c>
      <c r="C120" s="29" t="inlineStr">
        <is>
          <t>marbella:yillik-izin-ve-resmi-tatiller-2026</t>
        </is>
      </c>
      <c r="D120" s="29" t="inlineStr">
        <is>
          <t>Bilgi al</t>
        </is>
      </c>
      <c r="E120" s="29" t="inlineStr">
        <is>
          <t>https://www.boe.es/diario_boe/txt.php?id=BOE-A-2025-21667</t>
        </is>
      </c>
      <c r="F120" s="49" t="n">
        <v>46319</v>
      </c>
      <c r="G120" s="51" t="n">
        <v>1</v>
      </c>
    </row>
    <row r="121" ht="54" customHeight="1">
      <c r="A121" s="29" t="inlineStr">
        <is>
          <t>marbella:action:yillik-izin-ve-resmi-tatiller-2026-2</t>
        </is>
      </c>
      <c r="B121" s="29" t="inlineStr">
        <is>
          <t>marbella</t>
        </is>
      </c>
      <c r="C121" s="29" t="inlineStr">
        <is>
          <t>marbella:yillik-izin-ve-resmi-tatiller-2026</t>
        </is>
      </c>
      <c r="D121" s="29" t="inlineStr">
        <is>
          <t>Bilgi al</t>
        </is>
      </c>
      <c r="E121" s="29" t="inlineStr">
        <is>
          <t>https://www.boe.es/buscar/act.php?id=BOE-A-2015-11430</t>
        </is>
      </c>
      <c r="F121" s="49" t="n">
        <v>46319</v>
      </c>
      <c r="G121" s="51" t="n">
        <v>2</v>
      </c>
    </row>
    <row r="122" ht="54" customHeight="1">
      <c r="A122" s="29" t="inlineStr">
        <is>
          <t>marbella:action:maas-bordrosu-nomina-icerigi-1</t>
        </is>
      </c>
      <c r="B122" s="29" t="inlineStr">
        <is>
          <t>marbella</t>
        </is>
      </c>
      <c r="C122" s="29" t="inlineStr">
        <is>
          <t>marbella:maas-bordrosu-nomina-icerigi</t>
        </is>
      </c>
      <c r="D122" s="29" t="inlineStr">
        <is>
          <t>Bilgi al</t>
        </is>
      </c>
      <c r="E122" s="29" t="inlineStr">
        <is>
          <t>https://www.boe.es/buscar/act.php?id=BOE-A-1995-912</t>
        </is>
      </c>
      <c r="F122" s="49" t="n">
        <v>46319</v>
      </c>
      <c r="G122" s="51" t="n">
        <v>1</v>
      </c>
    </row>
    <row r="123" ht="54" customHeight="1">
      <c r="A123" s="29" t="inlineStr">
        <is>
          <t>marbella:action:maas-bordrosu-nomina-icerigi-2</t>
        </is>
      </c>
      <c r="B123" s="29" t="inlineStr">
        <is>
          <t>marbella</t>
        </is>
      </c>
      <c r="C123" s="29" t="inlineStr">
        <is>
          <t>marbella:maas-bordrosu-nomina-icerigi</t>
        </is>
      </c>
      <c r="D123" s="29" t="inlineStr">
        <is>
          <t>Bilgi al</t>
        </is>
      </c>
      <c r="E123" s="29" t="inlineStr">
        <is>
          <t>https://www.boe.es/diario_boe/txt.php?id=BOE-A-2026-7296</t>
        </is>
      </c>
      <c r="F123" s="49" t="n">
        <v>46319</v>
      </c>
      <c r="G123" s="51" t="n">
        <v>2</v>
      </c>
    </row>
    <row r="124" ht="54" customHeight="1">
      <c r="A124" s="29" t="inlineStr">
        <is>
          <t>marbella:action:finiquito-isten-ayrilirken-tasfiye-belgesi-1</t>
        </is>
      </c>
      <c r="B124" s="29" t="inlineStr">
        <is>
          <t>marbella</t>
        </is>
      </c>
      <c r="C124" s="29" t="inlineStr">
        <is>
          <t>marbella:finiquito-isten-ayrilirken-tasfiye-belgesi</t>
        </is>
      </c>
      <c r="D124" s="29" t="inlineStr">
        <is>
          <t>Bilgi al</t>
        </is>
      </c>
      <c r="E124" s="29" t="inlineStr">
        <is>
          <t>https://www.boe.es/buscar/act.php?id=BOE-A-2015-11430</t>
        </is>
      </c>
      <c r="F124" s="49" t="n">
        <v>46319</v>
      </c>
      <c r="G124" s="51" t="n">
        <v>1</v>
      </c>
    </row>
    <row r="125" ht="54" customHeight="1">
      <c r="A125" s="29" t="inlineStr">
        <is>
          <t>marbella:action:isten-cikarilma-despido-turleri-ve-tazminat-1</t>
        </is>
      </c>
      <c r="B125" s="29" t="inlineStr">
        <is>
          <t>marbella</t>
        </is>
      </c>
      <c r="C125" s="29" t="inlineStr">
        <is>
          <t>marbella:isten-cikarilma-despido-turleri-ve-tazminat</t>
        </is>
      </c>
      <c r="D125" s="29" t="inlineStr">
        <is>
          <t>Bilgi al</t>
        </is>
      </c>
      <c r="E125" s="29" t="inlineStr">
        <is>
          <t>https://www.boe.es/buscar/act.php?id=BOE-A-2015-11430</t>
        </is>
      </c>
      <c r="F125" s="49" t="n">
        <v>46319</v>
      </c>
      <c r="G125" s="51" t="n">
        <v>1</v>
      </c>
    </row>
    <row r="126" ht="54" customHeight="1">
      <c r="A126" s="29" t="inlineStr">
        <is>
          <t>marbella:action:issizlik-maasi-paro-sepe-basvurusu-1</t>
        </is>
      </c>
      <c r="B126" s="29" t="inlineStr">
        <is>
          <t>marbella</t>
        </is>
      </c>
      <c r="C126" s="29" t="inlineStr">
        <is>
          <t>marbella:issizlik-maasi-paro-sepe-basvurusu</t>
        </is>
      </c>
      <c r="D126" s="29" t="inlineStr">
        <is>
          <t>Bilgi al</t>
        </is>
      </c>
      <c r="E126" s="29" t="inlineStr">
        <is>
          <t>https://www.sepe.es/HomeSepe/prestaciones-desempleo/prestacion-contributiva/prestacion-contributiva-mas-de-un-anyo.html</t>
        </is>
      </c>
      <c r="F126" s="49" t="n">
        <v>46319</v>
      </c>
      <c r="G126" s="51" t="n">
        <v>1</v>
      </c>
    </row>
    <row r="127" ht="54" customHeight="1">
      <c r="A127" s="29" t="inlineStr">
        <is>
          <t>marbella:action:issizlik-maasi-paro-sepe-basvurusu-2</t>
        </is>
      </c>
      <c r="B127" s="29" t="inlineStr">
        <is>
          <t>marbella</t>
        </is>
      </c>
      <c r="C127" s="29" t="inlineStr">
        <is>
          <t>marbella:issizlik-maasi-paro-sepe-basvurusu</t>
        </is>
      </c>
      <c r="D127" s="29" t="inlineStr">
        <is>
          <t>Tarifeyi gör</t>
        </is>
      </c>
      <c r="E127" s="29" t="inlineStr">
        <is>
          <t>https://www.sepe.es/HomeSepe/prestaciones-desempleo/duracion-prestacion-contributiva.html</t>
        </is>
      </c>
      <c r="F127" s="49" t="n">
        <v>46319</v>
      </c>
      <c r="G127" s="51" t="n">
        <v>2</v>
      </c>
    </row>
    <row r="128" ht="54" customHeight="1">
      <c r="A128" s="29" t="inlineStr">
        <is>
          <t>marbella:action:is-kazasi-ve-meslek-hastaligi-tanimi-1</t>
        </is>
      </c>
      <c r="B128" s="29" t="inlineStr">
        <is>
          <t>marbella</t>
        </is>
      </c>
      <c r="C128" s="29" t="inlineStr">
        <is>
          <t>marbella:is-kazasi-ve-meslek-hastaligi-tanimi</t>
        </is>
      </c>
      <c r="D128" s="29" t="inlineStr">
        <is>
          <t>Bilgi al</t>
        </is>
      </c>
      <c r="E128" s="29" t="inlineStr">
        <is>
          <t>https://www.boe.es/buscar/act.php?id=BOE-A-2015-11724</t>
        </is>
      </c>
      <c r="F128" s="49" t="n">
        <v>46319</v>
      </c>
      <c r="G128" s="51" t="n">
        <v>1</v>
      </c>
    </row>
    <row r="129" ht="54" customHeight="1">
      <c r="A129" s="29" t="inlineStr">
        <is>
          <t>marbella:action:serbest-calisan-autonomo-kayit-ve-prim-tablosu-1</t>
        </is>
      </c>
      <c r="B129" s="29" t="inlineStr">
        <is>
          <t>marbella</t>
        </is>
      </c>
      <c r="C129" s="29" t="inlineStr">
        <is>
          <t>marbella:serbest-calisan-autonomo-kayit-ve-prim-tablosu</t>
        </is>
      </c>
      <c r="D129" s="29" t="inlineStr">
        <is>
          <t>Bilgi al</t>
        </is>
      </c>
      <c r="E129" s="29" t="inlineStr">
        <is>
          <t>https://revista.seg-social.es/-/guia-para-darte-de-alta-en-la-seguridad-social-como-trabajador-autonomo</t>
        </is>
      </c>
      <c r="F129" s="49" t="n">
        <v>46319</v>
      </c>
      <c r="G129" s="51" t="n">
        <v>1</v>
      </c>
    </row>
    <row r="130" ht="54" customHeight="1">
      <c r="A130" s="29" t="inlineStr">
        <is>
          <t>marbella:action:serbest-calisan-autonomo-kayit-ve-prim-tablosu-2</t>
        </is>
      </c>
      <c r="B130" s="29" t="inlineStr">
        <is>
          <t>marbella</t>
        </is>
      </c>
      <c r="C130" s="29" t="inlineStr">
        <is>
          <t>marbella:serbest-calisan-autonomo-kayit-ve-prim-tablosu</t>
        </is>
      </c>
      <c r="D130" s="29" t="inlineStr">
        <is>
          <t>Bilgi al</t>
        </is>
      </c>
      <c r="E130" s="29" t="inlineStr">
        <is>
          <t>https://www.boe.es/diario_boe/txt.php?id=BOE-A-2026-7296</t>
        </is>
      </c>
      <c r="F130" s="49" t="n">
        <v>46319</v>
      </c>
      <c r="G130" s="51" t="n">
        <v>2</v>
      </c>
    </row>
    <row r="131" ht="54" customHeight="1">
      <c r="A131" s="29" t="inlineStr">
        <is>
          <t>marbella:action:dogum-ve-babalik-izni-sureleri-1</t>
        </is>
      </c>
      <c r="B131" s="29" t="inlineStr">
        <is>
          <t>marbella</t>
        </is>
      </c>
      <c r="C131" s="29" t="inlineStr">
        <is>
          <t>marbella:dogum-ve-babalik-izni-sureleri</t>
        </is>
      </c>
      <c r="D131" s="29" t="inlineStr">
        <is>
          <t>Bilgi al</t>
        </is>
      </c>
      <c r="E131" s="29" t="inlineStr">
        <is>
          <t>https://www.boe.es/buscar/act.php?id=BOE-A-2015-11430</t>
        </is>
      </c>
      <c r="F131" s="49" t="n">
        <v>46319</v>
      </c>
      <c r="G131" s="51" t="n">
        <v>1</v>
      </c>
    </row>
    <row r="132" ht="54" customHeight="1">
      <c r="A132" s="29" t="inlineStr">
        <is>
          <t>marbella:action:dogum-ve-babalik-izni-sureleri-2</t>
        </is>
      </c>
      <c r="B132" s="29" t="inlineStr">
        <is>
          <t>marbella</t>
        </is>
      </c>
      <c r="C132" s="29" t="inlineStr">
        <is>
          <t>marbella:dogum-ve-babalik-izni-sureleri</t>
        </is>
      </c>
      <c r="D132" s="29" t="inlineStr">
        <is>
          <t>Bilgi al</t>
        </is>
      </c>
      <c r="E132" s="29" t="inlineStr">
        <is>
          <t>https://www.boe.es/buscar/act.php?id=BOE-A-2015-11724</t>
        </is>
      </c>
      <c r="F132" s="49" t="n">
        <v>46319</v>
      </c>
      <c r="G132" s="51" t="n">
        <v>2</v>
      </c>
    </row>
    <row r="133" ht="54" customHeight="1">
      <c r="A133" s="29" t="inlineStr">
        <is>
          <t>marbella:action:yabanci-diploma-denklik-okul-ve-universite-1</t>
        </is>
      </c>
      <c r="B133" s="29" t="inlineStr">
        <is>
          <t>marbella</t>
        </is>
      </c>
      <c r="C133" s="29" t="inlineStr">
        <is>
          <t>marbella:yabanci-diploma-denklik-okul-ve-universite</t>
        </is>
      </c>
      <c r="D133" s="29" t="inlineStr">
        <is>
          <t>Bilgi al</t>
        </is>
      </c>
      <c r="E133" s="29" t="inlineStr">
        <is>
          <t>https://www.educacionfpydeportes.gob.es/mc/convalidacion-homologacion/convalidacion-no-universitaria/homologar-convalidar.html</t>
        </is>
      </c>
      <c r="F133" s="49" t="n">
        <v>46319</v>
      </c>
      <c r="G133" s="51" t="n">
        <v>1</v>
      </c>
    </row>
    <row r="134" ht="54" customHeight="1">
      <c r="A134" s="29" t="inlineStr">
        <is>
          <t>marbella:action:yabanci-diploma-denklik-okul-ve-universite-2</t>
        </is>
      </c>
      <c r="B134" s="29" t="inlineStr">
        <is>
          <t>marbella</t>
        </is>
      </c>
      <c r="C134" s="29" t="inlineStr">
        <is>
          <t>marbella:yabanci-diploma-denklik-okul-ve-universite</t>
        </is>
      </c>
      <c r="D134" s="29" t="inlineStr">
        <is>
          <t>Bilgi al</t>
        </is>
      </c>
      <c r="E134" s="29" t="inlineStr">
        <is>
          <t>https://www.boe.es/buscar/doc.php?id=BOE-A-2022-17045</t>
        </is>
      </c>
      <c r="F134" s="49" t="n">
        <v>46319</v>
      </c>
      <c r="G134" s="51" t="n">
        <v>2</v>
      </c>
    </row>
    <row r="135" ht="54" customHeight="1">
      <c r="A135" s="29" t="inlineStr">
        <is>
          <t>marbella:action:endulus-sae-is-arayan-kaydi-demandante-de-empleo-1</t>
        </is>
      </c>
      <c r="B135" s="29" t="inlineStr">
        <is>
          <t>marbella</t>
        </is>
      </c>
      <c r="C135" s="29" t="inlineStr">
        <is>
          <t>marbella:endulus-sae-is-arayan-kaydi-demandante-de-empleo</t>
        </is>
      </c>
      <c r="D135" s="29" t="inlineStr">
        <is>
          <t>Kayıt ol</t>
        </is>
      </c>
      <c r="E135" s="29" t="inlineStr">
        <is>
          <t>https://ws054.juntadeandalucia.es/portalsae/quiero-trabajar/inscribirme-como-demandante-empleo</t>
        </is>
      </c>
      <c r="F135" s="49" t="n">
        <v>46319</v>
      </c>
      <c r="G135" s="51" t="n">
        <v>1</v>
      </c>
    </row>
    <row r="136" ht="54" customHeight="1">
      <c r="A136" s="29" t="inlineStr">
        <is>
          <t>marbella:action:endulus-sae-is-arayan-kaydi-demandante-de-empleo-2</t>
        </is>
      </c>
      <c r="B136" s="29" t="inlineStr">
        <is>
          <t>marbella</t>
        </is>
      </c>
      <c r="C136" s="29" t="inlineStr">
        <is>
          <t>marbella:endulus-sae-is-arayan-kaydi-demandante-de-empleo</t>
        </is>
      </c>
      <c r="D136" s="29" t="inlineStr">
        <is>
          <t>Bilgi al</t>
        </is>
      </c>
      <c r="E136" s="29" t="inlineStr">
        <is>
          <t>https://ws054.juntadeandalucia.es/portalsae/quiero-trabajar/trabajar-en-andalucia-extranjero-ue</t>
        </is>
      </c>
      <c r="F136" s="49" t="n">
        <v>46319</v>
      </c>
      <c r="G136" s="51" t="n">
        <v>2</v>
      </c>
    </row>
    <row r="137" ht="54" customHeight="1">
      <c r="A137" s="29" t="inlineStr">
        <is>
          <t>marbella:action:marbella-sae-kayit-ofisleri-las-palomas-san-pedro-1</t>
        </is>
      </c>
      <c r="B137" s="29" t="inlineStr">
        <is>
          <t>marbella</t>
        </is>
      </c>
      <c r="C137" s="29" t="inlineStr">
        <is>
          <t>marbella:marbella-sae-kayit-ofisleri-las-palomas-san-pedro</t>
        </is>
      </c>
      <c r="D137" s="29" t="inlineStr">
        <is>
          <t>Bilgi al</t>
        </is>
      </c>
      <c r="E137" s="29" t="inlineStr">
        <is>
          <t>https://ws054.juntadeandalucia.es/portalsae/mapa-oficinas</t>
        </is>
      </c>
      <c r="F137" s="49" t="n">
        <v>46323</v>
      </c>
      <c r="G137" s="51" t="n">
        <v>1</v>
      </c>
    </row>
    <row r="138" ht="54" customHeight="1">
      <c r="A138" s="29" t="inlineStr">
        <is>
          <t>marbella:action:marbella-sae-kayit-ofisleri-las-palomas-san-pedro-2</t>
        </is>
      </c>
      <c r="B138" s="29" t="inlineStr">
        <is>
          <t>marbella</t>
        </is>
      </c>
      <c r="C138" s="29" t="inlineStr">
        <is>
          <t>marbella:marbella-sae-kayit-ofisleri-las-palomas-san-pedro</t>
        </is>
      </c>
      <c r="D138" s="29" t="inlineStr">
        <is>
          <t>Bilgi al</t>
        </is>
      </c>
      <c r="E138" s="29" t="inlineStr">
        <is>
          <t>https://www.sepe.es/HomeSepe/en/prestaciones-desempleo/FAQS/solicitud-prestaciones/solicitud-presencial-paro-cita-previa.html</t>
        </is>
      </c>
      <c r="F138" s="49" t="n">
        <v>46323</v>
      </c>
      <c r="G138" s="51" t="n">
        <v>2</v>
      </c>
    </row>
    <row r="139" ht="54" customHeight="1">
      <c r="A139" s="29" t="inlineStr">
        <is>
          <t>marbella:action:belediye-is-bulma-ajansi-agencia-colocacion-1</t>
        </is>
      </c>
      <c r="B139" s="29" t="inlineStr">
        <is>
          <t>marbella</t>
        </is>
      </c>
      <c r="C139" s="29" t="inlineStr">
        <is>
          <t>marbella:belediye-is-bulma-ajansi-agencia-colocacion</t>
        </is>
      </c>
      <c r="D139" s="29" t="inlineStr">
        <is>
          <t>Kayıt ol</t>
        </is>
      </c>
      <c r="E139" s="29" t="inlineStr">
        <is>
          <t>https://www.marbella.es/web/empleo/amc.html</t>
        </is>
      </c>
      <c r="F139" s="49" t="n">
        <v>46323</v>
      </c>
      <c r="G139" s="51" t="n">
        <v>1</v>
      </c>
    </row>
    <row r="140" ht="54" customHeight="1">
      <c r="A140" s="29" t="inlineStr">
        <is>
          <t>marbella:action:belediye-is-bulma-ajansi-agencia-colocacion-2</t>
        </is>
      </c>
      <c r="B140" s="29" t="inlineStr">
        <is>
          <t>marbella</t>
        </is>
      </c>
      <c r="C140" s="29" t="inlineStr">
        <is>
          <t>marbella:belediye-is-bulma-ajansi-agencia-colocacion</t>
        </is>
      </c>
      <c r="D140" s="29" t="inlineStr">
        <is>
          <t>Bilgi al</t>
        </is>
      </c>
      <c r="E140" s="29" t="inlineStr">
        <is>
          <t>https://www.marbella.es/web/empleo/inicio.html</t>
        </is>
      </c>
      <c r="F140" s="49" t="n">
        <v>46323</v>
      </c>
      <c r="G140" s="51" t="n">
        <v>2</v>
      </c>
    </row>
    <row r="141" ht="54" customHeight="1">
      <c r="A141" s="29" t="inlineStr">
        <is>
          <t>marbella:action:plan-municipal-empleabilidad-ucretsiz-kurslar-1</t>
        </is>
      </c>
      <c r="B141" s="29" t="inlineStr">
        <is>
          <t>marbella</t>
        </is>
      </c>
      <c r="C141" s="29" t="inlineStr">
        <is>
          <t>marbella:plan-municipal-empleabilidad-ucretsiz-kurslar</t>
        </is>
      </c>
      <c r="D141" s="29" t="inlineStr">
        <is>
          <t>Bilgi al</t>
        </is>
      </c>
      <c r="E141" s="29" t="inlineStr">
        <is>
          <t>https://www.marbella.es/web/empleo/planes-formacion/plan-municipal-de-empleabilidad.html</t>
        </is>
      </c>
      <c r="F141" s="49" t="n">
        <v>46323</v>
      </c>
      <c r="G141" s="51" t="n">
        <v>1</v>
      </c>
    </row>
    <row r="142" ht="54" customHeight="1">
      <c r="A142" s="29" t="inlineStr">
        <is>
          <t>marbella:action:plan-municipal-empleabilidad-ucretsiz-kurslar-2</t>
        </is>
      </c>
      <c r="B142" s="29" t="inlineStr">
        <is>
          <t>marbella</t>
        </is>
      </c>
      <c r="C142" s="29" t="inlineStr">
        <is>
          <t>marbella:plan-municipal-empleabilidad-ucretsiz-kurslar</t>
        </is>
      </c>
      <c r="D142" s="29" t="inlineStr">
        <is>
          <t>Bilgi al</t>
        </is>
      </c>
      <c r="E142" s="29" t="inlineStr">
        <is>
          <t>https://www.marbella.es/web/empleo/inicio.html</t>
        </is>
      </c>
      <c r="F142" s="49" t="n">
        <v>46323</v>
      </c>
      <c r="G142" s="51" t="n">
        <v>2</v>
      </c>
    </row>
    <row r="143" ht="54" customHeight="1">
      <c r="A143" s="29" t="inlineStr">
        <is>
          <t>marbella:action:paro-basvurusu-marbella-randevu-sepe-1</t>
        </is>
      </c>
      <c r="B143" s="29" t="inlineStr">
        <is>
          <t>marbella</t>
        </is>
      </c>
      <c r="C143" s="29" t="inlineStr">
        <is>
          <t>marbella:paro-basvurusu-marbella-randevu-sepe</t>
        </is>
      </c>
      <c r="D143" s="29" t="inlineStr">
        <is>
          <t>Başvur</t>
        </is>
      </c>
      <c r="E143" s="29" t="inlineStr">
        <is>
          <t>https://www.sepe.es/HomeSepe/en/prestaciones-desempleo/FAQS/solicitud-prestaciones/solicitud-presencial-paro-cita-previa.html</t>
        </is>
      </c>
      <c r="F143" s="49" t="n">
        <v>46323</v>
      </c>
      <c r="G143" s="51" t="n">
        <v>1</v>
      </c>
    </row>
    <row r="144" ht="54" customHeight="1">
      <c r="A144" s="29" t="inlineStr">
        <is>
          <t>marbella:action:paro-basvurusu-marbella-randevu-sepe-2</t>
        </is>
      </c>
      <c r="B144" s="29" t="inlineStr">
        <is>
          <t>marbella</t>
        </is>
      </c>
      <c r="C144" s="29" t="inlineStr">
        <is>
          <t>marbella:paro-basvurusu-marbella-randevu-sepe</t>
        </is>
      </c>
      <c r="D144" s="29" t="inlineStr">
        <is>
          <t>Bilgi al</t>
        </is>
      </c>
      <c r="E144" s="29" t="inlineStr">
        <is>
          <t>https://www.sepe.es/HomeSepe/en/que-es-el-sepe/Red-de-oficinas/ResultadosBusqueda.html?id=da0bd097-5646-4e8c-a6ea-e5c1a1824289&amp;provinciaNombre=Malaga</t>
        </is>
      </c>
      <c r="F144" s="49" t="n">
        <v>46323</v>
      </c>
      <c r="G144" s="51" t="n">
        <v>2</v>
      </c>
    </row>
    <row r="145" ht="54" customHeight="1">
      <c r="A145" s="29" t="inlineStr">
        <is>
          <t>marbella:action:cade-marbella-serbest-calisan-sirket-kurma-1</t>
        </is>
      </c>
      <c r="B145" s="29" t="inlineStr">
        <is>
          <t>marbella</t>
        </is>
      </c>
      <c r="C145" s="29" t="inlineStr">
        <is>
          <t>marbella:cade-marbella-serbest-calisan-sirket-kurma</t>
        </is>
      </c>
      <c r="D145" s="29" t="inlineStr">
        <is>
          <t>Randevu al</t>
        </is>
      </c>
      <c r="E145" s="29" t="inlineStr">
        <is>
          <t>https://www.andaluciaemprende.es/CADE/cade-marbella/</t>
        </is>
      </c>
      <c r="F145" s="49" t="n">
        <v>46323</v>
      </c>
      <c r="G145" s="51" t="n">
        <v>1</v>
      </c>
    </row>
    <row r="146" ht="54" customHeight="1">
      <c r="A146" s="29" t="inlineStr">
        <is>
          <t>marbella:action:cade-marbella-serbest-calisan-sirket-kurma-2</t>
        </is>
      </c>
      <c r="B146" s="29" t="inlineStr">
        <is>
          <t>marbella</t>
        </is>
      </c>
      <c r="C146" s="29" t="inlineStr">
        <is>
          <t>marbella:cade-marbella-serbest-calisan-sirket-kurma</t>
        </is>
      </c>
      <c r="D146" s="29" t="inlineStr">
        <is>
          <t>Bilgi al</t>
        </is>
      </c>
      <c r="E146" s="29" t="inlineStr">
        <is>
          <t>https://www.andaluciaemprende.es/servicios/</t>
        </is>
      </c>
      <c r="F146" s="49" t="n">
        <v>46323</v>
      </c>
      <c r="G146" s="51" t="n">
        <v>2</v>
      </c>
    </row>
    <row r="147" ht="54" customHeight="1">
      <c r="A147" s="29" t="inlineStr">
        <is>
          <t>marbella:action:seguridad-social-tgss-telefon-vida-laboral-autonomo-1</t>
        </is>
      </c>
      <c r="B147" s="29" t="inlineStr">
        <is>
          <t>marbella</t>
        </is>
      </c>
      <c r="C147" s="29" t="inlineStr">
        <is>
          <t>marbella:seguridad-social-tgss-telefon-vida-laboral-autonomo</t>
        </is>
      </c>
      <c r="D147" s="29" t="inlineStr">
        <is>
          <t>Bilgi al</t>
        </is>
      </c>
      <c r="E147" s="29" t="inlineStr">
        <is>
          <t>https://www.seg-social.es/wps/portal/wss/internet/ServicioAtencionTelefonica</t>
        </is>
      </c>
      <c r="F147" s="49" t="n">
        <v>46323</v>
      </c>
      <c r="G147" s="51" t="n">
        <v>1</v>
      </c>
    </row>
    <row r="148" ht="54" customHeight="1">
      <c r="A148" s="29" t="inlineStr">
        <is>
          <t>marbella:action:marbella-issizlik-ve-serbest-calisan-rakamlari-2026-1</t>
        </is>
      </c>
      <c r="B148" s="29" t="inlineStr">
        <is>
          <t>marbella</t>
        </is>
      </c>
      <c r="C148" s="29" t="inlineStr">
        <is>
          <t>marbella:marbella-issizlik-ve-serbest-calisan-rakamlari-2026</t>
        </is>
      </c>
      <c r="D148" s="29" t="inlineStr">
        <is>
          <t>Bilgi al</t>
        </is>
      </c>
      <c r="E148" s="29" t="inlineStr">
        <is>
          <t>https://www.marbella.es/web/empleo/inicio.html</t>
        </is>
      </c>
      <c r="F148" s="49" t="n">
        <v>46323</v>
      </c>
      <c r="G148" s="51" t="n">
        <v>1</v>
      </c>
    </row>
    <row r="149" ht="54" customHeight="1">
      <c r="A149" s="29" t="inlineStr">
        <is>
          <t>marbella:action:marbella-issizlik-ve-serbest-calisan-rakamlari-2026-2</t>
        </is>
      </c>
      <c r="B149" s="29" t="inlineStr">
        <is>
          <t>marbella</t>
        </is>
      </c>
      <c r="C149" s="29" t="inlineStr">
        <is>
          <t>marbella:marbella-issizlik-ve-serbest-calisan-rakamlari-2026</t>
        </is>
      </c>
      <c r="D149" s="29" t="inlineStr">
        <is>
          <t>Kayıt ol</t>
        </is>
      </c>
      <c r="E149" s="29" t="inlineStr">
        <is>
          <t>https://www.marbella.es/web/empleo/amc.html</t>
        </is>
      </c>
      <c r="F149" s="49" t="n">
        <v>46323</v>
      </c>
      <c r="G149" s="51" t="n">
        <v>2</v>
      </c>
    </row>
    <row r="150" ht="54" customHeight="1">
      <c r="A150" s="29" t="inlineStr">
        <is>
          <t>marbella:action:marbella-eski-kent-kale-naranjos-meydani-gezi-1</t>
        </is>
      </c>
      <c r="B150" s="29" t="inlineStr">
        <is>
          <t>marbella</t>
        </is>
      </c>
      <c r="C150" s="29" t="inlineStr">
        <is>
          <t>marbella:marbella-eski-kent-kale-naranjos-meydani-gezi</t>
        </is>
      </c>
      <c r="D150" s="29" t="inlineStr">
        <is>
          <t>Ziyaret bilgisi</t>
        </is>
      </c>
      <c r="E150" s="29" t="inlineStr">
        <is>
          <t>https://www.marbella.es/web/cultura/patrimonio/casco/plaza-de-los-naranjos.html</t>
        </is>
      </c>
      <c r="F150" s="49" t="n">
        <v>46323</v>
      </c>
      <c r="G150" s="51" t="n">
        <v>1</v>
      </c>
    </row>
    <row r="151" ht="54" customHeight="1">
      <c r="A151" s="29" t="inlineStr">
        <is>
          <t>marbella:action:marbella-eski-kent-kale-naranjos-meydani-gezi-2</t>
        </is>
      </c>
      <c r="B151" s="29" t="inlineStr">
        <is>
          <t>marbella</t>
        </is>
      </c>
      <c r="C151" s="29" t="inlineStr">
        <is>
          <t>marbella:marbella-eski-kent-kale-naranjos-meydani-gezi</t>
        </is>
      </c>
      <c r="D151" s="29" t="inlineStr">
        <is>
          <t>Ziyaret bilgisi</t>
        </is>
      </c>
      <c r="E151" s="29" t="inlineStr">
        <is>
          <t>https://www.marbella.es/web/cultura/patrimonio/casco/castillo-de-marbella-alcazaba-y-muralla.html</t>
        </is>
      </c>
      <c r="F151" s="49" t="n">
        <v>46323</v>
      </c>
      <c r="G151" s="51" t="n">
        <v>2</v>
      </c>
    </row>
    <row r="152" ht="54" customHeight="1">
      <c r="A152" s="29" t="inlineStr">
        <is>
          <t>marbella:action:marbella-eski-kent-encarnacion-kilisesi-hospital-real-1</t>
        </is>
      </c>
      <c r="B152" s="29" t="inlineStr">
        <is>
          <t>marbella</t>
        </is>
      </c>
      <c r="C152" s="29" t="inlineStr">
        <is>
          <t>marbella:marbella-eski-kent-encarnacion-kilisesi-hospital-real</t>
        </is>
      </c>
      <c r="D152" s="29" t="inlineStr">
        <is>
          <t>Ziyaret bilgisi</t>
        </is>
      </c>
      <c r="E152" s="29" t="inlineStr">
        <is>
          <t>https://www.marbella.es/web/cultura/patrimonio/casco/iglesia-de-ntra-sra-de-la-encarnacion.html</t>
        </is>
      </c>
      <c r="F152" s="49" t="n">
        <v>46323</v>
      </c>
      <c r="G152" s="51" t="n">
        <v>1</v>
      </c>
    </row>
    <row r="153" ht="54" customHeight="1">
      <c r="A153" s="29" t="inlineStr">
        <is>
          <t>marbella:action:marbella-eski-kent-encarnacion-kilisesi-hospital-real-2</t>
        </is>
      </c>
      <c r="B153" s="29" t="inlineStr">
        <is>
          <t>marbella</t>
        </is>
      </c>
      <c r="C153" s="29" t="inlineStr">
        <is>
          <t>marbella:marbella-eski-kent-encarnacion-kilisesi-hospital-real</t>
        </is>
      </c>
      <c r="D153" s="29" t="inlineStr">
        <is>
          <t>Ziyaret bilgisi</t>
        </is>
      </c>
      <c r="E153" s="29" t="inlineStr">
        <is>
          <t>https://www.marbella.es/web/cultura/patrimonio/casco/hospital-real-de-la-misericordia.html</t>
        </is>
      </c>
      <c r="F153" s="49" t="n">
        <v>46323</v>
      </c>
      <c r="G153" s="51" t="n">
        <v>2</v>
      </c>
    </row>
    <row r="154" ht="54" customHeight="1">
      <c r="A154" s="29" t="inlineStr">
        <is>
          <t>marbella:action:marbella-muzeleri-grabado-cortijo-miraflores-ucret-saat-1</t>
        </is>
      </c>
      <c r="B154" s="29" t="inlineStr">
        <is>
          <t>marbella</t>
        </is>
      </c>
      <c r="C154" s="29" t="inlineStr">
        <is>
          <t>marbella:marbella-muzeleri-grabado-cortijo-miraflores-ucret-saat</t>
        </is>
      </c>
      <c r="D154" s="29" t="inlineStr">
        <is>
          <t>Ziyaret bilgisi</t>
        </is>
      </c>
      <c r="E154" s="29" t="inlineStr">
        <is>
          <t>https://www.marbella.es/web/cultura/instalaciones-culturales/museo-del-grabado-espanol-contemporaneo.html</t>
        </is>
      </c>
      <c r="F154" s="49" t="n">
        <v>46323</v>
      </c>
      <c r="G154" s="51" t="n">
        <v>1</v>
      </c>
    </row>
    <row r="155" ht="54" customHeight="1">
      <c r="A155" s="29" t="inlineStr">
        <is>
          <t>marbella:action:marbella-muzeleri-grabado-cortijo-miraflores-ucret-saat-2</t>
        </is>
      </c>
      <c r="B155" s="29" t="inlineStr">
        <is>
          <t>marbella</t>
        </is>
      </c>
      <c r="C155" s="29" t="inlineStr">
        <is>
          <t>marbella:marbella-muzeleri-grabado-cortijo-miraflores-ucret-saat</t>
        </is>
      </c>
      <c r="D155" s="29" t="inlineStr">
        <is>
          <t>Ziyaret bilgisi</t>
        </is>
      </c>
      <c r="E155" s="29" t="inlineStr">
        <is>
          <t>https://www.marbella.es/web/cultura/patrimonio/casco/cortijo-miraflores.html</t>
        </is>
      </c>
      <c r="F155" s="49" t="n">
        <v>46323</v>
      </c>
      <c r="G155" s="51" t="n">
        <v>2</v>
      </c>
    </row>
    <row r="156" ht="54" customHeight="1">
      <c r="A156" s="29" t="inlineStr">
        <is>
          <t>marbella:action:marbella-roma-donemi-villa-romana-rio-verde-sala-arqueologica-1</t>
        </is>
      </c>
      <c r="B156" s="29" t="inlineStr">
        <is>
          <t>marbella</t>
        </is>
      </c>
      <c r="C156" s="29" t="inlineStr">
        <is>
          <t>marbella:marbella-roma-donemi-villa-romana-rio-verde-sala-arqueologica</t>
        </is>
      </c>
      <c r="D156" s="29" t="inlineStr">
        <is>
          <t>Ziyaret bilgisi</t>
        </is>
      </c>
      <c r="E156" s="29" t="inlineStr">
        <is>
          <t>https://www.marbella.es/web/cultura/patrimonio/arqueologia/villa-romana-de-rio-verde.html</t>
        </is>
      </c>
      <c r="F156" s="49" t="n">
        <v>46323</v>
      </c>
      <c r="G156" s="51" t="n">
        <v>1</v>
      </c>
    </row>
    <row r="157" ht="54" customHeight="1">
      <c r="A157" s="29" t="inlineStr">
        <is>
          <t>marbella:action:marbella-roma-donemi-villa-romana-rio-verde-sala-arqueologica-2</t>
        </is>
      </c>
      <c r="B157" s="29" t="inlineStr">
        <is>
          <t>marbella</t>
        </is>
      </c>
      <c r="C157" s="29" t="inlineStr">
        <is>
          <t>marbella:marbella-roma-donemi-villa-romana-rio-verde-sala-arqueologica</t>
        </is>
      </c>
      <c r="D157" s="29" t="inlineStr">
        <is>
          <t>Ziyaret bilgisi</t>
        </is>
      </c>
      <c r="E157" s="29" t="inlineStr">
        <is>
          <t>https://www.marbella.es/web/cultura/patrimonio/arqueologia/sala-arqueologica.html</t>
        </is>
      </c>
      <c r="F157" s="49" t="n">
        <v>46323</v>
      </c>
      <c r="G157" s="51" t="n">
        <v>2</v>
      </c>
    </row>
    <row r="158" ht="54" customHeight="1">
      <c r="A158" s="29" t="inlineStr">
        <is>
          <t>marbella:action:marbella-kentsel-biyocesitlilik-yuruyusu-sendas-alameda-1</t>
        </is>
      </c>
      <c r="B158" s="29" t="inlineStr">
        <is>
          <t>marbella</t>
        </is>
      </c>
      <c r="C158" s="29" t="inlineStr">
        <is>
          <t>marbella:marbella-kentsel-biyocesitlilik-yuruyusu-sendas-alameda</t>
        </is>
      </c>
      <c r="D158" s="29" t="inlineStr">
        <is>
          <t>Ziyaret bilgisi</t>
        </is>
      </c>
      <c r="E158" s="29" t="inlineStr">
        <is>
          <t>https://www.marbella.es/web/medio-ambiente/area-de-medio-ambiente/sendas-de-la-biodiversidad.html</t>
        </is>
      </c>
      <c r="F158" s="49" t="n">
        <v>46323</v>
      </c>
      <c r="G158" s="51" t="n">
        <v>1</v>
      </c>
    </row>
    <row r="159" ht="54" customHeight="1">
      <c r="A159" s="29" t="inlineStr">
        <is>
          <t>marbella:action:marbella-gozetleme-kuleleri-torre-ancon-1</t>
        </is>
      </c>
      <c r="B159" s="29" t="inlineStr">
        <is>
          <t>marbella</t>
        </is>
      </c>
      <c r="C159" s="29" t="inlineStr">
        <is>
          <t>marbella:marbella-gozetleme-kuleleri-torre-ancon</t>
        </is>
      </c>
      <c r="D159" s="29" t="inlineStr">
        <is>
          <t>Ziyaret bilgisi</t>
        </is>
      </c>
      <c r="E159" s="29" t="inlineStr">
        <is>
          <t>https://www.marbella.es/web/cultura/patrimonio/torres-vigia/torre-ancon.html</t>
        </is>
      </c>
      <c r="F159" s="49" t="n">
        <v>46323</v>
      </c>
      <c r="G159" s="51" t="n">
        <v>1</v>
      </c>
    </row>
    <row r="160" ht="54" customHeight="1">
      <c r="A160" s="29" t="inlineStr">
        <is>
          <t>marbella:action:sierra-blanca-yuruyus-agi-zirveler-natura-2000-1</t>
        </is>
      </c>
      <c r="B160" s="29" t="inlineStr">
        <is>
          <t>marbella</t>
        </is>
      </c>
      <c r="C160" s="29" t="inlineStr">
        <is>
          <t>marbella:sierra-blanca-yuruyus-agi-zirveler-natura-2000</t>
        </is>
      </c>
      <c r="D160" s="29" t="inlineStr">
        <is>
          <t>Bilgi al</t>
        </is>
      </c>
      <c r="E160" s="29" t="inlineStr">
        <is>
          <t>https://www.marbella.es/web/medio-ambiente/area-de-medio-ambiente/senderos.html</t>
        </is>
      </c>
      <c r="F160" s="49" t="n">
        <v>46323</v>
      </c>
      <c r="G160" s="51" t="n">
        <v>1</v>
      </c>
    </row>
    <row r="161" ht="54" customHeight="1">
      <c r="A161" s="29" t="inlineStr">
        <is>
          <t>marbella:action:sierra-blanca-yuruyus-agi-zirveler-natura-2000-2</t>
        </is>
      </c>
      <c r="B161" s="29" t="inlineStr">
        <is>
          <t>marbella</t>
        </is>
      </c>
      <c r="C161" s="29" t="inlineStr">
        <is>
          <t>marbella:sierra-blanca-yuruyus-agi-zirveler-natura-2000</t>
        </is>
      </c>
      <c r="D161" s="29" t="inlineStr">
        <is>
          <t>Bilgi al</t>
        </is>
      </c>
      <c r="E161" s="29" t="inlineStr">
        <is>
          <t>https://www.marbella.es/web/medio-ambiente/area-de-medio-ambiente/senderos/recomendaciones.html</t>
        </is>
      </c>
      <c r="F161" s="49" t="n">
        <v>46323</v>
      </c>
      <c r="G161" s="51" t="n">
        <v>2</v>
      </c>
    </row>
    <row r="162" ht="54" customHeight="1">
      <c r="A162" s="29" t="inlineStr">
        <is>
          <t>marbella:action:sierra-blanca-yuruyusu-oncesi-guvenlik-onerileri-1</t>
        </is>
      </c>
      <c r="B162" s="29" t="inlineStr">
        <is>
          <t>marbella</t>
        </is>
      </c>
      <c r="C162" s="29" t="inlineStr">
        <is>
          <t>marbella:sierra-blanca-yuruyusu-oncesi-guvenlik-onerileri</t>
        </is>
      </c>
      <c r="D162" s="29" t="inlineStr">
        <is>
          <t>Bilgi al</t>
        </is>
      </c>
      <c r="E162" s="29" t="inlineStr">
        <is>
          <t>https://www.marbella.es/web/medio-ambiente/area-de-medio-ambiente/senderos/recomendaciones.html</t>
        </is>
      </c>
      <c r="F162" s="49" t="n">
        <v>46323</v>
      </c>
      <c r="G162" s="51" t="n">
        <v>1</v>
      </c>
    </row>
    <row r="163" ht="54" customHeight="1">
      <c r="A163" s="29" t="inlineStr">
        <is>
          <t>marbella:action:marbella-plajlari-listesi-venus-bajadilla-erisilebilir-1</t>
        </is>
      </c>
      <c r="B163" s="29" t="inlineStr">
        <is>
          <t>marbella</t>
        </is>
      </c>
      <c r="C163" s="29" t="inlineStr">
        <is>
          <t>marbella:marbella-plajlari-listesi-venus-bajadilla-erisilebilir</t>
        </is>
      </c>
      <c r="D163" s="29" t="inlineStr">
        <is>
          <t>Bilgi al</t>
        </is>
      </c>
      <c r="E163" s="29" t="inlineStr">
        <is>
          <t>https://www.marbella.es/web/medio-ambiente/catalogo-de-playas/venus-bajadilla.html</t>
        </is>
      </c>
      <c r="F163" s="49" t="n">
        <v>46323</v>
      </c>
      <c r="G163" s="51" t="n">
        <v>1</v>
      </c>
    </row>
    <row r="164" ht="54" customHeight="1">
      <c r="A164" s="29" t="inlineStr">
        <is>
          <t>marbella:action:marbella-cocuklarla-parklar-mediterraneo-represa-1</t>
        </is>
      </c>
      <c r="B164" s="29" t="inlineStr">
        <is>
          <t>marbella</t>
        </is>
      </c>
      <c r="C164" s="29" t="inlineStr">
        <is>
          <t>marbella:marbella-cocuklarla-parklar-mediterraneo-represa</t>
        </is>
      </c>
      <c r="D164" s="29" t="inlineStr">
        <is>
          <t>Ziyaret bilgisi</t>
        </is>
      </c>
      <c r="E164" s="29" t="inlineStr">
        <is>
          <t>https://www.marbella.es/web/deportes/instalaciones-deportivas/parque-del-mediterraneo.html</t>
        </is>
      </c>
      <c r="F164" s="49" t="n">
        <v>46323</v>
      </c>
      <c r="G164" s="51" t="n">
        <v>1</v>
      </c>
    </row>
    <row r="165" ht="54" customHeight="1">
      <c r="A165" s="29" t="inlineStr">
        <is>
          <t>marbella:action:marbella-cocuklarla-parklar-mediterraneo-represa-2</t>
        </is>
      </c>
      <c r="B165" s="29" t="inlineStr">
        <is>
          <t>marbella</t>
        </is>
      </c>
      <c r="C165" s="29" t="inlineStr">
        <is>
          <t>marbella:marbella-cocuklarla-parklar-mediterraneo-represa</t>
        </is>
      </c>
      <c r="D165" s="29" t="inlineStr">
        <is>
          <t>Ziyaret bilgisi</t>
        </is>
      </c>
      <c r="E165" s="29" t="inlineStr">
        <is>
          <t>https://www.marbella.es/web/deportes/instalaciones-deportivas/parque-arroyo-de-la-represa.html</t>
        </is>
      </c>
      <c r="F165" s="49" t="n">
        <v>46323</v>
      </c>
      <c r="G165" s="51" t="n">
        <v>2</v>
      </c>
    </row>
    <row r="166" ht="54" customHeight="1">
      <c r="A166" s="29" t="inlineStr">
        <is>
          <t>marbella:action:marbella-skate-parklari-urban-park-represa-1</t>
        </is>
      </c>
      <c r="B166" s="29" t="inlineStr">
        <is>
          <t>marbella</t>
        </is>
      </c>
      <c r="C166" s="29" t="inlineStr">
        <is>
          <t>marbella:marbella-skate-parklari-urban-park-represa</t>
        </is>
      </c>
      <c r="D166" s="29" t="inlineStr">
        <is>
          <t>Ziyaret bilgisi</t>
        </is>
      </c>
      <c r="E166" s="29" t="inlineStr">
        <is>
          <t>https://www.marbella.es/web/deportes/instalaciones-deportivas/marbella-urban-park.html</t>
        </is>
      </c>
      <c r="F166" s="49" t="n">
        <v>46323</v>
      </c>
      <c r="G166" s="51" t="n">
        <v>1</v>
      </c>
    </row>
    <row r="167" ht="54" customHeight="1">
      <c r="A167" s="29" t="inlineStr">
        <is>
          <t>marbella:action:marbella-skate-parklari-urban-park-represa-2</t>
        </is>
      </c>
      <c r="B167" s="29" t="inlineStr">
        <is>
          <t>marbella</t>
        </is>
      </c>
      <c r="C167" s="29" t="inlineStr">
        <is>
          <t>marbella:marbella-skate-parklari-urban-park-represa</t>
        </is>
      </c>
      <c r="D167" s="29" t="inlineStr">
        <is>
          <t>Ziyaret bilgisi</t>
        </is>
      </c>
      <c r="E167" s="29" t="inlineStr">
        <is>
          <t>https://www.marbella.es/web/deportes/instalaciones-deportivas/parque-arroyo-de-la-represa.html</t>
        </is>
      </c>
      <c r="F167" s="49" t="n">
        <v>46323</v>
      </c>
      <c r="G167" s="51" t="n">
        <v>2</v>
      </c>
    </row>
    <row r="168" ht="54" customHeight="1">
      <c r="A168" s="29" t="inlineStr">
        <is>
          <t>marbella:action:marbella-belediye-spor-tesisleri-havuz-saha-kiralama-1</t>
        </is>
      </c>
      <c r="B168" s="29" t="inlineStr">
        <is>
          <t>marbella</t>
        </is>
      </c>
      <c r="C168" s="29" t="inlineStr">
        <is>
          <t>marbella:marbella-belediye-spor-tesisleri-havuz-saha-kiralama</t>
        </is>
      </c>
      <c r="D168" s="29" t="inlineStr">
        <is>
          <t>Bilgi al</t>
        </is>
      </c>
      <c r="E168" s="29" t="inlineStr">
        <is>
          <t>https://www.marbella.es/web/deportes/instalaciones-deportivas.html</t>
        </is>
      </c>
      <c r="F168" s="49" t="n">
        <v>46323</v>
      </c>
      <c r="G168" s="51" t="n">
        <v>1</v>
      </c>
    </row>
    <row r="169" ht="54" customHeight="1">
      <c r="A169" s="29" t="inlineStr">
        <is>
          <t>marbella:action:marbella-tiyatro-kutuphane-kultur-merkezleri-1</t>
        </is>
      </c>
      <c r="B169" s="29" t="inlineStr">
        <is>
          <t>marbella</t>
        </is>
      </c>
      <c r="C169" s="29" t="inlineStr">
        <is>
          <t>marbella:marbella-tiyatro-kutuphane-kultur-merkezleri</t>
        </is>
      </c>
      <c r="D169" s="29" t="inlineStr">
        <is>
          <t>Bilgi al</t>
        </is>
      </c>
      <c r="E169" s="29" t="inlineStr">
        <is>
          <t>https://www.marbella.es/web/cultura/instalaciones-culturales/museo-del-grabado-espanol-contemporaneo.html</t>
        </is>
      </c>
      <c r="F169" s="49" t="n">
        <v>46323</v>
      </c>
      <c r="G169" s="51" t="n">
        <v>1</v>
      </c>
    </row>
    <row r="170" ht="54" customHeight="1">
      <c r="A170" s="29" t="inlineStr">
        <is>
          <t>marbella:action:nie-nedir-ne-ise-yarar-1</t>
        </is>
      </c>
      <c r="B170" s="29" t="inlineStr">
        <is>
          <t>marbella</t>
        </is>
      </c>
      <c r="C170" s="29" t="inlineStr">
        <is>
          <t>marbella:nie-nedir-ne-ise-yarar</t>
        </is>
      </c>
      <c r="D170" s="29" t="inlineStr">
        <is>
          <t>Başvur</t>
        </is>
      </c>
      <c r="E170" s="29" t="inlineStr">
        <is>
          <t>https://sede.policia.gob.es/portalCiudadano/_es/tramites_extranjeria_tramite_asignacion_nie.php</t>
        </is>
      </c>
      <c r="F170" s="49" t="n">
        <v>46319</v>
      </c>
      <c r="G170" s="51" t="n">
        <v>1</v>
      </c>
    </row>
    <row r="171" ht="54" customHeight="1">
      <c r="A171" s="29" t="inlineStr">
        <is>
          <t>marbella:action:nie-nedir-ne-ise-yarar-2</t>
        </is>
      </c>
      <c r="B171" s="29" t="inlineStr">
        <is>
          <t>marbella</t>
        </is>
      </c>
      <c r="C171" s="29" t="inlineStr">
        <is>
          <t>marbella:nie-nedir-ne-ise-yarar</t>
        </is>
      </c>
      <c r="D171" s="29" t="inlineStr">
        <is>
          <t>Tarifeyi gör</t>
        </is>
      </c>
      <c r="E171" s="29" t="inlineStr">
        <is>
          <t>https://www.boe.es/buscar/doc.php?id=BOE-A-2025-12056</t>
        </is>
      </c>
      <c r="F171" s="49" t="n">
        <v>46319</v>
      </c>
      <c r="G171" s="51" t="n">
        <v>2</v>
      </c>
    </row>
    <row r="172" ht="54" customHeight="1">
      <c r="A172" s="29" t="inlineStr">
        <is>
          <t>marbella:action:ab-vatandasi-kayit-sertifikasi-1</t>
        </is>
      </c>
      <c r="B172" s="29" t="inlineStr">
        <is>
          <t>marbella</t>
        </is>
      </c>
      <c r="C172" s="29" t="inlineStr">
        <is>
          <t>marbella:ab-vatandasi-kayit-sertifikasi</t>
        </is>
      </c>
      <c r="D172" s="29" t="inlineStr">
        <is>
          <t>Başvur</t>
        </is>
      </c>
      <c r="E172" s="29" t="inlineStr">
        <is>
          <t>https://sede.policia.gob.es/portalCiudadano/_es/tramites_extranjeria_tramite_certificadoregistro_ciudadanoue.php</t>
        </is>
      </c>
      <c r="F172" s="49" t="n">
        <v>46319</v>
      </c>
      <c r="G172" s="51" t="n">
        <v>1</v>
      </c>
    </row>
    <row r="173" ht="54" customHeight="1">
      <c r="A173" s="29" t="inlineStr">
        <is>
          <t>marbella:action:ab-vatandasi-kayit-sertifikasi-2</t>
        </is>
      </c>
      <c r="B173" s="29" t="inlineStr">
        <is>
          <t>marbella</t>
        </is>
      </c>
      <c r="C173" s="29" t="inlineStr">
        <is>
          <t>marbella:ab-vatandasi-kayit-sertifikasi</t>
        </is>
      </c>
      <c r="D173" s="29" t="inlineStr">
        <is>
          <t>Tarifeyi gör</t>
        </is>
      </c>
      <c r="E173" s="29" t="inlineStr">
        <is>
          <t>https://sede.policia.gob.es/portalCiudadano/_es/tramites_extranjeria_tasas.php</t>
        </is>
      </c>
      <c r="F173" s="49" t="n">
        <v>46319</v>
      </c>
      <c r="G173" s="51" t="n">
        <v>2</v>
      </c>
    </row>
    <row r="174" ht="54" customHeight="1">
      <c r="A174" s="29" t="inlineStr">
        <is>
          <t>marbella:action:tie-yabanci-kimlik-karti-1</t>
        </is>
      </c>
      <c r="B174" s="29" t="inlineStr">
        <is>
          <t>marbella</t>
        </is>
      </c>
      <c r="C174" s="29" t="inlineStr">
        <is>
          <t>marbella:tie-yabanci-kimlik-karti</t>
        </is>
      </c>
      <c r="D174" s="29" t="inlineStr">
        <is>
          <t>Bilgi al</t>
        </is>
      </c>
      <c r="E174" s="29" t="inlineStr">
        <is>
          <t>https://www.boe.es/buscar/act.php?id=BOE-A-2024-24099</t>
        </is>
      </c>
      <c r="F174" s="49" t="n">
        <v>46319</v>
      </c>
      <c r="G174" s="51" t="n">
        <v>1</v>
      </c>
    </row>
    <row r="175" ht="54" customHeight="1">
      <c r="A175" s="29" t="inlineStr">
        <is>
          <t>marbella:action:tie-yabanci-kimlik-karti-2</t>
        </is>
      </c>
      <c r="B175" s="29" t="inlineStr">
        <is>
          <t>marbella</t>
        </is>
      </c>
      <c r="C175" s="29" t="inlineStr">
        <is>
          <t>marbella:tie-yabanci-kimlik-karti</t>
        </is>
      </c>
      <c r="D175" s="29" t="inlineStr">
        <is>
          <t>Tarifeyi gör</t>
        </is>
      </c>
      <c r="E175" s="29" t="inlineStr">
        <is>
          <t>https://sede.policia.gob.es/portalCiudadano/_es/tramites_extranjeria_tasas.php</t>
        </is>
      </c>
      <c r="F175" s="49" t="n">
        <v>46319</v>
      </c>
      <c r="G175" s="51" t="n">
        <v>2</v>
      </c>
    </row>
    <row r="176" ht="54" customHeight="1">
      <c r="A176" s="29" t="inlineStr">
        <is>
          <t>marbella:action:ab-vatandasi-calisma-izni-gerekli-mi-1</t>
        </is>
      </c>
      <c r="B176" s="29" t="inlineStr">
        <is>
          <t>marbella</t>
        </is>
      </c>
      <c r="C176" s="29" t="inlineStr">
        <is>
          <t>marbella:ab-vatandasi-calisma-izni-gerekli-mi</t>
        </is>
      </c>
      <c r="D176" s="29" t="inlineStr">
        <is>
          <t>Bilgi al</t>
        </is>
      </c>
      <c r="E176" s="29" t="inlineStr">
        <is>
          <t>https://www.boe.es/buscar/act.php?id=BOE-A-2007-4184</t>
        </is>
      </c>
      <c r="F176" s="49" t="n">
        <v>46319</v>
      </c>
      <c r="G176" s="51" t="n">
        <v>1</v>
      </c>
    </row>
    <row r="177" ht="54" customHeight="1">
      <c r="A177" s="29" t="inlineStr">
        <is>
          <t>marbella:action:oturum-izni-yenileme-1</t>
        </is>
      </c>
      <c r="B177" s="29" t="inlineStr">
        <is>
          <t>marbella</t>
        </is>
      </c>
      <c r="C177" s="29" t="inlineStr">
        <is>
          <t>marbella:oturum-izni-yenileme</t>
        </is>
      </c>
      <c r="D177" s="29" t="inlineStr">
        <is>
          <t>Bilgi al</t>
        </is>
      </c>
      <c r="E177" s="29" t="inlineStr">
        <is>
          <t>https://www.inclusion.gob.es/web/migraciones/w/renovacion-de-la-autorizacion-de-residencia-temporal-no-lucrativa</t>
        </is>
      </c>
      <c r="F177" s="49" t="n">
        <v>46321</v>
      </c>
      <c r="G177" s="51" t="n">
        <v>1</v>
      </c>
    </row>
    <row r="178" ht="54" customHeight="1">
      <c r="A178" s="29" t="inlineStr">
        <is>
          <t>marbella:action:oturum-izni-yenileme-2</t>
        </is>
      </c>
      <c r="B178" s="29" t="inlineStr">
        <is>
          <t>marbella</t>
        </is>
      </c>
      <c r="C178" s="29" t="inlineStr">
        <is>
          <t>marbella:oturum-izni-yenileme</t>
        </is>
      </c>
      <c r="D178" s="29" t="inlineStr">
        <is>
          <t>Tarifeyi gör</t>
        </is>
      </c>
      <c r="E178" s="29" t="inlineStr">
        <is>
          <t>https://www.boe.es/buscar/doc.php?id=BOE-A-2025-12056</t>
        </is>
      </c>
      <c r="F178" s="49" t="n">
        <v>46321</v>
      </c>
      <c r="G178" s="51" t="n">
        <v>2</v>
      </c>
    </row>
    <row r="179" ht="54" customHeight="1">
      <c r="A179" s="29" t="inlineStr">
        <is>
          <t>marbella:action:aile-birlesimi-ile-oturum-1</t>
        </is>
      </c>
      <c r="B179" s="29" t="inlineStr">
        <is>
          <t>marbella</t>
        </is>
      </c>
      <c r="C179" s="29" t="inlineStr">
        <is>
          <t>marbella:aile-birlesimi-ile-oturum</t>
        </is>
      </c>
      <c r="D179" s="29" t="inlineStr">
        <is>
          <t>Bilgi al</t>
        </is>
      </c>
      <c r="E179" s="29" t="inlineStr">
        <is>
          <t>https://www.inclusion.gob.es/web/migraciones/w/autorizacion-de-residencia-temporal-por-reagrupacion-familiar</t>
        </is>
      </c>
      <c r="F179" s="49" t="n">
        <v>46321</v>
      </c>
      <c r="G179" s="51" t="n">
        <v>1</v>
      </c>
    </row>
    <row r="180" ht="54" customHeight="1">
      <c r="A180" s="29" t="inlineStr">
        <is>
          <t>marbella:action:aile-birlesimi-ile-oturum-2</t>
        </is>
      </c>
      <c r="B180" s="29" t="inlineStr">
        <is>
          <t>marbella</t>
        </is>
      </c>
      <c r="C180" s="29" t="inlineStr">
        <is>
          <t>marbella:aile-birlesimi-ile-oturum</t>
        </is>
      </c>
      <c r="D180" s="29" t="inlineStr">
        <is>
          <t>Tarifeyi gör</t>
        </is>
      </c>
      <c r="E180" s="29" t="inlineStr">
        <is>
          <t>https://www.boe.es/buscar/doc.php?id=BOE-A-2025-12056</t>
        </is>
      </c>
      <c r="F180" s="49" t="n">
        <v>46321</v>
      </c>
      <c r="G180" s="51" t="n">
        <v>2</v>
      </c>
    </row>
    <row r="181" ht="54" customHeight="1">
      <c r="A181" s="29" t="inlineStr">
        <is>
          <t>marbella:action:kalici-oturum-bes-yil-1</t>
        </is>
      </c>
      <c r="B181" s="29" t="inlineStr">
        <is>
          <t>marbella</t>
        </is>
      </c>
      <c r="C181" s="29" t="inlineStr">
        <is>
          <t>marbella:kalici-oturum-bes-yil</t>
        </is>
      </c>
      <c r="D181" s="29" t="inlineStr">
        <is>
          <t>Bilgi al</t>
        </is>
      </c>
      <c r="E181" s="29" t="inlineStr">
        <is>
          <t>https://www.inclusion.gob.es/web/migraciones/w/50.-autorizacion-de-residencia-de-larga-duracion-ue</t>
        </is>
      </c>
      <c r="F181" s="49" t="n">
        <v>46321</v>
      </c>
      <c r="G181" s="51" t="n">
        <v>1</v>
      </c>
    </row>
    <row r="182" ht="54" customHeight="1">
      <c r="A182" s="29" t="inlineStr">
        <is>
          <t>marbella:action:kalici-oturum-bes-yil-2</t>
        </is>
      </c>
      <c r="B182" s="29" t="inlineStr">
        <is>
          <t>marbella</t>
        </is>
      </c>
      <c r="C182" s="29" t="inlineStr">
        <is>
          <t>marbella:kalici-oturum-bes-yil</t>
        </is>
      </c>
      <c r="D182" s="29" t="inlineStr">
        <is>
          <t>Tarifeyi gör</t>
        </is>
      </c>
      <c r="E182" s="29" t="inlineStr">
        <is>
          <t>https://www.boe.es/buscar/doc.php?id=BOE-A-2025-12056</t>
        </is>
      </c>
      <c r="F182" s="49" t="n">
        <v>46321</v>
      </c>
      <c r="G182" s="51" t="n">
        <v>2</v>
      </c>
    </row>
    <row r="183" ht="54" customHeight="1">
      <c r="A183" s="29" t="inlineStr">
        <is>
          <t>marbella:action:arraigo-kok-salma-oturumu-1</t>
        </is>
      </c>
      <c r="B183" s="29" t="inlineStr">
        <is>
          <t>marbella</t>
        </is>
      </c>
      <c r="C183" s="29" t="inlineStr">
        <is>
          <t>marbella:arraigo-kok-salma-oturumu</t>
        </is>
      </c>
      <c r="D183" s="29" t="inlineStr">
        <is>
          <t>Bilgi al</t>
        </is>
      </c>
      <c r="E183" s="29" t="inlineStr">
        <is>
          <t>https://www.inclusion.gob.es/web/migraciones/w/autorizacion-residencia-temporal-por-circunstancias-excepcionales.-arraigo-social</t>
        </is>
      </c>
      <c r="F183" s="49" t="n">
        <v>46321</v>
      </c>
      <c r="G183" s="51" t="n">
        <v>1</v>
      </c>
    </row>
    <row r="184" ht="54" customHeight="1">
      <c r="A184" s="29" t="inlineStr">
        <is>
          <t>marbella:action:arraigo-kok-salma-oturumu-2</t>
        </is>
      </c>
      <c r="B184" s="29" t="inlineStr">
        <is>
          <t>marbella</t>
        </is>
      </c>
      <c r="C184" s="29" t="inlineStr">
        <is>
          <t>marbella:arraigo-kok-salma-oturumu</t>
        </is>
      </c>
      <c r="D184" s="29" t="inlineStr">
        <is>
          <t>Bilgi al</t>
        </is>
      </c>
      <c r="E184" s="29" t="inlineStr">
        <is>
          <t>https://www.boe.es/buscar/act.php?id=BOE-A-2024-24099</t>
        </is>
      </c>
      <c r="F184" s="49" t="n">
        <v>46321</v>
      </c>
      <c r="G184" s="51" t="n">
        <v>2</v>
      </c>
    </row>
    <row r="185" ht="54" customHeight="1">
      <c r="A185" s="29" t="inlineStr">
        <is>
          <t>marbella:action:dijital-gocebe-vizesi-1</t>
        </is>
      </c>
      <c r="B185" s="29" t="inlineStr">
        <is>
          <t>marbella</t>
        </is>
      </c>
      <c r="C185" s="29" t="inlineStr">
        <is>
          <t>marbella:dijital-gocebe-vizesi</t>
        </is>
      </c>
      <c r="D185" s="29" t="inlineStr">
        <is>
          <t>Bilgi al</t>
        </is>
      </c>
      <c r="E185" s="29" t="inlineStr">
        <is>
          <t>https://www.exteriores.gob.es/Consulados/estambul/es/Comunicacion/Noticias/Paginas/Articulos/Requisitos-Visado-Teletrabajo.aspx</t>
        </is>
      </c>
      <c r="F185" s="49" t="n">
        <v>46319</v>
      </c>
      <c r="G185" s="51" t="n">
        <v>1</v>
      </c>
    </row>
    <row r="186" ht="54" customHeight="1">
      <c r="A186" s="29" t="inlineStr">
        <is>
          <t>marbella:action:dijital-gocebe-vizesi-2</t>
        </is>
      </c>
      <c r="B186" s="29" t="inlineStr">
        <is>
          <t>marbella</t>
        </is>
      </c>
      <c r="C186" s="29" t="inlineStr">
        <is>
          <t>marbella:dijital-gocebe-vizesi</t>
        </is>
      </c>
      <c r="D186" s="29" t="inlineStr">
        <is>
          <t>Bilgi al</t>
        </is>
      </c>
      <c r="E186" s="29" t="inlineStr">
        <is>
          <t>https://www.boe.es/buscar/act.php?id=BOE-A-2022-21739</t>
        </is>
      </c>
      <c r="F186" s="49" t="n">
        <v>46319</v>
      </c>
      <c r="G186" s="51" t="n">
        <v>2</v>
      </c>
    </row>
    <row r="187" ht="54" customHeight="1">
      <c r="A187" s="29" t="inlineStr">
        <is>
          <t>marbella:action:kar-amaci-gutmeyen-oturum-vizesi-1</t>
        </is>
      </c>
      <c r="B187" s="29" t="inlineStr">
        <is>
          <t>marbella</t>
        </is>
      </c>
      <c r="C187" s="29" t="inlineStr">
        <is>
          <t>marbella:kar-amaci-gutmeyen-oturum-vizesi</t>
        </is>
      </c>
      <c r="D187" s="29" t="inlineStr">
        <is>
          <t>Bilgi al</t>
        </is>
      </c>
      <c r="E187" s="29" t="inlineStr">
        <is>
          <t>https://www.exteriores.gob.es/Consulados/estambul/es/ServiciosConsulares/Paginas/index.aspx?scca=Visados&amp;scco=Turqu%C3%ADa&amp;scd=141&amp;scs=Visados+Nacionales+-+Visado+de+residencia+no+lucrativa</t>
        </is>
      </c>
      <c r="F187" s="49" t="n">
        <v>46319</v>
      </c>
      <c r="G187" s="51" t="n">
        <v>1</v>
      </c>
    </row>
    <row r="188" ht="54" customHeight="1">
      <c r="A188" s="29" t="inlineStr">
        <is>
          <t>marbella:action:kar-amaci-gutmeyen-oturum-vizesi-2</t>
        </is>
      </c>
      <c r="B188" s="29" t="inlineStr">
        <is>
          <t>marbella</t>
        </is>
      </c>
      <c r="C188" s="29" t="inlineStr">
        <is>
          <t>marbella:kar-amaci-gutmeyen-oturum-vizesi</t>
        </is>
      </c>
      <c r="D188" s="29" t="inlineStr">
        <is>
          <t>Bilgi al</t>
        </is>
      </c>
      <c r="E188" s="29" t="inlineStr">
        <is>
          <t>https://www.exteriores.gob.es/Embajadas/nuevadelhi/en/ServiciosConsulares/Paginas/Consular/Visado-de-residencia-no-lucrativa.aspx</t>
        </is>
      </c>
      <c r="F188" s="49" t="n">
        <v>46319</v>
      </c>
      <c r="G188" s="51" t="n">
        <v>2</v>
      </c>
    </row>
    <row r="189" ht="54" customHeight="1">
      <c r="A189" s="29" t="inlineStr">
        <is>
          <t>marbella:action:altin-vize-sona-erdi-1</t>
        </is>
      </c>
      <c r="B189" s="29" t="inlineStr">
        <is>
          <t>marbella</t>
        </is>
      </c>
      <c r="C189" s="29" t="inlineStr">
        <is>
          <t>marbella:altin-vize-sona-erdi</t>
        </is>
      </c>
      <c r="D189" s="29" t="inlineStr">
        <is>
          <t>Bilgi al</t>
        </is>
      </c>
      <c r="E189" s="29" t="inlineStr">
        <is>
          <t>https://www.lamoncloa.gob.es/serviciosdeprensa/notasprensa/vivienda-agenda-urbana/paginas/2025/020425-fin-golden-visa.aspx</t>
        </is>
      </c>
      <c r="F189" s="49" t="n">
        <v>46319</v>
      </c>
      <c r="G189" s="51" t="n">
        <v>1</v>
      </c>
    </row>
    <row r="190" ht="54" customHeight="1">
      <c r="A190" s="29" t="inlineStr">
        <is>
          <t>marbella:action:altin-vize-sona-erdi-2</t>
        </is>
      </c>
      <c r="B190" s="29" t="inlineStr">
        <is>
          <t>marbella</t>
        </is>
      </c>
      <c r="C190" s="29" t="inlineStr">
        <is>
          <t>marbella:altin-vize-sona-erdi</t>
        </is>
      </c>
      <c r="D190" s="29" t="inlineStr">
        <is>
          <t>Bilgi al</t>
        </is>
      </c>
      <c r="E190" s="29" t="inlineStr">
        <is>
          <t>https://www.boe.es/buscar/act.php?id=BOE-A-2025-76</t>
        </is>
      </c>
      <c r="F190" s="49" t="n">
        <v>46319</v>
      </c>
      <c r="G190" s="51" t="n">
        <v>2</v>
      </c>
    </row>
    <row r="191" ht="54" customHeight="1">
      <c r="A191" s="29" t="inlineStr">
        <is>
          <t>marbella:action:ogrenci-oturumuyla-calisma-hakki-1</t>
        </is>
      </c>
      <c r="B191" s="29" t="inlineStr">
        <is>
          <t>marbella</t>
        </is>
      </c>
      <c r="C191" s="29" t="inlineStr">
        <is>
          <t>marbella:ogrenci-oturumuyla-calisma-hakki</t>
        </is>
      </c>
      <c r="D191" s="29" t="inlineStr">
        <is>
          <t>Bilgi al</t>
        </is>
      </c>
      <c r="E191" s="29" t="inlineStr">
        <is>
          <t>https://www.boe.es/buscar/act.php?id=BOE-A-2024-24099</t>
        </is>
      </c>
      <c r="F191" s="49" t="n">
        <v>46319</v>
      </c>
      <c r="G191" s="51" t="n">
        <v>1</v>
      </c>
    </row>
    <row r="192" ht="54" customHeight="1">
      <c r="A192" s="29" t="inlineStr">
        <is>
          <t>marbella:action:ispanyol-vatandasligi-basvurusu-1</t>
        </is>
      </c>
      <c r="B192" s="29" t="inlineStr">
        <is>
          <t>marbella</t>
        </is>
      </c>
      <c r="C192" s="29" t="inlineStr">
        <is>
          <t>marbella:ispanyol-vatandasligi-basvurusu</t>
        </is>
      </c>
      <c r="D192" s="29" t="inlineStr">
        <is>
          <t>Bilgi al</t>
        </is>
      </c>
      <c r="E192" s="29" t="inlineStr">
        <is>
          <t>https://www.boe.es/buscar/act.php?id=BOE-A-1889-4763</t>
        </is>
      </c>
      <c r="F192" s="49" t="n">
        <v>46319</v>
      </c>
      <c r="G192" s="51" t="n">
        <v>1</v>
      </c>
    </row>
    <row r="193" ht="54" customHeight="1">
      <c r="A193" s="29" t="inlineStr">
        <is>
          <t>marbella:action:ispanyol-vatandasligi-basvurusu-2</t>
        </is>
      </c>
      <c r="B193" s="29" t="inlineStr">
        <is>
          <t>marbella</t>
        </is>
      </c>
      <c r="C193" s="29" t="inlineStr">
        <is>
          <t>marbella:ispanyol-vatandasligi-basvurusu</t>
        </is>
      </c>
      <c r="D193" s="29" t="inlineStr">
        <is>
          <t>Bilgi al</t>
        </is>
      </c>
      <c r="E193" s="29" t="inlineStr">
        <is>
          <t>https://www.boe.es/buscar/act.php?id=BOE-A-2015-12047</t>
        </is>
      </c>
      <c r="F193" s="49" t="n">
        <v>46319</v>
      </c>
      <c r="G193" s="51" t="n">
        <v>2</v>
      </c>
    </row>
    <row r="194" ht="54" customHeight="1">
      <c r="A194" s="29" t="inlineStr">
        <is>
          <t>marbella:action:brexit-sonrasi-ingiliz-oturumu-1</t>
        </is>
      </c>
      <c r="B194" s="29" t="inlineStr">
        <is>
          <t>marbella</t>
        </is>
      </c>
      <c r="C194" s="29" t="inlineStr">
        <is>
          <t>marbella:brexit-sonrasi-ingiliz-oturumu</t>
        </is>
      </c>
      <c r="D194" s="29" t="inlineStr">
        <is>
          <t>Bilgi al</t>
        </is>
      </c>
      <c r="E194" s="29" t="inlineStr">
        <is>
          <t>https://www.boe.es/diario_boe/txt.php?id=BOE-A-2020-7276</t>
        </is>
      </c>
      <c r="F194" s="49" t="n">
        <v>46319</v>
      </c>
      <c r="G194" s="51" t="n">
        <v>1</v>
      </c>
    </row>
    <row r="195" ht="54" customHeight="1">
      <c r="A195" s="29" t="inlineStr">
        <is>
          <t>marbella:action:brexit-sonrasi-ingiliz-oturumu-2</t>
        </is>
      </c>
      <c r="B195" s="29" t="inlineStr">
        <is>
          <t>marbella</t>
        </is>
      </c>
      <c r="C195" s="29" t="inlineStr">
        <is>
          <t>marbella:brexit-sonrasi-ingiliz-oturumu</t>
        </is>
      </c>
      <c r="D195" s="29" t="inlineStr">
        <is>
          <t>Tarifeyi gör</t>
        </is>
      </c>
      <c r="E195" s="29" t="inlineStr">
        <is>
          <t>https://sede.policia.gob.es/portalCiudadano/_es/tramites_extranjeria_tasas.php</t>
        </is>
      </c>
      <c r="F195" s="49" t="n">
        <v>46319</v>
      </c>
      <c r="G195" s="51" t="n">
        <v>2</v>
      </c>
    </row>
    <row r="196" ht="54" customHeight="1">
      <c r="A196" s="29" t="inlineStr">
        <is>
          <t>marbella:action:marbella-nie-tie-polis-ofisi-randevu-1</t>
        </is>
      </c>
      <c r="B196" s="29" t="inlineStr">
        <is>
          <t>marbella</t>
        </is>
      </c>
      <c r="C196" s="29" t="inlineStr">
        <is>
          <t>marbella:marbella-nie-tie-polis-ofisi-randevu</t>
        </is>
      </c>
      <c r="D196" s="29" t="inlineStr">
        <is>
          <t>Başvur</t>
        </is>
      </c>
      <c r="E196" s="29" t="inlineStr">
        <is>
          <t>https://sede.policia.gob.es/portalCiudadano/_es/tramites_extranjeria_tramite_tarjeta_residencia_residenciaytrabajo.php</t>
        </is>
      </c>
      <c r="F196" s="49" t="n">
        <v>46323</v>
      </c>
      <c r="G196" s="51" t="n">
        <v>1</v>
      </c>
    </row>
    <row r="197" ht="54" customHeight="1">
      <c r="A197" s="29" t="inlineStr">
        <is>
          <t>marbella:action:marbella-nie-tie-polis-ofisi-randevu-2</t>
        </is>
      </c>
      <c r="B197" s="29" t="inlineStr">
        <is>
          <t>marbella</t>
        </is>
      </c>
      <c r="C197" s="29" t="inlineStr">
        <is>
          <t>marbella:marbella-nie-tie-polis-ofisi-randevu</t>
        </is>
      </c>
      <c r="D197" s="29" t="inlineStr">
        <is>
          <t>Bilgi al</t>
        </is>
      </c>
      <c r="E197" s="29" t="inlineStr">
        <is>
          <t>https://extranjeros.marbella.es/informacion/extranjeria</t>
        </is>
      </c>
      <c r="F197" s="49" t="n">
        <v>46323</v>
      </c>
      <c r="G197" s="51" t="n">
        <v>2</v>
      </c>
    </row>
    <row r="198" ht="54" customHeight="1">
      <c r="A198" s="29" t="inlineStr">
        <is>
          <t>marbella:action:malaga-yenileme-marbella-polis-ayrimi-1</t>
        </is>
      </c>
      <c r="B198" s="29" t="inlineStr">
        <is>
          <t>marbella</t>
        </is>
      </c>
      <c r="C198" s="29" t="inlineStr">
        <is>
          <t>marbella:malaga-yenileme-marbella-polis-ayrimi</t>
        </is>
      </c>
      <c r="D198" s="29" t="inlineStr">
        <is>
          <t>Bilgi al</t>
        </is>
      </c>
      <c r="E198" s="29" t="inlineStr">
        <is>
          <t>https://sede.policia.gob.es/portalCiudadano/_es/dependencias_localizador_accesible.php</t>
        </is>
      </c>
      <c r="F198" s="49" t="n">
        <v>46323</v>
      </c>
      <c r="G198" s="51" t="n">
        <v>1</v>
      </c>
    </row>
    <row r="199" ht="54" customHeight="1">
      <c r="A199" s="29" t="inlineStr">
        <is>
          <t>marbella:action:malaga-yenileme-marbella-polis-ayrimi-2</t>
        </is>
      </c>
      <c r="B199" s="29" t="inlineStr">
        <is>
          <t>marbella</t>
        </is>
      </c>
      <c r="C199" s="29" t="inlineStr">
        <is>
          <t>marbella:malaga-yenileme-marbella-polis-ayrimi</t>
        </is>
      </c>
      <c r="D199" s="29" t="inlineStr">
        <is>
          <t>Randevu al</t>
        </is>
      </c>
      <c r="E199" s="29" t="inlineStr">
        <is>
          <t>https://extranjeros.marbella.es/informacion/extranjeria</t>
        </is>
      </c>
      <c r="F199" s="49" t="n">
        <v>46323</v>
      </c>
      <c r="G199" s="51" t="n">
        <v>2</v>
      </c>
    </row>
    <row r="200" ht="54" customHeight="1">
      <c r="A200" s="29" t="inlineStr">
        <is>
          <t>marbella:action:yabancilar-birimi-extranjeros-residentes-1</t>
        </is>
      </c>
      <c r="B200" s="29" t="inlineStr">
        <is>
          <t>marbella</t>
        </is>
      </c>
      <c r="C200" s="29" t="inlineStr">
        <is>
          <t>marbella:yabancilar-birimi-extranjeros-residentes</t>
        </is>
      </c>
      <c r="D200" s="29" t="inlineStr">
        <is>
          <t>Formu doldur</t>
        </is>
      </c>
      <c r="E200" s="29" t="inlineStr">
        <is>
          <t>https://extranjeros.marbella.es/contacto</t>
        </is>
      </c>
      <c r="F200" s="49" t="n">
        <v>46323</v>
      </c>
      <c r="G200" s="51" t="n">
        <v>1</v>
      </c>
    </row>
    <row r="201" ht="54" customHeight="1">
      <c r="A201" s="29" t="inlineStr">
        <is>
          <t>marbella:action:yabancilar-birimi-extranjeros-residentes-2</t>
        </is>
      </c>
      <c r="B201" s="29" t="inlineStr">
        <is>
          <t>marbella</t>
        </is>
      </c>
      <c r="C201" s="29" t="inlineStr">
        <is>
          <t>marbella:yabancilar-birimi-extranjeros-residentes</t>
        </is>
      </c>
      <c r="D201" s="29" t="inlineStr">
        <is>
          <t>Bilgi al</t>
        </is>
      </c>
      <c r="E201" s="29" t="inlineStr">
        <is>
          <t>https://extranjeros.marbella.es/informacion/extranjeria</t>
        </is>
      </c>
      <c r="F201" s="49" t="n">
        <v>46323</v>
      </c>
      <c r="G201" s="51" t="n">
        <v>2</v>
      </c>
    </row>
    <row r="202" ht="54" customHeight="1">
      <c r="A202" s="29" t="inlineStr">
        <is>
          <t>marbella:action:ucretsiz-avukat-justicia-gratuita-1</t>
        </is>
      </c>
      <c r="B202" s="29" t="inlineStr">
        <is>
          <t>marbella</t>
        </is>
      </c>
      <c r="C202" s="29" t="inlineStr">
        <is>
          <t>marbella:ucretsiz-avukat-justicia-gratuita</t>
        </is>
      </c>
      <c r="D202" s="29" t="inlineStr">
        <is>
          <t>Başvur</t>
        </is>
      </c>
      <c r="E202" s="29" t="inlineStr">
        <is>
          <t>https://www.juntadeandalucia.es/organismos/justiciaadministracionlocalyfuncionpublica/areas/justicia/gratuita/tramitacion-justicia-gratuita.html</t>
        </is>
      </c>
      <c r="F202" s="49" t="n">
        <v>46323</v>
      </c>
      <c r="G202" s="51" t="n">
        <v>1</v>
      </c>
    </row>
    <row r="203" ht="54" customHeight="1">
      <c r="A203" s="29" t="inlineStr">
        <is>
          <t>marbella:action:ucretsiz-avukat-justicia-gratuita-2</t>
        </is>
      </c>
      <c r="B203" s="29" t="inlineStr">
        <is>
          <t>marbella</t>
        </is>
      </c>
      <c r="C203" s="29" t="inlineStr">
        <is>
          <t>marbella:ucretsiz-avukat-justicia-gratuita</t>
        </is>
      </c>
      <c r="D203" s="29" t="inlineStr">
        <is>
          <t>Hesapla</t>
        </is>
      </c>
      <c r="E203" s="29" t="inlineStr">
        <is>
          <t>https://www.juntadeandalucia.es/organismos/justiciaadministracionlocalyfuncionpublica/areas/justicia/gratuita/derecho-justicia-gratuita.html</t>
        </is>
      </c>
      <c r="F203" s="49" t="n">
        <v>46323</v>
      </c>
      <c r="G203" s="51" t="n">
        <v>2</v>
      </c>
    </row>
    <row r="204" ht="54" customHeight="1">
      <c r="A204" s="29" t="inlineStr">
        <is>
          <t>marbella:action:turk-konsoloslugu-madrid-buyukelcilik-1</t>
        </is>
      </c>
      <c r="B204" s="29" t="inlineStr">
        <is>
          <t>marbella</t>
        </is>
      </c>
      <c r="C204" s="29" t="inlineStr">
        <is>
          <t>marbella:turk-konsoloslugu-madrid-buyukelcilik</t>
        </is>
      </c>
      <c r="D204" s="29" t="inlineStr">
        <is>
          <t>Randevu al</t>
        </is>
      </c>
      <c r="E204" s="29" t="inlineStr">
        <is>
          <t>https://madrid-be.mfa.gov.tr/Mission/Contact</t>
        </is>
      </c>
      <c r="F204" s="49" t="n">
        <v>46323</v>
      </c>
      <c r="G204" s="51" t="n">
        <v>1</v>
      </c>
    </row>
    <row r="205" ht="54" customHeight="1">
      <c r="A205" s="29" t="inlineStr">
        <is>
          <t>marbella:action:turk-konsoloslugu-madrid-buyukelcilik-2</t>
        </is>
      </c>
      <c r="B205" s="29" t="inlineStr">
        <is>
          <t>marbella</t>
        </is>
      </c>
      <c r="C205" s="29" t="inlineStr">
        <is>
          <t>marbella:turk-konsoloslugu-madrid-buyukelcilik</t>
        </is>
      </c>
      <c r="D205" s="29" t="inlineStr">
        <is>
          <t>Bilgi al</t>
        </is>
      </c>
      <c r="E205" s="29" t="inlineStr">
        <is>
          <t>https://madrid-emb.mfa.gov.tr/Mission/Contact</t>
        </is>
      </c>
      <c r="F205" s="49" t="n">
        <v>46323</v>
      </c>
      <c r="G205" s="51" t="n">
        <v>2</v>
      </c>
    </row>
    <row r="206" ht="54" customHeight="1">
      <c r="A206" s="29" t="inlineStr">
        <is>
          <t>marbella:action:sosyal-hizmetler-derechos-sociales-basvuru-1</t>
        </is>
      </c>
      <c r="B206" s="29" t="inlineStr">
        <is>
          <t>marbella</t>
        </is>
      </c>
      <c r="C206" s="29" t="inlineStr">
        <is>
          <t>marbella:sosyal-hizmetler-derechos-sociales-basvuru</t>
        </is>
      </c>
      <c r="D206" s="29" t="inlineStr">
        <is>
          <t>Bilgi al</t>
        </is>
      </c>
      <c r="E206" s="29" t="inlineStr">
        <is>
          <t>https://www.marbella.es/web/derechos-sociales/instalaciones-ds/centro-social-comunitario-marbella.html</t>
        </is>
      </c>
      <c r="F206" s="49" t="n">
        <v>46323</v>
      </c>
      <c r="G206" s="51" t="n">
        <v>1</v>
      </c>
    </row>
    <row r="207" ht="54" customHeight="1">
      <c r="A207" s="29" t="inlineStr">
        <is>
          <t>marbella:action:sosyal-hizmetler-derechos-sociales-basvuru-2</t>
        </is>
      </c>
      <c r="B207" s="29" t="inlineStr">
        <is>
          <t>marbella</t>
        </is>
      </c>
      <c r="C207" s="29" t="inlineStr">
        <is>
          <t>marbella:sosyal-hizmetler-derechos-sociales-basvuru</t>
        </is>
      </c>
      <c r="D207" s="29" t="inlineStr">
        <is>
          <t>Bilgi al</t>
        </is>
      </c>
      <c r="E207" s="29" t="inlineStr">
        <is>
          <t>https://ayuntamiento.marbella.es/documentos/cartas-de-servicios-municipales/1062-carta-de-servicios-de-la-delegacion-de-derechos-sociales.html</t>
        </is>
      </c>
      <c r="F207" s="49" t="n">
        <v>46323</v>
      </c>
      <c r="G207" s="51" t="n">
        <v>2</v>
      </c>
    </row>
    <row r="208" ht="54" customHeight="1">
      <c r="A208" s="29" t="inlineStr">
        <is>
          <t>marbella:action:banka-hesabi-acma-ve-temel-odeme-hesabi-1</t>
        </is>
      </c>
      <c r="B208" s="29" t="inlineStr">
        <is>
          <t>marbella</t>
        </is>
      </c>
      <c r="C208" s="29" t="inlineStr">
        <is>
          <t>marbella:banka-hesabi-acma-ve-temel-odeme-hesabi</t>
        </is>
      </c>
      <c r="D208" s="29" t="inlineStr">
        <is>
          <t>Bilgi al</t>
        </is>
      </c>
      <c r="E208" s="29" t="inlineStr">
        <is>
          <t>https://clientebancario.bde.es/pcb/es/blog/solicitud-de-apertura-de-cuentas-de-pago.html</t>
        </is>
      </c>
      <c r="F208" s="49" t="n">
        <v>46319</v>
      </c>
      <c r="G208" s="51" t="n">
        <v>1</v>
      </c>
    </row>
    <row r="209" ht="54" customHeight="1">
      <c r="A209" s="29" t="inlineStr">
        <is>
          <t>marbella:action:banka-hesabi-acma-ve-temel-odeme-hesabi-2</t>
        </is>
      </c>
      <c r="B209" s="29" t="inlineStr">
        <is>
          <t>marbella</t>
        </is>
      </c>
      <c r="C209" s="29" t="inlineStr">
        <is>
          <t>marbella:banka-hesabi-acma-ve-temel-odeme-hesabi</t>
        </is>
      </c>
      <c r="D209" s="29" t="inlineStr">
        <is>
          <t>Bilgi al</t>
        </is>
      </c>
      <c r="E209" s="29" t="inlineStr">
        <is>
          <t>https://clientebancario.bde.es/pcb/es/menu-horizontal/productosservici/cuentasdepositos/cuentascorriente/guia-textual/CuentadepagoBasica/quienes-pueden-solicitarla-.html</t>
        </is>
      </c>
      <c r="F209" s="49" t="n">
        <v>46319</v>
      </c>
      <c r="G209" s="51" t="n">
        <v>2</v>
      </c>
    </row>
    <row r="210" ht="54" customHeight="1">
      <c r="A210" s="29" t="inlineStr">
        <is>
          <t>marbella:action:iban-ve-sepa-havalesi-2</t>
        </is>
      </c>
      <c r="B210" s="29" t="inlineStr">
        <is>
          <t>marbella</t>
        </is>
      </c>
      <c r="C210" s="29" t="inlineStr">
        <is>
          <t>marbella:iban-ve-sepa-havalesi</t>
        </is>
      </c>
      <c r="D210" s="29" t="inlineStr">
        <is>
          <t>Bilgi al</t>
        </is>
      </c>
      <c r="E210" s="29" t="inlineStr">
        <is>
          <t>https://clientebancario.bde.es/pcb/es/menu-horizontal/productosservici/serviciospago/traspasostransfe/guia-textual/tipos/Transferencia_SEPA.html</t>
        </is>
      </c>
      <c r="F210" s="49" t="n">
        <v>46319</v>
      </c>
      <c r="G210" s="51" t="n">
        <v>1</v>
      </c>
    </row>
    <row r="211" ht="54" customHeight="1">
      <c r="A211" s="29" t="inlineStr">
        <is>
          <t>marbella:action:iban-ve-sepa-havalesi-3</t>
        </is>
      </c>
      <c r="B211" s="29" t="inlineStr">
        <is>
          <t>marbella</t>
        </is>
      </c>
      <c r="C211" s="29" t="inlineStr">
        <is>
          <t>marbella:iban-ve-sepa-havalesi</t>
        </is>
      </c>
      <c r="D211" s="29" t="inlineStr">
        <is>
          <t>Bilgi al</t>
        </is>
      </c>
      <c r="E211" s="29" t="inlineStr">
        <is>
          <t>https://clientebancario.bde.es/pcb/es/blog/upppssstransferencia-enviada-al-iban-equivocado.html</t>
        </is>
      </c>
      <c r="F211" s="49" t="n">
        <v>46319</v>
      </c>
      <c r="G211" s="51" t="n">
        <v>2</v>
      </c>
    </row>
    <row r="212" ht="54" customHeight="1">
      <c r="A212" s="29" t="inlineStr">
        <is>
          <t>marbella:action:gelir-vergisi-irpf-devlet-dilimleri-1</t>
        </is>
      </c>
      <c r="B212" s="29" t="inlineStr">
        <is>
          <t>marbella</t>
        </is>
      </c>
      <c r="C212" s="29" t="inlineStr">
        <is>
          <t>marbella:gelir-vergisi-irpf-devlet-dilimleri</t>
        </is>
      </c>
      <c r="D212" s="29" t="inlineStr">
        <is>
          <t>Hesapla</t>
        </is>
      </c>
      <c r="E212" s="29" t="inlineStr">
        <is>
          <t>https://sede.agenciatributaria.gob.es/Sede/ayuda/manuales-videos-folletos/manuales-practicos/irpf-2025/c15-calculo-impuesto-determinacion-cuotas-integras/gravamen-base-liquidable-general/gravamen-estatal.html</t>
        </is>
      </c>
      <c r="F212" s="49" t="n">
        <v>46319</v>
      </c>
      <c r="G212" s="51" t="n">
        <v>1</v>
      </c>
    </row>
    <row r="213" ht="54" customHeight="1">
      <c r="A213" s="29" t="inlineStr">
        <is>
          <t>marbella:action:gelir-vergisi-irpf-devlet-dilimleri-2</t>
        </is>
      </c>
      <c r="B213" s="29" t="inlineStr">
        <is>
          <t>marbella</t>
        </is>
      </c>
      <c r="C213" s="29" t="inlineStr">
        <is>
          <t>marbella:gelir-vergisi-irpf-devlet-dilimleri</t>
        </is>
      </c>
      <c r="D213" s="29" t="inlineStr">
        <is>
          <t>Bilgi al</t>
        </is>
      </c>
      <c r="E213" s="29" t="inlineStr">
        <is>
          <t>https://sede.agenciatributaria.gob.es/Sede/ayuda/manuales-videos-folletos/manuales-practicos/irpf-2025/c15-calculo-impuesto-determinacion-cuotas-integras/gravamen-base-liquidable-general/gravamen-autonomico.html</t>
        </is>
      </c>
      <c r="F213" s="49" t="n">
        <v>46319</v>
      </c>
      <c r="G213" s="51" t="n">
        <v>2</v>
      </c>
    </row>
    <row r="214" ht="54" customHeight="1">
      <c r="A214" s="29" t="inlineStr">
        <is>
          <t>marbella:action:kdv-iva-oranlari-1</t>
        </is>
      </c>
      <c r="B214" s="29" t="inlineStr">
        <is>
          <t>marbella</t>
        </is>
      </c>
      <c r="C214" s="29" t="inlineStr">
        <is>
          <t>marbella:kdv-iva-oranlari</t>
        </is>
      </c>
      <c r="D214" s="29" t="inlineStr">
        <is>
          <t>Tarifeyi gör</t>
        </is>
      </c>
      <c r="E214" s="29" t="inlineStr">
        <is>
          <t>https://sede.agenciatributaria.gob.es/Sede/iva/calculo-iva-repercutido-clientes/tipos-impositivos-iva.html</t>
        </is>
      </c>
      <c r="F214" s="49" t="n">
        <v>46319</v>
      </c>
      <c r="G214" s="51" t="n">
        <v>1</v>
      </c>
    </row>
    <row r="215" ht="54" customHeight="1">
      <c r="A215" s="29" t="inlineStr">
        <is>
          <t>marbella:action:kdv-iva-oranlari-2</t>
        </is>
      </c>
      <c r="B215" s="29" t="inlineStr">
        <is>
          <t>marbella</t>
        </is>
      </c>
      <c r="C215" s="29" t="inlineStr">
        <is>
          <t>marbella:kdv-iva-oranlari</t>
        </is>
      </c>
      <c r="D215" s="29" t="inlineStr">
        <is>
          <t>Bilgi al</t>
        </is>
      </c>
      <c r="E215" s="29" t="inlineStr">
        <is>
          <t>https://sede.agenciatributaria.gob.es/Sede/ayuda/manuales-videos-folletos/manuales-practicos/manual-iva-2025/capitulo-02-introduccion/territorio-que-se-aplica-impuesto.html</t>
        </is>
      </c>
      <c r="F215" s="49" t="n">
        <v>46319</v>
      </c>
      <c r="G215" s="51" t="n">
        <v>2</v>
      </c>
    </row>
    <row r="216" ht="54" customHeight="1">
      <c r="A216" s="29" t="inlineStr">
        <is>
          <t>marbella:action:yillik-gelir-vergisi-beyani-renta-1</t>
        </is>
      </c>
      <c r="B216" s="29" t="inlineStr">
        <is>
          <t>marbella</t>
        </is>
      </c>
      <c r="C216" s="29" t="inlineStr">
        <is>
          <t>marbella:yillik-gelir-vergisi-beyani-renta</t>
        </is>
      </c>
      <c r="D216" s="29" t="inlineStr">
        <is>
          <t>Bilgi al</t>
        </is>
      </c>
      <c r="E216" s="29" t="inlineStr">
        <is>
          <t>https://sede.agenciatributaria.gob.es/Sede/ayuda/manuales-videos-folletos/manuales-practicos/irpf-2025/c01-campana-declaracion-renta/confirmacion-borrador-presentacion-declaraciones/plazo-forma-presentacion.html</t>
        </is>
      </c>
      <c r="F216" s="49" t="n">
        <v>46319</v>
      </c>
      <c r="G216" s="51" t="n">
        <v>1</v>
      </c>
    </row>
    <row r="217" ht="54" customHeight="1">
      <c r="A217" s="29" t="inlineStr">
        <is>
          <t>marbella:action:yillik-gelir-vergisi-beyani-renta-2</t>
        </is>
      </c>
      <c r="B217" s="29" t="inlineStr">
        <is>
          <t>marbella</t>
        </is>
      </c>
      <c r="C217" s="29" t="inlineStr">
        <is>
          <t>marbella:yillik-gelir-vergisi-beyani-renta</t>
        </is>
      </c>
      <c r="D217" s="29" t="inlineStr">
        <is>
          <t>Bilgi al</t>
        </is>
      </c>
      <c r="E217" s="29" t="inlineStr">
        <is>
          <t>https://sede.agenciatributaria.gob.es/Sede/ayuda/manuales-videos-folletos/manuales-practicos/irpf-2025/c01-campana-declaracion-renta/quienes-estan-obligados-presentar-declaracion-irpf/delimitacion-obligacion-declarar-irpf.html</t>
        </is>
      </c>
      <c r="F217" s="49" t="n">
        <v>46319</v>
      </c>
      <c r="G217" s="51" t="n">
        <v>2</v>
      </c>
    </row>
    <row r="218" ht="54" customHeight="1">
      <c r="A218" s="29" t="inlineStr">
        <is>
          <t>marbella:action:vergi-iadesi-devolucion-renta-1</t>
        </is>
      </c>
      <c r="B218" s="29" t="inlineStr">
        <is>
          <t>marbella</t>
        </is>
      </c>
      <c r="C218" s="29" t="inlineStr">
        <is>
          <t>marbella:vergi-iadesi-devolucion-renta</t>
        </is>
      </c>
      <c r="D218" s="29" t="inlineStr">
        <is>
          <t>Bilgi al</t>
        </is>
      </c>
      <c r="E218" s="29" t="inlineStr">
        <is>
          <t>https://sede.agenciatributaria.gob.es/Sede/irpf/declaraciones-presentadas/consultar-devolucion.html</t>
        </is>
      </c>
      <c r="F218" s="49" t="n">
        <v>46319</v>
      </c>
      <c r="G218" s="51" t="n">
        <v>1</v>
      </c>
    </row>
    <row r="219" ht="54" customHeight="1">
      <c r="A219" s="29" t="inlineStr">
        <is>
          <t>marbella:action:gestor-asesor-vergi-beyani-temsil-1</t>
        </is>
      </c>
      <c r="B219" s="29" t="inlineStr">
        <is>
          <t>marbella</t>
        </is>
      </c>
      <c r="C219" s="29" t="inlineStr">
        <is>
          <t>marbella:gestor-asesor-vergi-beyani-temsil</t>
        </is>
      </c>
      <c r="D219" s="29" t="inlineStr">
        <is>
          <t>Bilgi al</t>
        </is>
      </c>
      <c r="E219" s="29" t="inlineStr">
        <is>
          <t>https://sede.agenciatributaria.gob.es/Sede/ayuda/manuales-videos-folletos/manuales-practicos/irpf-2025/c01-campana-declaracion-renta/confirmacion-borrador-presentacion-declaraciones/plazo-forma-presentacion.html</t>
        </is>
      </c>
      <c r="F219" s="49" t="n">
        <v>46319</v>
      </c>
      <c r="G219" s="51" t="n">
        <v>1</v>
      </c>
    </row>
    <row r="220" ht="54" customHeight="1">
      <c r="A220" s="29" t="inlineStr">
        <is>
          <t>marbella:action:gestor-asesor-vergi-beyani-temsil-2</t>
        </is>
      </c>
      <c r="B220" s="29" t="inlineStr">
        <is>
          <t>marbella</t>
        </is>
      </c>
      <c r="C220" s="29" t="inlineStr">
        <is>
          <t>marbella:gestor-asesor-vergi-beyani-temsil</t>
        </is>
      </c>
      <c r="D220" s="29" t="inlineStr">
        <is>
          <t>Bilgi al</t>
        </is>
      </c>
      <c r="E220" s="29" t="inlineStr">
        <is>
          <t>https://sede.agenciatributaria.gob.es/Sede/colaborar-agencia-tributaria/colaboracion-social-presentacion-declaraciones/preguntas-frecuentes-sobre-colaboracion-social.html</t>
        </is>
      </c>
      <c r="F220" s="49" t="n">
        <v>46319</v>
      </c>
      <c r="G220" s="51" t="n">
        <v>2</v>
      </c>
    </row>
    <row r="221" ht="54" customHeight="1">
      <c r="A221" s="29" t="inlineStr">
        <is>
          <t>marbella:action:arac-sigortasi-zorunlulugu-ve-hipotek-sigortalari-1</t>
        </is>
      </c>
      <c r="B221" s="29" t="inlineStr">
        <is>
          <t>marbella</t>
        </is>
      </c>
      <c r="C221" s="29" t="inlineStr">
        <is>
          <t>marbella:arac-sigortasi-zorunlulugu-ve-hipotek-sigortalari</t>
        </is>
      </c>
      <c r="D221" s="29" t="inlineStr">
        <is>
          <t>Bilgi al</t>
        </is>
      </c>
      <c r="E221" s="29" t="inlineStr">
        <is>
          <t>https://www.boe.es/buscar/act.php?id=BOE-A-2004-18911</t>
        </is>
      </c>
      <c r="F221" s="49" t="n">
        <v>46319</v>
      </c>
      <c r="G221" s="51" t="n">
        <v>1</v>
      </c>
    </row>
    <row r="222" ht="54" customHeight="1">
      <c r="A222" s="29" t="inlineStr">
        <is>
          <t>marbella:action:arac-sigortasi-zorunlulugu-ve-hipotek-sigortalari-2</t>
        </is>
      </c>
      <c r="B222" s="29" t="inlineStr">
        <is>
          <t>marbella</t>
        </is>
      </c>
      <c r="C222" s="29" t="inlineStr">
        <is>
          <t>marbella:arac-sigortasi-zorunlulugu-ve-hipotek-sigortalari</t>
        </is>
      </c>
      <c r="D222" s="29" t="inlineStr">
        <is>
          <t>Bilgi al</t>
        </is>
      </c>
      <c r="E222" s="29" t="inlineStr">
        <is>
          <t>https://clientebancario.bde.es/pcb/es/menu-horizontal/productosservici/financiacion/hipotecas/guia-textual/primerospasoscon/Seguros_hipotecarios.html</t>
        </is>
      </c>
      <c r="F222" s="49" t="n">
        <v>46319</v>
      </c>
      <c r="G222" s="51" t="n">
        <v>2</v>
      </c>
    </row>
    <row r="223" ht="54" customHeight="1">
      <c r="A223" s="29" t="inlineStr">
        <is>
          <t>marbella:action:emeklilik-yasi-ve-prim-suresi-1</t>
        </is>
      </c>
      <c r="B223" s="29" t="inlineStr">
        <is>
          <t>marbella</t>
        </is>
      </c>
      <c r="C223" s="29" t="inlineStr">
        <is>
          <t>marbella:emeklilik-yasi-ve-prim-suresi</t>
        </is>
      </c>
      <c r="D223" s="29" t="inlineStr">
        <is>
          <t>Bilgi al</t>
        </is>
      </c>
      <c r="E223" s="29" t="inlineStr">
        <is>
          <t>https://www.seg-social.es/wps/portal/wss/internet/Trabajadores/PrestacionesPensionesTrabajadores/10963/28393/28396/28472</t>
        </is>
      </c>
      <c r="F223" s="49" t="n">
        <v>46319</v>
      </c>
      <c r="G223" s="51" t="n">
        <v>1</v>
      </c>
    </row>
    <row r="224" ht="54" customHeight="1">
      <c r="A224" s="29" t="inlineStr">
        <is>
          <t>marbella:action:emeklilik-yasi-ve-prim-suresi-2</t>
        </is>
      </c>
      <c r="B224" s="29" t="inlineStr">
        <is>
          <t>marbella</t>
        </is>
      </c>
      <c r="C224" s="29" t="inlineStr">
        <is>
          <t>marbella:emeklilik-yasi-ve-prim-suresi</t>
        </is>
      </c>
      <c r="D224" s="29" t="inlineStr">
        <is>
          <t>Bilgi al</t>
        </is>
      </c>
      <c r="E224" s="29" t="inlineStr">
        <is>
          <t>https://www.boe.es/buscar/act.php?id=BOE-A-2026-7296</t>
        </is>
      </c>
      <c r="F224" s="49" t="n">
        <v>46319</v>
      </c>
      <c r="G224" s="51" t="n">
        <v>2</v>
      </c>
    </row>
    <row r="225" ht="54" customHeight="1">
      <c r="A225" s="29" t="inlineStr">
        <is>
          <t>marbella:action:bizum-nedir-nasil-kullanilir-1</t>
        </is>
      </c>
      <c r="B225" s="29" t="inlineStr">
        <is>
          <t>marbella</t>
        </is>
      </c>
      <c r="C225" s="29" t="inlineStr">
        <is>
          <t>marbella:bizum-nedir-nasil-kullanilir</t>
        </is>
      </c>
      <c r="D225" s="29" t="inlineStr">
        <is>
          <t>Bilgi al</t>
        </is>
      </c>
      <c r="E225" s="29" t="inlineStr">
        <is>
          <t>https://clientebancario.bde.es/pcb/es/blog/bizum--te-contamos-todos-sus-secretos.html</t>
        </is>
      </c>
      <c r="F225" s="49" t="n">
        <v>46319</v>
      </c>
      <c r="G225" s="51" t="n">
        <v>1</v>
      </c>
    </row>
    <row r="226" ht="54" customHeight="1">
      <c r="A226" s="29" t="inlineStr">
        <is>
          <t>marbella:action:banka-ucretleri-ve-seffaflik-haklari-1</t>
        </is>
      </c>
      <c r="B226" s="29" t="inlineStr">
        <is>
          <t>marbella</t>
        </is>
      </c>
      <c r="C226" s="29" t="inlineStr">
        <is>
          <t>marbella:banka-ucretleri-ve-seffaflik-haklari</t>
        </is>
      </c>
      <c r="D226" s="29" t="inlineStr">
        <is>
          <t>Bilgi al</t>
        </is>
      </c>
      <c r="E226" s="29" t="inlineStr">
        <is>
          <t>https://clientebancario.bde.es/pcb/es/menu-horizontal/productosservici/relacionados/comisiones/</t>
        </is>
      </c>
      <c r="F226" s="49" t="n">
        <v>46319</v>
      </c>
      <c r="G226" s="51" t="n">
        <v>1</v>
      </c>
    </row>
    <row r="227" ht="54" customHeight="1">
      <c r="A227" s="29" t="inlineStr">
        <is>
          <t>marbella:action:banka-ucretleri-ve-seffaflik-haklari-2</t>
        </is>
      </c>
      <c r="B227" s="29" t="inlineStr">
        <is>
          <t>marbella</t>
        </is>
      </c>
      <c r="C227" s="29" t="inlineStr">
        <is>
          <t>marbella:banka-ucretleri-ve-seffaflik-haklari</t>
        </is>
      </c>
      <c r="D227" s="29" t="inlineStr">
        <is>
          <t>Bilgi al</t>
        </is>
      </c>
      <c r="E227" s="29" t="inlineStr">
        <is>
          <t>https://clientebancario.bde.es/pcb/es/menu-horizontal/productosservici/cuentasdepositos/cuentascorriente/guia-textual/CuentadepagoBasica/comisiones.html</t>
        </is>
      </c>
      <c r="F227" s="49" t="n">
        <v>46319</v>
      </c>
      <c r="G227" s="51" t="n">
        <v>2</v>
      </c>
    </row>
    <row r="228" ht="54" customHeight="1">
      <c r="A228" s="29" t="inlineStr">
        <is>
          <t>marbella:action:beckham-yasasi-ozel-vergi-rejimi-1</t>
        </is>
      </c>
      <c r="B228" s="29" t="inlineStr">
        <is>
          <t>marbella</t>
        </is>
      </c>
      <c r="C228" s="29" t="inlineStr">
        <is>
          <t>marbella:beckham-yasasi-ozel-vergi-rejimi</t>
        </is>
      </c>
      <c r="D228" s="29" t="inlineStr">
        <is>
          <t>Bilgi al</t>
        </is>
      </c>
      <c r="E228"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228" s="49" t="n">
        <v>46319</v>
      </c>
      <c r="G228" s="51" t="n">
        <v>1</v>
      </c>
    </row>
    <row r="229" ht="54" customHeight="1">
      <c r="A229" s="29" t="inlineStr">
        <is>
          <t>marbella:action:beckham-yasasi-ozel-vergi-rejimi-2</t>
        </is>
      </c>
      <c r="B229" s="29" t="inlineStr">
        <is>
          <t>marbella</t>
        </is>
      </c>
      <c r="C229" s="29" t="inlineStr">
        <is>
          <t>marbella:beckham-yasasi-ozel-vergi-rejimi</t>
        </is>
      </c>
      <c r="D229" s="29" t="inlineStr">
        <is>
          <t>Bilgi al</t>
        </is>
      </c>
      <c r="E229" s="29" t="inlineStr">
        <is>
          <t>https://sede.agenciatributaria.gob.es/Sede/ayuda/manuales-videos-folletos/manuales-practicos/irpf-2025/c15-calculo-impuesto-determinacion-cuotas-integras/regimen-fiscal-especial-aplicable-trabajadores.html</t>
        </is>
      </c>
      <c r="F229" s="49" t="n">
        <v>46319</v>
      </c>
      <c r="G229" s="51" t="n">
        <v>2</v>
      </c>
    </row>
    <row r="230" ht="54" customHeight="1">
      <c r="A230" s="29" t="inlineStr">
        <is>
          <t>marbella:action:endulus-gelir-vergisi-irpf-bolge-dilimleri-ve-indirimleri-1</t>
        </is>
      </c>
      <c r="B230" s="29" t="inlineStr">
        <is>
          <t>marbella</t>
        </is>
      </c>
      <c r="C230" s="29" t="inlineStr">
        <is>
          <t>marbella:endulus-gelir-vergisi-irpf-bolge-dilimleri-ve-indirimleri</t>
        </is>
      </c>
      <c r="D230" s="29" t="inlineStr">
        <is>
          <t>Bilgi al</t>
        </is>
      </c>
      <c r="E230" s="29" t="inlineStr">
        <is>
          <t>https://www.juntadeandalucia.es/organismos/economiahaciendayfondoseuropeos/areas/tributos-juego/tributos/paginas/medidasautirpf25.html</t>
        </is>
      </c>
      <c r="F230" s="49" t="n">
        <v>46319</v>
      </c>
      <c r="G230" s="51" t="n">
        <v>1</v>
      </c>
    </row>
    <row r="231" ht="54" customHeight="1">
      <c r="A231" s="29" t="inlineStr">
        <is>
          <t>marbella:action:endulus-gelir-vergisi-irpf-bolge-dilimleri-ve-indirimleri-2</t>
        </is>
      </c>
      <c r="B231" s="29" t="inlineStr">
        <is>
          <t>marbella</t>
        </is>
      </c>
      <c r="C231" s="29" t="inlineStr">
        <is>
          <t>marbella:endulus-gelir-vergisi-irpf-bolge-dilimleri-ve-indirimleri</t>
        </is>
      </c>
      <c r="D231" s="29" t="inlineStr">
        <is>
          <t>Bilgi al</t>
        </is>
      </c>
      <c r="E231" s="29" t="inlineStr">
        <is>
          <t>https://www.boe.es/buscar/act.php?id=BOE-A-2021-17915</t>
        </is>
      </c>
      <c r="F231" s="49" t="n">
        <v>46319</v>
      </c>
      <c r="G231" s="51" t="n">
        <v>2</v>
      </c>
    </row>
    <row r="232" ht="54" customHeight="1">
      <c r="A232" s="29" t="inlineStr">
        <is>
          <t>marbella:action:endulus-ikinci-el-konut-alimi-itp-indirimli-oranlar-1</t>
        </is>
      </c>
      <c r="B232" s="29" t="inlineStr">
        <is>
          <t>marbella</t>
        </is>
      </c>
      <c r="C232" s="29" t="inlineStr">
        <is>
          <t>marbella:endulus-ikinci-el-konut-alimi-itp-indirimli-oranlar</t>
        </is>
      </c>
      <c r="D232" s="29" t="inlineStr">
        <is>
          <t>Bilgi al</t>
        </is>
      </c>
      <c r="E232" s="29" t="inlineStr">
        <is>
          <t>https://www.juntadeandalucia.es/organismos/economiahaciendayfondoseuropeos/areas/tributos-juego/tributos/paginas/polit-social.html</t>
        </is>
      </c>
      <c r="F232" s="49" t="n">
        <v>46319</v>
      </c>
      <c r="G232" s="51" t="n">
        <v>1</v>
      </c>
    </row>
    <row r="233" ht="54" customHeight="1">
      <c r="A233" s="29" t="inlineStr">
        <is>
          <t>marbella:action:endulus-ikinci-el-konut-alimi-itp-indirimli-oranlar-2</t>
        </is>
      </c>
      <c r="B233" s="29" t="inlineStr">
        <is>
          <t>marbella</t>
        </is>
      </c>
      <c r="C233" s="29" t="inlineStr">
        <is>
          <t>marbella:endulus-ikinci-el-konut-alimi-itp-indirimli-oranlar</t>
        </is>
      </c>
      <c r="D233" s="29" t="inlineStr">
        <is>
          <t>Bilgi al</t>
        </is>
      </c>
      <c r="E233" s="29" t="inlineStr">
        <is>
          <t>https://www.boe.es/buscar/act.php?id=BOE-A-2021-17915</t>
        </is>
      </c>
      <c r="F233" s="49" t="n">
        <v>46319</v>
      </c>
      <c r="G233" s="51" t="n">
        <v>2</v>
      </c>
    </row>
    <row r="234" ht="54" customHeight="1">
      <c r="A234" s="29" t="inlineStr">
        <is>
          <t>marbella:action:marbella-vergi-dairesi-agencia-tributaria-ofisi-1</t>
        </is>
      </c>
      <c r="B234" s="29" t="inlineStr">
        <is>
          <t>marbella</t>
        </is>
      </c>
      <c r="C234" s="29" t="inlineStr">
        <is>
          <t>marbella:marbella-vergi-dairesi-agencia-tributaria-ofisi</t>
        </is>
      </c>
      <c r="D234" s="29" t="inlineStr">
        <is>
          <t>Bilgi al</t>
        </is>
      </c>
      <c r="E234" s="29" t="inlineStr">
        <is>
          <t>https://sede.agenciatributaria.gob.es/Sede/buscador-oficinas/malaga.html</t>
        </is>
      </c>
      <c r="F234" s="49" t="n">
        <v>46323</v>
      </c>
      <c r="G234" s="51" t="n">
        <v>1</v>
      </c>
    </row>
    <row r="235" ht="54" customHeight="1">
      <c r="A235" s="29" t="inlineStr">
        <is>
          <t>marbella:action:marbella-belediye-vergileri-patronato-recaudacion-1</t>
        </is>
      </c>
      <c r="B235" s="29" t="inlineStr">
        <is>
          <t>marbella</t>
        </is>
      </c>
      <c r="C235" s="29" t="inlineStr">
        <is>
          <t>marbella:marbella-belediye-vergileri-patronato-recaudacion</t>
        </is>
      </c>
      <c r="D235" s="29" t="inlineStr">
        <is>
          <t>Bilgi al</t>
        </is>
      </c>
      <c r="E235" s="29" t="inlineStr">
        <is>
          <t>https://extranjeros.marbella.es/informacion/direcciones-de-interes</t>
        </is>
      </c>
      <c r="F235" s="49" t="n">
        <v>46323</v>
      </c>
      <c r="G235" s="51" t="n">
        <v>1</v>
      </c>
    </row>
    <row r="236" ht="54" customHeight="1">
      <c r="A236" s="29" t="inlineStr">
        <is>
          <t>marbella:action:marbella-belediye-vergileri-patronato-recaudacion-2</t>
        </is>
      </c>
      <c r="B236" s="29" t="inlineStr">
        <is>
          <t>marbella</t>
        </is>
      </c>
      <c r="C236" s="29" t="inlineStr">
        <is>
          <t>marbella:marbella-belediye-vergileri-patronato-recaudacion</t>
        </is>
      </c>
      <c r="D236" s="29" t="inlineStr">
        <is>
          <t>Tarifeyi gör</t>
        </is>
      </c>
      <c r="E236" s="29" t="inlineStr">
        <is>
          <t>https://ayuntamiento.marbella.es/documentos/ordenanzas-fiscales/5086-ordenanzas-fiscales-2026.html</t>
        </is>
      </c>
      <c r="F236" s="49" t="n">
        <v>46323</v>
      </c>
      <c r="G236" s="51" t="n">
        <v>2</v>
      </c>
    </row>
    <row r="237" ht="54" customHeight="1">
      <c r="A237" s="29" t="inlineStr">
        <is>
          <t>marbella:action:marbella-sosyal-hizmetler-merkezleri-belediye-yardimi-1</t>
        </is>
      </c>
      <c r="B237" s="29" t="inlineStr">
        <is>
          <t>marbella</t>
        </is>
      </c>
      <c r="C237" s="29" t="inlineStr">
        <is>
          <t>marbella:marbella-sosyal-hizmetler-merkezleri-belediye-yardimi</t>
        </is>
      </c>
      <c r="D237" s="29" t="inlineStr">
        <is>
          <t>Bilgi al</t>
        </is>
      </c>
      <c r="E237" s="29" t="inlineStr">
        <is>
          <t>https://ayuntamiento.marbella.es/documentos/cartas-de-servicios-municipales/1062-carta-de-servicios-de-la-delegacion-de-derechos-sociales.html</t>
        </is>
      </c>
      <c r="F237" s="49" t="n">
        <v>46323</v>
      </c>
      <c r="G237" s="51" t="n">
        <v>1</v>
      </c>
    </row>
    <row r="238" ht="54" customHeight="1">
      <c r="A238" s="29" t="inlineStr">
        <is>
          <t>marbella:action:marbella-endulus-renta-minima-rmisa-basvuru-1</t>
        </is>
      </c>
      <c r="B238" s="29" t="inlineStr">
        <is>
          <t>marbella</t>
        </is>
      </c>
      <c r="C238" s="29" t="inlineStr">
        <is>
          <t>marbella:marbella-endulus-renta-minima-rmisa-basvuru</t>
        </is>
      </c>
      <c r="D238" s="29" t="inlineStr">
        <is>
          <t>Başvur</t>
        </is>
      </c>
      <c r="E238" s="29" t="inlineStr">
        <is>
          <t>https://www.juntadeandalucia.es/organismos/serviciossocialesfamiliaseigualdad/areas/inclusion/rmi.html</t>
        </is>
      </c>
      <c r="F238" s="49" t="n">
        <v>46323</v>
      </c>
      <c r="G238" s="51" t="n">
        <v>1</v>
      </c>
    </row>
    <row r="239" ht="54" customHeight="1">
      <c r="A239" s="29" t="inlineStr">
        <is>
          <t>marbella:action:marbella-endulus-renta-minima-rmisa-basvuru-2</t>
        </is>
      </c>
      <c r="B239" s="29" t="inlineStr">
        <is>
          <t>marbella</t>
        </is>
      </c>
      <c r="C239" s="29" t="inlineStr">
        <is>
          <t>marbella:marbella-endulus-renta-minima-rmisa-basvuru</t>
        </is>
      </c>
      <c r="D239" s="29" t="inlineStr">
        <is>
          <t>Bilgi al</t>
        </is>
      </c>
      <c r="E239" s="29" t="inlineStr">
        <is>
          <t>https://ayuntamiento.marbella.es/documentos/cartas-de-servicios-municipales/1062-carta-de-servicios-de-la-delegacion-de-derechos-sociales.html</t>
        </is>
      </c>
      <c r="F239" s="49" t="n">
        <v>46323</v>
      </c>
      <c r="G239" s="51" t="n">
        <v>2</v>
      </c>
    </row>
    <row r="240" ht="54" customHeight="1">
      <c r="A240" s="29" t="inlineStr">
        <is>
          <t>marbella:action:marbella-ingreso-minimo-vital-imv-kosullari-basvuru-1</t>
        </is>
      </c>
      <c r="B240" s="29" t="inlineStr">
        <is>
          <t>marbella</t>
        </is>
      </c>
      <c r="C240" s="29" t="inlineStr">
        <is>
          <t>marbella:marbella-ingreso-minimo-vital-imv-kosullari-basvuru</t>
        </is>
      </c>
      <c r="D240" s="29" t="inlineStr">
        <is>
          <t>Başvur</t>
        </is>
      </c>
      <c r="E240" s="29" t="inlineStr">
        <is>
          <t>https://www.seg-social.es/wps/portal/wss/internet/Trabajadores/PrestacionesPensionesTrabajadores/65850d68-8d06-4645-bde7-05374ee42ac7/acreditaciondelosrequisitos</t>
        </is>
      </c>
      <c r="F240" s="49" t="n">
        <v>46323</v>
      </c>
      <c r="G240" s="51" t="n">
        <v>1</v>
      </c>
    </row>
    <row r="241" ht="54" customHeight="1">
      <c r="A241" s="29" t="inlineStr">
        <is>
          <t>marbella:action:marbella-banka-hesabi-acmak-icin-gereken-belgeler-1</t>
        </is>
      </c>
      <c r="B241" s="29" t="inlineStr">
        <is>
          <t>marbella</t>
        </is>
      </c>
      <c r="C241" s="29" t="inlineStr">
        <is>
          <t>marbella:marbella-banka-hesabi-acmak-icin-gereken-belgeler</t>
        </is>
      </c>
      <c r="D241" s="29" t="inlineStr">
        <is>
          <t>Bilgi al</t>
        </is>
      </c>
      <c r="E241" s="29" t="inlineStr">
        <is>
          <t>https://clientebancario.bde.es/pcb/es/blog/cuales-son-los-tramites-para-abrir-una-cuenta-.html</t>
        </is>
      </c>
      <c r="F241" s="49" t="n">
        <v>46323</v>
      </c>
      <c r="G241" s="51" t="n">
        <v>1</v>
      </c>
    </row>
    <row r="242" ht="54" customHeight="1">
      <c r="A242" s="29" t="inlineStr">
        <is>
          <t>marbella:action:tasinma-oncesi-vize-ve-ilk-oturum-izni-1</t>
        </is>
      </c>
      <c r="B242" s="29" t="inlineStr">
        <is>
          <t>marbella</t>
        </is>
      </c>
      <c r="C242" s="29" t="inlineStr">
        <is>
          <t>marbella:tasinma-oncesi-vize-ve-ilk-oturum-izni</t>
        </is>
      </c>
      <c r="D242" s="29" t="inlineStr">
        <is>
          <t>Bilgi al</t>
        </is>
      </c>
      <c r="E242" s="29" t="inlineStr">
        <is>
          <t>https://www.exteriores.gob.es/Consulados/estambul/es/ServiciosConsulares/Paginas/index.aspx?scca=Visados&amp;scco=Turqu%C3%ADa&amp;scd=141&amp;scs=Visados+Nacionales+-+Visado+de+residencia+no+lucrativa</t>
        </is>
      </c>
      <c r="F242" s="49" t="n">
        <v>46319</v>
      </c>
      <c r="G242" s="51" t="n">
        <v>1</v>
      </c>
    </row>
    <row r="243" ht="54" customHeight="1">
      <c r="A243" s="29" t="inlineStr">
        <is>
          <t>marbella:action:oturum-vizesi-basvurusunda-getirilecek-belgeler-1</t>
        </is>
      </c>
      <c r="B243" s="29" t="inlineStr">
        <is>
          <t>marbella</t>
        </is>
      </c>
      <c r="C243" s="29" t="inlineStr">
        <is>
          <t>marbella:oturum-vizesi-basvurusunda-getirilecek-belgeler</t>
        </is>
      </c>
      <c r="D243" s="29" t="inlineStr">
        <is>
          <t>Bilgi al</t>
        </is>
      </c>
      <c r="E243" s="29" t="inlineStr">
        <is>
          <t>https://www.exteriores.gob.es/Consulados/estambul/es/ServiciosConsulares/Paginas/index.aspx?scca=Visados&amp;scco=Turqu%C3%ADa&amp;scd=141&amp;scs=Visados+Nacionales+-+Visado+de+residencia+no+lucrativa</t>
        </is>
      </c>
      <c r="F243" s="49" t="n">
        <v>46319</v>
      </c>
      <c r="G243" s="51" t="n">
        <v>1</v>
      </c>
    </row>
    <row r="244" ht="54" customHeight="1">
      <c r="A244" s="29" t="inlineStr">
        <is>
          <t>marbella:action:ilk-gunlerde-nuss-ve-temel-odeme-hesabi-1</t>
        </is>
      </c>
      <c r="B244" s="29" t="inlineStr">
        <is>
          <t>marbella</t>
        </is>
      </c>
      <c r="C244" s="29" t="inlineStr">
        <is>
          <t>marbella:ilk-gunlerde-nuss-ve-temel-odeme-hesabi</t>
        </is>
      </c>
      <c r="D244" s="29" t="inlineStr">
        <is>
          <t>Başvur</t>
        </is>
      </c>
      <c r="E244" s="29" t="inlineStr">
        <is>
          <t>https://portal.seg-social.gob.es/wps/portal/importass/importass/Categorias/Altas,+bajas+y+modificaciones/Altas+y+afiliacion+de+trabajadores/Solicitar+el+numero+de+la+Seguridad+Social</t>
        </is>
      </c>
      <c r="F244" s="49" t="n">
        <v>46319</v>
      </c>
      <c r="G244" s="51" t="n">
        <v>1</v>
      </c>
    </row>
    <row r="245" ht="54" customHeight="1">
      <c r="A245" s="29" t="inlineStr">
        <is>
          <t>marbella:action:ilk-gunlerde-nuss-ve-temel-odeme-hesabi-2</t>
        </is>
      </c>
      <c r="B245" s="29" t="inlineStr">
        <is>
          <t>marbella</t>
        </is>
      </c>
      <c r="C245" s="29" t="inlineStr">
        <is>
          <t>marbella:ilk-gunlerde-nuss-ve-temel-odeme-hesabi</t>
        </is>
      </c>
      <c r="D245" s="29" t="inlineStr">
        <is>
          <t>Bilgi al</t>
        </is>
      </c>
      <c r="E245" s="29" t="inlineStr">
        <is>
          <t>https://clientebancario.bde.es/pcb/es/menu-horizontal/productosservici/cuentasdepositos/cuentascorriente/guia-textual/CuentadepagoBasica/quienes-pueden-solicitarla-.html</t>
        </is>
      </c>
      <c r="F245" s="49" t="n">
        <v>46319</v>
      </c>
      <c r="G245" s="51" t="n">
        <v>2</v>
      </c>
    </row>
    <row r="246" ht="54" customHeight="1">
      <c r="A246" s="29" t="inlineStr">
        <is>
          <t>marbella:action:ab-disindan-gelirken-esya-ve-nakit-gumruk-beyani-1</t>
        </is>
      </c>
      <c r="B246" s="29" t="inlineStr">
        <is>
          <t>marbella</t>
        </is>
      </c>
      <c r="C246" s="29" t="inlineStr">
        <is>
          <t>marbella:ab-disindan-gelirken-esya-ve-nakit-gumruk-beyani</t>
        </is>
      </c>
      <c r="D246" s="29" t="inlineStr">
        <is>
          <t>Bilgi al</t>
        </is>
      </c>
      <c r="E246" s="29" t="inlineStr">
        <is>
          <t>https://sede.agenciatributaria.gob.es/Sede/viajeros-trabajadores-desplazados-fronterizos/viajeros/medios-pago.html</t>
        </is>
      </c>
      <c r="F246" s="49" t="n">
        <v>46319</v>
      </c>
      <c r="G246" s="51" t="n">
        <v>1</v>
      </c>
    </row>
    <row r="247" ht="54" customHeight="1">
      <c r="A247" s="29" t="inlineStr">
        <is>
          <t>marbella:action:ab-disindan-gelirken-esya-ve-nakit-gumruk-beyani-2</t>
        </is>
      </c>
      <c r="B247" s="29" t="inlineStr">
        <is>
          <t>marbella</t>
        </is>
      </c>
      <c r="C247" s="29" t="inlineStr">
        <is>
          <t>marbella:ab-disindan-gelirken-esya-ve-nakit-gumruk-beyani</t>
        </is>
      </c>
      <c r="D247" s="29" t="inlineStr">
        <is>
          <t>Bilgi al</t>
        </is>
      </c>
      <c r="E247" s="29" t="inlineStr">
        <is>
          <t>https://sede.agenciatributaria.gob.es/Sede/no-residentes/exenciones-viajeros-embajadas-otros/traslado-actividad-empresarial-residencia-otros/traslado-residencia-franquicias-exencion-impuestos.html</t>
        </is>
      </c>
      <c r="F247" s="49" t="n">
        <v>46319</v>
      </c>
      <c r="G247" s="51" t="n">
        <v>2</v>
      </c>
    </row>
    <row r="248" ht="54" customHeight="1">
      <c r="A248" s="29" t="inlineStr">
        <is>
          <t>marbella:action:ab-disindan-evcil-hayvanla-ispanyaya-giris-1</t>
        </is>
      </c>
      <c r="B248" s="29" t="inlineStr">
        <is>
          <t>marbella</t>
        </is>
      </c>
      <c r="C248" s="29" t="inlineStr">
        <is>
          <t>marbella:ab-disindan-evcil-hayvanla-ispanyaya-giris</t>
        </is>
      </c>
      <c r="D248" s="29" t="inlineStr">
        <is>
          <t>Bilgi al</t>
        </is>
      </c>
      <c r="E248" s="29" t="inlineStr">
        <is>
          <t>https://sede.agenciatributaria.gob.es/Sede/viajeros-trabajadores-desplazados-fronterizos/viajeros/mascotas-animales-compania.html</t>
        </is>
      </c>
      <c r="F248" s="49" t="n">
        <v>46319</v>
      </c>
      <c r="G248" s="51" t="n">
        <v>1</v>
      </c>
    </row>
    <row r="249" ht="54" customHeight="1">
      <c r="A249" s="29" t="inlineStr">
        <is>
          <t>marbella:action:oturum-ve-ogrenci-vizesinde-saglik-sigortasi-sarti-1</t>
        </is>
      </c>
      <c r="B249" s="29" t="inlineStr">
        <is>
          <t>marbella</t>
        </is>
      </c>
      <c r="C249" s="29" t="inlineStr">
        <is>
          <t>marbella:oturum-ve-ogrenci-vizesinde-saglik-sigortasi-sarti</t>
        </is>
      </c>
      <c r="D249" s="29" t="inlineStr">
        <is>
          <t>Bilgi al</t>
        </is>
      </c>
      <c r="E249" s="29" t="inlineStr">
        <is>
          <t>https://www.exteriores.gob.es/Consulados/estambul/es/ServiciosConsulares/Paginas/index.aspx?scca=Visados&amp;scco=Turqu%C3%ADa&amp;scd=141&amp;scs=Visados+Nacionales+-+Visado+de+residencia+no+lucrativa</t>
        </is>
      </c>
      <c r="F249" s="49" t="n">
        <v>46319</v>
      </c>
      <c r="G249" s="51" t="n">
        <v>1</v>
      </c>
    </row>
    <row r="250" ht="54" customHeight="1">
      <c r="A250" s="29" t="inlineStr">
        <is>
          <t>marbella:action:oturum-ve-ogrenci-vizesinde-saglik-sigortasi-sarti-2</t>
        </is>
      </c>
      <c r="B250" s="29" t="inlineStr">
        <is>
          <t>marbella</t>
        </is>
      </c>
      <c r="C250" s="29" t="inlineStr">
        <is>
          <t>marbella:oturum-ve-ogrenci-vizesinde-saglik-sigortasi-sarti</t>
        </is>
      </c>
      <c r="D250" s="29" t="inlineStr">
        <is>
          <t>Bilgi al</t>
        </is>
      </c>
      <c r="E250" s="29" t="inlineStr">
        <is>
          <t>https://www.exteriores.gob.es/Consulados/estambul/es/ServiciosConsulares/Paginas/index.aspx?scca=Visados&amp;scco=Turqu%C3%ADa&amp;scd=141&amp;scs=Visados+Nacionales+-+Visado+de+estudios</t>
        </is>
      </c>
      <c r="F250" s="49" t="n">
        <v>46319</v>
      </c>
      <c r="G250" s="51" t="n">
        <v>2</v>
      </c>
    </row>
    <row r="251" ht="54" customHeight="1">
      <c r="A251" s="29" t="inlineStr">
        <is>
          <t>marbella:action:ispanya-para-birimi-euro-ve-resmi-dil-1</t>
        </is>
      </c>
      <c r="B251" s="29" t="inlineStr">
        <is>
          <t>marbella</t>
        </is>
      </c>
      <c r="C251" s="29" t="inlineStr">
        <is>
          <t>marbella:ispanya-para-birimi-euro-ve-resmi-dil</t>
        </is>
      </c>
      <c r="D251" s="29" t="inlineStr">
        <is>
          <t>Bilgi al</t>
        </is>
      </c>
      <c r="E251" s="29" t="inlineStr">
        <is>
          <t>https://www.bde.es/wbe/es/areas-actuacion/billetes-monedas/monedas-euros/</t>
        </is>
      </c>
      <c r="F251" s="49" t="n">
        <v>46319</v>
      </c>
      <c r="G251" s="51" t="n">
        <v>1</v>
      </c>
    </row>
    <row r="252" ht="54" customHeight="1">
      <c r="A252" s="29" t="inlineStr">
        <is>
          <t>marbella:action:ispanya-para-birimi-euro-ve-resmi-dil-2</t>
        </is>
      </c>
      <c r="B252" s="29" t="inlineStr">
        <is>
          <t>marbella</t>
        </is>
      </c>
      <c r="C252" s="29" t="inlineStr">
        <is>
          <t>marbella:ispanya-para-birimi-euro-ve-resmi-dil</t>
        </is>
      </c>
      <c r="D252" s="29" t="inlineStr">
        <is>
          <t>Bilgi al</t>
        </is>
      </c>
      <c r="E252" s="29" t="inlineStr">
        <is>
          <t>https://www.boe.es/buscar/act.php?id=BOE-A-1978-31229</t>
        </is>
      </c>
      <c r="F252" s="49" t="n">
        <v>46319</v>
      </c>
      <c r="G252" s="51" t="n">
        <v>2</v>
      </c>
    </row>
    <row r="253" ht="54" customHeight="1">
      <c r="A253" s="29" t="inlineStr">
        <is>
          <t>marbella:action:ispanya-resmi-saat-ve-yaz-saati-kurali-1</t>
        </is>
      </c>
      <c r="B253" s="29" t="inlineStr">
        <is>
          <t>marbella</t>
        </is>
      </c>
      <c r="C253" s="29" t="inlineStr">
        <is>
          <t>marbella:ispanya-resmi-saat-ve-yaz-saati-kurali</t>
        </is>
      </c>
      <c r="D253" s="29" t="inlineStr">
        <is>
          <t>Bilgi al</t>
        </is>
      </c>
      <c r="E253" s="29" t="inlineStr">
        <is>
          <t>https://www.boe.es/buscar/doc.php?id=BOE-A-2002-4221</t>
        </is>
      </c>
      <c r="F253" s="49" t="n">
        <v>46319</v>
      </c>
      <c r="G253" s="51" t="n">
        <v>1</v>
      </c>
    </row>
    <row r="254" ht="54" customHeight="1">
      <c r="A254" s="29" t="inlineStr">
        <is>
          <t>marbella:action:ab-disindan-gelen-yolcunun-bagaj-muafiyeti-1</t>
        </is>
      </c>
      <c r="B254" s="29" t="inlineStr">
        <is>
          <t>marbella</t>
        </is>
      </c>
      <c r="C254" s="29" t="inlineStr">
        <is>
          <t>marbella:ab-disindan-gelen-yolcunun-bagaj-muafiyeti</t>
        </is>
      </c>
      <c r="D254" s="29" t="inlineStr">
        <is>
          <t>Muafiyet sınırlarını gör</t>
        </is>
      </c>
      <c r="E254" s="29" t="inlineStr">
        <is>
          <t>https://sede.agenciatributaria.gob.es/Sede/viajeros-trabajadores-desplazados-fronterizos/viajeros/franquicias-tabaco-alcohol-otras-mercancias.html</t>
        </is>
      </c>
      <c r="F254" s="49" t="n">
        <v>46319</v>
      </c>
      <c r="G254" s="51" t="n">
        <v>1</v>
      </c>
    </row>
    <row r="255" ht="54" customHeight="1">
      <c r="A255" s="29" t="inlineStr">
        <is>
          <t>marbella:action:marbella-ilk-hafta-yerel-duraklar-1</t>
        </is>
      </c>
      <c r="B255" s="29" t="inlineStr">
        <is>
          <t>marbella</t>
        </is>
      </c>
      <c r="C255" s="29" t="inlineStr">
        <is>
          <t>marbella:marbella-ilk-hafta-yerel-duraklar</t>
        </is>
      </c>
      <c r="D255" s="29" t="inlineStr">
        <is>
          <t>Randevu al</t>
        </is>
      </c>
      <c r="E255" s="29" t="inlineStr">
        <is>
          <t>https://ayuntamiento.marbella.es/gobierno-abierto/oficina-de-atencion-al-ciudadano-oac/2591-cita-previa-para-las-oficinas-de-atencion-al-ciudadano-en-marbella-y-san-pedro-alcantara.html</t>
        </is>
      </c>
      <c r="F255" s="49" t="n">
        <v>46323</v>
      </c>
      <c r="G255" s="51" t="n">
        <v>1</v>
      </c>
    </row>
    <row r="256" ht="54" customHeight="1">
      <c r="A256" s="29" t="inlineStr">
        <is>
          <t>marbella:action:marbella-ilk-hafta-yerel-duraklar-2</t>
        </is>
      </c>
      <c r="B256" s="29" t="inlineStr">
        <is>
          <t>marbella</t>
        </is>
      </c>
      <c r="C256" s="29" t="inlineStr">
        <is>
          <t>marbella:marbella-ilk-hafta-yerel-duraklar</t>
        </is>
      </c>
      <c r="D256" s="29" t="inlineStr">
        <is>
          <t>Bilgi al</t>
        </is>
      </c>
      <c r="E256" s="29" t="inlineStr">
        <is>
          <t>https://extranjeros.marbella.es/empadronamiento</t>
        </is>
      </c>
      <c r="F256" s="49" t="n">
        <v>46323</v>
      </c>
      <c r="G256" s="51" t="n">
        <v>2</v>
      </c>
    </row>
    <row r="257" ht="54" customHeight="1">
      <c r="A257" s="29" t="inlineStr">
        <is>
          <t>marbella:action:extranjeros-residentes-ofisleri-marbella-1</t>
        </is>
      </c>
      <c r="B257" s="29" t="inlineStr">
        <is>
          <t>marbella</t>
        </is>
      </c>
      <c r="C257" s="29" t="inlineStr">
        <is>
          <t>marbella:extranjeros-residentes-ofisleri-marbella</t>
        </is>
      </c>
      <c r="D257" s="29" t="inlineStr">
        <is>
          <t>Formu doldur</t>
        </is>
      </c>
      <c r="E257" s="29" t="inlineStr">
        <is>
          <t>https://extranjeros.marbella.es/contacto</t>
        </is>
      </c>
      <c r="F257" s="49" t="n">
        <v>46323</v>
      </c>
      <c r="G257" s="51" t="n">
        <v>1</v>
      </c>
    </row>
    <row r="258" ht="54" customHeight="1">
      <c r="A258" s="29" t="inlineStr">
        <is>
          <t>marbella:action:extranjeros-residentes-ofisleri-marbella-2</t>
        </is>
      </c>
      <c r="B258" s="29" t="inlineStr">
        <is>
          <t>marbella</t>
        </is>
      </c>
      <c r="C258" s="29" t="inlineStr">
        <is>
          <t>marbella:extranjeros-residentes-ofisleri-marbella</t>
        </is>
      </c>
      <c r="D258" s="29" t="inlineStr">
        <is>
          <t>Bilgi al</t>
        </is>
      </c>
      <c r="E258" s="29" t="inlineStr">
        <is>
          <t>https://extranjeros.marbella.es/empadronamiento</t>
        </is>
      </c>
      <c r="F258" s="49" t="n">
        <v>46323</v>
      </c>
      <c r="G258" s="51" t="n">
        <v>2</v>
      </c>
    </row>
    <row r="259" ht="54" customHeight="1">
      <c r="A259" s="29" t="inlineStr">
        <is>
          <t>marbella:action:sosyal-hizmetler-merkezleri-marbella-1</t>
        </is>
      </c>
      <c r="B259" s="29" t="inlineStr">
        <is>
          <t>marbella</t>
        </is>
      </c>
      <c r="C259" s="29" t="inlineStr">
        <is>
          <t>marbella:sosyal-hizmetler-merkezleri-marbella</t>
        </is>
      </c>
      <c r="D259" s="29" t="inlineStr">
        <is>
          <t>Bilgi al</t>
        </is>
      </c>
      <c r="E259" s="29" t="inlineStr">
        <is>
          <t>https://ayuntamiento.marbella.es/documentos/cartas-de-servicios-municipales/1062-carta-de-servicios-de-la-delegacion-de-derechos-sociales.html</t>
        </is>
      </c>
      <c r="F259" s="49" t="n">
        <v>46323</v>
      </c>
      <c r="G259" s="51" t="n">
        <v>1</v>
      </c>
    </row>
    <row r="260" ht="54" customHeight="1">
      <c r="A260" s="29" t="inlineStr">
        <is>
          <t>marbella:action:yaz-sicaginda-saglik-korunma-andalucia-1</t>
        </is>
      </c>
      <c r="B260" s="29" t="inlineStr">
        <is>
          <t>marbella</t>
        </is>
      </c>
      <c r="C260" s="29" t="inlineStr">
        <is>
          <t>marbella:yaz-sicaginda-saglik-korunma-andalucia</t>
        </is>
      </c>
      <c r="D260" s="29" t="inlineStr">
        <is>
          <t>Bilgi al</t>
        </is>
      </c>
      <c r="E260" s="29" t="inlineStr">
        <is>
          <t>https://www.juntadeandalucia.es/presidencia/portavoz/salud/216923/junta/recomienda/extremar/proteccion/ola/calor/dias</t>
        </is>
      </c>
      <c r="F260" s="49" t="n">
        <v>46323</v>
      </c>
      <c r="G260" s="51" t="n">
        <v>1</v>
      </c>
    </row>
    <row r="261" ht="54" customHeight="1">
      <c r="A261" s="29" t="inlineStr">
        <is>
          <t>marbella:action:yaz-sicaginda-saglik-korunma-andalucia-2</t>
        </is>
      </c>
      <c r="B261" s="29" t="inlineStr">
        <is>
          <t>marbella</t>
        </is>
      </c>
      <c r="C261" s="29" t="inlineStr">
        <is>
          <t>marbella:yaz-sicaginda-saglik-korunma-andalucia</t>
        </is>
      </c>
      <c r="D261" s="29" t="inlineStr">
        <is>
          <t>Bilgi al</t>
        </is>
      </c>
      <c r="E261" s="29" t="inlineStr">
        <is>
          <t>https://www.sanidad.gob.es/areas/sanidadAmbiental/riesgosAmbientales/calorExtremo/home.htm</t>
        </is>
      </c>
      <c r="F261" s="49" t="n">
        <v>46323</v>
      </c>
      <c r="G261" s="51" t="n">
        <v>2</v>
      </c>
    </row>
    <row r="262" ht="54" customHeight="1">
      <c r="A262" s="29" t="inlineStr">
        <is>
          <t>marbella:action:sicak-uyarisi-ile-saglik-risk-seviyesi-farki-1</t>
        </is>
      </c>
      <c r="B262" s="29" t="inlineStr">
        <is>
          <t>marbella</t>
        </is>
      </c>
      <c r="C262" s="29" t="inlineStr">
        <is>
          <t>marbella:sicak-uyarisi-ile-saglik-risk-seviyesi-farki</t>
        </is>
      </c>
      <c r="D262" s="29" t="inlineStr">
        <is>
          <t>Bilgi al</t>
        </is>
      </c>
      <c r="E262" s="29" t="inlineStr">
        <is>
          <t>https://www.sanidad.gob.es/areas/sanidadAmbiental/riesgosAmbientales/calorExtremo/home.htm</t>
        </is>
      </c>
      <c r="F262" s="49" t="n">
        <v>46323</v>
      </c>
      <c r="G262" s="51" t="n">
        <v>1</v>
      </c>
    </row>
    <row r="263" ht="54" customHeight="1">
      <c r="A263" s="29" t="inlineStr">
        <is>
          <t>marbella:action:sicak-uyarisi-ile-saglik-risk-seviyesi-farki-2</t>
        </is>
      </c>
      <c r="B263" s="29" t="inlineStr">
        <is>
          <t>marbella</t>
        </is>
      </c>
      <c r="C263" s="29" t="inlineStr">
        <is>
          <t>marbella:sicak-uyarisi-ile-saglik-risk-seviyesi-farki</t>
        </is>
      </c>
      <c r="D263" s="29" t="inlineStr">
        <is>
          <t>Bilgi al</t>
        </is>
      </c>
      <c r="E263" s="29" t="inlineStr">
        <is>
          <t>https://www.juntadeandalucia.es/presidencia/portavoz/salud/216923/junta/recomienda/extremar/proteccion/ola/calor/dias</t>
        </is>
      </c>
      <c r="F263" s="49" t="n">
        <v>46323</v>
      </c>
      <c r="G263" s="51" t="n">
        <v>2</v>
      </c>
    </row>
    <row r="264" ht="54" customHeight="1">
      <c r="A264" s="29" t="inlineStr">
        <is>
          <t>marbella:action:malaga-havalimani-marbella-otobus-ve-taksi-1</t>
        </is>
      </c>
      <c r="B264" s="29" t="inlineStr">
        <is>
          <t>marbella</t>
        </is>
      </c>
      <c r="C264" s="29" t="inlineStr">
        <is>
          <t>marbella:malaga-havalimani-marbella-otobus-ve-taksi</t>
        </is>
      </c>
      <c r="D264" s="29" t="inlineStr">
        <is>
          <t>Bilet al</t>
        </is>
      </c>
      <c r="E264" s="29" t="inlineStr">
        <is>
          <t>https://www.avanzabus.com/destinos/marbella/</t>
        </is>
      </c>
      <c r="F264" s="49" t="n">
        <v>46323</v>
      </c>
      <c r="G264" s="51" t="n">
        <v>1</v>
      </c>
    </row>
    <row r="265" ht="54" customHeight="1">
      <c r="A265" s="29" t="inlineStr">
        <is>
          <t>marbella:action:malaga-havalimani-marbella-otobus-ve-taksi-2</t>
        </is>
      </c>
      <c r="B265" s="29" t="inlineStr">
        <is>
          <t>marbella</t>
        </is>
      </c>
      <c r="C265" s="29" t="inlineStr">
        <is>
          <t>marbella:malaga-havalimani-marbella-otobus-ve-taksi</t>
        </is>
      </c>
      <c r="D265" s="29" t="inlineStr">
        <is>
          <t>Bilgi al</t>
        </is>
      </c>
      <c r="E265" s="29" t="inlineStr">
        <is>
          <t>https://www.aena.es/en/malaga-costa-del-sol/getting-there/bus.html</t>
        </is>
      </c>
      <c r="F265" s="49" t="n">
        <v>46323</v>
      </c>
      <c r="G265" s="51" t="n">
        <v>2</v>
      </c>
    </row>
    <row r="266" ht="54" customHeight="1">
      <c r="A266" s="29" t="inlineStr">
        <is>
          <t>marbella:action:marbella-otogari-ve-sehirlerarasi-otobus-firmalari-1</t>
        </is>
      </c>
      <c r="B266" s="29" t="inlineStr">
        <is>
          <t>marbella</t>
        </is>
      </c>
      <c r="C266" s="29" t="inlineStr">
        <is>
          <t>marbella:marbella-otogari-ve-sehirlerarasi-otobus-firmalari</t>
        </is>
      </c>
      <c r="D266" s="29" t="inlineStr">
        <is>
          <t>Bilet al</t>
        </is>
      </c>
      <c r="E266" s="29" t="inlineStr">
        <is>
          <t>https://www.avanzabus.com/destinos/marbella/</t>
        </is>
      </c>
      <c r="F266" s="49" t="n">
        <v>46323</v>
      </c>
      <c r="G266" s="51" t="n">
        <v>1</v>
      </c>
    </row>
    <row r="267" ht="54" customHeight="1">
      <c r="A267" s="29" t="inlineStr">
        <is>
          <t>marbella:action:marbella-otogari-ve-sehirlerarasi-otobus-firmalari-2</t>
        </is>
      </c>
      <c r="B267" s="29" t="inlineStr">
        <is>
          <t>marbella</t>
        </is>
      </c>
      <c r="C267" s="29" t="inlineStr">
        <is>
          <t>marbella:marbella-otogari-ve-sehirlerarasi-otobus-firmalari</t>
        </is>
      </c>
      <c r="D267" s="29" t="inlineStr">
        <is>
          <t>Bilgi al</t>
        </is>
      </c>
      <c r="E267" s="29" t="inlineStr">
        <is>
          <t>https://ayuntamiento.marbella.es/gestion-municipal/delegaciones/movilidad/transportes/autobus/535-transporte-interurbano.html</t>
        </is>
      </c>
      <c r="F267" s="49" t="n">
        <v>46323</v>
      </c>
      <c r="G267" s="51" t="n">
        <v>2</v>
      </c>
    </row>
    <row r="268" ht="54" customHeight="1">
      <c r="A268" s="29" t="inlineStr">
        <is>
          <t>marbella:action:gecici-konaklama-kayitli-turistik-konut-kontrolu-1</t>
        </is>
      </c>
      <c r="B268" s="29" t="inlineStr">
        <is>
          <t>marbella</t>
        </is>
      </c>
      <c r="C268" s="29" t="inlineStr">
        <is>
          <t>marbella:gecici-konaklama-kayitli-turistik-konut-kontrolu</t>
        </is>
      </c>
      <c r="D268" s="29" t="inlineStr">
        <is>
          <t>Bilgi al</t>
        </is>
      </c>
      <c r="E268" s="29" t="inlineStr">
        <is>
          <t>https://www.juntadeandalucia.es/organismos/turismoyandaluciaexterior/areas/registro-turismo/establecimientos-servicios/paginas/viviendas-turisticas.html</t>
        </is>
      </c>
      <c r="F268" s="49" t="n">
        <v>46323</v>
      </c>
      <c r="G268" s="51" t="n">
        <v>1</v>
      </c>
    </row>
    <row r="269" ht="54" customHeight="1">
      <c r="A269" s="29" t="inlineStr">
        <is>
          <t>marbella:action:gecici-konaklama-kayitli-turistik-konut-kontrolu-2</t>
        </is>
      </c>
      <c r="B269" s="29" t="inlineStr">
        <is>
          <t>marbella</t>
        </is>
      </c>
      <c r="C269" s="29" t="inlineStr">
        <is>
          <t>marbella:gecici-konaklama-kayitli-turistik-konut-kontrolu</t>
        </is>
      </c>
      <c r="D269" s="29" t="inlineStr">
        <is>
          <t>Bilgi al</t>
        </is>
      </c>
      <c r="E269" s="29" t="inlineStr">
        <is>
          <t>https://www.juntadeandalucia.es/organismos/turismoyandaluciaexterior/areas/registro-turismo/establecimientos-servicios/paginas/faq-viviendas-turismo.html</t>
        </is>
      </c>
      <c r="F269" s="49" t="n">
        <v>46323</v>
      </c>
      <c r="G269" s="51" t="n">
        <v>2</v>
      </c>
    </row>
    <row r="270" ht="54" customHeight="1">
      <c r="A270" s="29" t="inlineStr">
        <is>
          <t>marbella:action:empadronamiento-nedir-neden-gerekir-1</t>
        </is>
      </c>
      <c r="B270" s="29" t="inlineStr">
        <is>
          <t>marbella</t>
        </is>
      </c>
      <c r="C270" s="29" t="inlineStr">
        <is>
          <t>marbella:empadronamiento-nedir-neden-gerekir</t>
        </is>
      </c>
      <c r="D270" s="29" t="inlineStr">
        <is>
          <t>Bilgi al</t>
        </is>
      </c>
      <c r="E270" s="29" t="inlineStr">
        <is>
          <t>https://www.boe.es/buscar/act.php?id=BOE-A-1985-5392</t>
        </is>
      </c>
      <c r="F270" s="49" t="n">
        <v>46319</v>
      </c>
      <c r="G270" s="51" t="n">
        <v>1</v>
      </c>
    </row>
    <row r="271" ht="54" customHeight="1">
      <c r="A271" s="29" t="inlineStr">
        <is>
          <t>marbella:action:certificado-ve-volante-farki-1</t>
        </is>
      </c>
      <c r="B271" s="29" t="inlineStr">
        <is>
          <t>marbella</t>
        </is>
      </c>
      <c r="C271" s="29" t="inlineStr">
        <is>
          <t>marbella:certificado-ve-volante-farki</t>
        </is>
      </c>
      <c r="D271" s="29" t="inlineStr">
        <is>
          <t>Bilgi al</t>
        </is>
      </c>
      <c r="E271" s="29" t="inlineStr">
        <is>
          <t>https://www.boe.es/buscar/doc.php?id=BOE-A-2020-4784</t>
        </is>
      </c>
      <c r="F271" s="49" t="n">
        <v>46319</v>
      </c>
      <c r="G271" s="51" t="n">
        <v>1</v>
      </c>
    </row>
    <row r="272" ht="54" customHeight="1">
      <c r="A272" s="29" t="inlineStr">
        <is>
          <t>marbella:action:sosyal-guvenlik-numarasi-alma-1</t>
        </is>
      </c>
      <c r="B272" s="29" t="inlineStr">
        <is>
          <t>marbella</t>
        </is>
      </c>
      <c r="C272" s="29" t="inlineStr">
        <is>
          <t>marbella:sosyal-guvenlik-numarasi-alma</t>
        </is>
      </c>
      <c r="D272" s="29" t="inlineStr">
        <is>
          <t>Bilgi al</t>
        </is>
      </c>
      <c r="E272" s="29" t="inlineStr">
        <is>
          <t>https://www.seg-social.es/wps/portal/wss/internet/Trabajadores/Afiliacion/10817/31190/2194/160060?changeLanguage=es</t>
        </is>
      </c>
      <c r="F272" s="49" t="n">
        <v>46319</v>
      </c>
      <c r="G272" s="51" t="n">
        <v>1</v>
      </c>
    </row>
    <row r="273" ht="54" customHeight="1">
      <c r="A273" s="29" t="inlineStr">
        <is>
          <t>marbella:action:vida-laboral-raporu-alma-1</t>
        </is>
      </c>
      <c r="B273" s="29" t="inlineStr">
        <is>
          <t>marbella</t>
        </is>
      </c>
      <c r="C273" s="29" t="inlineStr">
        <is>
          <t>marbella:vida-laboral-raporu-alma</t>
        </is>
      </c>
      <c r="D273" s="29" t="inlineStr">
        <is>
          <t>Başvur</t>
        </is>
      </c>
      <c r="E273" s="29" t="inlineStr">
        <is>
          <t>https://portal.seg-social.gob.es/wps/portal/importass/importass/Categorias/Vida+laboral+e+informes/Informes+sobre+tu+situacion+laboral/Informe+de+tu+vida+laboral</t>
        </is>
      </c>
      <c r="F273" s="49" t="n">
        <v>46319</v>
      </c>
      <c r="G273" s="51" t="n">
        <v>1</v>
      </c>
    </row>
    <row r="274" ht="54" customHeight="1">
      <c r="A274" s="29" t="inlineStr">
        <is>
          <t>marbella:action:vergi-numarasi-nif-nie-alma-1</t>
        </is>
      </c>
      <c r="B274" s="29" t="inlineStr">
        <is>
          <t>marbella</t>
        </is>
      </c>
      <c r="C274" s="29" t="inlineStr">
        <is>
          <t>marbella:vergi-numarasi-nif-nie-alma</t>
        </is>
      </c>
      <c r="D274" s="29" t="inlineStr">
        <is>
          <t>Başvur</t>
        </is>
      </c>
      <c r="E274" s="29" t="inlineStr">
        <is>
          <t>https://sede.agenciatributaria.gob.es/Sede/censos-nif-domicilio-fiscal/solicitar-nif/nif-persona-fisica.html</t>
        </is>
      </c>
      <c r="F274" s="49" t="n">
        <v>46319</v>
      </c>
      <c r="G274" s="51" t="n">
        <v>1</v>
      </c>
    </row>
    <row r="275" ht="54" customHeight="1">
      <c r="A275" s="29" t="inlineStr">
        <is>
          <t>marbella:action:vergi-numarasi-nif-nie-alma-2</t>
        </is>
      </c>
      <c r="B275" s="29" t="inlineStr">
        <is>
          <t>marbella</t>
        </is>
      </c>
      <c r="C275" s="29" t="inlineStr">
        <is>
          <t>marbella:vergi-numarasi-nif-nie-alma</t>
        </is>
      </c>
      <c r="D275" s="29" t="inlineStr">
        <is>
          <t>Bilgi al</t>
        </is>
      </c>
      <c r="E275" s="29" t="inlineStr">
        <is>
          <t>https://sede.policia.gob.es/portalCiudadano/_es/tramites_extranjeria_tramite_asignacion_nie.php</t>
        </is>
      </c>
      <c r="F275" s="49" t="n">
        <v>46319</v>
      </c>
      <c r="G275" s="51" t="n">
        <v>2</v>
      </c>
    </row>
    <row r="276" ht="54" customHeight="1">
      <c r="A276" s="29" t="inlineStr">
        <is>
          <t>marbella:action:clave-pin-ve-permanente-farki-1</t>
        </is>
      </c>
      <c r="B276" s="29" t="inlineStr">
        <is>
          <t>marbella</t>
        </is>
      </c>
      <c r="C276" s="29" t="inlineStr">
        <is>
          <t>marbella:clave-pin-ve-permanente-farki</t>
        </is>
      </c>
      <c r="D276" s="29" t="inlineStr">
        <is>
          <t>Bilgi al</t>
        </is>
      </c>
      <c r="E276" s="29" t="inlineStr">
        <is>
          <t>https://clave.gob.es/en/clave-movil/app-clave</t>
        </is>
      </c>
      <c r="F276" s="49" t="n">
        <v>46319</v>
      </c>
      <c r="G276" s="51" t="n">
        <v>1</v>
      </c>
    </row>
    <row r="277" ht="54" customHeight="1">
      <c r="A277" s="29" t="inlineStr">
        <is>
          <t>marbella:action:clave-pin-ve-permanente-farki-2</t>
        </is>
      </c>
      <c r="B277" s="29" t="inlineStr">
        <is>
          <t>marbella</t>
        </is>
      </c>
      <c r="C277" s="29" t="inlineStr">
        <is>
          <t>marbella:clave-pin-ve-permanente-farki</t>
        </is>
      </c>
      <c r="D277" s="29" t="inlineStr">
        <is>
          <t>Bilgi al</t>
        </is>
      </c>
      <c r="E277" s="29" t="inlineStr">
        <is>
          <t>https://clave.gob.es/clave-permanente/que-es</t>
        </is>
      </c>
      <c r="F277" s="49" t="n">
        <v>46319</v>
      </c>
      <c r="G277" s="51" t="n">
        <v>2</v>
      </c>
    </row>
    <row r="278" ht="54" customHeight="1">
      <c r="A278" s="29" t="inlineStr">
        <is>
          <t>marbella:action:fnmt-dijital-sertifika-kurma-1</t>
        </is>
      </c>
      <c r="B278" s="29" t="inlineStr">
        <is>
          <t>marbella</t>
        </is>
      </c>
      <c r="C278" s="29" t="inlineStr">
        <is>
          <t>marbella:fnmt-dijital-sertifika-kurma</t>
        </is>
      </c>
      <c r="D278" s="29" t="inlineStr">
        <is>
          <t>Başvur</t>
        </is>
      </c>
      <c r="E278" s="29" t="inlineStr">
        <is>
          <t>https://www.sede.fnmt.gob.es/certificados/persona-fisica/obtener-certificado-software</t>
        </is>
      </c>
      <c r="F278" s="49" t="n">
        <v>46319</v>
      </c>
      <c r="G278" s="51" t="n">
        <v>1</v>
      </c>
    </row>
    <row r="279" ht="54" customHeight="1">
      <c r="A279" s="29" t="inlineStr">
        <is>
          <t>marbella:action:belge-ceviri-ve-apostil-1</t>
        </is>
      </c>
      <c r="B279" s="29" t="inlineStr">
        <is>
          <t>marbella</t>
        </is>
      </c>
      <c r="C279" s="29" t="inlineStr">
        <is>
          <t>marbella:belge-ceviri-ve-apostil</t>
        </is>
      </c>
      <c r="D279" s="29" t="inlineStr">
        <is>
          <t>Bilgi al</t>
        </is>
      </c>
      <c r="E279" s="29" t="inlineStr">
        <is>
          <t>https://www.exteriores.gob.es/es/ServiciosAlCiudadano/Paginas/Traductores-Interpretes-Jurados.aspx</t>
        </is>
      </c>
      <c r="F279" s="49" t="n">
        <v>46319</v>
      </c>
      <c r="G279" s="51" t="n">
        <v>1</v>
      </c>
    </row>
    <row r="280" ht="54" customHeight="1">
      <c r="A280" s="29" t="inlineStr">
        <is>
          <t>marbella:action:belge-ceviri-ve-apostil-2</t>
        </is>
      </c>
      <c r="B280" s="29" t="inlineStr">
        <is>
          <t>marbella</t>
        </is>
      </c>
      <c r="C280" s="29" t="inlineStr">
        <is>
          <t>marbella:belge-ceviri-ve-apostil</t>
        </is>
      </c>
      <c r="D280" s="29" t="inlineStr">
        <is>
          <t>Başvur</t>
        </is>
      </c>
      <c r="E280" s="29" t="inlineStr">
        <is>
          <t>https://www.mjusticia.gob.es/es/ciudadania/tramites/legalizacion-unica-apostilla</t>
        </is>
      </c>
      <c r="F280" s="49" t="n">
        <v>46319</v>
      </c>
      <c r="G280" s="51" t="n">
        <v>2</v>
      </c>
    </row>
    <row r="281" ht="54" customHeight="1">
      <c r="A281" s="29" t="inlineStr">
        <is>
          <t>marbella:action:noter-islemleri-ve-ucretleri-1</t>
        </is>
      </c>
      <c r="B281" s="29" t="inlineStr">
        <is>
          <t>marbella</t>
        </is>
      </c>
      <c r="C281" s="29" t="inlineStr">
        <is>
          <t>marbella:noter-islemleri-ve-ucretleri</t>
        </is>
      </c>
      <c r="D281" s="29" t="inlineStr">
        <is>
          <t>Tarifeyi gör</t>
        </is>
      </c>
      <c r="E281" s="29" t="inlineStr">
        <is>
          <t>https://www.boe.es/buscar/act.php?id=BOE-A-1989-28111</t>
        </is>
      </c>
      <c r="F281" s="49" t="n">
        <v>46319</v>
      </c>
      <c r="G281" s="51" t="n">
        <v>1</v>
      </c>
    </row>
    <row r="282" ht="54" customHeight="1">
      <c r="A282" s="29" t="inlineStr">
        <is>
          <t>marbella:action:libro-de-familia-nedir-1</t>
        </is>
      </c>
      <c r="B282" s="29" t="inlineStr">
        <is>
          <t>marbella</t>
        </is>
      </c>
      <c r="C282" s="29" t="inlineStr">
        <is>
          <t>marbella:libro-de-familia-nedir</t>
        </is>
      </c>
      <c r="D282" s="29" t="inlineStr">
        <is>
          <t>Bilgi al</t>
        </is>
      </c>
      <c r="E282" s="29" t="inlineStr">
        <is>
          <t>https://www.boe.es/buscar/act.php?id=BOE-A-2011-12628</t>
        </is>
      </c>
      <c r="F282" s="49" t="n">
        <v>46321</v>
      </c>
      <c r="G282" s="51" t="n">
        <v>1</v>
      </c>
    </row>
    <row r="283" ht="54" customHeight="1">
      <c r="A283" s="29" t="inlineStr">
        <is>
          <t>marbella:action:libro-de-familia-nedir-2</t>
        </is>
      </c>
      <c r="B283" s="29" t="inlineStr">
        <is>
          <t>marbella</t>
        </is>
      </c>
      <c r="C283" s="29" t="inlineStr">
        <is>
          <t>marbella:libro-de-familia-nedir</t>
        </is>
      </c>
      <c r="D283" s="29" t="inlineStr">
        <is>
          <t>Bilgi al</t>
        </is>
      </c>
      <c r="E283" s="29" t="inlineStr">
        <is>
          <t>https://www.boe.es/buscar/act.php?id=BOE-A-2021-15391</t>
        </is>
      </c>
      <c r="F283" s="49" t="n">
        <v>46321</v>
      </c>
      <c r="G283" s="51" t="n">
        <v>2</v>
      </c>
    </row>
    <row r="284" ht="54" customHeight="1">
      <c r="A284" s="29" t="inlineStr">
        <is>
          <t>marbella:action:registro-civil-ne-ise-yarar-1</t>
        </is>
      </c>
      <c r="B284" s="29" t="inlineStr">
        <is>
          <t>marbella</t>
        </is>
      </c>
      <c r="C284" s="29" t="inlineStr">
        <is>
          <t>marbella:registro-civil-ne-ise-yarar</t>
        </is>
      </c>
      <c r="D284" s="29" t="inlineStr">
        <is>
          <t>Bilgi al</t>
        </is>
      </c>
      <c r="E284" s="29" t="inlineStr">
        <is>
          <t>https://www.mjusticia.gob.es/es/ciudadania/estado-civil/registro-civil</t>
        </is>
      </c>
      <c r="F284" s="49" t="n">
        <v>46321</v>
      </c>
      <c r="G284" s="51" t="n">
        <v>1</v>
      </c>
    </row>
    <row r="285" ht="54" customHeight="1">
      <c r="A285" s="29" t="inlineStr">
        <is>
          <t>marbella:action:registro-civil-ne-ise-yarar-2</t>
        </is>
      </c>
      <c r="B285" s="29" t="inlineStr">
        <is>
          <t>marbella</t>
        </is>
      </c>
      <c r="C285" s="29" t="inlineStr">
        <is>
          <t>marbella:registro-civil-ne-ise-yarar</t>
        </is>
      </c>
      <c r="D285" s="29" t="inlineStr">
        <is>
          <t>Bilgi al</t>
        </is>
      </c>
      <c r="E285" s="29" t="inlineStr">
        <is>
          <t>https://www.boe.es/buscar/act.php?id=BOE-A-2021-15391</t>
        </is>
      </c>
      <c r="F285" s="49" t="n">
        <v>46321</v>
      </c>
      <c r="G285" s="51" t="n">
        <v>2</v>
      </c>
    </row>
    <row r="286" ht="54" customHeight="1">
      <c r="A286" s="29" t="inlineStr">
        <is>
          <t>marbella:action:yabanci-ehliyet-degisimi-1</t>
        </is>
      </c>
      <c r="B286" s="29" t="inlineStr">
        <is>
          <t>marbella</t>
        </is>
      </c>
      <c r="C286" s="29" t="inlineStr">
        <is>
          <t>marbella:yabanci-ehliyet-degisimi</t>
        </is>
      </c>
      <c r="D286" s="29" t="inlineStr">
        <is>
          <t>Bilgi al</t>
        </is>
      </c>
      <c r="E286" s="29" t="inlineStr">
        <is>
          <t>https://www.boe.es/diario_boe/txt.php?id=BOE-A-2011-5606</t>
        </is>
      </c>
      <c r="F286" s="49" t="n">
        <v>46319</v>
      </c>
      <c r="G286" s="51" t="n">
        <v>1</v>
      </c>
    </row>
    <row r="287" ht="54" customHeight="1">
      <c r="A287" s="29" t="inlineStr">
        <is>
          <t>marbella:action:yabanci-ehliyet-degisimi-2</t>
        </is>
      </c>
      <c r="B287" s="29" t="inlineStr">
        <is>
          <t>marbella</t>
        </is>
      </c>
      <c r="C287" s="29" t="inlineStr">
        <is>
          <t>marbella:yabanci-ehliyet-degisimi</t>
        </is>
      </c>
      <c r="D287" s="29" t="inlineStr">
        <is>
          <t>Başvur</t>
        </is>
      </c>
      <c r="E287" s="29" t="inlineStr">
        <is>
          <t>https://sede.dgt.gob.es/es/permisos-de-conducir/canjes-de-permisos/canjes-de-permisos-extranjeros/</t>
        </is>
      </c>
      <c r="F287" s="49" t="n">
        <v>46319</v>
      </c>
      <c r="G287" s="51" t="n">
        <v>2</v>
      </c>
    </row>
    <row r="288" ht="54" customHeight="1">
      <c r="A288" s="29" t="inlineStr">
        <is>
          <t>marbella:action:yabanci-ehliyet-degisimi-3</t>
        </is>
      </c>
      <c r="B288" s="29" t="inlineStr">
        <is>
          <t>marbella</t>
        </is>
      </c>
      <c r="C288" s="29" t="inlineStr">
        <is>
          <t>marbella:yabanci-ehliyet-degisimi</t>
        </is>
      </c>
      <c r="D288" s="29" t="inlineStr">
        <is>
          <t>Bilgi al</t>
        </is>
      </c>
      <c r="E288" s="29" t="inlineStr">
        <is>
          <t>https://www.dgt.es/nuestros-servicios/permisos-de-conducir/permisos-extranjeros-y-de-fuerzas-y-cuerpos-de-seguridad/canjes-de-permisos/canjes-de-permisos-extranjeros/canje-de-permisos-de-otros-paises/</t>
        </is>
      </c>
      <c r="F288" s="49" t="n">
        <v>46319</v>
      </c>
      <c r="G288" s="51" t="n">
        <v>3</v>
      </c>
    </row>
    <row r="289" ht="54" customHeight="1">
      <c r="A289" s="29" t="inlineStr">
        <is>
          <t>marbella:action:arac-kaydi-ulusal-cerceve-1</t>
        </is>
      </c>
      <c r="B289" s="29" t="inlineStr">
        <is>
          <t>marbella</t>
        </is>
      </c>
      <c r="C289" s="29" t="inlineStr">
        <is>
          <t>marbella:arac-kaydi-ulusal-cerceve</t>
        </is>
      </c>
      <c r="D289" s="29" t="inlineStr">
        <is>
          <t>Başvur</t>
        </is>
      </c>
      <c r="E289" s="29" t="inlineStr">
        <is>
          <t>https://sede.dgt.gob.es/es/vehiculos/matriculaciones-de-vehiculos/matriculacion-ordinaria/</t>
        </is>
      </c>
      <c r="F289" s="49" t="n">
        <v>46319</v>
      </c>
      <c r="G289" s="51" t="n">
        <v>1</v>
      </c>
    </row>
    <row r="290" ht="54" customHeight="1">
      <c r="A290" s="29" t="inlineStr">
        <is>
          <t>marbella:action:arac-kaydi-ulusal-cerceve-2</t>
        </is>
      </c>
      <c r="B290" s="29" t="inlineStr">
        <is>
          <t>marbella</t>
        </is>
      </c>
      <c r="C290" s="29" t="inlineStr">
        <is>
          <t>marbella:arac-kaydi-ulusal-cerceve</t>
        </is>
      </c>
      <c r="D290" s="29" t="inlineStr">
        <is>
          <t>Formu doldur</t>
        </is>
      </c>
      <c r="E290" s="29" t="inlineStr">
        <is>
          <t>https://sede.agenciatributaria.gob.es/Sede/impuestos-tasas/impuesto-matriculacion.html</t>
        </is>
      </c>
      <c r="F290" s="49" t="n">
        <v>46319</v>
      </c>
      <c r="G290" s="51" t="n">
        <v>2</v>
      </c>
    </row>
    <row r="291" ht="54" customHeight="1">
      <c r="A291" s="29" t="inlineStr">
        <is>
          <t>marbella:action:endulus-carpeta-ciudadana-junta-dijital-islemler-1</t>
        </is>
      </c>
      <c r="B291" s="29" t="inlineStr">
        <is>
          <t>marbella</t>
        </is>
      </c>
      <c r="C291" s="29" t="inlineStr">
        <is>
          <t>marbella:endulus-carpeta-ciudadana-junta-dijital-islemler</t>
        </is>
      </c>
      <c r="D291" s="29" t="inlineStr">
        <is>
          <t>Bilgi al</t>
        </is>
      </c>
      <c r="E291" s="29" t="inlineStr">
        <is>
          <t>https://www.juntadeandalucia.es/servicios/carpeta-ciudadana.html</t>
        </is>
      </c>
      <c r="F291" s="49" t="n">
        <v>46319</v>
      </c>
      <c r="G291" s="51" t="n">
        <v>1</v>
      </c>
    </row>
    <row r="292" ht="54" customHeight="1">
      <c r="A292" s="29" t="inlineStr">
        <is>
          <t>marbella:action:oac-marbella-ofisleri-ve-cita-previa-1</t>
        </is>
      </c>
      <c r="B292" s="29" t="inlineStr">
        <is>
          <t>marbella</t>
        </is>
      </c>
      <c r="C292" s="29" t="inlineStr">
        <is>
          <t>marbella:oac-marbella-ofisleri-ve-cita-previa</t>
        </is>
      </c>
      <c r="D292" s="29" t="inlineStr">
        <is>
          <t>Randevu al</t>
        </is>
      </c>
      <c r="E292" s="29" t="inlineStr">
        <is>
          <t>https://ayuntamiento.marbella.es/gobierno-abierto/oficina-de-atencion-al-ciudadano-oac/2591-cita-previa-para-las-oficinas-de-atencion-al-ciudadano-en-marbella-y-san-pedro-alcantara.html</t>
        </is>
      </c>
      <c r="F292" s="49" t="n">
        <v>46323</v>
      </c>
      <c r="G292" s="51" t="n">
        <v>1</v>
      </c>
    </row>
    <row r="293" ht="54" customHeight="1">
      <c r="A293" s="29" t="inlineStr">
        <is>
          <t>marbella:action:oac-marbella-ofisleri-ve-cita-previa-2</t>
        </is>
      </c>
      <c r="B293" s="29" t="inlineStr">
        <is>
          <t>marbella</t>
        </is>
      </c>
      <c r="C293" s="29" t="inlineStr">
        <is>
          <t>marbella:oac-marbella-ofisleri-ve-cita-previa</t>
        </is>
      </c>
      <c r="D293" s="29" t="inlineStr">
        <is>
          <t>Bilgi al</t>
        </is>
      </c>
      <c r="E293" s="29" t="inlineStr">
        <is>
          <t>https://www.marbella.es/ayto/localizaciones-municipales/directorio-municipal/servicios/oficina-de-atencion-al-ciudadano-marbella.html</t>
        </is>
      </c>
      <c r="F293" s="49" t="n">
        <v>46323</v>
      </c>
      <c r="G293" s="51" t="n">
        <v>2</v>
      </c>
    </row>
    <row r="294" ht="54" customHeight="1">
      <c r="A294" s="29" t="inlineStr">
        <is>
          <t>marbella:action:oac-marbella-islemleri-ve-dijital-sertifika-kimlik-dogrulama-1</t>
        </is>
      </c>
      <c r="B294" s="29" t="inlineStr">
        <is>
          <t>marbella</t>
        </is>
      </c>
      <c r="C294" s="29" t="inlineStr">
        <is>
          <t>marbella:oac-marbella-islemleri-ve-dijital-sertifika-kimlik-dogrulama</t>
        </is>
      </c>
      <c r="D294" s="29" t="inlineStr">
        <is>
          <t>Randevu al</t>
        </is>
      </c>
      <c r="E294" s="29" t="inlineStr">
        <is>
          <t>https://ayuntamiento.marbella.es/gobierno-abierto/oficina-de-atencion-al-ciudadano-oac/2591-cita-previa-para-las-oficinas-de-atencion-al-ciudadano-en-marbella-y-san-pedro-alcantara.html</t>
        </is>
      </c>
      <c r="F294" s="49" t="n">
        <v>46323</v>
      </c>
      <c r="G294" s="51" t="n">
        <v>1</v>
      </c>
    </row>
    <row r="295" ht="54" customHeight="1">
      <c r="A295" s="29" t="inlineStr">
        <is>
          <t>marbella:action:oac-marbella-islemleri-ve-dijital-sertifika-kimlik-dogrulama-2</t>
        </is>
      </c>
      <c r="B295" s="29" t="inlineStr">
        <is>
          <t>marbella</t>
        </is>
      </c>
      <c r="C295" s="29" t="inlineStr">
        <is>
          <t>marbella:oac-marbella-islemleri-ve-dijital-sertifika-kimlik-dogrulama</t>
        </is>
      </c>
      <c r="D295" s="29" t="inlineStr">
        <is>
          <t>Bilgi al</t>
        </is>
      </c>
      <c r="E295" s="29" t="inlineStr">
        <is>
          <t>https://register.marbella.es/informacion/tramites/registro</t>
        </is>
      </c>
      <c r="F295" s="49" t="n">
        <v>46323</v>
      </c>
      <c r="G295" s="51" t="n">
        <v>2</v>
      </c>
    </row>
    <row r="296" ht="54" customHeight="1">
      <c r="A296" s="29" t="inlineStr">
        <is>
          <t>marbella:action:marbella-adres-kaydi-yollari-ve-belgeler-1</t>
        </is>
      </c>
      <c r="B296" s="29" t="inlineStr">
        <is>
          <t>marbella</t>
        </is>
      </c>
      <c r="C296" s="29" t="inlineStr">
        <is>
          <t>marbella:marbella-adres-kaydi-yollari-ve-belgeler</t>
        </is>
      </c>
      <c r="D296" s="29" t="inlineStr">
        <is>
          <t>Randevu al</t>
        </is>
      </c>
      <c r="E296" s="29" t="inlineStr">
        <is>
          <t>https://ayuntamiento.marbella.es/gobierno-abierto/oficina-de-atencion-al-ciudadano-oac/2591-cita-previa-para-las-oficinas-de-atencion-al-ciudadano-en-marbella-y-san-pedro-alcantara.html</t>
        </is>
      </c>
      <c r="F296" s="49" t="n">
        <v>46323</v>
      </c>
      <c r="G296" s="51" t="n">
        <v>1</v>
      </c>
    </row>
    <row r="297" ht="54" customHeight="1">
      <c r="A297" s="29" t="inlineStr">
        <is>
          <t>marbella:action:marbella-adres-kaydi-yollari-ve-belgeler-2</t>
        </is>
      </c>
      <c r="B297" s="29" t="inlineStr">
        <is>
          <t>marbella</t>
        </is>
      </c>
      <c r="C297" s="29" t="inlineStr">
        <is>
          <t>marbella:marbella-adres-kaydi-yollari-ve-belgeler</t>
        </is>
      </c>
      <c r="D297" s="29" t="inlineStr">
        <is>
          <t>Bilgi al</t>
        </is>
      </c>
      <c r="E297" s="29" t="inlineStr">
        <is>
          <t>https://extranjeros.marbella.es/empadronamiento</t>
        </is>
      </c>
      <c r="F297" s="49" t="n">
        <v>46323</v>
      </c>
      <c r="G297" s="51" t="n">
        <v>2</v>
      </c>
    </row>
    <row r="298" ht="54" customHeight="1">
      <c r="A298" s="29" t="inlineStr">
        <is>
          <t>marbella:action:marbella-adres-kaydi-yenileme-suresi-ve-getirisi-1</t>
        </is>
      </c>
      <c r="B298" s="29" t="inlineStr">
        <is>
          <t>marbella</t>
        </is>
      </c>
      <c r="C298" s="29" t="inlineStr">
        <is>
          <t>marbella:marbella-adres-kaydi-yenileme-suresi-ve-getirisi</t>
        </is>
      </c>
      <c r="D298" s="29" t="inlineStr">
        <is>
          <t>Bilgi al</t>
        </is>
      </c>
      <c r="E298" s="29" t="inlineStr">
        <is>
          <t>https://extranjeros.marbella.es/empadronamiento</t>
        </is>
      </c>
      <c r="F298" s="49" t="n">
        <v>46323</v>
      </c>
      <c r="G298" s="51" t="n">
        <v>1</v>
      </c>
    </row>
    <row r="299" ht="54" customHeight="1">
      <c r="A299" s="29" t="inlineStr">
        <is>
          <t>marbella:action:marbella-registro-civil-ofisi-adresi-1</t>
        </is>
      </c>
      <c r="B299" s="29" t="inlineStr">
        <is>
          <t>marbella</t>
        </is>
      </c>
      <c r="C299" s="29" t="inlineStr">
        <is>
          <t>marbella:marbella-registro-civil-ofisi-adresi</t>
        </is>
      </c>
      <c r="D299" s="29" t="inlineStr">
        <is>
          <t>Bilgi al</t>
        </is>
      </c>
      <c r="E299" s="29" t="inlineStr">
        <is>
          <t>https://www.mjusticia.gob.es/BUSCADIR/ServletControlador?apartado=buscadorEnteEspecialidad&amp;ente=2906992700000&amp;partido=29069&amp;municipioDelDetalle=29076&amp;lang=es_es</t>
        </is>
      </c>
      <c r="F299" s="49" t="n">
        <v>46323</v>
      </c>
      <c r="G299" s="51" t="n">
        <v>1</v>
      </c>
    </row>
    <row r="300" ht="54" customHeight="1">
      <c r="A300" s="29" t="inlineStr">
        <is>
          <t>marbella:action:marbella-registro-civil-ofisi-adresi-2</t>
        </is>
      </c>
      <c r="B300" s="29" t="inlineStr">
        <is>
          <t>marbella</t>
        </is>
      </c>
      <c r="C300" s="29" t="inlineStr">
        <is>
          <t>marbella:marbella-registro-civil-ofisi-adresi</t>
        </is>
      </c>
      <c r="D300" s="29" t="inlineStr">
        <is>
          <t>Bilgi al</t>
        </is>
      </c>
      <c r="E300" s="29" t="inlineStr">
        <is>
          <t>https://www.juntadeandalucia.es/justicia/portal/adriano/buscarpartidosjudiciales?codigoProvincia=7&amp;ckeckTipos=,189,190</t>
        </is>
      </c>
      <c r="F300" s="49" t="n">
        <v>46323</v>
      </c>
      <c r="G300" s="51" t="n">
        <v>2</v>
      </c>
    </row>
    <row r="301" ht="54" customHeight="1">
      <c r="A301" s="29" t="inlineStr">
        <is>
          <t>marbella:action:marbella-secmen-listesi-censo-electoral-kaydi-1</t>
        </is>
      </c>
      <c r="B301" s="29" t="inlineStr">
        <is>
          <t>marbella</t>
        </is>
      </c>
      <c r="C301" s="29" t="inlineStr">
        <is>
          <t>marbella:marbella-secmen-listesi-censo-electoral-kaydi</t>
        </is>
      </c>
      <c r="D301" s="29" t="inlineStr">
        <is>
          <t>Bilgi al</t>
        </is>
      </c>
      <c r="E301" s="29" t="inlineStr">
        <is>
          <t>https://register.marbella.es/informacion/tramites/registro</t>
        </is>
      </c>
      <c r="F301" s="49" t="n">
        <v>46323</v>
      </c>
      <c r="G301" s="51" t="n">
        <v>1</v>
      </c>
    </row>
    <row r="302" ht="54" customHeight="1">
      <c r="A302" s="29" t="inlineStr">
        <is>
          <t>marbella:action:kamu-saglik-sistemine-erisim-hak-sahipleri-1</t>
        </is>
      </c>
      <c r="B302" s="29" t="inlineStr">
        <is>
          <t>marbella</t>
        </is>
      </c>
      <c r="C302" s="29" t="inlineStr">
        <is>
          <t>marbella:kamu-saglik-sistemine-erisim-hak-sahipleri</t>
        </is>
      </c>
      <c r="D302" s="29" t="inlineStr">
        <is>
          <t>Bilgi al</t>
        </is>
      </c>
      <c r="E302" s="29" t="inlineStr">
        <is>
          <t>https://www.seg-social.es/wps/portal/wss/internet/Trabajadores/PrestacionesPensionesTrabajadores/10938/30476</t>
        </is>
      </c>
      <c r="F302" s="49" t="n">
        <v>46319</v>
      </c>
      <c r="G302" s="51" t="n">
        <v>1</v>
      </c>
    </row>
    <row r="303" ht="54" customHeight="1">
      <c r="A303" s="29" t="inlineStr">
        <is>
          <t>marbella:action:kamu-saglik-sistemine-erisim-hak-sahipleri-2</t>
        </is>
      </c>
      <c r="B303" s="29" t="inlineStr">
        <is>
          <t>marbella</t>
        </is>
      </c>
      <c r="C303" s="29" t="inlineStr">
        <is>
          <t>marbella:kamu-saglik-sistemine-erisim-hak-sahipleri</t>
        </is>
      </c>
      <c r="D303" s="29" t="inlineStr">
        <is>
          <t>Bilgi al</t>
        </is>
      </c>
      <c r="E303" s="29" t="inlineStr">
        <is>
          <t>https://www.boe.es/buscar/act.php?id=BOE-A-2018-10752</t>
        </is>
      </c>
      <c r="F303" s="49" t="n">
        <v>46319</v>
      </c>
      <c r="G303" s="51" t="n">
        <v>2</v>
      </c>
    </row>
    <row r="304" ht="54" customHeight="1">
      <c r="A304" s="29" t="inlineStr">
        <is>
          <t>marbella:action:saglik-sigortasi-sarti-ve-convenio-especial-1</t>
        </is>
      </c>
      <c r="B304" s="29" t="inlineStr">
        <is>
          <t>marbella</t>
        </is>
      </c>
      <c r="C304" s="29" t="inlineStr">
        <is>
          <t>marbella:saglik-sigortasi-sarti-ve-convenio-especial</t>
        </is>
      </c>
      <c r="D304" s="29" t="inlineStr">
        <is>
          <t>Bilgi al</t>
        </is>
      </c>
      <c r="E304" s="29" t="inlineStr">
        <is>
          <t>https://www.sanidad.gob.es/servCiudadanos/internacional/convenioEspecial.htm</t>
        </is>
      </c>
      <c r="F304" s="49" t="n">
        <v>46319</v>
      </c>
      <c r="G304" s="51" t="n">
        <v>1</v>
      </c>
    </row>
    <row r="305" ht="54" customHeight="1">
      <c r="A305" s="29" t="inlineStr">
        <is>
          <t>marbella:action:saglik-sigortasi-sarti-ve-convenio-especial-2</t>
        </is>
      </c>
      <c r="B305" s="29" t="inlineStr">
        <is>
          <t>marbella</t>
        </is>
      </c>
      <c r="C305" s="29" t="inlineStr">
        <is>
          <t>marbella:saglik-sigortasi-sarti-ve-convenio-especial</t>
        </is>
      </c>
      <c r="D305" s="29" t="inlineStr">
        <is>
          <t>Bilgi al</t>
        </is>
      </c>
      <c r="E305" s="29" t="inlineStr">
        <is>
          <t>https://www.boe.es/buscar/act.php?id=BOE-A-2024-24099</t>
        </is>
      </c>
      <c r="F305" s="49" t="n">
        <v>46319</v>
      </c>
      <c r="G305" s="51" t="n">
        <v>2</v>
      </c>
    </row>
    <row r="306" ht="54" customHeight="1">
      <c r="A306" s="29" t="inlineStr">
        <is>
          <t>marbella:action:recete-ilac-katilim-payi-copago-1</t>
        </is>
      </c>
      <c r="B306" s="29" t="inlineStr">
        <is>
          <t>marbella</t>
        </is>
      </c>
      <c r="C306" s="29" t="inlineStr">
        <is>
          <t>marbella:recete-ilac-katilim-payi-copago</t>
        </is>
      </c>
      <c r="D306" s="29" t="inlineStr">
        <is>
          <t>Bilgi al</t>
        </is>
      </c>
      <c r="E306" s="29" t="inlineStr">
        <is>
          <t>https://www.boe.es/buscar/act.php?id=BOE-A-2015-8343</t>
        </is>
      </c>
      <c r="F306" s="49" t="n">
        <v>46319</v>
      </c>
      <c r="G306" s="51" t="n">
        <v>1</v>
      </c>
    </row>
    <row r="307" ht="54" customHeight="1">
      <c r="A307" s="29" t="inlineStr">
        <is>
          <t>marbella:action:recete-ilac-katilim-payi-copago-2</t>
        </is>
      </c>
      <c r="B307" s="29" t="inlineStr">
        <is>
          <t>marbella</t>
        </is>
      </c>
      <c r="C307" s="29" t="inlineStr">
        <is>
          <t>marbella:recete-ilac-katilim-payi-copago</t>
        </is>
      </c>
      <c r="D307" s="29" t="inlineStr">
        <is>
          <t>Bilgi al</t>
        </is>
      </c>
      <c r="E307" s="29" t="inlineStr">
        <is>
          <t>https://www.sanidad.gob.es/profesionales/prestacionesSanitarias/CarteraDeServicios/home.htm</t>
        </is>
      </c>
      <c r="F307" s="49" t="n">
        <v>46319</v>
      </c>
      <c r="G307" s="51" t="n">
        <v>2</v>
      </c>
    </row>
    <row r="308" ht="54" customHeight="1">
      <c r="A308" s="29" t="inlineStr">
        <is>
          <t>marbella:action:acil-durumda-112-1</t>
        </is>
      </c>
      <c r="B308" s="29" t="inlineStr">
        <is>
          <t>marbella</t>
        </is>
      </c>
      <c r="C308" s="29" t="inlineStr">
        <is>
          <t>marbella:acil-durumda-112</t>
        </is>
      </c>
      <c r="D308" s="29" t="inlineStr">
        <is>
          <t>Bilgi al</t>
        </is>
      </c>
      <c r="E308" s="29" t="inlineStr">
        <is>
          <t>https://www.boe.es/buscar/doc.php?id=BOE-A-1997-14058</t>
        </is>
      </c>
      <c r="F308" s="49" t="n">
        <v>46319</v>
      </c>
      <c r="G308" s="51" t="n">
        <v>1</v>
      </c>
    </row>
    <row r="309" ht="54" customHeight="1">
      <c r="A309" s="29" t="inlineStr">
        <is>
          <t>marbella:action:ulusal-asi-takvimi-1</t>
        </is>
      </c>
      <c r="B309" s="29" t="inlineStr">
        <is>
          <t>marbella</t>
        </is>
      </c>
      <c r="C309" s="29" t="inlineStr">
        <is>
          <t>marbella:ulusal-asi-takvimi</t>
        </is>
      </c>
      <c r="D309" s="29" t="inlineStr">
        <is>
          <t>Bilgi al</t>
        </is>
      </c>
      <c r="E309" s="29" t="inlineStr">
        <is>
          <t>https://www.sanidad.gob.es/areas/promocionPrevencion/vacunaciones/calendario/home.htm</t>
        </is>
      </c>
      <c r="F309" s="49" t="n">
        <v>46319</v>
      </c>
      <c r="G309" s="51" t="n">
        <v>1</v>
      </c>
    </row>
    <row r="310" ht="54" customHeight="1">
      <c r="A310" s="29" t="inlineStr">
        <is>
          <t>marbella:action:hamilelik-dogum-ve-cocuk-sagligi-haklari-1</t>
        </is>
      </c>
      <c r="B310" s="29" t="inlineStr">
        <is>
          <t>marbella</t>
        </is>
      </c>
      <c r="C310" s="29" t="inlineStr">
        <is>
          <t>marbella:hamilelik-dogum-ve-cocuk-sagligi-haklari</t>
        </is>
      </c>
      <c r="D310" s="29" t="inlineStr">
        <is>
          <t>Bilgi al</t>
        </is>
      </c>
      <c r="E310" s="29" t="inlineStr">
        <is>
          <t>https://www.boe.es/buscar/act.php?id=BOE-A-2006-16212</t>
        </is>
      </c>
      <c r="F310" s="49" t="n">
        <v>46319</v>
      </c>
      <c r="G310" s="51" t="n">
        <v>1</v>
      </c>
    </row>
    <row r="311" ht="54" customHeight="1">
      <c r="A311" s="29" t="inlineStr">
        <is>
          <t>marbella:action:hamilelik-dogum-ve-cocuk-sagligi-haklari-2</t>
        </is>
      </c>
      <c r="B311" s="29" t="inlineStr">
        <is>
          <t>marbella</t>
        </is>
      </c>
      <c r="C311" s="29" t="inlineStr">
        <is>
          <t>marbella:hamilelik-dogum-ve-cocuk-sagligi-haklari</t>
        </is>
      </c>
      <c r="D311" s="29" t="inlineStr">
        <is>
          <t>Bilgi al</t>
        </is>
      </c>
      <c r="E311" s="29" t="inlineStr">
        <is>
          <t>https://www.seg-social.es/wps/portal/wss/internet/Trabajadores/PrestacionesPensionesTrabajadores/6b96a085-4dc0-47af-b2cb-97e00716791e/requisitos+19-c021</t>
        </is>
      </c>
      <c r="F311" s="49" t="n">
        <v>46319</v>
      </c>
      <c r="G311" s="51" t="n">
        <v>2</v>
      </c>
    </row>
    <row r="312" ht="54" customHeight="1">
      <c r="A312" s="29" t="inlineStr">
        <is>
          <t>marbella:action:ruh-sagligi-ve-yasli-bakimi-dependencia-1</t>
        </is>
      </c>
      <c r="B312" s="29" t="inlineStr">
        <is>
          <t>marbella</t>
        </is>
      </c>
      <c r="C312" s="29" t="inlineStr">
        <is>
          <t>marbella:ruh-sagligi-ve-yasli-bakimi-dependencia</t>
        </is>
      </c>
      <c r="D312" s="29" t="inlineStr">
        <is>
          <t>Bilgi al</t>
        </is>
      </c>
      <c r="E312" s="29" t="inlineStr">
        <is>
          <t>https://www.boe.es/buscar/act.php?id=BOE-A-2006-21990</t>
        </is>
      </c>
      <c r="F312" s="49" t="n">
        <v>46319</v>
      </c>
      <c r="G312" s="51" t="n">
        <v>1</v>
      </c>
    </row>
    <row r="313" ht="54" customHeight="1">
      <c r="A313" s="29" t="inlineStr">
        <is>
          <t>marbella:action:ruh-sagligi-ve-yasli-bakimi-dependencia-2</t>
        </is>
      </c>
      <c r="B313" s="29" t="inlineStr">
        <is>
          <t>marbella</t>
        </is>
      </c>
      <c r="C313" s="29" t="inlineStr">
        <is>
          <t>marbella:ruh-sagligi-ve-yasli-bakimi-dependencia</t>
        </is>
      </c>
      <c r="D313" s="29" t="inlineStr">
        <is>
          <t>Bilgi al</t>
        </is>
      </c>
      <c r="E313" s="29" t="inlineStr">
        <is>
          <t>https://www.boe.es/buscar/act.php?id=BOE-A-2006-16212</t>
        </is>
      </c>
      <c r="F313" s="49" t="n">
        <v>46319</v>
      </c>
      <c r="G313" s="51" t="n">
        <v>2</v>
      </c>
    </row>
    <row r="314" ht="54" customHeight="1">
      <c r="A314" s="29" t="inlineStr">
        <is>
          <t>marbella:action:endulus-saglik-karti-tarjeta-sanitaria-ve-aile-hekimi-secimi-1</t>
        </is>
      </c>
      <c r="B314" s="29" t="inlineStr">
        <is>
          <t>marbella</t>
        </is>
      </c>
      <c r="C314" s="29" t="inlineStr">
        <is>
          <t>marbella:endulus-saglik-karti-tarjeta-sanitaria-ve-aile-hekimi-secimi</t>
        </is>
      </c>
      <c r="D314" s="29" t="inlineStr">
        <is>
          <t>Bilgi al</t>
        </is>
      </c>
      <c r="E314" s="29" t="inlineStr">
        <is>
          <t>https://www.juntadeandalucia.es/temas/salud/servicios/tarjeta.html</t>
        </is>
      </c>
      <c r="F314" s="49" t="n">
        <v>46319</v>
      </c>
      <c r="G314" s="51" t="n">
        <v>1</v>
      </c>
    </row>
    <row r="315" ht="54" customHeight="1">
      <c r="A315" s="29" t="inlineStr">
        <is>
          <t>marbella:action:endulus-saglik-karti-tarjeta-sanitaria-ve-aile-hekimi-secimi-2</t>
        </is>
      </c>
      <c r="B315" s="29" t="inlineStr">
        <is>
          <t>marbella</t>
        </is>
      </c>
      <c r="C315" s="29" t="inlineStr">
        <is>
          <t>marbella:endulus-saglik-karti-tarjeta-sanitaria-ve-aile-hekimi-secimi</t>
        </is>
      </c>
      <c r="D315" s="29" t="inlineStr">
        <is>
          <t>Başvur</t>
        </is>
      </c>
      <c r="E315" s="29" t="inlineStr">
        <is>
          <t>https://www.juntadeandalucia.es/temas/salud/derechos/eleccion.html</t>
        </is>
      </c>
      <c r="F315" s="49" t="n">
        <v>46319</v>
      </c>
      <c r="G315" s="51" t="n">
        <v>2</v>
      </c>
    </row>
    <row r="316" ht="54" customHeight="1">
      <c r="A316" s="29" t="inlineStr">
        <is>
          <t>marbella:action:marbella-merkez-saglik-merkezleri-leganitos-ricardo-soriano-1</t>
        </is>
      </c>
      <c r="B316" s="29" t="inlineStr">
        <is>
          <t>marbella</t>
        </is>
      </c>
      <c r="C316" s="29" t="inlineStr">
        <is>
          <t>marbella:marbella-merkez-saglik-merkezleri-leganitos-ricardo-soriano</t>
        </is>
      </c>
      <c r="D316" s="29" t="inlineStr">
        <is>
          <t>Randevu al</t>
        </is>
      </c>
      <c r="E316" s="29" t="inlineStr">
        <is>
          <t>https://www.sspa.juntadeandalucia.es/servicioandaluzdesalud/el-sas/servicios-y-centros/informacion-por-centros/24920</t>
        </is>
      </c>
      <c r="F316" s="49" t="n">
        <v>46323</v>
      </c>
      <c r="G316" s="51" t="n">
        <v>1</v>
      </c>
    </row>
    <row r="317" ht="54" customHeight="1">
      <c r="A317" s="29" t="inlineStr">
        <is>
          <t>marbella:action:marbella-merkez-saglik-merkezleri-leganitos-ricardo-soriano-2</t>
        </is>
      </c>
      <c r="B317" s="29" t="inlineStr">
        <is>
          <t>marbella</t>
        </is>
      </c>
      <c r="C317" s="29" t="inlineStr">
        <is>
          <t>marbella:marbella-merkez-saglik-merkezleri-leganitos-ricardo-soriano</t>
        </is>
      </c>
      <c r="D317" s="29" t="inlineStr">
        <is>
          <t>Bilgi al</t>
        </is>
      </c>
      <c r="E317" s="29" t="inlineStr">
        <is>
          <t>https://www.sspa.juntadeandalucia.es/servicioandaluzdesalud/el-sas/servicios-y-centros/informacion-por-centros/32839</t>
        </is>
      </c>
      <c r="F317" s="49" t="n">
        <v>46323</v>
      </c>
      <c r="G317" s="51" t="n">
        <v>2</v>
      </c>
    </row>
    <row r="318" ht="54" customHeight="1">
      <c r="A318" s="29" t="inlineStr">
        <is>
          <t>marbella:action:marbella-albarizas-ve-la-campana-saglik-merkezleri-1</t>
        </is>
      </c>
      <c r="B318" s="29" t="inlineStr">
        <is>
          <t>marbella</t>
        </is>
      </c>
      <c r="C318" s="29" t="inlineStr">
        <is>
          <t>marbella:marbella-albarizas-ve-la-campana-saglik-merkezleri</t>
        </is>
      </c>
      <c r="D318" s="29" t="inlineStr">
        <is>
          <t>Randevu al</t>
        </is>
      </c>
      <c r="E318" s="29" t="inlineStr">
        <is>
          <t>https://www.sspa.juntadeandalucia.es/servicioandaluzdesalud/el-sas/servicios-y-centros/informacion-por-centros/24921</t>
        </is>
      </c>
      <c r="F318" s="49" t="n">
        <v>46323</v>
      </c>
      <c r="G318" s="51" t="n">
        <v>1</v>
      </c>
    </row>
    <row r="319" ht="54" customHeight="1">
      <c r="A319" s="29" t="inlineStr">
        <is>
          <t>marbella:action:marbella-albarizas-ve-la-campana-saglik-merkezleri-2</t>
        </is>
      </c>
      <c r="B319" s="29" t="inlineStr">
        <is>
          <t>marbella</t>
        </is>
      </c>
      <c r="C319" s="29" t="inlineStr">
        <is>
          <t>marbella:marbella-albarizas-ve-la-campana-saglik-merkezleri</t>
        </is>
      </c>
      <c r="D319" s="29" t="inlineStr">
        <is>
          <t>Bilgi al</t>
        </is>
      </c>
      <c r="E319" s="29" t="inlineStr">
        <is>
          <t>https://www.sspa.juntadeandalucia.es/servicioandaluzdesalud/el-sas/servicios-y-centros/informacion-por-centros/24890</t>
        </is>
      </c>
      <c r="F319" s="49" t="n">
        <v>46323</v>
      </c>
      <c r="G319" s="51" t="n">
        <v>2</v>
      </c>
    </row>
    <row r="320" ht="54" customHeight="1">
      <c r="A320" s="29" t="inlineStr">
        <is>
          <t>marbella:action:marbella-san-pedro-alcantara-saglik-merkezi-1</t>
        </is>
      </c>
      <c r="B320" s="29" t="inlineStr">
        <is>
          <t>marbella</t>
        </is>
      </c>
      <c r="C320" s="29" t="inlineStr">
        <is>
          <t>marbella:marbella-san-pedro-alcantara-saglik-merkezi</t>
        </is>
      </c>
      <c r="D320" s="29" t="inlineStr">
        <is>
          <t>Randevu al</t>
        </is>
      </c>
      <c r="E320" s="29" t="inlineStr">
        <is>
          <t>https://www.sspa.juntadeandalucia.es/servicioandaluzdesalud/el-sas/servicios-y-centros/informacion-por-centros/24891</t>
        </is>
      </c>
      <c r="F320" s="49" t="n">
        <v>46323</v>
      </c>
      <c r="G320" s="51" t="n">
        <v>1</v>
      </c>
    </row>
    <row r="321" ht="54" customHeight="1">
      <c r="A321" s="29" t="inlineStr">
        <is>
          <t>marbella:action:marbella-hospital-costa-del-sol-adres-acil-telefonlar-1</t>
        </is>
      </c>
      <c r="B321" s="29" t="inlineStr">
        <is>
          <t>marbella</t>
        </is>
      </c>
      <c r="C321" s="29" t="inlineStr">
        <is>
          <t>marbella:marbella-hospital-costa-del-sol-adres-acil-telefonlar</t>
        </is>
      </c>
      <c r="D321" s="29" t="inlineStr">
        <is>
          <t>Bilgi al</t>
        </is>
      </c>
      <c r="E321" s="29" t="inlineStr">
        <is>
          <t>https://www.sspa.juntadeandalucia.es/servicioandaluzdesalud/el-sas/servicios-y-centros/informacion-por-centros/32094</t>
        </is>
      </c>
      <c r="F321" s="49" t="n">
        <v>46323</v>
      </c>
      <c r="G321" s="51" t="n">
        <v>1</v>
      </c>
    </row>
    <row r="322" ht="54" customHeight="1">
      <c r="A322" s="29" t="inlineStr">
        <is>
          <t>marbella:action:marbella-ilk-saglik-karti-basvurusu-belgeler-1</t>
        </is>
      </c>
      <c r="B322" s="29" t="inlineStr">
        <is>
          <t>marbella</t>
        </is>
      </c>
      <c r="C322" s="29" t="inlineStr">
        <is>
          <t>marbella:marbella-ilk-saglik-karti-basvurusu-belgeler</t>
        </is>
      </c>
      <c r="D322" s="29" t="inlineStr">
        <is>
          <t>Başvur</t>
        </is>
      </c>
      <c r="E322" s="29" t="inlineStr">
        <is>
          <t>https://www.sspa.juntadeandalucia.es/servicioandaluzdesalud/ciudadania/tarjeta-sanitaria-de-andalucia</t>
        </is>
      </c>
      <c r="F322" s="49" t="n">
        <v>46323</v>
      </c>
      <c r="G322" s="51" t="n">
        <v>1</v>
      </c>
    </row>
    <row r="323" ht="54" customHeight="1">
      <c r="A323" s="29" t="inlineStr">
        <is>
          <t>marbella:action:marbella-ilk-saglik-karti-basvurusu-belgeler-2</t>
        </is>
      </c>
      <c r="B323" s="29" t="inlineStr">
        <is>
          <t>marbella</t>
        </is>
      </c>
      <c r="C323" s="29" t="inlineStr">
        <is>
          <t>marbella:marbella-ilk-saglik-karti-basvurusu-belgeler</t>
        </is>
      </c>
      <c r="D323" s="29" t="inlineStr">
        <is>
          <t>Bilgi al</t>
        </is>
      </c>
      <c r="E323" s="29" t="inlineStr">
        <is>
          <t>https://www.sspa.juntadeandalucia.es/servicioandaluzdesalud/el-sas/servicios-y-centros/informacion-por-centros/24920</t>
        </is>
      </c>
      <c r="F323" s="49" t="n">
        <v>46323</v>
      </c>
      <c r="G323" s="51" t="n">
        <v>2</v>
      </c>
    </row>
    <row r="324" ht="54" customHeight="1">
      <c r="A324" s="29" t="inlineStr">
        <is>
          <t>marbella:action:marbella-yenidogan-bebek-saglik-karti-1</t>
        </is>
      </c>
      <c r="B324" s="29" t="inlineStr">
        <is>
          <t>marbella</t>
        </is>
      </c>
      <c r="C324" s="29" t="inlineStr">
        <is>
          <t>marbella:marbella-yenidogan-bebek-saglik-karti</t>
        </is>
      </c>
      <c r="D324" s="29" t="inlineStr">
        <is>
          <t>Başvur</t>
        </is>
      </c>
      <c r="E324" s="29" t="inlineStr">
        <is>
          <t>https://www.sspa.juntadeandalucia.es/servicioandaluzdesalud/ciudadania/tarjeta-sanitaria-de-andalucia</t>
        </is>
      </c>
      <c r="F324" s="49" t="n">
        <v>46323</v>
      </c>
      <c r="G324" s="51" t="n">
        <v>1</v>
      </c>
    </row>
    <row r="325" ht="54" customHeight="1">
      <c r="A325" s="29" t="inlineStr">
        <is>
          <t>marbella:action:marbella-aile-hekimi-randevusu-clicsalud-app-1</t>
        </is>
      </c>
      <c r="B325" s="29" t="inlineStr">
        <is>
          <t>marbella</t>
        </is>
      </c>
      <c r="C325" s="29" t="inlineStr">
        <is>
          <t>marbella:marbella-aile-hekimi-randevusu-clicsalud-app</t>
        </is>
      </c>
      <c r="D325" s="29" t="inlineStr">
        <is>
          <t>Randevu al</t>
        </is>
      </c>
      <c r="E325" s="29" t="inlineStr">
        <is>
          <t>https://www.sspa.juntadeandalucia.es/servicioandaluzdesalud/ciudadania/app-salud-andalucia</t>
        </is>
      </c>
      <c r="F325" s="49" t="n">
        <v>46323</v>
      </c>
      <c r="G325" s="51" t="n">
        <v>1</v>
      </c>
    </row>
    <row r="326" ht="54" customHeight="1">
      <c r="A326" s="29" t="inlineStr">
        <is>
          <t>marbella:action:marbella-aile-hekimi-randevusu-clicsalud-app-2</t>
        </is>
      </c>
      <c r="B326" s="29" t="inlineStr">
        <is>
          <t>marbella</t>
        </is>
      </c>
      <c r="C326" s="29" t="inlineStr">
        <is>
          <t>marbella:marbella-aile-hekimi-randevusu-clicsalud-app</t>
        </is>
      </c>
      <c r="D326" s="29" t="inlineStr">
        <is>
          <t>Bilgi al</t>
        </is>
      </c>
      <c r="E326" s="29" t="inlineStr">
        <is>
          <t>https://www.sspa.juntadeandalucia.es/servicioandaluzdesalud/el-sas/servicios-y-centros/informacion-por-centros/24920</t>
        </is>
      </c>
      <c r="F326" s="49" t="n">
        <v>46323</v>
      </c>
      <c r="G326" s="51" t="n">
        <v>2</v>
      </c>
    </row>
    <row r="327" ht="54" customHeight="1">
      <c r="A327" s="29" t="inlineStr">
        <is>
          <t>marbella:action:marbella-sanal-saglik-karti-ve-kart-yenileme-1</t>
        </is>
      </c>
      <c r="B327" s="29" t="inlineStr">
        <is>
          <t>marbella</t>
        </is>
      </c>
      <c r="C327" s="29" t="inlineStr">
        <is>
          <t>marbella:marbella-sanal-saglik-karti-ve-kart-yenileme</t>
        </is>
      </c>
      <c r="D327" s="29" t="inlineStr">
        <is>
          <t>Bilgi al</t>
        </is>
      </c>
      <c r="E327" s="29" t="inlineStr">
        <is>
          <t>https://www.sspa.juntadeandalucia.es/servicioandaluzdesalud/ciudadania/tarjeta-sanitaria-de-andalucia</t>
        </is>
      </c>
      <c r="F327" s="49" t="n">
        <v>46323</v>
      </c>
      <c r="G327" s="51" t="n">
        <v>1</v>
      </c>
    </row>
    <row r="328" ht="54" customHeight="1">
      <c r="A328" s="29" t="inlineStr">
        <is>
          <t>marbella:action:marbella-sanal-saglik-karti-ve-kart-yenileme-2</t>
        </is>
      </c>
      <c r="B328" s="29" t="inlineStr">
        <is>
          <t>marbella</t>
        </is>
      </c>
      <c r="C328" s="29" t="inlineStr">
        <is>
          <t>marbella:marbella-sanal-saglik-karti-ve-kart-yenileme</t>
        </is>
      </c>
      <c r="D328" s="29" t="inlineStr">
        <is>
          <t>Bilgi al</t>
        </is>
      </c>
      <c r="E328" s="29" t="inlineStr">
        <is>
          <t>https://www.sspa.juntadeandalucia.es/servicioandaluzdesalud/ciudadania/app-salud-andalucia</t>
        </is>
      </c>
      <c r="F328" s="49" t="n">
        <v>46323</v>
      </c>
      <c r="G328" s="51" t="n">
        <v>2</v>
      </c>
    </row>
    <row r="329" ht="54" customHeight="1">
      <c r="A329" s="29" t="inlineStr">
        <is>
          <t>marbella:action:endulus-2026-asi-takvimi-yenilikleri-cocuk-ergen-yetiskin-1</t>
        </is>
      </c>
      <c r="B329" s="29" t="inlineStr">
        <is>
          <t>marbella</t>
        </is>
      </c>
      <c r="C329" s="29" t="inlineStr">
        <is>
          <t>marbella:endulus-2026-asi-takvimi-yenilikleri-cocuk-ergen-yetiskin</t>
        </is>
      </c>
      <c r="D329" s="29" t="inlineStr">
        <is>
          <t>Bilgi al</t>
        </is>
      </c>
      <c r="E329" s="29" t="inlineStr">
        <is>
          <t>https://www.sspa.juntadeandalucia.es/servicioandaluzdesalud/archivo-comunicado/novedades-relevantes-del-calendario-de-vacunaciones-de-andalucia-2026</t>
        </is>
      </c>
      <c r="F329" s="49" t="n">
        <v>46323</v>
      </c>
      <c r="G329" s="51" t="n">
        <v>1</v>
      </c>
    </row>
    <row r="330" ht="54" customHeight="1">
      <c r="A330" s="29" t="inlineStr">
        <is>
          <t>marbella:action:marbella-yaz-sicagi-saglik-riskleri-ulusal-sicak-plani-1</t>
        </is>
      </c>
      <c r="B330" s="29" t="inlineStr">
        <is>
          <t>marbella</t>
        </is>
      </c>
      <c r="C330" s="29" t="inlineStr">
        <is>
          <t>marbella:marbella-yaz-sicagi-saglik-riskleri-ulusal-sicak-plani</t>
        </is>
      </c>
      <c r="D330" s="29" t="inlineStr">
        <is>
          <t>Bilgi al</t>
        </is>
      </c>
      <c r="E330" s="29" t="inlineStr">
        <is>
          <t>https://www.sanidad.gob.es/areas/sanidadAmbiental/riesgosAmbientales/calorExtremo/home.htm</t>
        </is>
      </c>
      <c r="F330" s="49" t="n">
        <v>46323</v>
      </c>
      <c r="G330" s="51" t="n">
        <v>1</v>
      </c>
    </row>
    <row r="331" ht="54" customHeight="1">
      <c r="A331" s="29" t="inlineStr">
        <is>
          <t>marbella:action:marbella-belediye-saglik-tuketici-hizmetler-delegasyonu-1</t>
        </is>
      </c>
      <c r="B331" s="29" t="inlineStr">
        <is>
          <t>marbella</t>
        </is>
      </c>
      <c r="C331" s="29" t="inlineStr">
        <is>
          <t>marbella:marbella-belediye-saglik-tuketici-hizmetler-delegasyonu</t>
        </is>
      </c>
      <c r="D331" s="29" t="inlineStr">
        <is>
          <t>Bilgi al</t>
        </is>
      </c>
      <c r="E331" s="29" t="inlineStr">
        <is>
          <t>https://www.marbella.es/web/sanidad-consumo-y-servicios/inicio.html</t>
        </is>
      </c>
      <c r="F331" s="49" t="n">
        <v>46323</v>
      </c>
      <c r="G331" s="51" t="n">
        <v>1</v>
      </c>
    </row>
    <row r="332" ht="54" customHeight="1">
      <c r="A332" s="29" t="inlineStr">
        <is>
          <t>marbella:action:salud-responde-955-54-50-60-neler-yapilir-1</t>
        </is>
      </c>
      <c r="B332" s="29" t="inlineStr">
        <is>
          <t>marbella</t>
        </is>
      </c>
      <c r="C332" s="29" t="inlineStr">
        <is>
          <t>marbella:salud-responde-955-54-50-60-neler-yapilir</t>
        </is>
      </c>
      <c r="D332" s="29" t="inlineStr">
        <is>
          <t>Bilgi al</t>
        </is>
      </c>
      <c r="E332" s="29" t="inlineStr">
        <is>
          <t>https://www.sspa.juntadeandalucia.es/servicioandaluzdesalud/ciudadania/tarjeta-sanitaria-de-andalucia</t>
        </is>
      </c>
      <c r="F332" s="49" t="n">
        <v>46323</v>
      </c>
      <c r="G332" s="51" t="n">
        <v>1</v>
      </c>
    </row>
    <row r="333" ht="54" customHeight="1">
      <c r="A333" s="29" t="inlineStr">
        <is>
          <t>marbella:action:salud-responde-955-54-50-60-neler-yapilir-2</t>
        </is>
      </c>
      <c r="B333" s="29" t="inlineStr">
        <is>
          <t>marbella</t>
        </is>
      </c>
      <c r="C333" s="29" t="inlineStr">
        <is>
          <t>marbella:salud-responde-955-54-50-60-neler-yapilir</t>
        </is>
      </c>
      <c r="D333" s="29" t="inlineStr">
        <is>
          <t>Bilgi al</t>
        </is>
      </c>
      <c r="E333" s="29" t="inlineStr">
        <is>
          <t>https://www.juntadeandalucia.es/temas/salud/derechos/eleccion.html</t>
        </is>
      </c>
      <c r="F333" s="49" t="n">
        <v>46323</v>
      </c>
      <c r="G333" s="51" t="n">
        <v>2</v>
      </c>
    </row>
    <row r="334" ht="54" customHeight="1">
      <c r="A334" s="29" t="inlineStr">
        <is>
          <t>marbella:action:renfe-bilet-iptal-degisiklik-genc-indirimi-1</t>
        </is>
      </c>
      <c r="B334" s="29" t="inlineStr">
        <is>
          <t>marbella</t>
        </is>
      </c>
      <c r="C334" s="29" t="inlineStr">
        <is>
          <t>marbella:renfe-bilet-iptal-degisiklik-genc-indirimi</t>
        </is>
      </c>
      <c r="D334" s="29" t="inlineStr">
        <is>
          <t>Bilgi al</t>
        </is>
      </c>
      <c r="E334" s="29" t="inlineStr">
        <is>
          <t>https://www.renfe.com/es/es/viajar/prepara-tu-viaje/billetes-ave-y-largadistancia/todos-los-billetes</t>
        </is>
      </c>
      <c r="F334" s="49" t="n">
        <v>46319</v>
      </c>
      <c r="G334" s="51" t="n">
        <v>1</v>
      </c>
    </row>
    <row r="335" ht="54" customHeight="1">
      <c r="A335" s="29" t="inlineStr">
        <is>
          <t>marbella:action:renfe-bilet-iptal-degisiklik-genc-indirimi-2</t>
        </is>
      </c>
      <c r="B335" s="29" t="inlineStr">
        <is>
          <t>marbella</t>
        </is>
      </c>
      <c r="C335" s="29" t="inlineStr">
        <is>
          <t>marbella:renfe-bilet-iptal-degisiklik-genc-indirimi</t>
        </is>
      </c>
      <c r="D335" s="29" t="inlineStr">
        <is>
          <t>Bilgi al</t>
        </is>
      </c>
      <c r="E335" s="29" t="inlineStr">
        <is>
          <t>https://www.renfe.com/es/es/viajar/prepara-tu-viaje/descuentos/Jovenes.html</t>
        </is>
      </c>
      <c r="F335" s="49" t="n">
        <v>46319</v>
      </c>
      <c r="G335" s="51" t="n">
        <v>2</v>
      </c>
    </row>
    <row r="336" ht="54" customHeight="1">
      <c r="A336" s="29" t="inlineStr">
        <is>
          <t>marbella:action:otobus-yolcu-haklari-rotar-bagaj-engelli-1</t>
        </is>
      </c>
      <c r="B336" s="29" t="inlineStr">
        <is>
          <t>marbella</t>
        </is>
      </c>
      <c r="C336" s="29" t="inlineStr">
        <is>
          <t>marbella:otobus-yolcu-haklari-rotar-bagaj-engelli</t>
        </is>
      </c>
      <c r="D336" s="29" t="inlineStr">
        <is>
          <t>Bilgi al</t>
        </is>
      </c>
      <c r="E336" s="29" t="inlineStr">
        <is>
          <t>https://www.boe.es/buscar/doc.php?id=DOUE-L-2011-80347</t>
        </is>
      </c>
      <c r="F336" s="49" t="n">
        <v>46319</v>
      </c>
      <c r="G336" s="51" t="n">
        <v>1</v>
      </c>
    </row>
    <row r="337" ht="54" customHeight="1">
      <c r="A337" s="29" t="inlineStr">
        <is>
          <t>marbella:action:otobus-yolcu-haklari-rotar-bagaj-engelli-2</t>
        </is>
      </c>
      <c r="B337" s="29" t="inlineStr">
        <is>
          <t>marbella</t>
        </is>
      </c>
      <c r="C337" s="29" t="inlineStr">
        <is>
          <t>marbella:otobus-yolcu-haklari-rotar-bagaj-engelli</t>
        </is>
      </c>
      <c r="D337" s="29" t="inlineStr">
        <is>
          <t>Bilgi al</t>
        </is>
      </c>
      <c r="E337" s="29" t="inlineStr">
        <is>
          <t>https://portal-cec.consumo.gob.es/en/informacion-general/viajes/transporte-por-carretera</t>
        </is>
      </c>
      <c r="F337" s="49" t="n">
        <v>46319</v>
      </c>
      <c r="G337" s="51" t="n">
        <v>2</v>
      </c>
    </row>
    <row r="338" ht="54" customHeight="1">
      <c r="A338" s="29" t="inlineStr">
        <is>
          <t>marbella:action:hiz-siniri-alkol-ehliyet-puani-1</t>
        </is>
      </c>
      <c r="B338" s="29" t="inlineStr">
        <is>
          <t>marbella</t>
        </is>
      </c>
      <c r="C338" s="29" t="inlineStr">
        <is>
          <t>marbella:hiz-siniri-alkol-ehliyet-puani</t>
        </is>
      </c>
      <c r="D338" s="29" t="inlineStr">
        <is>
          <t>Bilgi al</t>
        </is>
      </c>
      <c r="E338" s="29" t="inlineStr">
        <is>
          <t>https://www.boe.es/buscar/act.php?id=BOE-A-2003-23514</t>
        </is>
      </c>
      <c r="F338" s="49" t="n">
        <v>46319</v>
      </c>
      <c r="G338" s="51" t="n">
        <v>1</v>
      </c>
    </row>
    <row r="339" ht="54" customHeight="1">
      <c r="A339" s="29" t="inlineStr">
        <is>
          <t>marbella:action:hiz-siniri-alkol-ehliyet-puani-2</t>
        </is>
      </c>
      <c r="B339" s="29" t="inlineStr">
        <is>
          <t>marbella</t>
        </is>
      </c>
      <c r="C339" s="29" t="inlineStr">
        <is>
          <t>marbella:hiz-siniri-alkol-ehliyet-puani</t>
        </is>
      </c>
      <c r="D339" s="29" t="inlineStr">
        <is>
          <t>Bilgi al</t>
        </is>
      </c>
      <c r="E339" s="29" t="inlineStr">
        <is>
          <t>https://www.dgt.es/nuestros-servicios/permisos-de-conducir/tus-puntos-y-tus-permisos/como-funciona-el-permiso-por-puntos/</t>
        </is>
      </c>
      <c r="F339" s="49" t="n">
        <v>46319</v>
      </c>
      <c r="G339" s="51" t="n">
        <v>2</v>
      </c>
    </row>
    <row r="340" ht="54" customHeight="1">
      <c r="A340" s="29" t="inlineStr">
        <is>
          <t>marbella:action:itv-arac-muayene-periyotlari-1</t>
        </is>
      </c>
      <c r="B340" s="29" t="inlineStr">
        <is>
          <t>marbella</t>
        </is>
      </c>
      <c r="C340" s="29" t="inlineStr">
        <is>
          <t>marbella:itv-arac-muayene-periyotlari</t>
        </is>
      </c>
      <c r="D340" s="29" t="inlineStr">
        <is>
          <t>Bilgi al</t>
        </is>
      </c>
      <c r="E340" s="29" t="inlineStr">
        <is>
          <t>https://www.boe.es/buscar/act.php?id=BOE-A-2017-12841</t>
        </is>
      </c>
      <c r="F340" s="49" t="n">
        <v>46319</v>
      </c>
      <c r="G340" s="51" t="n">
        <v>1</v>
      </c>
    </row>
    <row r="341" ht="54" customHeight="1">
      <c r="A341" s="29" t="inlineStr">
        <is>
          <t>marbella:action:ucus-gecikme-iptal-aesa-sikayet-1</t>
        </is>
      </c>
      <c r="B341" s="29" t="inlineStr">
        <is>
          <t>marbella</t>
        </is>
      </c>
      <c r="C341" s="29" t="inlineStr">
        <is>
          <t>marbella:ucus-gecikme-iptal-aesa-sikayet</t>
        </is>
      </c>
      <c r="D341" s="29" t="inlineStr">
        <is>
          <t>Bilgi al</t>
        </is>
      </c>
      <c r="E341" s="29" t="inlineStr">
        <is>
          <t>https://sede.seguridadaerea.gob.es/sede-aesa/catalogo-de-procedimientos/reclamaciones-por-cancelaciones-retrasos-denegaciones-de-embarque-y-pmr</t>
        </is>
      </c>
      <c r="F341" s="49" t="n">
        <v>46319</v>
      </c>
      <c r="G341" s="51" t="n">
        <v>1</v>
      </c>
    </row>
    <row r="342" ht="54" customHeight="1">
      <c r="A342" s="29" t="inlineStr">
        <is>
          <t>marbella:action:ucus-gecikme-iptal-aesa-sikayet-2</t>
        </is>
      </c>
      <c r="B342" s="29" t="inlineStr">
        <is>
          <t>marbella</t>
        </is>
      </c>
      <c r="C342" s="29" t="inlineStr">
        <is>
          <t>marbella:ucus-gecikme-iptal-aesa-sikayet</t>
        </is>
      </c>
      <c r="D342" s="29" t="inlineStr">
        <is>
          <t>Bilgi al</t>
        </is>
      </c>
      <c r="E342" s="29" t="inlineStr">
        <is>
          <t>https://www.seguridadaerea.gob.es/es/preguntas-frecuentes-derechos-pasajeros</t>
        </is>
      </c>
      <c r="F342" s="49" t="n">
        <v>46319</v>
      </c>
      <c r="G342" s="51" t="n">
        <v>2</v>
      </c>
    </row>
    <row r="343" ht="54" customHeight="1">
      <c r="A343" s="29" t="inlineStr">
        <is>
          <t>marbella:action:ada-ceuta-melilla-yerlesik-ucus-indirimi-1</t>
        </is>
      </c>
      <c r="B343" s="29" t="inlineStr">
        <is>
          <t>marbella</t>
        </is>
      </c>
      <c r="C343" s="29" t="inlineStr">
        <is>
          <t>marbella:ada-ceuta-melilla-yerlesik-ucus-indirimi</t>
        </is>
      </c>
      <c r="D343" s="29" t="inlineStr">
        <is>
          <t>Bilgi al</t>
        </is>
      </c>
      <c r="E343" s="29" t="inlineStr">
        <is>
          <t>https://www.boe.es/buscar/doc.php?id=BOE-A-2018-10651</t>
        </is>
      </c>
      <c r="F343" s="49" t="n">
        <v>46319</v>
      </c>
      <c r="G343" s="51" t="n">
        <v>1</v>
      </c>
    </row>
    <row r="344" ht="54" customHeight="1">
      <c r="A344" s="29" t="inlineStr">
        <is>
          <t>marbella:action:ada-ceuta-melilla-yerlesik-ucus-indirimi-2</t>
        </is>
      </c>
      <c r="B344" s="29" t="inlineStr">
        <is>
          <t>marbella</t>
        </is>
      </c>
      <c r="C344" s="29" t="inlineStr">
        <is>
          <t>marbella:ada-ceuta-melilla-yerlesik-ucus-indirimi</t>
        </is>
      </c>
      <c r="D344" s="29" t="inlineStr">
        <is>
          <t>Bilgi al</t>
        </is>
      </c>
      <c r="E344" s="29" t="inlineStr">
        <is>
          <t>https://www.boe.es/buscar/act.php?id=BOE-A-2012-15651</t>
        </is>
      </c>
      <c r="F344" s="49" t="n">
        <v>46319</v>
      </c>
      <c r="G344" s="51" t="n">
        <v>2</v>
      </c>
    </row>
    <row r="345" ht="54" customHeight="1">
      <c r="A345" s="29" t="inlineStr">
        <is>
          <t>marbella:action:endulus-metropol-ulasim-konsorsiyum-kartlari-ve-interoperabilite-1</t>
        </is>
      </c>
      <c r="B345" s="29" t="inlineStr">
        <is>
          <t>marbella</t>
        </is>
      </c>
      <c r="C345" s="29" t="inlineStr">
        <is>
          <t>marbella:endulus-metropol-ulasim-konsorsiyum-kartlari-ve-interoperabilite</t>
        </is>
      </c>
      <c r="D345" s="29" t="inlineStr">
        <is>
          <t>Tarifeyi gör</t>
        </is>
      </c>
      <c r="E345" s="29" t="inlineStr">
        <is>
          <t>https://ctagr.es/sistema-tarifario/interoperatividad</t>
        </is>
      </c>
      <c r="F345" s="49" t="n">
        <v>46319</v>
      </c>
      <c r="G345" s="51" t="n">
        <v>1</v>
      </c>
    </row>
    <row r="346" ht="54" customHeight="1">
      <c r="A346" s="29" t="inlineStr">
        <is>
          <t>marbella:action:endulus-metropol-ulasim-konsorsiyum-kartlari-ve-interoperabilite-2</t>
        </is>
      </c>
      <c r="B346" s="29" t="inlineStr">
        <is>
          <t>marbella</t>
        </is>
      </c>
      <c r="C346" s="29" t="inlineStr">
        <is>
          <t>marbella:endulus-metropol-ulasim-konsorsiyum-kartlari-ve-interoperabilite</t>
        </is>
      </c>
      <c r="D346" s="29" t="inlineStr">
        <is>
          <t>Bilgi al</t>
        </is>
      </c>
      <c r="E346" s="29" t="inlineStr">
        <is>
          <t>https://ctmam.es/titulos-de-transporte/tarjeta-de-transporte/</t>
        </is>
      </c>
      <c r="F346" s="49" t="n">
        <v>46319</v>
      </c>
      <c r="G346" s="51" t="n">
        <v>2</v>
      </c>
    </row>
    <row r="347" ht="54" customHeight="1">
      <c r="A347" s="29" t="inlineStr">
        <is>
          <t>marbella:action:sehir-otobusu-urbanos-marbella-hat-tarife-bilgisi-1</t>
        </is>
      </c>
      <c r="B347" s="29" t="inlineStr">
        <is>
          <t>marbella</t>
        </is>
      </c>
      <c r="C347" s="29" t="inlineStr">
        <is>
          <t>marbella:sehir-otobusu-urbanos-marbella-hat-tarife-bilgisi</t>
        </is>
      </c>
      <c r="D347" s="29" t="inlineStr">
        <is>
          <t>Tarifeyi gör</t>
        </is>
      </c>
      <c r="E347" s="29" t="inlineStr">
        <is>
          <t>https://ayuntamiento.marbella.es/gestion-municipal/delegaciones/movilidad/transportes/autobus/534-autobus-urbano.html</t>
        </is>
      </c>
      <c r="F347" s="49" t="n">
        <v>46323</v>
      </c>
      <c r="G347" s="51" t="n">
        <v>1</v>
      </c>
    </row>
    <row r="348" ht="54" customHeight="1">
      <c r="A348" s="29" t="inlineStr">
        <is>
          <t>marbella:action:sehir-otobusu-urbanos-marbella-hat-tarife-bilgisi-2</t>
        </is>
      </c>
      <c r="B348" s="29" t="inlineStr">
        <is>
          <t>marbella</t>
        </is>
      </c>
      <c r="C348" s="29" t="inlineStr">
        <is>
          <t>marbella:sehir-otobusu-urbanos-marbella-hat-tarife-bilgisi</t>
        </is>
      </c>
      <c r="D348" s="29" t="inlineStr">
        <is>
          <t>Bilgi al</t>
        </is>
      </c>
      <c r="E348" s="29" t="inlineStr">
        <is>
          <t>https://ayuntamiento.marbella.es/gestion-municipal/delegaciones/movilidad/transportes/autobus/535-transporte-interurbano.html</t>
        </is>
      </c>
      <c r="F348" s="49" t="n">
        <v>46323</v>
      </c>
      <c r="G348" s="51" t="n">
        <v>2</v>
      </c>
    </row>
    <row r="349" ht="54" customHeight="1">
      <c r="A349" s="29" t="inlineStr">
        <is>
          <t>marbella:action:marbella-otogari-san-pedro-sehirlerarasi-otobus-1</t>
        </is>
      </c>
      <c r="B349" s="29" t="inlineStr">
        <is>
          <t>marbella</t>
        </is>
      </c>
      <c r="C349" s="29" t="inlineStr">
        <is>
          <t>marbella:marbella-otogari-san-pedro-sehirlerarasi-otobus</t>
        </is>
      </c>
      <c r="D349" s="29" t="inlineStr">
        <is>
          <t>Bilgi al</t>
        </is>
      </c>
      <c r="E349" s="29" t="inlineStr">
        <is>
          <t>https://ayuntamiento.marbella.es/gestion-municipal/delegaciones/movilidad/transportes/autobus/535-transporte-interurbano.html</t>
        </is>
      </c>
      <c r="F349" s="49" t="n">
        <v>46323</v>
      </c>
      <c r="G349" s="51" t="n">
        <v>1</v>
      </c>
    </row>
    <row r="350" ht="54" customHeight="1">
      <c r="A350" s="29" t="inlineStr">
        <is>
          <t>marbella:action:marbella-otogarindan-malaga-havalimani-otobus-avanza-1</t>
        </is>
      </c>
      <c r="B350" s="29" t="inlineStr">
        <is>
          <t>marbella</t>
        </is>
      </c>
      <c r="C350" s="29" t="inlineStr">
        <is>
          <t>marbella:marbella-otogarindan-malaga-havalimani-otobus-avanza</t>
        </is>
      </c>
      <c r="D350" s="29" t="inlineStr">
        <is>
          <t>Bilgi al</t>
        </is>
      </c>
      <c r="E350" s="29" t="inlineStr">
        <is>
          <t>https://www.aena.es/es/malaga-costa-del-sol/como-llegar/autobus.html</t>
        </is>
      </c>
      <c r="F350" s="49" t="n">
        <v>46323</v>
      </c>
      <c r="G350" s="51" t="n">
        <v>1</v>
      </c>
    </row>
    <row r="351" ht="54" customHeight="1">
      <c r="A351" s="29" t="inlineStr">
        <is>
          <t>marbella:action:marbella-otogarindan-malaga-havalimani-otobus-avanza-2</t>
        </is>
      </c>
      <c r="B351" s="29" t="inlineStr">
        <is>
          <t>marbella</t>
        </is>
      </c>
      <c r="C351" s="29" t="inlineStr">
        <is>
          <t>marbella:marbella-otogarindan-malaga-havalimani-otobus-avanza</t>
        </is>
      </c>
      <c r="D351" s="29" t="inlineStr">
        <is>
          <t>Bilgi al</t>
        </is>
      </c>
      <c r="E351" s="29" t="inlineStr">
        <is>
          <t>https://ayuntamiento.marbella.es/gestion-municipal/delegaciones/movilidad/transportes/autobus/535-transporte-interurbano.html</t>
        </is>
      </c>
      <c r="F351" s="49" t="n">
        <v>46323</v>
      </c>
      <c r="G351" s="51" t="n">
        <v>2</v>
      </c>
    </row>
    <row r="352" ht="54" customHeight="1">
      <c r="A352" s="29" t="inlineStr">
        <is>
          <t>marbella:action:malaga-havalimani-tren-c1-ekspres-otobus-merkeze-1</t>
        </is>
      </c>
      <c r="B352" s="29" t="inlineStr">
        <is>
          <t>marbella</t>
        </is>
      </c>
      <c r="C352" s="29" t="inlineStr">
        <is>
          <t>marbella:malaga-havalimani-tren-c1-ekspres-otobus-merkeze</t>
        </is>
      </c>
      <c r="D352" s="29" t="inlineStr">
        <is>
          <t>Ulaşımı planla</t>
        </is>
      </c>
      <c r="E352" s="29" t="inlineStr">
        <is>
          <t>https://www.aena.es/es/malaga-costa-del-sol/como-llegar/tren.html</t>
        </is>
      </c>
      <c r="F352" s="49" t="n">
        <v>46323</v>
      </c>
      <c r="G352" s="51" t="n">
        <v>1</v>
      </c>
    </row>
    <row r="353" ht="54" customHeight="1">
      <c r="A353" s="29" t="inlineStr">
        <is>
          <t>marbella:action:malaga-havalimani-tren-c1-ekspres-otobus-merkeze-2</t>
        </is>
      </c>
      <c r="B353" s="29" t="inlineStr">
        <is>
          <t>marbella</t>
        </is>
      </c>
      <c r="C353" s="29" t="inlineStr">
        <is>
          <t>marbella:malaga-havalimani-tren-c1-ekspres-otobus-merkeze</t>
        </is>
      </c>
      <c r="D353" s="29" t="inlineStr">
        <is>
          <t>Bilet al</t>
        </is>
      </c>
      <c r="E353" s="29" t="inlineStr">
        <is>
          <t>https://www.aena.es/es/malaga-costa-del-sol/como-llegar/autobus.html</t>
        </is>
      </c>
      <c r="F353" s="49" t="n">
        <v>46323</v>
      </c>
      <c r="G353" s="51" t="n">
        <v>2</v>
      </c>
    </row>
    <row r="354" ht="54" customHeight="1">
      <c r="A354" s="29" t="inlineStr">
        <is>
          <t>marbella:action:malaga-havalimani-taksi-tarifeleri-4-5-9-1</t>
        </is>
      </c>
      <c r="B354" s="29" t="inlineStr">
        <is>
          <t>marbella</t>
        </is>
      </c>
      <c r="C354" s="29" t="inlineStr">
        <is>
          <t>marbella:malaga-havalimani-taksi-tarifeleri-4-5-9</t>
        </is>
      </c>
      <c r="D354" s="29" t="inlineStr">
        <is>
          <t>Tarifeyi gör</t>
        </is>
      </c>
      <c r="E354" s="29" t="inlineStr">
        <is>
          <t>https://www.aena.es/es/malaga-costa-del-sol/como-llegar/taxi.html</t>
        </is>
      </c>
      <c r="F354" s="49" t="n">
        <v>46323</v>
      </c>
      <c r="G354" s="51" t="n">
        <v>1</v>
      </c>
    </row>
    <row r="355" ht="54" customHeight="1">
      <c r="A355" s="29" t="inlineStr">
        <is>
          <t>marbella:action:marbella-taksi-tarifeleri-2026-taximetro-1</t>
        </is>
      </c>
      <c r="B355" s="29" t="inlineStr">
        <is>
          <t>marbella</t>
        </is>
      </c>
      <c r="C355" s="29" t="inlineStr">
        <is>
          <t>marbella:marbella-taksi-tarifeleri-2026-taximetro</t>
        </is>
      </c>
      <c r="D355" s="29" t="inlineStr">
        <is>
          <t>Tarifeyi gör</t>
        </is>
      </c>
      <c r="E355" s="29" t="inlineStr">
        <is>
          <t>https://ayuntamiento.marbella.es/gestion-municipal/delegaciones/movilidad/transportes/autotaxis/529-tarifas-del-servicio-urbano-de-taxi-con-taximetro.html</t>
        </is>
      </c>
      <c r="F355" s="49" t="n">
        <v>46323</v>
      </c>
      <c r="G355" s="51" t="n">
        <v>1</v>
      </c>
    </row>
    <row r="356" ht="54" customHeight="1">
      <c r="A356" s="29" t="inlineStr">
        <is>
          <t>marbella:action:marbella-elektrikli-scooter-vmp-kurallari-1</t>
        </is>
      </c>
      <c r="B356" s="29" t="inlineStr">
        <is>
          <t>marbella</t>
        </is>
      </c>
      <c r="C356" s="29" t="inlineStr">
        <is>
          <t>marbella:marbella-elektrikli-scooter-vmp-kurallari</t>
        </is>
      </c>
      <c r="D356" s="29" t="inlineStr">
        <is>
          <t>Bilgi al</t>
        </is>
      </c>
      <c r="E356" s="29" t="inlineStr">
        <is>
          <t>https://ayuntamiento.marbella.es/historial-de-comunicados-muncipales/4995-bando-regulacion-de-la-circulacion-de-bicicletas-y-vehiculos-de-movilidad-personal-en-las-vias-del-termino-municipal-de-marbella.html</t>
        </is>
      </c>
      <c r="F356" s="49" t="n">
        <v>46323</v>
      </c>
      <c r="G356" s="51" t="n">
        <v>1</v>
      </c>
    </row>
    <row r="357" ht="54" customHeight="1">
      <c r="A357" s="29" t="inlineStr">
        <is>
          <t>marbella:action:marbella-paseo-maritimo-bisiklet-vmp-sektorleri-1</t>
        </is>
      </c>
      <c r="B357" s="29" t="inlineStr">
        <is>
          <t>marbella</t>
        </is>
      </c>
      <c r="C357" s="29" t="inlineStr">
        <is>
          <t>marbella:marbella-paseo-maritimo-bisiklet-vmp-sektorleri</t>
        </is>
      </c>
      <c r="D357" s="29" t="inlineStr">
        <is>
          <t>Bilgi al</t>
        </is>
      </c>
      <c r="E357" s="29" t="inlineStr">
        <is>
          <t>https://ayuntamiento.marbella.es/historial-de-comunicados-muncipales/4995-bando-regulacion-de-la-circulacion-de-bicicletas-y-vehiculos-de-movilidad-personal-en-las-vias-del-termino-municipal-de-marbella.html</t>
        </is>
      </c>
      <c r="F357" s="49" t="n">
        <v>46323</v>
      </c>
      <c r="G357" s="51" t="n">
        <v>1</v>
      </c>
    </row>
    <row r="358" ht="54" customHeight="1">
      <c r="A358" s="29" t="inlineStr">
        <is>
          <t>marbella:action:malaga-toplu-tasima-karti-tarjeta-de-transporte-alim-yukleme-1</t>
        </is>
      </c>
      <c r="B358" s="29" t="inlineStr">
        <is>
          <t>marbella</t>
        </is>
      </c>
      <c r="C358" s="29" t="inlineStr">
        <is>
          <t>marbella:malaga-toplu-tasima-karti-tarjeta-de-transporte-alim-yukleme</t>
        </is>
      </c>
      <c r="D358" s="29" t="inlineStr">
        <is>
          <t>Bilgi al</t>
        </is>
      </c>
      <c r="E358" s="29" t="inlineStr">
        <is>
          <t>https://ctmam.es/titulos-de-transporte/tarjeta-de-transporte/</t>
        </is>
      </c>
      <c r="F358" s="49" t="n">
        <v>46323</v>
      </c>
      <c r="G358" s="51" t="n">
        <v>1</v>
      </c>
    </row>
    <row r="359" ht="54" customHeight="1">
      <c r="A359" s="29" t="inlineStr">
        <is>
          <t>marbella:action:malaga-metropol-ulasim-tarifesi-saltos-ve-aktarma-2026-1</t>
        </is>
      </c>
      <c r="B359" s="29" t="inlineStr">
        <is>
          <t>marbella</t>
        </is>
      </c>
      <c r="C359" s="29" t="inlineStr">
        <is>
          <t>marbella:malaga-metropol-ulasim-tarifesi-saltos-ve-aktarma-2026</t>
        </is>
      </c>
      <c r="D359" s="29" t="inlineStr">
        <is>
          <t>Tarifeyi gör</t>
        </is>
      </c>
      <c r="E359" s="29" t="inlineStr">
        <is>
          <t>https://ctmam.es/tarifas/</t>
        </is>
      </c>
      <c r="F359" s="49" t="n">
        <v>46323</v>
      </c>
      <c r="G359" s="51" t="n">
        <v>1</v>
      </c>
    </row>
    <row r="360" ht="54" customHeight="1">
      <c r="A360" s="29" t="inlineStr">
        <is>
          <t>marbella:action:malaga-cercanias-konsorsiyum-karti-giris-cikis-turnike-1</t>
        </is>
      </c>
      <c r="B360" s="29" t="inlineStr">
        <is>
          <t>marbella</t>
        </is>
      </c>
      <c r="C360" s="29" t="inlineStr">
        <is>
          <t>marbella:malaga-cercanias-konsorsiyum-karti-giris-cikis-turnike</t>
        </is>
      </c>
      <c r="D360" s="29" t="inlineStr">
        <is>
          <t>Bilgi al</t>
        </is>
      </c>
      <c r="E360" s="29" t="inlineStr">
        <is>
          <t>https://ctmam.es/renfe-cercanias/</t>
        </is>
      </c>
      <c r="F360" s="49" t="n">
        <v>46323</v>
      </c>
      <c r="G360" s="51" t="n">
        <v>1</v>
      </c>
    </row>
    <row r="361" ht="54" customHeight="1">
      <c r="A361" s="29" t="inlineStr">
        <is>
          <t>marbella:action:andalucia-toplu-tasima-cocuk-ucretsiz-genc-indirimi-2026-1</t>
        </is>
      </c>
      <c r="B361" s="29" t="inlineStr">
        <is>
          <t>marbella</t>
        </is>
      </c>
      <c r="C361" s="29" t="inlineStr">
        <is>
          <t>marbella:andalucia-toplu-tasima-cocuk-ucretsiz-genc-indirimi-2026</t>
        </is>
      </c>
      <c r="D361" s="29" t="inlineStr">
        <is>
          <t>Bilgi al</t>
        </is>
      </c>
      <c r="E361" s="29" t="inlineStr">
        <is>
          <t>https://ctmam.es/bonificaciones-al-transporte-publico-y-gratuidad-para-menores-de-15-anos/</t>
        </is>
      </c>
      <c r="F361" s="49" t="n">
        <v>46323</v>
      </c>
      <c r="G361" s="51" t="n">
        <v>1</v>
      </c>
    </row>
    <row r="362" ht="54" customHeight="1">
      <c r="A362" s="29" t="inlineStr">
        <is>
          <t>marbella:action:andalucia-toplu-tasima-cocuk-ucretsiz-genc-indirimi-2026-2</t>
        </is>
      </c>
      <c r="B362" s="29" t="inlineStr">
        <is>
          <t>marbella</t>
        </is>
      </c>
      <c r="C362" s="29" t="inlineStr">
        <is>
          <t>marbella:andalucia-toplu-tasima-cocuk-ucretsiz-genc-indirimi-2026</t>
        </is>
      </c>
      <c r="D362" s="29" t="inlineStr">
        <is>
          <t>Bilgi al</t>
        </is>
      </c>
      <c r="E362" s="29" t="inlineStr">
        <is>
          <t>https://ctmam.es/titulos-de-transporte/monedero-virtual/</t>
        </is>
      </c>
      <c r="F362" s="49" t="n">
        <v>46323</v>
      </c>
      <c r="G362" s="51" t="n">
        <v>2</v>
      </c>
    </row>
    <row r="363" ht="54" customHeight="1">
      <c r="A363" s="29" t="inlineStr">
        <is>
          <t>marbella:action:consorcio-malaga-monedero-virtual-telefonla-ode-1</t>
        </is>
      </c>
      <c r="B363" s="29" t="inlineStr">
        <is>
          <t>marbella</t>
        </is>
      </c>
      <c r="C363" s="29" t="inlineStr">
        <is>
          <t>marbella:consorcio-malaga-monedero-virtual-telefonla-ode</t>
        </is>
      </c>
      <c r="D363" s="29" t="inlineStr">
        <is>
          <t>Kayıt ol</t>
        </is>
      </c>
      <c r="E363" s="29" t="inlineStr">
        <is>
          <t>https://ctmam.es/titulos-de-transporte/monedero-virtual/</t>
        </is>
      </c>
      <c r="F363" s="49" t="n">
        <v>46323</v>
      </c>
      <c r="G363" s="51" t="n">
        <v>1</v>
      </c>
    </row>
    <row r="364" ht="54" customHeight="1">
      <c r="A364" s="29" t="n"/>
      <c r="B364" s="29" t="n"/>
      <c r="C364" s="29" t="n"/>
      <c r="D364" s="29" t="n"/>
      <c r="E364" s="29" t="n"/>
      <c r="F364" s="49" t="n"/>
      <c r="G364" s="51" t="n"/>
    </row>
    <row r="365" ht="54" customHeight="1">
      <c r="A365" s="29" t="n"/>
      <c r="B365" s="29" t="n"/>
      <c r="C365" s="29" t="n"/>
      <c r="D365" s="29" t="n"/>
      <c r="E365" s="29" t="n"/>
      <c r="F365" s="49" t="n"/>
      <c r="G365" s="51" t="n"/>
    </row>
    <row r="366" ht="54" customHeight="1">
      <c r="A366" s="29" t="n"/>
      <c r="B366" s="29" t="n"/>
      <c r="C366" s="29" t="n"/>
      <c r="D366" s="29" t="n"/>
      <c r="E366" s="29" t="n"/>
      <c r="F366" s="49" t="n"/>
      <c r="G366" s="51" t="n"/>
    </row>
    <row r="367" ht="54" customHeight="1">
      <c r="A367" s="29" t="n"/>
      <c r="B367" s="29" t="n"/>
      <c r="C367" s="29" t="n"/>
      <c r="D367" s="29" t="n"/>
      <c r="E367" s="29" t="n"/>
      <c r="F367" s="49" t="n"/>
      <c r="G367" s="51" t="n"/>
    </row>
    <row r="368" ht="54" customHeight="1">
      <c r="A368" s="29" t="n"/>
      <c r="B368" s="29" t="n"/>
      <c r="C368" s="29" t="n"/>
      <c r="D368" s="29" t="n"/>
      <c r="E368" s="29" t="n"/>
      <c r="F368" s="49" t="n"/>
      <c r="G368" s="51" t="n"/>
    </row>
    <row r="369" ht="54" customHeight="1">
      <c r="A369" s="29" t="n"/>
      <c r="B369" s="29" t="n"/>
      <c r="C369" s="29" t="n"/>
      <c r="D369" s="29" t="n"/>
      <c r="E369" s="29" t="n"/>
      <c r="F369" s="49" t="n"/>
      <c r="G369" s="51" t="n"/>
    </row>
    <row r="370" ht="54" customHeight="1">
      <c r="A370" s="29" t="n"/>
      <c r="B370" s="29" t="n"/>
      <c r="C370" s="29" t="n"/>
      <c r="D370" s="29" t="n"/>
      <c r="E370" s="29" t="n"/>
      <c r="F370" s="49" t="n"/>
      <c r="G370" s="51" t="n"/>
    </row>
    <row r="371" ht="54" customHeight="1">
      <c r="A371" s="29" t="n"/>
      <c r="B371" s="29" t="n"/>
      <c r="C371" s="29" t="n"/>
      <c r="D371" s="29" t="n"/>
      <c r="E371" s="29" t="n"/>
      <c r="F371" s="49" t="n"/>
      <c r="G371" s="51" t="n"/>
    </row>
    <row r="372" ht="54" customHeight="1">
      <c r="A372" s="29" t="n"/>
      <c r="B372" s="29" t="n"/>
      <c r="C372" s="29" t="n"/>
      <c r="D372" s="29" t="n"/>
      <c r="E372" s="29" t="n"/>
      <c r="F372" s="49" t="n"/>
      <c r="G372" s="51" t="n"/>
    </row>
    <row r="373" ht="54" customHeight="1">
      <c r="A373" s="29" t="n"/>
      <c r="B373" s="29" t="n"/>
      <c r="C373" s="29" t="n"/>
      <c r="D373" s="29" t="n"/>
      <c r="E373" s="29" t="n"/>
      <c r="F373" s="49" t="n"/>
      <c r="G373" s="51" t="n"/>
    </row>
    <row r="374" ht="54" customHeight="1">
      <c r="A374" s="29" t="n"/>
      <c r="B374" s="29" t="n"/>
      <c r="C374" s="29" t="n"/>
      <c r="D374" s="29" t="n"/>
      <c r="E374" s="29" t="n"/>
      <c r="F374" s="49" t="n"/>
      <c r="G374" s="51" t="n"/>
    </row>
    <row r="375" ht="54" customHeight="1">
      <c r="A375" s="29" t="n"/>
      <c r="B375" s="29" t="n"/>
      <c r="C375" s="29" t="n"/>
      <c r="D375" s="29" t="n"/>
      <c r="E375" s="29" t="n"/>
      <c r="F375" s="49" t="n"/>
      <c r="G375" s="51" t="n"/>
    </row>
    <row r="376" ht="54" customHeight="1">
      <c r="A376" s="29" t="n"/>
      <c r="B376" s="29" t="n"/>
      <c r="C376" s="29" t="n"/>
      <c r="D376" s="29" t="n"/>
      <c r="E376" s="29" t="n"/>
      <c r="F376" s="49" t="n"/>
      <c r="G376" s="51" t="n"/>
    </row>
    <row r="377" ht="54" customHeight="1">
      <c r="A377" s="29" t="n"/>
      <c r="B377" s="29" t="n"/>
      <c r="C377" s="29" t="n"/>
      <c r="D377" s="29" t="n"/>
      <c r="E377" s="29" t="n"/>
      <c r="F377" s="49" t="n"/>
      <c r="G377" s="51" t="n"/>
    </row>
    <row r="378" ht="54" customHeight="1">
      <c r="A378" s="29" t="n"/>
      <c r="B378" s="29" t="n"/>
      <c r="C378" s="29" t="n"/>
      <c r="D378" s="29" t="n"/>
      <c r="E378" s="29" t="n"/>
      <c r="F378" s="49" t="n"/>
      <c r="G378" s="51" t="n"/>
    </row>
    <row r="379" ht="54" customHeight="1">
      <c r="A379" s="29" t="n"/>
      <c r="B379" s="29" t="n"/>
      <c r="C379" s="29" t="n"/>
      <c r="D379" s="29" t="n"/>
      <c r="E379" s="29" t="n"/>
      <c r="F379" s="49" t="n"/>
      <c r="G379" s="51" t="n"/>
    </row>
    <row r="380" ht="54" customHeight="1">
      <c r="A380" s="29" t="n"/>
      <c r="B380" s="29" t="n"/>
      <c r="C380" s="29" t="n"/>
      <c r="D380" s="29" t="n"/>
      <c r="E380" s="29" t="n"/>
      <c r="F380" s="49" t="n"/>
      <c r="G380" s="51" t="n"/>
    </row>
    <row r="381" ht="54" customHeight="1">
      <c r="A381" s="29" t="n"/>
      <c r="B381" s="29" t="n"/>
      <c r="C381" s="29" t="n"/>
      <c r="D381" s="29" t="n"/>
      <c r="E381" s="29" t="n"/>
      <c r="F381" s="49" t="n"/>
      <c r="G381" s="51" t="n"/>
    </row>
    <row r="382" ht="54" customHeight="1">
      <c r="A382" s="29" t="n"/>
      <c r="B382" s="29" t="n"/>
      <c r="C382" s="29" t="n"/>
      <c r="D382" s="29" t="n"/>
      <c r="E382" s="29" t="n"/>
      <c r="F382" s="49" t="n"/>
      <c r="G382" s="51" t="n"/>
    </row>
    <row r="383" ht="54" customHeight="1">
      <c r="A383" s="29" t="n"/>
      <c r="B383" s="29" t="n"/>
      <c r="C383" s="29" t="n"/>
      <c r="D383" s="29" t="n"/>
      <c r="E383" s="29" t="n"/>
      <c r="F383" s="49" t="n"/>
      <c r="G383" s="51" t="n"/>
    </row>
    <row r="384" ht="54" customHeight="1">
      <c r="A384" s="29" t="n"/>
      <c r="B384" s="29" t="n"/>
      <c r="C384" s="29" t="n"/>
      <c r="D384" s="29" t="n"/>
      <c r="E384" s="29" t="n"/>
      <c r="F384" s="49" t="n"/>
      <c r="G384" s="51" t="n"/>
    </row>
    <row r="385" ht="54" customHeight="1">
      <c r="A385" s="29" t="n"/>
      <c r="B385" s="29" t="n"/>
      <c r="C385" s="29" t="n"/>
      <c r="D385" s="29" t="n"/>
      <c r="E385" s="29" t="n"/>
      <c r="F385" s="49" t="n"/>
      <c r="G385" s="51" t="n"/>
    </row>
    <row r="386" ht="54" customHeight="1">
      <c r="A386" s="29" t="n"/>
      <c r="B386" s="29" t="n"/>
      <c r="C386" s="29" t="n"/>
      <c r="D386" s="29" t="n"/>
      <c r="E386" s="29" t="n"/>
      <c r="F386" s="49" t="n"/>
      <c r="G386" s="51" t="n"/>
    </row>
    <row r="387" ht="54" customHeight="1">
      <c r="A387" s="29" t="n"/>
      <c r="B387" s="29" t="n"/>
      <c r="C387" s="29" t="n"/>
      <c r="D387" s="29" t="n"/>
      <c r="E387" s="29" t="n"/>
      <c r="F387" s="49" t="n"/>
      <c r="G387" s="51" t="n"/>
    </row>
    <row r="388" ht="54" customHeight="1">
      <c r="A388" s="29" t="n"/>
      <c r="B388" s="29" t="n"/>
      <c r="C388" s="29" t="n"/>
      <c r="D388" s="29" t="n"/>
      <c r="E388" s="29" t="n"/>
      <c r="F388" s="49" t="n"/>
      <c r="G388" s="51" t="n"/>
    </row>
    <row r="389" ht="54" customHeight="1">
      <c r="A389" s="29" t="n"/>
      <c r="B389" s="29" t="n"/>
      <c r="C389" s="29" t="n"/>
      <c r="D389" s="29" t="n"/>
      <c r="E389" s="29" t="n"/>
      <c r="F389" s="49" t="n"/>
      <c r="G389" s="51" t="n"/>
    </row>
    <row r="390" ht="54" customHeight="1">
      <c r="A390" s="29" t="n"/>
      <c r="B390" s="29" t="n"/>
      <c r="C390" s="29" t="n"/>
      <c r="D390" s="29" t="n"/>
      <c r="E390" s="29" t="n"/>
      <c r="F390" s="49" t="n"/>
      <c r="G390" s="51" t="n"/>
    </row>
    <row r="391" ht="54" customHeight="1">
      <c r="A391" s="29" t="n"/>
      <c r="B391" s="29" t="n"/>
      <c r="C391" s="29" t="n"/>
      <c r="D391" s="29" t="n"/>
      <c r="E391" s="29" t="n"/>
      <c r="F391" s="49" t="n"/>
      <c r="G391" s="51" t="n"/>
    </row>
    <row r="392" ht="54" customHeight="1">
      <c r="A392" s="29" t="n"/>
      <c r="B392" s="29" t="n"/>
      <c r="C392" s="29" t="n"/>
      <c r="D392" s="29" t="n"/>
      <c r="E392" s="29" t="n"/>
      <c r="F392" s="49" t="n"/>
      <c r="G392" s="51" t="n"/>
    </row>
    <row r="393" ht="54" customHeight="1">
      <c r="A393" s="29" t="n"/>
      <c r="B393" s="29" t="n"/>
      <c r="C393" s="29" t="n"/>
      <c r="D393" s="29" t="n"/>
      <c r="E393" s="29" t="n"/>
      <c r="F393" s="49" t="n"/>
      <c r="G393" s="51" t="n"/>
    </row>
    <row r="394" ht="54" customHeight="1">
      <c r="A394" s="29" t="n"/>
      <c r="B394" s="29" t="n"/>
      <c r="C394" s="29" t="n"/>
      <c r="D394" s="29" t="n"/>
      <c r="E394" s="29" t="n"/>
      <c r="F394" s="49" t="n"/>
      <c r="G394" s="51" t="n"/>
    </row>
    <row r="395" ht="54" customHeight="1">
      <c r="A395" s="29" t="n"/>
      <c r="B395" s="29" t="n"/>
      <c r="C395" s="29" t="n"/>
      <c r="D395" s="29" t="n"/>
      <c r="E395" s="29" t="n"/>
      <c r="F395" s="49" t="n"/>
      <c r="G395" s="51" t="n"/>
    </row>
    <row r="396" ht="54" customHeight="1">
      <c r="A396" s="29" t="n"/>
      <c r="B396" s="29" t="n"/>
      <c r="C396" s="29" t="n"/>
      <c r="D396" s="29" t="n"/>
      <c r="E396" s="29" t="n"/>
      <c r="F396" s="49" t="n"/>
      <c r="G396" s="51" t="n"/>
    </row>
    <row r="397" ht="54" customHeight="1">
      <c r="A397" s="29" t="n"/>
      <c r="B397" s="29" t="n"/>
      <c r="C397" s="29" t="n"/>
      <c r="D397" s="29" t="n"/>
      <c r="E397" s="29" t="n"/>
      <c r="F397" s="49" t="n"/>
      <c r="G397" s="51" t="n"/>
    </row>
    <row r="398" ht="54" customHeight="1">
      <c r="A398" s="29" t="n"/>
      <c r="B398" s="29" t="n"/>
      <c r="C398" s="29" t="n"/>
      <c r="D398" s="29" t="n"/>
      <c r="E398" s="29" t="n"/>
      <c r="F398" s="49" t="n"/>
      <c r="G398" s="51" t="n"/>
    </row>
    <row r="399" ht="54" customHeight="1">
      <c r="A399" s="29" t="n"/>
      <c r="B399" s="29" t="n"/>
      <c r="C399" s="29" t="n"/>
      <c r="D399" s="29" t="n"/>
      <c r="E399" s="29" t="n"/>
      <c r="F399" s="49" t="n"/>
      <c r="G399" s="51" t="n"/>
    </row>
    <row r="400" ht="54" customHeight="1">
      <c r="A400" s="29" t="n"/>
      <c r="B400" s="29" t="n"/>
      <c r="C400" s="29" t="n"/>
      <c r="D400" s="29" t="n"/>
      <c r="E400" s="29" t="n"/>
      <c r="F400" s="49" t="n"/>
      <c r="G400" s="51" t="n"/>
    </row>
    <row r="401" ht="54" customHeight="1">
      <c r="A401" s="29" t="n"/>
      <c r="B401" s="29" t="n"/>
      <c r="C401" s="29" t="n"/>
      <c r="D401" s="29" t="n"/>
      <c r="E401" s="29" t="n"/>
      <c r="F401" s="49" t="n"/>
      <c r="G401" s="51" t="n"/>
    </row>
    <row r="402" ht="54" customHeight="1">
      <c r="A402" s="29" t="n"/>
      <c r="B402" s="29" t="n"/>
      <c r="C402" s="29" t="n"/>
      <c r="D402" s="29" t="n"/>
      <c r="E402" s="29" t="n"/>
      <c r="F402" s="49" t="n"/>
      <c r="G402" s="51" t="n"/>
    </row>
    <row r="403" ht="54" customHeight="1">
      <c r="A403" s="29" t="n"/>
      <c r="B403" s="29" t="n"/>
      <c r="C403" s="29" t="n"/>
      <c r="D403" s="29" t="n"/>
      <c r="E403" s="29" t="n"/>
      <c r="F403" s="49" t="n"/>
      <c r="G403" s="51" t="n"/>
    </row>
    <row r="404" ht="54" customHeight="1">
      <c r="A404" s="29" t="n"/>
      <c r="B404" s="29" t="n"/>
      <c r="C404" s="29" t="n"/>
      <c r="D404" s="29" t="n"/>
      <c r="E404" s="29" t="n"/>
      <c r="F404" s="49" t="n"/>
      <c r="G404" s="51" t="n"/>
    </row>
    <row r="405" ht="54" customHeight="1">
      <c r="A405" s="29" t="n"/>
      <c r="B405" s="29" t="n"/>
      <c r="C405" s="29" t="n"/>
      <c r="D405" s="29" t="n"/>
      <c r="E405" s="29" t="n"/>
      <c r="F405" s="49" t="n"/>
      <c r="G405" s="51" t="n"/>
    </row>
    <row r="406" ht="54" customHeight="1">
      <c r="A406" s="29" t="n"/>
      <c r="B406" s="29" t="n"/>
      <c r="C406" s="29" t="n"/>
      <c r="D406" s="29" t="n"/>
      <c r="E406" s="29" t="n"/>
      <c r="F406" s="49" t="n"/>
      <c r="G406" s="51" t="n"/>
    </row>
    <row r="407" ht="54" customHeight="1">
      <c r="A407" s="29" t="n"/>
      <c r="B407" s="29" t="n"/>
      <c r="C407" s="29" t="n"/>
      <c r="D407" s="29" t="n"/>
      <c r="E407" s="29" t="n"/>
      <c r="F407" s="49" t="n"/>
      <c r="G407" s="51" t="n"/>
    </row>
    <row r="408" ht="54" customHeight="1">
      <c r="A408" s="29" t="n"/>
      <c r="B408" s="29" t="n"/>
      <c r="C408" s="29" t="n"/>
      <c r="D408" s="29" t="n"/>
      <c r="E408" s="29" t="n"/>
      <c r="F408" s="49" t="n"/>
      <c r="G408" s="51" t="n"/>
    </row>
    <row r="409" ht="54" customHeight="1">
      <c r="A409" s="29" t="n"/>
      <c r="B409" s="29" t="n"/>
      <c r="C409" s="29" t="n"/>
      <c r="D409" s="29" t="n"/>
      <c r="E409" s="29" t="n"/>
      <c r="F409" s="49" t="n"/>
      <c r="G409" s="51" t="n"/>
    </row>
    <row r="410" ht="54" customHeight="1">
      <c r="A410" s="29" t="n"/>
      <c r="B410" s="29" t="n"/>
      <c r="C410" s="29" t="n"/>
      <c r="D410" s="29" t="n"/>
      <c r="E410" s="29" t="n"/>
      <c r="F410" s="49" t="n"/>
      <c r="G410" s="51" t="n"/>
    </row>
    <row r="411" ht="54" customHeight="1">
      <c r="A411" s="29" t="n"/>
      <c r="B411" s="29" t="n"/>
      <c r="C411" s="29" t="n"/>
      <c r="D411" s="29" t="n"/>
      <c r="E411" s="29" t="n"/>
      <c r="F411" s="49" t="n"/>
      <c r="G411" s="51" t="n"/>
    </row>
    <row r="412" ht="54" customHeight="1">
      <c r="A412" s="29" t="n"/>
      <c r="B412" s="29" t="n"/>
      <c r="C412" s="29" t="n"/>
      <c r="D412" s="29" t="n"/>
      <c r="E412" s="29" t="n"/>
      <c r="F412" s="49" t="n"/>
      <c r="G412" s="51" t="n"/>
    </row>
    <row r="413" ht="54" customHeight="1">
      <c r="A413" s="29" t="n"/>
      <c r="B413" s="29" t="n"/>
      <c r="C413" s="29" t="n"/>
      <c r="D413" s="29" t="n"/>
      <c r="E413" s="29" t="n"/>
      <c r="F413" s="49" t="n"/>
      <c r="G413" s="51" t="n"/>
    </row>
    <row r="414" ht="54" customHeight="1">
      <c r="A414" s="29" t="n"/>
      <c r="B414" s="29" t="n"/>
      <c r="C414" s="29" t="n"/>
      <c r="D414" s="29" t="n"/>
      <c r="E414" s="29" t="n"/>
      <c r="F414" s="49" t="n"/>
      <c r="G414" s="51" t="n"/>
    </row>
    <row r="415" ht="54" customHeight="1">
      <c r="A415" s="29" t="n"/>
      <c r="B415" s="29" t="n"/>
      <c r="C415" s="29" t="n"/>
      <c r="D415" s="29" t="n"/>
      <c r="E415" s="29" t="n"/>
      <c r="F415" s="49" t="n"/>
      <c r="G415" s="51" t="n"/>
    </row>
    <row r="416" ht="54" customHeight="1">
      <c r="A416" s="29" t="n"/>
      <c r="B416" s="29" t="n"/>
      <c r="C416" s="29" t="n"/>
      <c r="D416" s="29" t="n"/>
      <c r="E416" s="29" t="n"/>
      <c r="F416" s="49" t="n"/>
      <c r="G416" s="51" t="n"/>
    </row>
    <row r="417" ht="54" customHeight="1">
      <c r="A417" s="29" t="n"/>
      <c r="B417" s="29" t="n"/>
      <c r="C417" s="29" t="n"/>
      <c r="D417" s="29" t="n"/>
      <c r="E417" s="29" t="n"/>
      <c r="F417" s="49" t="n"/>
      <c r="G417" s="51" t="n"/>
    </row>
    <row r="418" ht="54" customHeight="1">
      <c r="A418" s="29" t="n"/>
      <c r="B418" s="29" t="n"/>
      <c r="C418" s="29" t="n"/>
      <c r="D418" s="29" t="n"/>
      <c r="E418" s="29" t="n"/>
      <c r="F418" s="49" t="n"/>
      <c r="G418" s="51" t="n"/>
    </row>
    <row r="419" ht="54" customHeight="1">
      <c r="A419" s="29" t="n"/>
      <c r="B419" s="29" t="n"/>
      <c r="C419" s="29" t="n"/>
      <c r="D419" s="29" t="n"/>
      <c r="E419" s="29" t="n"/>
      <c r="F419" s="49" t="n"/>
      <c r="G419" s="51" t="n"/>
    </row>
    <row r="420" ht="54" customHeight="1">
      <c r="A420" s="29" t="n"/>
      <c r="B420" s="29" t="n"/>
      <c r="C420" s="29" t="n"/>
      <c r="D420" s="29" t="n"/>
      <c r="E420" s="29" t="n"/>
      <c r="F420" s="49" t="n"/>
      <c r="G420" s="51" t="n"/>
    </row>
    <row r="421" ht="54" customHeight="1">
      <c r="A421" s="29" t="n"/>
      <c r="B421" s="29" t="n"/>
      <c r="C421" s="29" t="n"/>
      <c r="D421" s="29" t="n"/>
      <c r="E421" s="29" t="n"/>
      <c r="F421" s="49" t="n"/>
      <c r="G421" s="51" t="n"/>
    </row>
    <row r="422" ht="54" customHeight="1">
      <c r="A422" s="29" t="n"/>
      <c r="B422" s="29" t="n"/>
      <c r="C422" s="29" t="n"/>
      <c r="D422" s="29" t="n"/>
      <c r="E422" s="29" t="n"/>
      <c r="F422" s="49" t="n"/>
      <c r="G422" s="51" t="n"/>
    </row>
    <row r="423" ht="54" customHeight="1">
      <c r="A423" s="29" t="n"/>
      <c r="B423" s="29" t="n"/>
      <c r="C423" s="29" t="n"/>
      <c r="D423" s="29" t="n"/>
      <c r="E423" s="29" t="n"/>
      <c r="F423" s="49" t="n"/>
      <c r="G423" s="51" t="n"/>
    </row>
    <row r="424" ht="54" customHeight="1">
      <c r="A424" s="29" t="n"/>
      <c r="B424" s="29" t="n"/>
      <c r="C424" s="29" t="n"/>
      <c r="D424" s="29" t="n"/>
      <c r="E424" s="29" t="n"/>
      <c r="F424" s="49" t="n"/>
      <c r="G424" s="51" t="n"/>
    </row>
    <row r="425" ht="54" customHeight="1">
      <c r="A425" s="29" t="n"/>
      <c r="B425" s="29" t="n"/>
      <c r="C425" s="29" t="n"/>
      <c r="D425" s="29" t="n"/>
      <c r="E425" s="29" t="n"/>
      <c r="F425" s="49" t="n"/>
      <c r="G425" s="51" t="n"/>
    </row>
    <row r="426" ht="54" customHeight="1">
      <c r="A426" s="29" t="n"/>
      <c r="B426" s="29" t="n"/>
      <c r="C426" s="29" t="n"/>
      <c r="D426" s="29" t="n"/>
      <c r="E426" s="29" t="n"/>
      <c r="F426" s="49" t="n"/>
      <c r="G426" s="51" t="n"/>
    </row>
    <row r="427" ht="54" customHeight="1">
      <c r="A427" s="29" t="n"/>
      <c r="B427" s="29" t="n"/>
      <c r="C427" s="29" t="n"/>
      <c r="D427" s="29" t="n"/>
      <c r="E427" s="29" t="n"/>
      <c r="F427" s="49" t="n"/>
      <c r="G427" s="51" t="n"/>
    </row>
    <row r="428" ht="54" customHeight="1">
      <c r="A428" s="29" t="n"/>
      <c r="B428" s="29" t="n"/>
      <c r="C428" s="29" t="n"/>
      <c r="D428" s="29" t="n"/>
      <c r="E428" s="29" t="n"/>
      <c r="F428" s="49" t="n"/>
      <c r="G428" s="51" t="n"/>
    </row>
    <row r="429" ht="54" customHeight="1">
      <c r="A429" s="29" t="n"/>
      <c r="B429" s="29" t="n"/>
      <c r="C429" s="29" t="n"/>
      <c r="D429" s="29" t="n"/>
      <c r="E429" s="29" t="n"/>
      <c r="F429" s="49" t="n"/>
      <c r="G429" s="51" t="n"/>
    </row>
    <row r="430" ht="54" customHeight="1">
      <c r="A430" s="29" t="n"/>
      <c r="B430" s="29" t="n"/>
      <c r="C430" s="29" t="n"/>
      <c r="D430" s="29" t="n"/>
      <c r="E430" s="29" t="n"/>
      <c r="F430" s="49" t="n"/>
      <c r="G430" s="51" t="n"/>
    </row>
    <row r="431" ht="54" customHeight="1">
      <c r="A431" s="29" t="n"/>
      <c r="B431" s="29" t="n"/>
      <c r="C431" s="29" t="n"/>
      <c r="D431" s="29" t="n"/>
      <c r="E431" s="29" t="n"/>
      <c r="F431" s="49" t="n"/>
      <c r="G431" s="51" t="n"/>
    </row>
    <row r="432" ht="54" customHeight="1">
      <c r="A432" s="29" t="n"/>
      <c r="B432" s="29" t="n"/>
      <c r="C432" s="29" t="n"/>
      <c r="D432" s="29" t="n"/>
      <c r="E432" s="29" t="n"/>
      <c r="F432" s="49" t="n"/>
      <c r="G432" s="51" t="n"/>
    </row>
    <row r="433" ht="54" customHeight="1">
      <c r="A433" s="29" t="n"/>
      <c r="B433" s="29" t="n"/>
      <c r="C433" s="29" t="n"/>
      <c r="D433" s="29" t="n"/>
      <c r="E433" s="29" t="n"/>
      <c r="F433" s="49" t="n"/>
      <c r="G433" s="51" t="n"/>
    </row>
    <row r="434" ht="54" customHeight="1">
      <c r="A434" s="29" t="n"/>
      <c r="B434" s="29" t="n"/>
      <c r="C434" s="29" t="n"/>
      <c r="D434" s="29" t="n"/>
      <c r="E434" s="29" t="n"/>
      <c r="F434" s="49" t="n"/>
      <c r="G434" s="51" t="n"/>
    </row>
    <row r="435" ht="54" customHeight="1">
      <c r="A435" s="29" t="n"/>
      <c r="B435" s="29" t="n"/>
      <c r="C435" s="29" t="n"/>
      <c r="D435" s="29" t="n"/>
      <c r="E435" s="29" t="n"/>
      <c r="F435" s="49" t="n"/>
      <c r="G435" s="51" t="n"/>
    </row>
    <row r="436" ht="54" customHeight="1">
      <c r="A436" s="29" t="n"/>
      <c r="B436" s="29" t="n"/>
      <c r="C436" s="29" t="n"/>
      <c r="D436" s="29" t="n"/>
      <c r="E436" s="29" t="n"/>
      <c r="F436" s="49" t="n"/>
      <c r="G436" s="51" t="n"/>
    </row>
    <row r="437" ht="54" customHeight="1">
      <c r="A437" s="29" t="n"/>
      <c r="B437" s="29" t="n"/>
      <c r="C437" s="29" t="n"/>
      <c r="D437" s="29" t="n"/>
      <c r="E437" s="29" t="n"/>
      <c r="F437" s="49" t="n"/>
      <c r="G437" s="51" t="n"/>
    </row>
    <row r="438" ht="54" customHeight="1">
      <c r="A438" s="29" t="n"/>
      <c r="B438" s="29" t="n"/>
      <c r="C438" s="29" t="n"/>
      <c r="D438" s="29" t="n"/>
      <c r="E438" s="29" t="n"/>
      <c r="F438" s="49" t="n"/>
      <c r="G438" s="51" t="n"/>
    </row>
    <row r="439" ht="54" customHeight="1">
      <c r="A439" s="29" t="n"/>
      <c r="B439" s="29" t="n"/>
      <c r="C439" s="29" t="n"/>
      <c r="D439" s="29" t="n"/>
      <c r="E439" s="29" t="n"/>
      <c r="F439" s="49" t="n"/>
      <c r="G439" s="51" t="n"/>
    </row>
    <row r="440" ht="54" customHeight="1">
      <c r="A440" s="29" t="n"/>
      <c r="B440" s="29" t="n"/>
      <c r="C440" s="29" t="n"/>
      <c r="D440" s="29" t="n"/>
      <c r="E440" s="29" t="n"/>
      <c r="F440" s="49" t="n"/>
      <c r="G440" s="51" t="n"/>
    </row>
    <row r="441" ht="54" customHeight="1">
      <c r="A441" s="29" t="n"/>
      <c r="B441" s="29" t="n"/>
      <c r="C441" s="29" t="n"/>
      <c r="D441" s="29" t="n"/>
      <c r="E441" s="29" t="n"/>
      <c r="F441" s="49" t="n"/>
      <c r="G441" s="51" t="n"/>
    </row>
    <row r="442" ht="54" customHeight="1">
      <c r="A442" s="29" t="n"/>
      <c r="B442" s="29" t="n"/>
      <c r="C442" s="29" t="n"/>
      <c r="D442" s="29" t="n"/>
      <c r="E442" s="29" t="n"/>
      <c r="F442" s="49" t="n"/>
      <c r="G442" s="51" t="n"/>
    </row>
    <row r="443" ht="54" customHeight="1">
      <c r="A443" s="29" t="n"/>
      <c r="B443" s="29" t="n"/>
      <c r="C443" s="29" t="n"/>
      <c r="D443" s="29" t="n"/>
      <c r="E443" s="29" t="n"/>
      <c r="F443" s="49" t="n"/>
      <c r="G443" s="51" t="n"/>
    </row>
    <row r="444" ht="54" customHeight="1">
      <c r="A444" s="29" t="n"/>
      <c r="B444" s="29" t="n"/>
      <c r="C444" s="29" t="n"/>
      <c r="D444" s="29" t="n"/>
      <c r="E444" s="29" t="n"/>
      <c r="F444" s="49" t="n"/>
      <c r="G444" s="51" t="n"/>
    </row>
    <row r="445" ht="54" customHeight="1">
      <c r="A445" s="29" t="n"/>
      <c r="B445" s="29" t="n"/>
      <c r="C445" s="29" t="n"/>
      <c r="D445" s="29" t="n"/>
      <c r="E445" s="29" t="n"/>
      <c r="F445" s="49" t="n"/>
      <c r="G445" s="51" t="n"/>
    </row>
    <row r="446" ht="54" customHeight="1">
      <c r="A446" s="29" t="n"/>
      <c r="B446" s="29" t="n"/>
      <c r="C446" s="29" t="n"/>
      <c r="D446" s="29" t="n"/>
      <c r="E446" s="29" t="n"/>
      <c r="F446" s="49" t="n"/>
      <c r="G446" s="51" t="n"/>
    </row>
    <row r="447" ht="54" customHeight="1">
      <c r="A447" s="29" t="n"/>
      <c r="B447" s="29" t="n"/>
      <c r="C447" s="29" t="n"/>
      <c r="D447" s="29" t="n"/>
      <c r="E447" s="29" t="n"/>
      <c r="F447" s="49" t="n"/>
      <c r="G447" s="51" t="n"/>
    </row>
    <row r="448" ht="54" customHeight="1">
      <c r="A448" s="29" t="n"/>
      <c r="B448" s="29" t="n"/>
      <c r="C448" s="29" t="n"/>
      <c r="D448" s="29" t="n"/>
      <c r="E448" s="29" t="n"/>
      <c r="F448" s="49" t="n"/>
      <c r="G448" s="51" t="n"/>
    </row>
    <row r="449" ht="54" customHeight="1">
      <c r="A449" s="29" t="n"/>
      <c r="B449" s="29" t="n"/>
      <c r="C449" s="29" t="n"/>
      <c r="D449" s="29" t="n"/>
      <c r="E449" s="29" t="n"/>
      <c r="F449" s="49" t="n"/>
      <c r="G449" s="51" t="n"/>
    </row>
    <row r="450" ht="54" customHeight="1">
      <c r="A450" s="29" t="n"/>
      <c r="B450" s="29" t="n"/>
      <c r="C450" s="29" t="n"/>
      <c r="D450" s="29" t="n"/>
      <c r="E450" s="29" t="n"/>
      <c r="F450" s="49" t="n"/>
      <c r="G450" s="51" t="n"/>
    </row>
    <row r="451" ht="54" customHeight="1">
      <c r="A451" s="29" t="n"/>
      <c r="B451" s="29" t="n"/>
      <c r="C451" s="29" t="n"/>
      <c r="D451" s="29" t="n"/>
      <c r="E451" s="29" t="n"/>
      <c r="F451" s="49" t="n"/>
      <c r="G451" s="51" t="n"/>
    </row>
    <row r="452" ht="54" customHeight="1">
      <c r="A452" s="29" t="n"/>
      <c r="B452" s="29" t="n"/>
      <c r="C452" s="29" t="n"/>
      <c r="D452" s="29" t="n"/>
      <c r="E452" s="29" t="n"/>
      <c r="F452" s="49" t="n"/>
      <c r="G452" s="51" t="n"/>
    </row>
    <row r="453" ht="54" customHeight="1">
      <c r="A453" s="29" t="n"/>
      <c r="B453" s="29" t="n"/>
      <c r="C453" s="29" t="n"/>
      <c r="D453" s="29" t="n"/>
      <c r="E453" s="29" t="n"/>
      <c r="F453" s="49" t="n"/>
      <c r="G453" s="51" t="n"/>
    </row>
    <row r="454" ht="54" customHeight="1">
      <c r="A454" s="29" t="n"/>
      <c r="B454" s="29" t="n"/>
      <c r="C454" s="29" t="n"/>
      <c r="D454" s="29" t="n"/>
      <c r="E454" s="29" t="n"/>
      <c r="F454" s="49" t="n"/>
      <c r="G454" s="51" t="n"/>
    </row>
    <row r="455" ht="54" customHeight="1">
      <c r="A455" s="29" t="n"/>
      <c r="B455" s="29" t="n"/>
      <c r="C455" s="29" t="n"/>
      <c r="D455" s="29" t="n"/>
      <c r="E455" s="29" t="n"/>
      <c r="F455" s="49" t="n"/>
      <c r="G455" s="51" t="n"/>
    </row>
    <row r="456" ht="54" customHeight="1">
      <c r="A456" s="29" t="n"/>
      <c r="B456" s="29" t="n"/>
      <c r="C456" s="29" t="n"/>
      <c r="D456" s="29" t="n"/>
      <c r="E456" s="29" t="n"/>
      <c r="F456" s="49" t="n"/>
      <c r="G456" s="51" t="n"/>
    </row>
    <row r="457" ht="54" customHeight="1">
      <c r="A457" s="29" t="n"/>
      <c r="B457" s="29" t="n"/>
      <c r="C457" s="29" t="n"/>
      <c r="D457" s="29" t="n"/>
      <c r="E457" s="29" t="n"/>
      <c r="F457" s="49" t="n"/>
      <c r="G457" s="51" t="n"/>
    </row>
    <row r="458" ht="54" customHeight="1">
      <c r="A458" s="29" t="n"/>
      <c r="B458" s="29" t="n"/>
      <c r="C458" s="29" t="n"/>
      <c r="D458" s="29" t="n"/>
      <c r="E458" s="29" t="n"/>
      <c r="F458" s="49" t="n"/>
      <c r="G458" s="51" t="n"/>
    </row>
    <row r="459" ht="54" customHeight="1">
      <c r="A459" s="29" t="n"/>
      <c r="B459" s="29" t="n"/>
      <c r="C459" s="29" t="n"/>
      <c r="D459" s="29" t="n"/>
      <c r="E459" s="29" t="n"/>
      <c r="F459" s="49" t="n"/>
      <c r="G459" s="51" t="n"/>
    </row>
    <row r="460" ht="54" customHeight="1">
      <c r="A460" s="29" t="n"/>
      <c r="B460" s="29" t="n"/>
      <c r="C460" s="29" t="n"/>
      <c r="D460" s="29" t="n"/>
      <c r="E460" s="29" t="n"/>
      <c r="F460" s="49" t="n"/>
      <c r="G460" s="51" t="n"/>
    </row>
    <row r="461" ht="54" customHeight="1">
      <c r="A461" s="29" t="n"/>
      <c r="B461" s="29" t="n"/>
      <c r="C461" s="29" t="n"/>
      <c r="D461" s="29" t="n"/>
      <c r="E461" s="29" t="n"/>
      <c r="F461" s="49" t="n"/>
      <c r="G461" s="51" t="n"/>
    </row>
    <row r="462" ht="54" customHeight="1">
      <c r="A462" s="29" t="n"/>
      <c r="B462" s="29" t="n"/>
      <c r="C462" s="29" t="n"/>
      <c r="D462" s="29" t="n"/>
      <c r="E462" s="29" t="n"/>
      <c r="F462" s="49" t="n"/>
      <c r="G462" s="51" t="n"/>
    </row>
    <row r="463" ht="54" customHeight="1">
      <c r="A463" s="29" t="n"/>
      <c r="B463" s="29" t="n"/>
      <c r="C463" s="29" t="n"/>
      <c r="D463" s="29" t="n"/>
      <c r="E463" s="29" t="n"/>
      <c r="F463" s="49" t="n"/>
      <c r="G463" s="51" t="n"/>
    </row>
    <row r="464" ht="54" customHeight="1">
      <c r="A464" s="29" t="n"/>
      <c r="B464" s="29" t="n"/>
      <c r="C464" s="29" t="n"/>
      <c r="D464" s="29" t="n"/>
      <c r="E464" s="29" t="n"/>
      <c r="F464" s="49" t="n"/>
      <c r="G464" s="51" t="n"/>
    </row>
    <row r="465" ht="54" customHeight="1">
      <c r="A465" s="29" t="n"/>
      <c r="B465" s="29" t="n"/>
      <c r="C465" s="29" t="n"/>
      <c r="D465" s="29" t="n"/>
      <c r="E465" s="29" t="n"/>
      <c r="F465" s="49" t="n"/>
      <c r="G465" s="51" t="n"/>
    </row>
    <row r="466" ht="54" customHeight="1">
      <c r="A466" s="29" t="n"/>
      <c r="B466" s="29" t="n"/>
      <c r="C466" s="29" t="n"/>
      <c r="D466" s="29" t="n"/>
      <c r="E466" s="29" t="n"/>
      <c r="F466" s="49" t="n"/>
      <c r="G466" s="51" t="n"/>
    </row>
    <row r="467" ht="54" customHeight="1">
      <c r="A467" s="29" t="n"/>
      <c r="B467" s="29" t="n"/>
      <c r="C467" s="29" t="n"/>
      <c r="D467" s="29" t="n"/>
      <c r="E467" s="29" t="n"/>
      <c r="F467" s="49" t="n"/>
      <c r="G467" s="51" t="n"/>
    </row>
    <row r="468" ht="54" customHeight="1">
      <c r="A468" s="29" t="n"/>
      <c r="B468" s="29" t="n"/>
      <c r="C468" s="29" t="n"/>
      <c r="D468" s="29" t="n"/>
      <c r="E468" s="29" t="n"/>
      <c r="F468" s="49" t="n"/>
      <c r="G468" s="51" t="n"/>
    </row>
    <row r="469" ht="54" customHeight="1">
      <c r="A469" s="29" t="n"/>
      <c r="B469" s="29" t="n"/>
      <c r="C469" s="29" t="n"/>
      <c r="D469" s="29" t="n"/>
      <c r="E469" s="29" t="n"/>
      <c r="F469" s="49" t="n"/>
      <c r="G469" s="51" t="n"/>
    </row>
    <row r="470" ht="54" customHeight="1">
      <c r="A470" s="29" t="n"/>
      <c r="B470" s="29" t="n"/>
      <c r="C470" s="29" t="n"/>
      <c r="D470" s="29" t="n"/>
      <c r="E470" s="29" t="n"/>
      <c r="F470" s="49" t="n"/>
      <c r="G470" s="51" t="n"/>
    </row>
    <row r="471" ht="54" customHeight="1">
      <c r="A471" s="29" t="n"/>
      <c r="B471" s="29" t="n"/>
      <c r="C471" s="29" t="n"/>
      <c r="D471" s="29" t="n"/>
      <c r="E471" s="29" t="n"/>
      <c r="F471" s="49" t="n"/>
      <c r="G471" s="51" t="n"/>
    </row>
    <row r="472" ht="54" customHeight="1">
      <c r="A472" s="29" t="n"/>
      <c r="B472" s="29" t="n"/>
      <c r="C472" s="29" t="n"/>
      <c r="D472" s="29" t="n"/>
      <c r="E472" s="29" t="n"/>
      <c r="F472" s="49" t="n"/>
      <c r="G472" s="51" t="n"/>
    </row>
    <row r="473" ht="54" customHeight="1">
      <c r="A473" s="29" t="n"/>
      <c r="B473" s="29" t="n"/>
      <c r="C473" s="29" t="n"/>
      <c r="D473" s="29" t="n"/>
      <c r="E473" s="29" t="n"/>
      <c r="F473" s="49" t="n"/>
      <c r="G473" s="51" t="n"/>
    </row>
    <row r="474" ht="54" customHeight="1">
      <c r="A474" s="29" t="n"/>
      <c r="B474" s="29" t="n"/>
      <c r="C474" s="29" t="n"/>
      <c r="D474" s="29" t="n"/>
      <c r="E474" s="29" t="n"/>
      <c r="F474" s="49" t="n"/>
      <c r="G474" s="51" t="n"/>
    </row>
    <row r="475" ht="54" customHeight="1">
      <c r="A475" s="29" t="n"/>
      <c r="B475" s="29" t="n"/>
      <c r="C475" s="29" t="n"/>
      <c r="D475" s="29" t="n"/>
      <c r="E475" s="29" t="n"/>
      <c r="F475" s="49" t="n"/>
      <c r="G475" s="51" t="n"/>
    </row>
    <row r="476" ht="54" customHeight="1">
      <c r="A476" s="29" t="n"/>
      <c r="B476" s="29" t="n"/>
      <c r="C476" s="29" t="n"/>
      <c r="D476" s="29" t="n"/>
      <c r="E476" s="29" t="n"/>
      <c r="F476" s="49" t="n"/>
      <c r="G476" s="51" t="n"/>
    </row>
    <row r="477" ht="54" customHeight="1">
      <c r="A477" s="29" t="n"/>
      <c r="B477" s="29" t="n"/>
      <c r="C477" s="29" t="n"/>
      <c r="D477" s="29" t="n"/>
      <c r="E477" s="29" t="n"/>
      <c r="F477" s="49" t="n"/>
      <c r="G477" s="51" t="n"/>
    </row>
    <row r="478" ht="54" customHeight="1">
      <c r="A478" s="29" t="n"/>
      <c r="B478" s="29" t="n"/>
      <c r="C478" s="29" t="n"/>
      <c r="D478" s="29" t="n"/>
      <c r="E478" s="29" t="n"/>
      <c r="F478" s="49" t="n"/>
      <c r="G478" s="51" t="n"/>
    </row>
    <row r="479" ht="54" customHeight="1">
      <c r="A479" s="29" t="n"/>
      <c r="B479" s="29" t="n"/>
      <c r="C479" s="29" t="n"/>
      <c r="D479" s="29" t="n"/>
      <c r="E479" s="29" t="n"/>
      <c r="F479" s="49" t="n"/>
      <c r="G479" s="51" t="n"/>
    </row>
    <row r="480" ht="54" customHeight="1">
      <c r="A480" s="29" t="n"/>
      <c r="B480" s="29" t="n"/>
      <c r="C480" s="29" t="n"/>
      <c r="D480" s="29" t="n"/>
      <c r="E480" s="29" t="n"/>
      <c r="F480" s="49" t="n"/>
      <c r="G480" s="51" t="n"/>
    </row>
    <row r="481" ht="54" customHeight="1">
      <c r="A481" s="29" t="n"/>
      <c r="B481" s="29" t="n"/>
      <c r="C481" s="29" t="n"/>
      <c r="D481" s="29" t="n"/>
      <c r="E481" s="29" t="n"/>
      <c r="F481" s="49" t="n"/>
      <c r="G481" s="51" t="n"/>
    </row>
    <row r="482" ht="54" customHeight="1">
      <c r="A482" s="29" t="n"/>
      <c r="B482" s="29" t="n"/>
      <c r="C482" s="29" t="n"/>
      <c r="D482" s="29" t="n"/>
      <c r="E482" s="29" t="n"/>
      <c r="F482" s="49" t="n"/>
      <c r="G482" s="51" t="n"/>
    </row>
    <row r="483" ht="54" customHeight="1">
      <c r="A483" s="29" t="n"/>
      <c r="B483" s="29" t="n"/>
      <c r="C483" s="29" t="n"/>
      <c r="D483" s="29" t="n"/>
      <c r="E483" s="29" t="n"/>
      <c r="F483" s="49" t="n"/>
      <c r="G483" s="51" t="n"/>
    </row>
    <row r="484" ht="54" customHeight="1">
      <c r="A484" s="29" t="n"/>
      <c r="B484" s="29" t="n"/>
      <c r="C484" s="29" t="n"/>
      <c r="D484" s="29" t="n"/>
      <c r="E484" s="29" t="n"/>
      <c r="F484" s="49" t="n"/>
      <c r="G484" s="51" t="n"/>
    </row>
    <row r="485" ht="54" customHeight="1">
      <c r="A485" s="29" t="n"/>
      <c r="B485" s="29" t="n"/>
      <c r="C485" s="29" t="n"/>
      <c r="D485" s="29" t="n"/>
      <c r="E485" s="29" t="n"/>
      <c r="F485" s="49" t="n"/>
      <c r="G485" s="51" t="n"/>
    </row>
    <row r="486" ht="54" customHeight="1">
      <c r="A486" s="29" t="n"/>
      <c r="B486" s="29" t="n"/>
      <c r="C486" s="29" t="n"/>
      <c r="D486" s="29" t="n"/>
      <c r="E486" s="29" t="n"/>
      <c r="F486" s="49" t="n"/>
      <c r="G486" s="51" t="n"/>
    </row>
    <row r="487" ht="54" customHeight="1">
      <c r="A487" s="29" t="n"/>
      <c r="B487" s="29" t="n"/>
      <c r="C487" s="29" t="n"/>
      <c r="D487" s="29" t="n"/>
      <c r="E487" s="29" t="n"/>
      <c r="F487" s="49" t="n"/>
      <c r="G487" s="51" t="n"/>
    </row>
    <row r="488" ht="54" customHeight="1">
      <c r="A488" s="29" t="n"/>
      <c r="B488" s="29" t="n"/>
      <c r="C488" s="29" t="n"/>
      <c r="D488" s="29" t="n"/>
      <c r="E488" s="29" t="n"/>
      <c r="F488" s="49" t="n"/>
      <c r="G488" s="51" t="n"/>
    </row>
    <row r="489" ht="54" customHeight="1">
      <c r="A489" s="29" t="n"/>
      <c r="B489" s="29" t="n"/>
      <c r="C489" s="29" t="n"/>
      <c r="D489" s="29" t="n"/>
      <c r="E489" s="29" t="n"/>
      <c r="F489" s="49" t="n"/>
      <c r="G489" s="51" t="n"/>
    </row>
    <row r="490" ht="54" customHeight="1">
      <c r="A490" s="29" t="n"/>
      <c r="B490" s="29" t="n"/>
      <c r="C490" s="29" t="n"/>
      <c r="D490" s="29" t="n"/>
      <c r="E490" s="29" t="n"/>
      <c r="F490" s="49" t="n"/>
      <c r="G490" s="51" t="n"/>
    </row>
    <row r="491" ht="54" customHeight="1">
      <c r="A491" s="29" t="n"/>
      <c r="B491" s="29" t="n"/>
      <c r="C491" s="29" t="n"/>
      <c r="D491" s="29" t="n"/>
      <c r="E491" s="29" t="n"/>
      <c r="F491" s="49" t="n"/>
      <c r="G491" s="51" t="n"/>
    </row>
    <row r="492" ht="54" customHeight="1">
      <c r="A492" s="29" t="n"/>
      <c r="B492" s="29" t="n"/>
      <c r="C492" s="29" t="n"/>
      <c r="D492" s="29" t="n"/>
      <c r="E492" s="29" t="n"/>
      <c r="F492" s="49" t="n"/>
      <c r="G492" s="51" t="n"/>
    </row>
    <row r="493" ht="54" customHeight="1">
      <c r="A493" s="29" t="n"/>
      <c r="B493" s="29" t="n"/>
      <c r="C493" s="29" t="n"/>
      <c r="D493" s="29" t="n"/>
      <c r="E493" s="29" t="n"/>
      <c r="F493" s="49" t="n"/>
      <c r="G493" s="51" t="n"/>
    </row>
    <row r="494" ht="54" customHeight="1">
      <c r="A494" s="29" t="n"/>
      <c r="B494" s="29" t="n"/>
      <c r="C494" s="29" t="n"/>
      <c r="D494" s="29" t="n"/>
      <c r="E494" s="29" t="n"/>
      <c r="F494" s="49" t="n"/>
      <c r="G494" s="51" t="n"/>
    </row>
    <row r="495" ht="54" customHeight="1">
      <c r="A495" s="29" t="n"/>
      <c r="B495" s="29" t="n"/>
      <c r="C495" s="29" t="n"/>
      <c r="D495" s="29" t="n"/>
      <c r="E495" s="29" t="n"/>
      <c r="F495" s="49" t="n"/>
      <c r="G495" s="51" t="n"/>
    </row>
    <row r="496" ht="54" customHeight="1">
      <c r="A496" s="29" t="n"/>
      <c r="B496" s="29" t="n"/>
      <c r="C496" s="29" t="n"/>
      <c r="D496" s="29" t="n"/>
      <c r="E496" s="29" t="n"/>
      <c r="F496" s="49" t="n"/>
      <c r="G496" s="51" t="n"/>
    </row>
    <row r="497" ht="54" customHeight="1">
      <c r="A497" s="29" t="n"/>
      <c r="B497" s="29" t="n"/>
      <c r="C497" s="29" t="n"/>
      <c r="D497" s="29" t="n"/>
      <c r="E497" s="29" t="n"/>
      <c r="F497" s="49" t="n"/>
      <c r="G497" s="51" t="n"/>
    </row>
    <row r="498" ht="54" customHeight="1">
      <c r="A498" s="29" t="n"/>
      <c r="B498" s="29" t="n"/>
      <c r="C498" s="29" t="n"/>
      <c r="D498" s="29" t="n"/>
      <c r="E498" s="29" t="n"/>
      <c r="F498" s="49" t="n"/>
      <c r="G498" s="51" t="n"/>
    </row>
    <row r="499" ht="54" customHeight="1">
      <c r="A499" s="29" t="n"/>
      <c r="B499" s="29" t="n"/>
      <c r="C499" s="29" t="n"/>
      <c r="D499" s="29" t="n"/>
      <c r="E499" s="29" t="n"/>
      <c r="F499" s="49" t="n"/>
      <c r="G499" s="51" t="n"/>
    </row>
    <row r="500" ht="54" customHeight="1">
      <c r="A500" s="29" t="n"/>
      <c r="B500" s="29" t="n"/>
      <c r="C500" s="29" t="n"/>
      <c r="D500" s="29" t="n"/>
      <c r="E500" s="29" t="n"/>
      <c r="F500" s="49" t="n"/>
      <c r="G500" s="51" t="n"/>
    </row>
    <row r="501" ht="54" customHeight="1">
      <c r="A501" s="29" t="n"/>
      <c r="B501" s="29" t="n"/>
      <c r="C501" s="29" t="n"/>
      <c r="D501" s="29" t="n"/>
      <c r="E501" s="29" t="n"/>
      <c r="F501" s="49" t="n"/>
      <c r="G501" s="51" t="n"/>
    </row>
    <row r="502" ht="54" customHeight="1">
      <c r="A502" s="29" t="n"/>
      <c r="B502" s="29" t="n"/>
      <c r="C502" s="29" t="n"/>
      <c r="D502" s="29" t="n"/>
      <c r="E502" s="29" t="n"/>
      <c r="F502" s="49" t="n"/>
      <c r="G502" s="51" t="n"/>
    </row>
    <row r="503" ht="54" customHeight="1">
      <c r="A503" s="29" t="n"/>
      <c r="B503" s="29" t="n"/>
      <c r="C503" s="29" t="n"/>
      <c r="D503" s="29" t="n"/>
      <c r="E503" s="29" t="n"/>
      <c r="F503" s="49" t="n"/>
      <c r="G503" s="51" t="n"/>
    </row>
    <row r="504" ht="54" customHeight="1">
      <c r="A504" s="29" t="n"/>
      <c r="B504" s="29" t="n"/>
      <c r="C504" s="29" t="n"/>
      <c r="D504" s="29" t="n"/>
      <c r="E504" s="29" t="n"/>
      <c r="F504" s="49" t="n"/>
      <c r="G504" s="51" t="n"/>
    </row>
    <row r="505" ht="54" customHeight="1">
      <c r="A505" s="29" t="n"/>
      <c r="B505" s="29" t="n"/>
      <c r="C505" s="29" t="n"/>
      <c r="D505" s="29" t="n"/>
      <c r="E505" s="29" t="n"/>
      <c r="F505" s="49" t="n"/>
      <c r="G505" s="51" t="n"/>
    </row>
    <row r="506" ht="54" customHeight="1">
      <c r="A506" s="29" t="n"/>
      <c r="B506" s="29" t="n"/>
      <c r="C506" s="29" t="n"/>
      <c r="D506" s="29" t="n"/>
      <c r="E506" s="29" t="n"/>
      <c r="F506" s="49" t="n"/>
      <c r="G506" s="51" t="n"/>
    </row>
    <row r="507" ht="54" customHeight="1">
      <c r="A507" s="29" t="n"/>
      <c r="B507" s="29" t="n"/>
      <c r="C507" s="29" t="n"/>
      <c r="D507" s="29" t="n"/>
      <c r="E507" s="29" t="n"/>
      <c r="F507" s="49" t="n"/>
      <c r="G507" s="51" t="n"/>
    </row>
    <row r="508" ht="54" customHeight="1">
      <c r="A508" s="29" t="n"/>
      <c r="B508" s="29" t="n"/>
      <c r="C508" s="29" t="n"/>
      <c r="D508" s="29" t="n"/>
      <c r="E508" s="29" t="n"/>
      <c r="F508" s="49" t="n"/>
      <c r="G508" s="51" t="n"/>
    </row>
    <row r="509" ht="54" customHeight="1">
      <c r="A509" s="29" t="n"/>
      <c r="B509" s="29" t="n"/>
      <c r="C509" s="29" t="n"/>
      <c r="D509" s="29" t="n"/>
      <c r="E509" s="29" t="n"/>
      <c r="F509" s="49" t="n"/>
      <c r="G509" s="51" t="n"/>
    </row>
    <row r="510" ht="54" customHeight="1">
      <c r="A510" s="29" t="n"/>
      <c r="B510" s="29" t="n"/>
      <c r="C510" s="29" t="n"/>
      <c r="D510" s="29" t="n"/>
      <c r="E510" s="29" t="n"/>
      <c r="F510" s="49" t="n"/>
      <c r="G510" s="51" t="n"/>
    </row>
    <row r="511" ht="54" customHeight="1">
      <c r="A511" s="29" t="n"/>
      <c r="B511" s="29" t="n"/>
      <c r="C511" s="29" t="n"/>
      <c r="D511" s="29" t="n"/>
      <c r="E511" s="29" t="n"/>
      <c r="F511" s="49" t="n"/>
      <c r="G511" s="51" t="n"/>
    </row>
    <row r="512" ht="54" customHeight="1">
      <c r="A512" s="29" t="n"/>
      <c r="B512" s="29" t="n"/>
      <c r="C512" s="29" t="n"/>
      <c r="D512" s="29" t="n"/>
      <c r="E512" s="29" t="n"/>
      <c r="F512" s="49" t="n"/>
      <c r="G512" s="51" t="n"/>
    </row>
    <row r="513" ht="54" customHeight="1">
      <c r="A513" s="29" t="n"/>
      <c r="B513" s="29" t="n"/>
      <c r="C513" s="29" t="n"/>
      <c r="D513" s="29" t="n"/>
      <c r="E513" s="29" t="n"/>
      <c r="F513" s="49" t="n"/>
      <c r="G513" s="51" t="n"/>
    </row>
    <row r="514" ht="54" customHeight="1">
      <c r="A514" s="29" t="n"/>
      <c r="B514" s="29" t="n"/>
      <c r="C514" s="29" t="n"/>
      <c r="D514" s="29" t="n"/>
      <c r="E514" s="29" t="n"/>
      <c r="F514" s="49" t="n"/>
      <c r="G514" s="51" t="n"/>
    </row>
    <row r="515" ht="54" customHeight="1">
      <c r="A515" s="29" t="n"/>
      <c r="B515" s="29" t="n"/>
      <c r="C515" s="29" t="n"/>
      <c r="D515" s="29" t="n"/>
      <c r="E515" s="29" t="n"/>
      <c r="F515" s="49" t="n"/>
      <c r="G515" s="51" t="n"/>
    </row>
    <row r="516" ht="54" customHeight="1">
      <c r="A516" s="29" t="n"/>
      <c r="B516" s="29" t="n"/>
      <c r="C516" s="29" t="n"/>
      <c r="D516" s="29" t="n"/>
      <c r="E516" s="29" t="n"/>
      <c r="F516" s="49" t="n"/>
      <c r="G516" s="51" t="n"/>
    </row>
    <row r="517" ht="54" customHeight="1">
      <c r="A517" s="29" t="n"/>
      <c r="B517" s="29" t="n"/>
      <c r="C517" s="29" t="n"/>
      <c r="D517" s="29" t="n"/>
      <c r="E517" s="29" t="n"/>
      <c r="F517" s="49" t="n"/>
      <c r="G517" s="51" t="n"/>
    </row>
    <row r="518" ht="54" customHeight="1">
      <c r="A518" s="29" t="n"/>
      <c r="B518" s="29" t="n"/>
      <c r="C518" s="29" t="n"/>
      <c r="D518" s="29" t="n"/>
      <c r="E518" s="29" t="n"/>
      <c r="F518" s="49" t="n"/>
      <c r="G518" s="51" t="n"/>
    </row>
    <row r="519" ht="54" customHeight="1">
      <c r="A519" s="29" t="n"/>
      <c r="B519" s="29" t="n"/>
      <c r="C519" s="29" t="n"/>
      <c r="D519" s="29" t="n"/>
      <c r="E519" s="29" t="n"/>
      <c r="F519" s="49" t="n"/>
      <c r="G519" s="51" t="n"/>
    </row>
    <row r="520" ht="54" customHeight="1">
      <c r="A520" s="29" t="n"/>
      <c r="B520" s="29" t="n"/>
      <c r="C520" s="29" t="n"/>
      <c r="D520" s="29" t="n"/>
      <c r="E520" s="29" t="n"/>
      <c r="F520" s="49" t="n"/>
      <c r="G520" s="51" t="n"/>
    </row>
    <row r="521" ht="54" customHeight="1">
      <c r="A521" s="29" t="n"/>
      <c r="B521" s="29" t="n"/>
      <c r="C521" s="29" t="n"/>
      <c r="D521" s="29" t="n"/>
      <c r="E521" s="29" t="n"/>
      <c r="F521" s="49" t="n"/>
      <c r="G521" s="51" t="n"/>
    </row>
    <row r="522" ht="54" customHeight="1">
      <c r="A522" s="29" t="n"/>
      <c r="B522" s="29" t="n"/>
      <c r="C522" s="29" t="n"/>
      <c r="D522" s="29" t="n"/>
      <c r="E522" s="29" t="n"/>
      <c r="F522" s="49" t="n"/>
      <c r="G522" s="51" t="n"/>
    </row>
    <row r="523" ht="54" customHeight="1">
      <c r="A523" s="29" t="n"/>
      <c r="B523" s="29" t="n"/>
      <c r="C523" s="29" t="n"/>
      <c r="D523" s="29" t="n"/>
      <c r="E523" s="29" t="n"/>
      <c r="F523" s="49" t="n"/>
      <c r="G523" s="51" t="n"/>
    </row>
    <row r="524" ht="54" customHeight="1">
      <c r="A524" s="29" t="n"/>
      <c r="B524" s="29" t="n"/>
      <c r="C524" s="29" t="n"/>
      <c r="D524" s="29" t="n"/>
      <c r="E524" s="29" t="n"/>
      <c r="F524" s="49" t="n"/>
      <c r="G524" s="51" t="n"/>
    </row>
    <row r="525" ht="54" customHeight="1">
      <c r="A525" s="29" t="n"/>
      <c r="B525" s="29" t="n"/>
      <c r="C525" s="29" t="n"/>
      <c r="D525" s="29" t="n"/>
      <c r="E525" s="29" t="n"/>
      <c r="F525" s="49" t="n"/>
      <c r="G525" s="51" t="n"/>
    </row>
    <row r="526" ht="54" customHeight="1">
      <c r="A526" s="29" t="n"/>
      <c r="B526" s="29" t="n"/>
      <c r="C526" s="29" t="n"/>
      <c r="D526" s="29" t="n"/>
      <c r="E526" s="29" t="n"/>
      <c r="F526" s="49" t="n"/>
      <c r="G526" s="51" t="n"/>
    </row>
    <row r="527" ht="54" customHeight="1">
      <c r="A527" s="29" t="n"/>
      <c r="B527" s="29" t="n"/>
      <c r="C527" s="29" t="n"/>
      <c r="D527" s="29" t="n"/>
      <c r="E527" s="29" t="n"/>
      <c r="F527" s="49" t="n"/>
      <c r="G527" s="51" t="n"/>
    </row>
    <row r="528" ht="54" customHeight="1">
      <c r="A528" s="29" t="n"/>
      <c r="B528" s="29" t="n"/>
      <c r="C528" s="29" t="n"/>
      <c r="D528" s="29" t="n"/>
      <c r="E528" s="29" t="n"/>
      <c r="F528" s="49" t="n"/>
      <c r="G528" s="51" t="n"/>
    </row>
    <row r="529" ht="54" customHeight="1">
      <c r="A529" s="29" t="n"/>
      <c r="B529" s="29" t="n"/>
      <c r="C529" s="29" t="n"/>
      <c r="D529" s="29" t="n"/>
      <c r="E529" s="29" t="n"/>
      <c r="F529" s="49" t="n"/>
      <c r="G529" s="51" t="n"/>
    </row>
    <row r="530" ht="54" customHeight="1">
      <c r="A530" s="29" t="n"/>
      <c r="B530" s="29" t="n"/>
      <c r="C530" s="29" t="n"/>
      <c r="D530" s="29" t="n"/>
      <c r="E530" s="29" t="n"/>
      <c r="F530" s="49" t="n"/>
      <c r="G530" s="51" t="n"/>
    </row>
    <row r="531" ht="54" customHeight="1">
      <c r="A531" s="29" t="n"/>
      <c r="B531" s="29" t="n"/>
      <c r="C531" s="29" t="n"/>
      <c r="D531" s="29" t="n"/>
      <c r="E531" s="29" t="n"/>
      <c r="F531" s="49" t="n"/>
      <c r="G531" s="51" t="n"/>
    </row>
    <row r="532" ht="54" customHeight="1">
      <c r="A532" s="29" t="n"/>
      <c r="B532" s="29" t="n"/>
      <c r="C532" s="29" t="n"/>
      <c r="D532" s="29" t="n"/>
      <c r="E532" s="29" t="n"/>
      <c r="F532" s="49" t="n"/>
      <c r="G532" s="51" t="n"/>
    </row>
    <row r="533" ht="54" customHeight="1">
      <c r="A533" s="29" t="n"/>
      <c r="B533" s="29" t="n"/>
      <c r="C533" s="29" t="n"/>
      <c r="D533" s="29" t="n"/>
      <c r="E533" s="29" t="n"/>
      <c r="F533" s="49" t="n"/>
      <c r="G533" s="51" t="n"/>
    </row>
    <row r="534" ht="54" customHeight="1">
      <c r="A534" s="29" t="n"/>
      <c r="B534" s="29" t="n"/>
      <c r="C534" s="29" t="n"/>
      <c r="D534" s="29" t="n"/>
      <c r="E534" s="29" t="n"/>
      <c r="F534" s="49" t="n"/>
      <c r="G534" s="51" t="n"/>
    </row>
    <row r="535" ht="54" customHeight="1">
      <c r="A535" s="29" t="n"/>
      <c r="B535" s="29" t="n"/>
      <c r="C535" s="29" t="n"/>
      <c r="D535" s="29" t="n"/>
      <c r="E535" s="29" t="n"/>
      <c r="F535" s="49" t="n"/>
      <c r="G535" s="51" t="n"/>
    </row>
    <row r="536" ht="54" customHeight="1">
      <c r="A536" s="29" t="n"/>
      <c r="B536" s="29" t="n"/>
      <c r="C536" s="29" t="n"/>
      <c r="D536" s="29" t="n"/>
      <c r="E536" s="29" t="n"/>
      <c r="F536" s="49" t="n"/>
      <c r="G536" s="51" t="n"/>
    </row>
    <row r="537" ht="54" customHeight="1">
      <c r="A537" s="29" t="n"/>
      <c r="B537" s="29" t="n"/>
      <c r="C537" s="29" t="n"/>
      <c r="D537" s="29" t="n"/>
      <c r="E537" s="29" t="n"/>
      <c r="F537" s="49" t="n"/>
      <c r="G537" s="51" t="n"/>
    </row>
    <row r="538" ht="54" customHeight="1">
      <c r="A538" s="29" t="n"/>
      <c r="B538" s="29" t="n"/>
      <c r="C538" s="29" t="n"/>
      <c r="D538" s="29" t="n"/>
      <c r="E538" s="29" t="n"/>
      <c r="F538" s="49" t="n"/>
      <c r="G538" s="51" t="n"/>
    </row>
    <row r="539" ht="54" customHeight="1">
      <c r="A539" s="29" t="n"/>
      <c r="B539" s="29" t="n"/>
      <c r="C539" s="29" t="n"/>
      <c r="D539" s="29" t="n"/>
      <c r="E539" s="29" t="n"/>
      <c r="F539" s="49" t="n"/>
      <c r="G539" s="51" t="n"/>
    </row>
    <row r="540" ht="54" customHeight="1">
      <c r="A540" s="29" t="n"/>
      <c r="B540" s="29" t="n"/>
      <c r="C540" s="29" t="n"/>
      <c r="D540" s="29" t="n"/>
      <c r="E540" s="29" t="n"/>
      <c r="F540" s="49" t="n"/>
      <c r="G540" s="51" t="n"/>
    </row>
    <row r="541" ht="54" customHeight="1">
      <c r="A541" s="29" t="n"/>
      <c r="B541" s="29" t="n"/>
      <c r="C541" s="29" t="n"/>
      <c r="D541" s="29" t="n"/>
      <c r="E541" s="29" t="n"/>
      <c r="F541" s="49" t="n"/>
      <c r="G541" s="51" t="n"/>
    </row>
    <row r="542" ht="54" customHeight="1">
      <c r="A542" s="29" t="n"/>
      <c r="B542" s="29" t="n"/>
      <c r="C542" s="29" t="n"/>
      <c r="D542" s="29" t="n"/>
      <c r="E542" s="29" t="n"/>
      <c r="F542" s="49" t="n"/>
      <c r="G542" s="51" t="n"/>
    </row>
    <row r="543" ht="54" customHeight="1">
      <c r="A543" s="29" t="n"/>
      <c r="B543" s="29" t="n"/>
      <c r="C543" s="29" t="n"/>
      <c r="D543" s="29" t="n"/>
      <c r="E543" s="29" t="n"/>
      <c r="F543" s="49" t="n"/>
      <c r="G543" s="51" t="n"/>
    </row>
    <row r="544" ht="54" customHeight="1">
      <c r="A544" s="29" t="n"/>
      <c r="B544" s="29" t="n"/>
      <c r="C544" s="29" t="n"/>
      <c r="D544" s="29" t="n"/>
      <c r="E544" s="29" t="n"/>
      <c r="F544" s="49" t="n"/>
      <c r="G544" s="51" t="n"/>
    </row>
    <row r="545" ht="54" customHeight="1">
      <c r="A545" s="29" t="n"/>
      <c r="B545" s="29" t="n"/>
      <c r="C545" s="29" t="n"/>
      <c r="D545" s="29" t="n"/>
      <c r="E545" s="29" t="n"/>
      <c r="F545" s="49" t="n"/>
      <c r="G545" s="51" t="n"/>
    </row>
    <row r="546" ht="54" customHeight="1">
      <c r="A546" s="29" t="n"/>
      <c r="B546" s="29" t="n"/>
      <c r="C546" s="29" t="n"/>
      <c r="D546" s="29" t="n"/>
      <c r="E546" s="29" t="n"/>
      <c r="F546" s="49" t="n"/>
      <c r="G546" s="51" t="n"/>
    </row>
    <row r="547" ht="54" customHeight="1">
      <c r="A547" s="29" t="n"/>
      <c r="B547" s="29" t="n"/>
      <c r="C547" s="29" t="n"/>
      <c r="D547" s="29" t="n"/>
      <c r="E547" s="29" t="n"/>
      <c r="F547" s="49" t="n"/>
      <c r="G547" s="51" t="n"/>
    </row>
    <row r="548" ht="54" customHeight="1">
      <c r="A548" s="29" t="n"/>
      <c r="B548" s="29" t="n"/>
      <c r="C548" s="29" t="n"/>
      <c r="D548" s="29" t="n"/>
      <c r="E548" s="29" t="n"/>
      <c r="F548" s="49" t="n"/>
      <c r="G548" s="51" t="n"/>
    </row>
    <row r="549" ht="54" customHeight="1">
      <c r="A549" s="29" t="n"/>
      <c r="B549" s="29" t="n"/>
      <c r="C549" s="29" t="n"/>
      <c r="D549" s="29" t="n"/>
      <c r="E549" s="29" t="n"/>
      <c r="F549" s="49" t="n"/>
      <c r="G549" s="51" t="n"/>
    </row>
    <row r="550" ht="54" customHeight="1">
      <c r="A550" s="29" t="n"/>
      <c r="B550" s="29" t="n"/>
      <c r="C550" s="29" t="n"/>
      <c r="D550" s="29" t="n"/>
      <c r="E550" s="29" t="n"/>
      <c r="F550" s="49" t="n"/>
      <c r="G550" s="51" t="n"/>
    </row>
    <row r="551" ht="54" customHeight="1">
      <c r="A551" s="29" t="n"/>
      <c r="B551" s="29" t="n"/>
      <c r="C551" s="29" t="n"/>
      <c r="D551" s="29" t="n"/>
      <c r="E551" s="29" t="n"/>
      <c r="F551" s="49" t="n"/>
      <c r="G551" s="51" t="n"/>
    </row>
    <row r="552" ht="54" customHeight="1">
      <c r="A552" s="29" t="n"/>
      <c r="B552" s="29" t="n"/>
      <c r="C552" s="29" t="n"/>
      <c r="D552" s="29" t="n"/>
      <c r="E552" s="29" t="n"/>
      <c r="F552" s="49" t="n"/>
      <c r="G552" s="51" t="n"/>
    </row>
    <row r="553" ht="54" customHeight="1">
      <c r="A553" s="29" t="n"/>
      <c r="B553" s="29" t="n"/>
      <c r="C553" s="29" t="n"/>
      <c r="D553" s="29" t="n"/>
      <c r="E553" s="29" t="n"/>
      <c r="F553" s="49" t="n"/>
      <c r="G553" s="51" t="n"/>
    </row>
    <row r="554" ht="54" customHeight="1">
      <c r="A554" s="29" t="n"/>
      <c r="B554" s="29" t="n"/>
      <c r="C554" s="29" t="n"/>
      <c r="D554" s="29" t="n"/>
      <c r="E554" s="29" t="n"/>
      <c r="F554" s="49" t="n"/>
      <c r="G554" s="51" t="n"/>
    </row>
    <row r="555" ht="54" customHeight="1">
      <c r="A555" s="29" t="n"/>
      <c r="B555" s="29" t="n"/>
      <c r="C555" s="29" t="n"/>
      <c r="D555" s="29" t="n"/>
      <c r="E555" s="29" t="n"/>
      <c r="F555" s="49" t="n"/>
      <c r="G555" s="51" t="n"/>
    </row>
    <row r="556" ht="54" customHeight="1">
      <c r="A556" s="29" t="n"/>
      <c r="B556" s="29" t="n"/>
      <c r="C556" s="29" t="n"/>
      <c r="D556" s="29" t="n"/>
      <c r="E556" s="29" t="n"/>
      <c r="F556" s="49" t="n"/>
      <c r="G556" s="51" t="n"/>
    </row>
    <row r="557" ht="54" customHeight="1">
      <c r="A557" s="29" t="n"/>
      <c r="B557" s="29" t="n"/>
      <c r="C557" s="29" t="n"/>
      <c r="D557" s="29" t="n"/>
      <c r="E557" s="29" t="n"/>
      <c r="F557" s="49" t="n"/>
      <c r="G557" s="51" t="n"/>
    </row>
    <row r="558" ht="54" customHeight="1">
      <c r="A558" s="29" t="n"/>
      <c r="B558" s="29" t="n"/>
      <c r="C558" s="29" t="n"/>
      <c r="D558" s="29" t="n"/>
      <c r="E558" s="29" t="n"/>
      <c r="F558" s="49" t="n"/>
      <c r="G558" s="51" t="n"/>
    </row>
    <row r="559" ht="54" customHeight="1">
      <c r="A559" s="29" t="n"/>
      <c r="B559" s="29" t="n"/>
      <c r="C559" s="29" t="n"/>
      <c r="D559" s="29" t="n"/>
      <c r="E559" s="29" t="n"/>
      <c r="F559" s="49" t="n"/>
      <c r="G559" s="51" t="n"/>
    </row>
    <row r="560" ht="54" customHeight="1">
      <c r="A560" s="29" t="n"/>
      <c r="B560" s="29" t="n"/>
      <c r="C560" s="29" t="n"/>
      <c r="D560" s="29" t="n"/>
      <c r="E560" s="29" t="n"/>
      <c r="F560" s="49" t="n"/>
      <c r="G560" s="51" t="n"/>
    </row>
    <row r="561" ht="54" customHeight="1">
      <c r="A561" s="29" t="n"/>
      <c r="B561" s="29" t="n"/>
      <c r="C561" s="29" t="n"/>
      <c r="D561" s="29" t="n"/>
      <c r="E561" s="29" t="n"/>
      <c r="F561" s="49" t="n"/>
      <c r="G561" s="51" t="n"/>
    </row>
    <row r="562" ht="54" customHeight="1">
      <c r="A562" s="29" t="n"/>
      <c r="B562" s="29" t="n"/>
      <c r="C562" s="29" t="n"/>
      <c r="D562" s="29" t="n"/>
      <c r="E562" s="29" t="n"/>
      <c r="F562" s="49" t="n"/>
      <c r="G562" s="51" t="n"/>
    </row>
    <row r="563" ht="54" customHeight="1">
      <c r="A563" s="29" t="n"/>
      <c r="B563" s="29" t="n"/>
      <c r="C563" s="29" t="n"/>
      <c r="D563" s="29" t="n"/>
      <c r="E563" s="29" t="n"/>
      <c r="F563" s="49" t="n"/>
      <c r="G563" s="51" t="n"/>
    </row>
    <row r="564" ht="54" customHeight="1">
      <c r="A564" s="29" t="n"/>
      <c r="B564" s="29" t="n"/>
      <c r="C564" s="29" t="n"/>
      <c r="D564" s="29" t="n"/>
      <c r="E564" s="29" t="n"/>
      <c r="F564" s="49" t="n"/>
      <c r="G564" s="51" t="n"/>
    </row>
    <row r="565" ht="54" customHeight="1">
      <c r="A565" s="29" t="n"/>
      <c r="B565" s="29" t="n"/>
      <c r="C565" s="29" t="n"/>
      <c r="D565" s="29" t="n"/>
      <c r="E565" s="29" t="n"/>
      <c r="F565" s="49" t="n"/>
      <c r="G565" s="51" t="n"/>
    </row>
    <row r="566" ht="54" customHeight="1">
      <c r="A566" s="29" t="n"/>
      <c r="B566" s="29" t="n"/>
      <c r="C566" s="29" t="n"/>
      <c r="D566" s="29" t="n"/>
      <c r="E566" s="29" t="n"/>
      <c r="F566" s="49" t="n"/>
      <c r="G566" s="51" t="n"/>
    </row>
    <row r="567" ht="54" customHeight="1">
      <c r="A567" s="29" t="n"/>
      <c r="B567" s="29" t="n"/>
      <c r="C567" s="29" t="n"/>
      <c r="D567" s="29" t="n"/>
      <c r="E567" s="29" t="n"/>
      <c r="F567" s="49" t="n"/>
      <c r="G567" s="51" t="n"/>
    </row>
    <row r="568" ht="54" customHeight="1">
      <c r="A568" s="29" t="n"/>
      <c r="B568" s="29" t="n"/>
      <c r="C568" s="29" t="n"/>
      <c r="D568" s="29" t="n"/>
      <c r="E568" s="29" t="n"/>
      <c r="F568" s="49" t="n"/>
      <c r="G568" s="51" t="n"/>
    </row>
    <row r="569" ht="54" customHeight="1">
      <c r="A569" s="29" t="n"/>
      <c r="B569" s="29" t="n"/>
      <c r="C569" s="29" t="n"/>
      <c r="D569" s="29" t="n"/>
      <c r="E569" s="29" t="n"/>
      <c r="F569" s="49" t="n"/>
      <c r="G569" s="51" t="n"/>
    </row>
    <row r="570" ht="54" customHeight="1">
      <c r="A570" s="29" t="n"/>
      <c r="B570" s="29" t="n"/>
      <c r="C570" s="29" t="n"/>
      <c r="D570" s="29" t="n"/>
      <c r="E570" s="29" t="n"/>
      <c r="F570" s="49" t="n"/>
      <c r="G570" s="51" t="n"/>
    </row>
    <row r="571" ht="54" customHeight="1">
      <c r="A571" s="29" t="n"/>
      <c r="B571" s="29" t="n"/>
      <c r="C571" s="29" t="n"/>
      <c r="D571" s="29" t="n"/>
      <c r="E571" s="29" t="n"/>
      <c r="F571" s="49" t="n"/>
      <c r="G571" s="51" t="n"/>
    </row>
    <row r="572" ht="54" customHeight="1">
      <c r="A572" s="29" t="n"/>
      <c r="B572" s="29" t="n"/>
      <c r="C572" s="29" t="n"/>
      <c r="D572" s="29" t="n"/>
      <c r="E572" s="29" t="n"/>
      <c r="F572" s="49" t="n"/>
      <c r="G572" s="51" t="n"/>
    </row>
    <row r="573" ht="54" customHeight="1">
      <c r="A573" s="29" t="n"/>
      <c r="B573" s="29" t="n"/>
      <c r="C573" s="29" t="n"/>
      <c r="D573" s="29" t="n"/>
      <c r="E573" s="29" t="n"/>
      <c r="F573" s="49" t="n"/>
      <c r="G573" s="51" t="n"/>
    </row>
    <row r="574" ht="54" customHeight="1">
      <c r="A574" s="29" t="n"/>
      <c r="B574" s="29" t="n"/>
      <c r="C574" s="29" t="n"/>
      <c r="D574" s="29" t="n"/>
      <c r="E574" s="29" t="n"/>
      <c r="F574" s="49" t="n"/>
      <c r="G574" s="51" t="n"/>
    </row>
    <row r="575" ht="54" customHeight="1">
      <c r="A575" s="29" t="n"/>
      <c r="B575" s="29" t="n"/>
      <c r="C575" s="29" t="n"/>
      <c r="D575" s="29" t="n"/>
      <c r="E575" s="29" t="n"/>
      <c r="F575" s="49" t="n"/>
      <c r="G575" s="51" t="n"/>
    </row>
    <row r="576" ht="54" customHeight="1">
      <c r="A576" s="29" t="n"/>
      <c r="B576" s="29" t="n"/>
      <c r="C576" s="29" t="n"/>
      <c r="D576" s="29" t="n"/>
      <c r="E576" s="29" t="n"/>
      <c r="F576" s="49" t="n"/>
      <c r="G576" s="51" t="n"/>
    </row>
    <row r="577" ht="54" customHeight="1">
      <c r="A577" s="29" t="n"/>
      <c r="B577" s="29" t="n"/>
      <c r="C577" s="29" t="n"/>
      <c r="D577" s="29" t="n"/>
      <c r="E577" s="29" t="n"/>
      <c r="F577" s="49" t="n"/>
      <c r="G577" s="51" t="n"/>
    </row>
    <row r="578" ht="54" customHeight="1">
      <c r="A578" s="29" t="n"/>
      <c r="B578" s="29" t="n"/>
      <c r="C578" s="29" t="n"/>
      <c r="D578" s="29" t="n"/>
      <c r="E578" s="29" t="n"/>
      <c r="F578" s="49" t="n"/>
      <c r="G578" s="51" t="n"/>
    </row>
    <row r="579" ht="54" customHeight="1">
      <c r="A579" s="29" t="n"/>
      <c r="B579" s="29" t="n"/>
      <c r="C579" s="29" t="n"/>
      <c r="D579" s="29" t="n"/>
      <c r="E579" s="29" t="n"/>
      <c r="F579" s="49" t="n"/>
      <c r="G579" s="51" t="n"/>
    </row>
    <row r="580" ht="54" customHeight="1">
      <c r="A580" s="29" t="n"/>
      <c r="B580" s="29" t="n"/>
      <c r="C580" s="29" t="n"/>
      <c r="D580" s="29" t="n"/>
      <c r="E580" s="29" t="n"/>
      <c r="F580" s="49" t="n"/>
      <c r="G580" s="51" t="n"/>
    </row>
    <row r="581" ht="54" customHeight="1">
      <c r="A581" s="29" t="n"/>
      <c r="B581" s="29" t="n"/>
      <c r="C581" s="29" t="n"/>
      <c r="D581" s="29" t="n"/>
      <c r="E581" s="29" t="n"/>
      <c r="F581" s="49" t="n"/>
      <c r="G581" s="51" t="n"/>
    </row>
    <row r="582" ht="54" customHeight="1">
      <c r="A582" s="29" t="n"/>
      <c r="B582" s="29" t="n"/>
      <c r="C582" s="29" t="n"/>
      <c r="D582" s="29" t="n"/>
      <c r="E582" s="29" t="n"/>
      <c r="F582" s="49" t="n"/>
      <c r="G582" s="51" t="n"/>
    </row>
    <row r="583" ht="54" customHeight="1">
      <c r="A583" s="29" t="n"/>
      <c r="B583" s="29" t="n"/>
      <c r="C583" s="29" t="n"/>
      <c r="D583" s="29" t="n"/>
      <c r="E583" s="29" t="n"/>
      <c r="F583" s="49" t="n"/>
      <c r="G583" s="51" t="n"/>
    </row>
    <row r="584" ht="54" customHeight="1">
      <c r="A584" s="29" t="n"/>
      <c r="B584" s="29" t="n"/>
      <c r="C584" s="29" t="n"/>
      <c r="D584" s="29" t="n"/>
      <c r="E584" s="29" t="n"/>
      <c r="F584" s="49" t="n"/>
      <c r="G584" s="51" t="n"/>
    </row>
    <row r="585" ht="54" customHeight="1">
      <c r="A585" s="29" t="n"/>
      <c r="B585" s="29" t="n"/>
      <c r="C585" s="29" t="n"/>
      <c r="D585" s="29" t="n"/>
      <c r="E585" s="29" t="n"/>
      <c r="F585" s="49" t="n"/>
      <c r="G585" s="51" t="n"/>
    </row>
    <row r="586" ht="54" customHeight="1">
      <c r="A586" s="29" t="n"/>
      <c r="B586" s="29" t="n"/>
      <c r="C586" s="29" t="n"/>
      <c r="D586" s="29" t="n"/>
      <c r="E586" s="29" t="n"/>
      <c r="F586" s="49" t="n"/>
      <c r="G586" s="51" t="n"/>
    </row>
    <row r="587" ht="54" customHeight="1">
      <c r="A587" s="29" t="n"/>
      <c r="B587" s="29" t="n"/>
      <c r="C587" s="29" t="n"/>
      <c r="D587" s="29" t="n"/>
      <c r="E587" s="29" t="n"/>
      <c r="F587" s="49" t="n"/>
      <c r="G587" s="51" t="n"/>
    </row>
    <row r="588" ht="54" customHeight="1">
      <c r="A588" s="29" t="n"/>
      <c r="B588" s="29" t="n"/>
      <c r="C588" s="29" t="n"/>
      <c r="D588" s="29" t="n"/>
      <c r="E588" s="29" t="n"/>
      <c r="F588" s="49" t="n"/>
      <c r="G588" s="51" t="n"/>
    </row>
    <row r="589" ht="54" customHeight="1">
      <c r="A589" s="29" t="n"/>
      <c r="B589" s="29" t="n"/>
      <c r="C589" s="29" t="n"/>
      <c r="D589" s="29" t="n"/>
      <c r="E589" s="29" t="n"/>
      <c r="F589" s="49" t="n"/>
      <c r="G589" s="51" t="n"/>
    </row>
    <row r="590" ht="54" customHeight="1">
      <c r="A590" s="29" t="n"/>
      <c r="B590" s="29" t="n"/>
      <c r="C590" s="29" t="n"/>
      <c r="D590" s="29" t="n"/>
      <c r="E590" s="29" t="n"/>
      <c r="F590" s="49" t="n"/>
      <c r="G590" s="51" t="n"/>
    </row>
    <row r="591" ht="54" customHeight="1">
      <c r="A591" s="29" t="n"/>
      <c r="B591" s="29" t="n"/>
      <c r="C591" s="29" t="n"/>
      <c r="D591" s="29" t="n"/>
      <c r="E591" s="29" t="n"/>
      <c r="F591" s="49" t="n"/>
      <c r="G591" s="51" t="n"/>
    </row>
    <row r="592" ht="54" customHeight="1">
      <c r="A592" s="29" t="n"/>
      <c r="B592" s="29" t="n"/>
      <c r="C592" s="29" t="n"/>
      <c r="D592" s="29" t="n"/>
      <c r="E592" s="29" t="n"/>
      <c r="F592" s="49" t="n"/>
      <c r="G592" s="51" t="n"/>
    </row>
    <row r="593" ht="54" customHeight="1">
      <c r="A593" s="29" t="n"/>
      <c r="B593" s="29" t="n"/>
      <c r="C593" s="29" t="n"/>
      <c r="D593" s="29" t="n"/>
      <c r="E593" s="29" t="n"/>
      <c r="F593" s="49" t="n"/>
      <c r="G593" s="51" t="n"/>
    </row>
    <row r="594" ht="54" customHeight="1">
      <c r="A594" s="29" t="n"/>
      <c r="B594" s="29" t="n"/>
      <c r="C594" s="29" t="n"/>
      <c r="D594" s="29" t="n"/>
      <c r="E594" s="29" t="n"/>
      <c r="F594" s="49" t="n"/>
      <c r="G594" s="51" t="n"/>
    </row>
    <row r="595" ht="54" customHeight="1">
      <c r="A595" s="29" t="n"/>
      <c r="B595" s="29" t="n"/>
      <c r="C595" s="29" t="n"/>
      <c r="D595" s="29" t="n"/>
      <c r="E595" s="29" t="n"/>
      <c r="F595" s="49" t="n"/>
      <c r="G595" s="51" t="n"/>
    </row>
    <row r="596" ht="54" customHeight="1">
      <c r="A596" s="29" t="n"/>
      <c r="B596" s="29" t="n"/>
      <c r="C596" s="29" t="n"/>
      <c r="D596" s="29" t="n"/>
      <c r="E596" s="29" t="n"/>
      <c r="F596" s="49" t="n"/>
      <c r="G596" s="51" t="n"/>
    </row>
    <row r="597" ht="54" customHeight="1">
      <c r="A597" s="29" t="n"/>
      <c r="B597" s="29" t="n"/>
      <c r="C597" s="29" t="n"/>
      <c r="D597" s="29" t="n"/>
      <c r="E597" s="29" t="n"/>
      <c r="F597" s="49" t="n"/>
      <c r="G597" s="51" t="n"/>
    </row>
    <row r="598" ht="54" customHeight="1">
      <c r="A598" s="29" t="n"/>
      <c r="B598" s="29" t="n"/>
      <c r="C598" s="29" t="n"/>
      <c r="D598" s="29" t="n"/>
      <c r="E598" s="29" t="n"/>
      <c r="F598" s="49" t="n"/>
      <c r="G598" s="51" t="n"/>
    </row>
    <row r="599" ht="54" customHeight="1">
      <c r="A599" s="29" t="n"/>
      <c r="B599" s="29" t="n"/>
      <c r="C599" s="29" t="n"/>
      <c r="D599" s="29" t="n"/>
      <c r="E599" s="29" t="n"/>
      <c r="F599" s="49" t="n"/>
      <c r="G599" s="51" t="n"/>
    </row>
    <row r="600" ht="54" customHeight="1">
      <c r="A600" s="29" t="n"/>
      <c r="B600" s="29" t="n"/>
      <c r="C600" s="29" t="n"/>
      <c r="D600" s="29" t="n"/>
      <c r="E600" s="29" t="n"/>
      <c r="F600" s="49" t="n"/>
      <c r="G600" s="51" t="n"/>
    </row>
    <row r="601" ht="54" customHeight="1">
      <c r="A601" s="29" t="n"/>
      <c r="B601" s="29" t="n"/>
      <c r="C601" s="29" t="n"/>
      <c r="D601" s="29" t="n"/>
      <c r="E601" s="29" t="n"/>
      <c r="F601" s="49" t="n"/>
      <c r="G601" s="51" t="n"/>
    </row>
    <row r="602" ht="54" customHeight="1">
      <c r="A602" s="29" t="n"/>
      <c r="B602" s="29" t="n"/>
      <c r="C602" s="29" t="n"/>
      <c r="D602" s="29" t="n"/>
      <c r="E602" s="29" t="n"/>
      <c r="F602" s="49" t="n"/>
      <c r="G602" s="51" t="n"/>
    </row>
    <row r="603" ht="54" customHeight="1">
      <c r="A603" s="29" t="n"/>
      <c r="B603" s="29" t="n"/>
      <c r="C603" s="29" t="n"/>
      <c r="D603" s="29" t="n"/>
      <c r="E603" s="29" t="n"/>
      <c r="F603" s="49" t="n"/>
      <c r="G603" s="51" t="n"/>
    </row>
    <row r="604" ht="54" customHeight="1">
      <c r="A604" s="29" t="n"/>
      <c r="B604" s="29" t="n"/>
      <c r="C604" s="29" t="n"/>
      <c r="D604" s="29" t="n"/>
      <c r="E604" s="29" t="n"/>
      <c r="F604" s="49" t="n"/>
      <c r="G604" s="51" t="n"/>
    </row>
    <row r="605" ht="54" customHeight="1">
      <c r="A605" s="29" t="n"/>
      <c r="B605" s="29" t="n"/>
      <c r="C605" s="29" t="n"/>
      <c r="D605" s="29" t="n"/>
      <c r="E605" s="29" t="n"/>
      <c r="F605" s="49" t="n"/>
      <c r="G605" s="51" t="n"/>
    </row>
    <row r="606" ht="54" customHeight="1">
      <c r="A606" s="29" t="n"/>
      <c r="B606" s="29" t="n"/>
      <c r="C606" s="29" t="n"/>
      <c r="D606" s="29" t="n"/>
      <c r="E606" s="29" t="n"/>
      <c r="F606" s="49" t="n"/>
      <c r="G606" s="51" t="n"/>
    </row>
    <row r="607" ht="54" customHeight="1">
      <c r="A607" s="29" t="n"/>
      <c r="B607" s="29" t="n"/>
      <c r="C607" s="29" t="n"/>
      <c r="D607" s="29" t="n"/>
      <c r="E607" s="29" t="n"/>
      <c r="F607" s="49" t="n"/>
      <c r="G607" s="51" t="n"/>
    </row>
    <row r="608" ht="54" customHeight="1">
      <c r="A608" s="29" t="n"/>
      <c r="B608" s="29" t="n"/>
      <c r="C608" s="29" t="n"/>
      <c r="D608" s="29" t="n"/>
      <c r="E608" s="29" t="n"/>
      <c r="F608" s="49" t="n"/>
      <c r="G608" s="51" t="n"/>
    </row>
    <row r="609" ht="54" customHeight="1">
      <c r="A609" s="29" t="n"/>
      <c r="B609" s="29" t="n"/>
      <c r="C609" s="29" t="n"/>
      <c r="D609" s="29" t="n"/>
      <c r="E609" s="29" t="n"/>
      <c r="F609" s="49" t="n"/>
      <c r="G609" s="51" t="n"/>
    </row>
    <row r="610" ht="54" customHeight="1">
      <c r="A610" s="29" t="n"/>
      <c r="B610" s="29" t="n"/>
      <c r="C610" s="29" t="n"/>
      <c r="D610" s="29" t="n"/>
      <c r="E610" s="29" t="n"/>
      <c r="F610" s="49" t="n"/>
      <c r="G610" s="51" t="n"/>
    </row>
    <row r="611" ht="54" customHeight="1">
      <c r="A611" s="29" t="n"/>
      <c r="B611" s="29" t="n"/>
      <c r="C611" s="29" t="n"/>
      <c r="D611" s="29" t="n"/>
      <c r="E611" s="29" t="n"/>
      <c r="F611" s="49" t="n"/>
      <c r="G611" s="51" t="n"/>
    </row>
    <row r="612" ht="54" customHeight="1">
      <c r="A612" s="29" t="n"/>
      <c r="B612" s="29" t="n"/>
      <c r="C612" s="29" t="n"/>
      <c r="D612" s="29" t="n"/>
      <c r="E612" s="29" t="n"/>
      <c r="F612" s="49" t="n"/>
      <c r="G612" s="51" t="n"/>
    </row>
    <row r="613" ht="54" customHeight="1">
      <c r="A613" s="29" t="n"/>
      <c r="B613" s="29" t="n"/>
      <c r="C613" s="29" t="n"/>
      <c r="D613" s="29" t="n"/>
      <c r="E613" s="29" t="n"/>
      <c r="F613" s="49" t="n"/>
      <c r="G613" s="51" t="n"/>
    </row>
    <row r="614" ht="54" customHeight="1">
      <c r="A614" s="29" t="n"/>
      <c r="B614" s="29" t="n"/>
      <c r="C614" s="29" t="n"/>
      <c r="D614" s="29" t="n"/>
      <c r="E614" s="29" t="n"/>
      <c r="F614" s="49" t="n"/>
      <c r="G614" s="51" t="n"/>
    </row>
    <row r="615" ht="54" customHeight="1">
      <c r="A615" s="29" t="n"/>
      <c r="B615" s="29" t="n"/>
      <c r="C615" s="29" t="n"/>
      <c r="D615" s="29" t="n"/>
      <c r="E615" s="29" t="n"/>
      <c r="F615" s="49" t="n"/>
      <c r="G615" s="51" t="n"/>
    </row>
    <row r="616" ht="54" customHeight="1">
      <c r="A616" s="29" t="n"/>
      <c r="B616" s="29" t="n"/>
      <c r="C616" s="29" t="n"/>
      <c r="D616" s="29" t="n"/>
      <c r="E616" s="29" t="n"/>
      <c r="F616" s="49" t="n"/>
      <c r="G616" s="51" t="n"/>
    </row>
    <row r="617" ht="54" customHeight="1">
      <c r="A617" s="29" t="n"/>
      <c r="B617" s="29" t="n"/>
      <c r="C617" s="29" t="n"/>
      <c r="D617" s="29" t="n"/>
      <c r="E617" s="29" t="n"/>
      <c r="F617" s="49" t="n"/>
      <c r="G617" s="51" t="n"/>
    </row>
    <row r="618" ht="54" customHeight="1">
      <c r="A618" s="29" t="n"/>
      <c r="B618" s="29" t="n"/>
      <c r="C618" s="29" t="n"/>
      <c r="D618" s="29" t="n"/>
      <c r="E618" s="29" t="n"/>
      <c r="F618" s="49" t="n"/>
      <c r="G618" s="51" t="n"/>
    </row>
    <row r="619" ht="54" customHeight="1">
      <c r="A619" s="29" t="n"/>
      <c r="B619" s="29" t="n"/>
      <c r="C619" s="29" t="n"/>
      <c r="D619" s="29" t="n"/>
      <c r="E619" s="29" t="n"/>
      <c r="F619" s="49" t="n"/>
      <c r="G619" s="51" t="n"/>
    </row>
    <row r="620" ht="54" customHeight="1">
      <c r="A620" s="29" t="n"/>
      <c r="B620" s="29" t="n"/>
      <c r="C620" s="29" t="n"/>
      <c r="D620" s="29" t="n"/>
      <c r="E620" s="29" t="n"/>
      <c r="F620" s="49" t="n"/>
      <c r="G620" s="51" t="n"/>
    </row>
    <row r="621" ht="54" customHeight="1">
      <c r="A621" s="29" t="n"/>
      <c r="B621" s="29" t="n"/>
      <c r="C621" s="29" t="n"/>
      <c r="D621" s="29" t="n"/>
      <c r="E621" s="29" t="n"/>
      <c r="F621" s="49" t="n"/>
      <c r="G621" s="51" t="n"/>
    </row>
    <row r="622" ht="54" customHeight="1">
      <c r="A622" s="29" t="n"/>
      <c r="B622" s="29" t="n"/>
      <c r="C622" s="29" t="n"/>
      <c r="D622" s="29" t="n"/>
      <c r="E622" s="29" t="n"/>
      <c r="F622" s="49" t="n"/>
      <c r="G622" s="51" t="n"/>
    </row>
    <row r="623" ht="54" customHeight="1">
      <c r="A623" s="29" t="n"/>
      <c r="B623" s="29" t="n"/>
      <c r="C623" s="29" t="n"/>
      <c r="D623" s="29" t="n"/>
      <c r="E623" s="29" t="n"/>
      <c r="F623" s="49" t="n"/>
      <c r="G623" s="51" t="n"/>
    </row>
    <row r="624" ht="54" customHeight="1">
      <c r="A624" s="29" t="n"/>
      <c r="B624" s="29" t="n"/>
      <c r="C624" s="29" t="n"/>
      <c r="D624" s="29" t="n"/>
      <c r="E624" s="29" t="n"/>
      <c r="F624" s="49" t="n"/>
      <c r="G624" s="51" t="n"/>
    </row>
    <row r="625" ht="54" customHeight="1">
      <c r="A625" s="29" t="n"/>
      <c r="B625" s="29" t="n"/>
      <c r="C625" s="29" t="n"/>
      <c r="D625" s="29" t="n"/>
      <c r="E625" s="29" t="n"/>
      <c r="F625" s="49" t="n"/>
      <c r="G625" s="51" t="n"/>
    </row>
    <row r="626" ht="54" customHeight="1">
      <c r="A626" s="29" t="n"/>
      <c r="B626" s="29" t="n"/>
      <c r="C626" s="29" t="n"/>
      <c r="D626" s="29" t="n"/>
      <c r="E626" s="29" t="n"/>
      <c r="F626" s="49" t="n"/>
      <c r="G626" s="51" t="n"/>
    </row>
    <row r="627" ht="54" customHeight="1">
      <c r="A627" s="29" t="n"/>
      <c r="B627" s="29" t="n"/>
      <c r="C627" s="29" t="n"/>
      <c r="D627" s="29" t="n"/>
      <c r="E627" s="29" t="n"/>
      <c r="F627" s="49" t="n"/>
      <c r="G627" s="51" t="n"/>
    </row>
    <row r="628" ht="54" customHeight="1">
      <c r="A628" s="29" t="n"/>
      <c r="B628" s="29" t="n"/>
      <c r="C628" s="29" t="n"/>
      <c r="D628" s="29" t="n"/>
      <c r="E628" s="29" t="n"/>
      <c r="F628" s="49" t="n"/>
      <c r="G628" s="51" t="n"/>
    </row>
    <row r="629" ht="54" customHeight="1">
      <c r="A629" s="29" t="n"/>
      <c r="B629" s="29" t="n"/>
      <c r="C629" s="29" t="n"/>
      <c r="D629" s="29" t="n"/>
      <c r="E629" s="29" t="n"/>
      <c r="F629" s="49" t="n"/>
      <c r="G629" s="51" t="n"/>
    </row>
    <row r="630" ht="54" customHeight="1">
      <c r="A630" s="29" t="n"/>
      <c r="B630" s="29" t="n"/>
      <c r="C630" s="29" t="n"/>
      <c r="D630" s="29" t="n"/>
      <c r="E630" s="29" t="n"/>
      <c r="F630" s="49" t="n"/>
      <c r="G630" s="51" t="n"/>
    </row>
    <row r="631" ht="54" customHeight="1">
      <c r="A631" s="29" t="n"/>
      <c r="B631" s="29" t="n"/>
      <c r="C631" s="29" t="n"/>
      <c r="D631" s="29" t="n"/>
      <c r="E631" s="29" t="n"/>
      <c r="F631" s="49" t="n"/>
      <c r="G631" s="51" t="n"/>
    </row>
    <row r="632" ht="54" customHeight="1">
      <c r="A632" s="29" t="n"/>
      <c r="B632" s="29" t="n"/>
      <c r="C632" s="29" t="n"/>
      <c r="D632" s="29" t="n"/>
      <c r="E632" s="29" t="n"/>
      <c r="F632" s="49" t="n"/>
      <c r="G632" s="51" t="n"/>
    </row>
    <row r="633" ht="54" customHeight="1">
      <c r="A633" s="29" t="n"/>
      <c r="B633" s="29" t="n"/>
      <c r="C633" s="29" t="n"/>
      <c r="D633" s="29" t="n"/>
      <c r="E633" s="29" t="n"/>
      <c r="F633" s="49" t="n"/>
      <c r="G633" s="51" t="n"/>
    </row>
    <row r="634" ht="54" customHeight="1">
      <c r="A634" s="29" t="n"/>
      <c r="B634" s="29" t="n"/>
      <c r="C634" s="29" t="n"/>
      <c r="D634" s="29" t="n"/>
      <c r="E634" s="29" t="n"/>
      <c r="F634" s="49" t="n"/>
      <c r="G634" s="51" t="n"/>
    </row>
    <row r="635" ht="54" customHeight="1">
      <c r="A635" s="29" t="n"/>
      <c r="B635" s="29" t="n"/>
      <c r="C635" s="29" t="n"/>
      <c r="D635" s="29" t="n"/>
      <c r="E635" s="29" t="n"/>
      <c r="F635" s="49" t="n"/>
      <c r="G635" s="51" t="n"/>
    </row>
    <row r="636" ht="54" customHeight="1">
      <c r="A636" s="29" t="n"/>
      <c r="B636" s="29" t="n"/>
      <c r="C636" s="29" t="n"/>
      <c r="D636" s="29" t="n"/>
      <c r="E636" s="29" t="n"/>
      <c r="F636" s="49" t="n"/>
      <c r="G636" s="51" t="n"/>
    </row>
    <row r="637" ht="54" customHeight="1">
      <c r="A637" s="29" t="n"/>
      <c r="B637" s="29" t="n"/>
      <c r="C637" s="29" t="n"/>
      <c r="D637" s="29" t="n"/>
      <c r="E637" s="29" t="n"/>
      <c r="F637" s="49" t="n"/>
      <c r="G637" s="51" t="n"/>
    </row>
    <row r="638" ht="54" customHeight="1">
      <c r="A638" s="29" t="n"/>
      <c r="B638" s="29" t="n"/>
      <c r="C638" s="29" t="n"/>
      <c r="D638" s="29" t="n"/>
      <c r="E638" s="29" t="n"/>
      <c r="F638" s="49" t="n"/>
      <c r="G638" s="51" t="n"/>
    </row>
    <row r="639" ht="54" customHeight="1">
      <c r="A639" s="29" t="n"/>
      <c r="B639" s="29" t="n"/>
      <c r="C639" s="29" t="n"/>
      <c r="D639" s="29" t="n"/>
      <c r="E639" s="29" t="n"/>
      <c r="F639" s="49" t="n"/>
      <c r="G639" s="51" t="n"/>
    </row>
    <row r="640" ht="54" customHeight="1">
      <c r="A640" s="29" t="n"/>
      <c r="B640" s="29" t="n"/>
      <c r="C640" s="29" t="n"/>
      <c r="D640" s="29" t="n"/>
      <c r="E640" s="29" t="n"/>
      <c r="F640" s="49" t="n"/>
      <c r="G640" s="51" t="n"/>
    </row>
    <row r="641" ht="54" customHeight="1">
      <c r="A641" s="29" t="n"/>
      <c r="B641" s="29" t="n"/>
      <c r="C641" s="29" t="n"/>
      <c r="D641" s="29" t="n"/>
      <c r="E641" s="29" t="n"/>
      <c r="F641" s="49" t="n"/>
      <c r="G641" s="51" t="n"/>
    </row>
    <row r="642" ht="54" customHeight="1">
      <c r="A642" s="29" t="n"/>
      <c r="B642" s="29" t="n"/>
      <c r="C642" s="29" t="n"/>
      <c r="D642" s="29" t="n"/>
      <c r="E642" s="29" t="n"/>
      <c r="F642" s="49" t="n"/>
      <c r="G642" s="51" t="n"/>
    </row>
    <row r="643" ht="54" customHeight="1">
      <c r="A643" s="29" t="n"/>
      <c r="B643" s="29" t="n"/>
      <c r="C643" s="29" t="n"/>
      <c r="D643" s="29" t="n"/>
      <c r="E643" s="29" t="n"/>
      <c r="F643" s="49" t="n"/>
      <c r="G643" s="51" t="n"/>
    </row>
    <row r="644" ht="54" customHeight="1">
      <c r="A644" s="29" t="n"/>
      <c r="B644" s="29" t="n"/>
      <c r="C644" s="29" t="n"/>
      <c r="D644" s="29" t="n"/>
      <c r="E644" s="29" t="n"/>
      <c r="F644" s="49" t="n"/>
      <c r="G644" s="51" t="n"/>
    </row>
    <row r="645" ht="54" customHeight="1">
      <c r="A645" s="29" t="n"/>
      <c r="B645" s="29" t="n"/>
      <c r="C645" s="29" t="n"/>
      <c r="D645" s="29" t="n"/>
      <c r="E645" s="29" t="n"/>
      <c r="F645" s="49" t="n"/>
      <c r="G645" s="51" t="n"/>
    </row>
    <row r="646" ht="54" customHeight="1">
      <c r="A646" s="29" t="n"/>
      <c r="B646" s="29" t="n"/>
      <c r="C646" s="29" t="n"/>
      <c r="D646" s="29" t="n"/>
      <c r="E646" s="29" t="n"/>
      <c r="F646" s="49" t="n"/>
      <c r="G646" s="51" t="n"/>
    </row>
    <row r="647" ht="54" customHeight="1">
      <c r="A647" s="29" t="n"/>
      <c r="B647" s="29" t="n"/>
      <c r="C647" s="29" t="n"/>
      <c r="D647" s="29" t="n"/>
      <c r="E647" s="29" t="n"/>
      <c r="F647" s="49" t="n"/>
      <c r="G647" s="51" t="n"/>
    </row>
    <row r="648" ht="54" customHeight="1">
      <c r="A648" s="29" t="n"/>
      <c r="B648" s="29" t="n"/>
      <c r="C648" s="29" t="n"/>
      <c r="D648" s="29" t="n"/>
      <c r="E648" s="29" t="n"/>
      <c r="F648" s="49" t="n"/>
      <c r="G648" s="51" t="n"/>
    </row>
    <row r="649" ht="54" customHeight="1">
      <c r="A649" s="29" t="n"/>
      <c r="B649" s="29" t="n"/>
      <c r="C649" s="29" t="n"/>
      <c r="D649" s="29" t="n"/>
      <c r="E649" s="29" t="n"/>
      <c r="F649" s="49" t="n"/>
      <c r="G649" s="51" t="n"/>
    </row>
    <row r="650" ht="54" customHeight="1">
      <c r="A650" s="29" t="n"/>
      <c r="B650" s="29" t="n"/>
      <c r="C650" s="29" t="n"/>
      <c r="D650" s="29" t="n"/>
      <c r="E650" s="29" t="n"/>
      <c r="F650" s="49" t="n"/>
      <c r="G650" s="51" t="n"/>
    </row>
    <row r="651" ht="54" customHeight="1">
      <c r="A651" s="29" t="n"/>
      <c r="B651" s="29" t="n"/>
      <c r="C651" s="29" t="n"/>
      <c r="D651" s="29" t="n"/>
      <c r="E651" s="29" t="n"/>
      <c r="F651" s="49" t="n"/>
      <c r="G651" s="51" t="n"/>
    </row>
    <row r="652" ht="54" customHeight="1">
      <c r="A652" s="29" t="n"/>
      <c r="B652" s="29" t="n"/>
      <c r="C652" s="29" t="n"/>
      <c r="D652" s="29" t="n"/>
      <c r="E652" s="29" t="n"/>
      <c r="F652" s="49" t="n"/>
      <c r="G652" s="51" t="n"/>
    </row>
    <row r="653" ht="54" customHeight="1">
      <c r="A653" s="29" t="n"/>
      <c r="B653" s="29" t="n"/>
      <c r="C653" s="29" t="n"/>
      <c r="D653" s="29" t="n"/>
      <c r="E653" s="29" t="n"/>
      <c r="F653" s="49" t="n"/>
      <c r="G653" s="51" t="n"/>
    </row>
    <row r="654" ht="54" customHeight="1">
      <c r="A654" s="29" t="n"/>
      <c r="B654" s="29" t="n"/>
      <c r="C654" s="29" t="n"/>
      <c r="D654" s="29" t="n"/>
      <c r="E654" s="29" t="n"/>
      <c r="F654" s="49" t="n"/>
      <c r="G654" s="51" t="n"/>
    </row>
    <row r="655" ht="54" customHeight="1">
      <c r="A655" s="29" t="n"/>
      <c r="B655" s="29" t="n"/>
      <c r="C655" s="29" t="n"/>
      <c r="D655" s="29" t="n"/>
      <c r="E655" s="29" t="n"/>
      <c r="F655" s="49" t="n"/>
      <c r="G655" s="51" t="n"/>
    </row>
    <row r="656" ht="54" customHeight="1">
      <c r="A656" s="29" t="n"/>
      <c r="B656" s="29" t="n"/>
      <c r="C656" s="29" t="n"/>
      <c r="D656" s="29" t="n"/>
      <c r="E656" s="29" t="n"/>
      <c r="F656" s="49" t="n"/>
      <c r="G656" s="51" t="n"/>
    </row>
    <row r="657" ht="54" customHeight="1">
      <c r="A657" s="29" t="n"/>
      <c r="B657" s="29" t="n"/>
      <c r="C657" s="29" t="n"/>
      <c r="D657" s="29" t="n"/>
      <c r="E657" s="29" t="n"/>
      <c r="F657" s="49" t="n"/>
      <c r="G657" s="51" t="n"/>
    </row>
    <row r="658" ht="54" customHeight="1">
      <c r="A658" s="29" t="n"/>
      <c r="B658" s="29" t="n"/>
      <c r="C658" s="29" t="n"/>
      <c r="D658" s="29" t="n"/>
      <c r="E658" s="29" t="n"/>
      <c r="F658" s="49" t="n"/>
      <c r="G658" s="51" t="n"/>
    </row>
    <row r="659" ht="54" customHeight="1">
      <c r="A659" s="29" t="n"/>
      <c r="B659" s="29" t="n"/>
      <c r="C659" s="29" t="n"/>
      <c r="D659" s="29" t="n"/>
      <c r="E659" s="29" t="n"/>
      <c r="F659" s="49" t="n"/>
      <c r="G659" s="51" t="n"/>
    </row>
    <row r="660" ht="54" customHeight="1">
      <c r="A660" s="29" t="n"/>
      <c r="B660" s="29" t="n"/>
      <c r="C660" s="29" t="n"/>
      <c r="D660" s="29" t="n"/>
      <c r="E660" s="29" t="n"/>
      <c r="F660" s="49" t="n"/>
      <c r="G660" s="51" t="n"/>
    </row>
    <row r="661" ht="54" customHeight="1">
      <c r="A661" s="29" t="n"/>
      <c r="B661" s="29" t="n"/>
      <c r="C661" s="29" t="n"/>
      <c r="D661" s="29" t="n"/>
      <c r="E661" s="29" t="n"/>
      <c r="F661" s="49" t="n"/>
      <c r="G661" s="51" t="n"/>
    </row>
    <row r="662" ht="54" customHeight="1">
      <c r="A662" s="29" t="n"/>
      <c r="B662" s="29" t="n"/>
      <c r="C662" s="29" t="n"/>
      <c r="D662" s="29" t="n"/>
      <c r="E662" s="29" t="n"/>
      <c r="F662" s="49" t="n"/>
      <c r="G662" s="51" t="n"/>
    </row>
    <row r="663" ht="54" customHeight="1">
      <c r="A663" s="29" t="n"/>
      <c r="B663" s="29" t="n"/>
      <c r="C663" s="29" t="n"/>
      <c r="D663" s="29" t="n"/>
      <c r="E663" s="29" t="n"/>
      <c r="F663" s="49" t="n"/>
      <c r="G663" s="51" t="n"/>
    </row>
    <row r="664" ht="54" customHeight="1">
      <c r="A664" s="29" t="n"/>
      <c r="B664" s="29" t="n"/>
      <c r="C664" s="29" t="n"/>
      <c r="D664" s="29" t="n"/>
      <c r="E664" s="29" t="n"/>
      <c r="F664" s="49" t="n"/>
      <c r="G664" s="51" t="n"/>
    </row>
    <row r="665" ht="54" customHeight="1">
      <c r="A665" s="29" t="n"/>
      <c r="B665" s="29" t="n"/>
      <c r="C665" s="29" t="n"/>
      <c r="D665" s="29" t="n"/>
      <c r="E665" s="29" t="n"/>
      <c r="F665" s="49" t="n"/>
      <c r="G665" s="51" t="n"/>
    </row>
    <row r="666" ht="54" customHeight="1">
      <c r="A666" s="29" t="n"/>
      <c r="B666" s="29" t="n"/>
      <c r="C666" s="29" t="n"/>
      <c r="D666" s="29" t="n"/>
      <c r="E666" s="29" t="n"/>
      <c r="F666" s="49" t="n"/>
      <c r="G666" s="51" t="n"/>
    </row>
    <row r="667" ht="54" customHeight="1">
      <c r="A667" s="29" t="n"/>
      <c r="B667" s="29" t="n"/>
      <c r="C667" s="29" t="n"/>
      <c r="D667" s="29" t="n"/>
      <c r="E667" s="29" t="n"/>
      <c r="F667" s="49" t="n"/>
      <c r="G667" s="51" t="n"/>
    </row>
    <row r="668" ht="54" customHeight="1">
      <c r="A668" s="29" t="n"/>
      <c r="B668" s="29" t="n"/>
      <c r="C668" s="29" t="n"/>
      <c r="D668" s="29" t="n"/>
      <c r="E668" s="29" t="n"/>
      <c r="F668" s="49" t="n"/>
      <c r="G668" s="51" t="n"/>
    </row>
    <row r="669" ht="54" customHeight="1">
      <c r="A669" s="29" t="n"/>
      <c r="B669" s="29" t="n"/>
      <c r="C669" s="29" t="n"/>
      <c r="D669" s="29" t="n"/>
      <c r="E669" s="29" t="n"/>
      <c r="F669" s="49" t="n"/>
      <c r="G669" s="51" t="n"/>
    </row>
    <row r="670" ht="54" customHeight="1">
      <c r="A670" s="29" t="n"/>
      <c r="B670" s="29" t="n"/>
      <c r="C670" s="29" t="n"/>
      <c r="D670" s="29" t="n"/>
      <c r="E670" s="29" t="n"/>
      <c r="F670" s="49" t="n"/>
      <c r="G670" s="51" t="n"/>
    </row>
    <row r="671" ht="54" customHeight="1">
      <c r="A671" s="29" t="n"/>
      <c r="B671" s="29" t="n"/>
      <c r="C671" s="29" t="n"/>
      <c r="D671" s="29" t="n"/>
      <c r="E671" s="29" t="n"/>
      <c r="F671" s="49" t="n"/>
      <c r="G671" s="51" t="n"/>
    </row>
    <row r="672" ht="54" customHeight="1">
      <c r="A672" s="29" t="n"/>
      <c r="B672" s="29" t="n"/>
      <c r="C672" s="29" t="n"/>
      <c r="D672" s="29" t="n"/>
      <c r="E672" s="29" t="n"/>
      <c r="F672" s="49" t="n"/>
      <c r="G672" s="51" t="n"/>
    </row>
    <row r="673" ht="54" customHeight="1">
      <c r="A673" s="29" t="n"/>
      <c r="B673" s="29" t="n"/>
      <c r="C673" s="29" t="n"/>
      <c r="D673" s="29" t="n"/>
      <c r="E673" s="29" t="n"/>
      <c r="F673" s="49" t="n"/>
      <c r="G673" s="51" t="n"/>
    </row>
    <row r="674" ht="54" customHeight="1">
      <c r="A674" s="29" t="n"/>
      <c r="B674" s="29" t="n"/>
      <c r="C674" s="29" t="n"/>
      <c r="D674" s="29" t="n"/>
      <c r="E674" s="29" t="n"/>
      <c r="F674" s="49" t="n"/>
      <c r="G674" s="51" t="n"/>
    </row>
    <row r="675" ht="54" customHeight="1">
      <c r="A675" s="29" t="n"/>
      <c r="B675" s="29" t="n"/>
      <c r="C675" s="29" t="n"/>
      <c r="D675" s="29" t="n"/>
      <c r="E675" s="29" t="n"/>
      <c r="F675" s="49" t="n"/>
      <c r="G675" s="51" t="n"/>
    </row>
    <row r="676" ht="54" customHeight="1">
      <c r="A676" s="29" t="n"/>
      <c r="B676" s="29" t="n"/>
      <c r="C676" s="29" t="n"/>
      <c r="D676" s="29" t="n"/>
      <c r="E676" s="29" t="n"/>
      <c r="F676" s="49" t="n"/>
      <c r="G676" s="51" t="n"/>
    </row>
    <row r="677" ht="54" customHeight="1">
      <c r="A677" s="29" t="n"/>
      <c r="B677" s="29" t="n"/>
      <c r="C677" s="29" t="n"/>
      <c r="D677" s="29" t="n"/>
      <c r="E677" s="29" t="n"/>
      <c r="F677" s="49" t="n"/>
      <c r="G677" s="51" t="n"/>
    </row>
    <row r="678" ht="54" customHeight="1">
      <c r="A678" s="29" t="n"/>
      <c r="B678" s="29" t="n"/>
      <c r="C678" s="29" t="n"/>
      <c r="D678" s="29" t="n"/>
      <c r="E678" s="29" t="n"/>
      <c r="F678" s="49" t="n"/>
      <c r="G678" s="51" t="n"/>
    </row>
    <row r="679" ht="54" customHeight="1">
      <c r="A679" s="29" t="n"/>
      <c r="B679" s="29" t="n"/>
      <c r="C679" s="29" t="n"/>
      <c r="D679" s="29" t="n"/>
      <c r="E679" s="29" t="n"/>
      <c r="F679" s="49" t="n"/>
      <c r="G679" s="51" t="n"/>
    </row>
    <row r="680" ht="54" customHeight="1">
      <c r="A680" s="29" t="n"/>
      <c r="B680" s="29" t="n"/>
      <c r="C680" s="29" t="n"/>
      <c r="D680" s="29" t="n"/>
      <c r="E680" s="29" t="n"/>
      <c r="F680" s="49" t="n"/>
      <c r="G680" s="51" t="n"/>
    </row>
    <row r="681" ht="54" customHeight="1">
      <c r="A681" s="29" t="n"/>
      <c r="B681" s="29" t="n"/>
      <c r="C681" s="29" t="n"/>
      <c r="D681" s="29" t="n"/>
      <c r="E681" s="29" t="n"/>
      <c r="F681" s="49" t="n"/>
      <c r="G681" s="51" t="n"/>
    </row>
    <row r="682" ht="54" customHeight="1">
      <c r="A682" s="29" t="n"/>
      <c r="B682" s="29" t="n"/>
      <c r="C682" s="29" t="n"/>
      <c r="D682" s="29" t="n"/>
      <c r="E682" s="29" t="n"/>
      <c r="F682" s="49" t="n"/>
      <c r="G682" s="51" t="n"/>
    </row>
    <row r="683" ht="54" customHeight="1">
      <c r="A683" s="29" t="n"/>
      <c r="B683" s="29" t="n"/>
      <c r="C683" s="29" t="n"/>
      <c r="D683" s="29" t="n"/>
      <c r="E683" s="29" t="n"/>
      <c r="F683" s="49" t="n"/>
      <c r="G683" s="51" t="n"/>
    </row>
    <row r="684" ht="54" customHeight="1">
      <c r="A684" s="29" t="n"/>
      <c r="B684" s="29" t="n"/>
      <c r="C684" s="29" t="n"/>
      <c r="D684" s="29" t="n"/>
      <c r="E684" s="29" t="n"/>
      <c r="F684" s="49" t="n"/>
      <c r="G684" s="51" t="n"/>
    </row>
    <row r="685" ht="54" customHeight="1">
      <c r="A685" s="29" t="n"/>
      <c r="B685" s="29" t="n"/>
      <c r="C685" s="29" t="n"/>
      <c r="D685" s="29" t="n"/>
      <c r="E685" s="29" t="n"/>
      <c r="F685" s="49" t="n"/>
      <c r="G685" s="51" t="n"/>
    </row>
    <row r="686" ht="54" customHeight="1">
      <c r="A686" s="29" t="n"/>
      <c r="B686" s="29" t="n"/>
      <c r="C686" s="29" t="n"/>
      <c r="D686" s="29" t="n"/>
      <c r="E686" s="29" t="n"/>
      <c r="F686" s="49" t="n"/>
      <c r="G686" s="51" t="n"/>
    </row>
    <row r="687" ht="54" customHeight="1">
      <c r="A687" s="29" t="n"/>
      <c r="B687" s="29" t="n"/>
      <c r="C687" s="29" t="n"/>
      <c r="D687" s="29" t="n"/>
      <c r="E687" s="29" t="n"/>
      <c r="F687" s="49" t="n"/>
      <c r="G687" s="51" t="n"/>
    </row>
    <row r="688" ht="54" customHeight="1">
      <c r="A688" s="29" t="n"/>
      <c r="B688" s="29" t="n"/>
      <c r="C688" s="29" t="n"/>
      <c r="D688" s="29" t="n"/>
      <c r="E688" s="29" t="n"/>
      <c r="F688" s="49" t="n"/>
      <c r="G688" s="51" t="n"/>
    </row>
    <row r="689" ht="54" customHeight="1">
      <c r="A689" s="29" t="n"/>
      <c r="B689" s="29" t="n"/>
      <c r="C689" s="29" t="n"/>
      <c r="D689" s="29" t="n"/>
      <c r="E689" s="29" t="n"/>
      <c r="F689" s="49" t="n"/>
      <c r="G689" s="51" t="n"/>
    </row>
    <row r="690" ht="54" customHeight="1">
      <c r="A690" s="29" t="n"/>
      <c r="B690" s="29" t="n"/>
      <c r="C690" s="29" t="n"/>
      <c r="D690" s="29" t="n"/>
      <c r="E690" s="29" t="n"/>
      <c r="F690" s="49" t="n"/>
      <c r="G690" s="51" t="n"/>
    </row>
    <row r="691" ht="54" customHeight="1">
      <c r="A691" s="29" t="n"/>
      <c r="B691" s="29" t="n"/>
      <c r="C691" s="29" t="n"/>
      <c r="D691" s="29" t="n"/>
      <c r="E691" s="29" t="n"/>
      <c r="F691" s="49" t="n"/>
      <c r="G691" s="51" t="n"/>
    </row>
    <row r="692" ht="54" customHeight="1">
      <c r="A692" s="29" t="n"/>
      <c r="B692" s="29" t="n"/>
      <c r="C692" s="29" t="n"/>
      <c r="D692" s="29" t="n"/>
      <c r="E692" s="29" t="n"/>
      <c r="F692" s="49" t="n"/>
      <c r="G692" s="51" t="n"/>
    </row>
    <row r="693" ht="54" customHeight="1">
      <c r="A693" s="29" t="n"/>
      <c r="B693" s="29" t="n"/>
      <c r="C693" s="29" t="n"/>
      <c r="D693" s="29" t="n"/>
      <c r="E693" s="29" t="n"/>
      <c r="F693" s="49" t="n"/>
      <c r="G693" s="51" t="n"/>
    </row>
    <row r="694" ht="54" customHeight="1">
      <c r="A694" s="29" t="n"/>
      <c r="B694" s="29" t="n"/>
      <c r="C694" s="29" t="n"/>
      <c r="D694" s="29" t="n"/>
      <c r="E694" s="29" t="n"/>
      <c r="F694" s="49" t="n"/>
      <c r="G694" s="51" t="n"/>
    </row>
    <row r="695" ht="54" customHeight="1">
      <c r="A695" s="29" t="n"/>
      <c r="B695" s="29" t="n"/>
      <c r="C695" s="29" t="n"/>
      <c r="D695" s="29" t="n"/>
      <c r="E695" s="29" t="n"/>
      <c r="F695" s="49" t="n"/>
      <c r="G695" s="51" t="n"/>
    </row>
    <row r="696" ht="54" customHeight="1">
      <c r="A696" s="29" t="n"/>
      <c r="B696" s="29" t="n"/>
      <c r="C696" s="29" t="n"/>
      <c r="D696" s="29" t="n"/>
      <c r="E696" s="29" t="n"/>
      <c r="F696" s="49" t="n"/>
      <c r="G696" s="51" t="n"/>
    </row>
    <row r="697" ht="54" customHeight="1">
      <c r="A697" s="29" t="n"/>
      <c r="B697" s="29" t="n"/>
      <c r="C697" s="29" t="n"/>
      <c r="D697" s="29" t="n"/>
      <c r="E697" s="29" t="n"/>
      <c r="F697" s="49" t="n"/>
      <c r="G697" s="51" t="n"/>
    </row>
    <row r="698" ht="54" customHeight="1">
      <c r="A698" s="29" t="n"/>
      <c r="B698" s="29" t="n"/>
      <c r="C698" s="29" t="n"/>
      <c r="D698" s="29" t="n"/>
      <c r="E698" s="29" t="n"/>
      <c r="F698" s="49" t="n"/>
      <c r="G698" s="51" t="n"/>
    </row>
    <row r="699" ht="54" customHeight="1">
      <c r="A699" s="29" t="n"/>
      <c r="B699" s="29" t="n"/>
      <c r="C699" s="29" t="n"/>
      <c r="D699" s="29" t="n"/>
      <c r="E699" s="29" t="n"/>
      <c r="F699" s="49" t="n"/>
      <c r="G699" s="51" t="n"/>
    </row>
    <row r="700" ht="54" customHeight="1">
      <c r="A700" s="29" t="n"/>
      <c r="B700" s="29" t="n"/>
      <c r="C700" s="29" t="n"/>
      <c r="D700" s="29" t="n"/>
      <c r="E700" s="29" t="n"/>
      <c r="F700" s="49" t="n"/>
      <c r="G700" s="51" t="n"/>
    </row>
    <row r="701" ht="54" customHeight="1">
      <c r="A701" s="29" t="n"/>
      <c r="B701" s="29" t="n"/>
      <c r="C701" s="29" t="n"/>
      <c r="D701" s="29" t="n"/>
      <c r="E701" s="29" t="n"/>
      <c r="F701" s="49" t="n"/>
      <c r="G701" s="51" t="n"/>
    </row>
    <row r="702" ht="54" customHeight="1">
      <c r="A702" s="29" t="n"/>
      <c r="B702" s="29" t="n"/>
      <c r="C702" s="29" t="n"/>
      <c r="D702" s="29" t="n"/>
      <c r="E702" s="29" t="n"/>
      <c r="F702" s="49" t="n"/>
      <c r="G702" s="51" t="n"/>
    </row>
    <row r="703" ht="54" customHeight="1">
      <c r="A703" s="29" t="n"/>
      <c r="B703" s="29" t="n"/>
      <c r="C703" s="29" t="n"/>
      <c r="D703" s="29" t="n"/>
      <c r="E703" s="29" t="n"/>
      <c r="F703" s="49" t="n"/>
      <c r="G703" s="51" t="n"/>
    </row>
    <row r="704" ht="54" customHeight="1">
      <c r="A704" s="29" t="n"/>
      <c r="B704" s="29" t="n"/>
      <c r="C704" s="29" t="n"/>
      <c r="D704" s="29" t="n"/>
      <c r="E704" s="29" t="n"/>
      <c r="F704" s="49" t="n"/>
      <c r="G704" s="51" t="n"/>
    </row>
    <row r="705" ht="54" customHeight="1">
      <c r="A705" s="29" t="n"/>
      <c r="B705" s="29" t="n"/>
      <c r="C705" s="29" t="n"/>
      <c r="D705" s="29" t="n"/>
      <c r="E705" s="29" t="n"/>
      <c r="F705" s="49" t="n"/>
      <c r="G705" s="51" t="n"/>
    </row>
    <row r="706" ht="54" customHeight="1">
      <c r="A706" s="29" t="n"/>
      <c r="B706" s="29" t="n"/>
      <c r="C706" s="29" t="n"/>
      <c r="D706" s="29" t="n"/>
      <c r="E706" s="29" t="n"/>
      <c r="F706" s="49" t="n"/>
      <c r="G706" s="51" t="n"/>
    </row>
    <row r="707" ht="54" customHeight="1">
      <c r="A707" s="29" t="n"/>
      <c r="B707" s="29" t="n"/>
      <c r="C707" s="29" t="n"/>
      <c r="D707" s="29" t="n"/>
      <c r="E707" s="29" t="n"/>
      <c r="F707" s="49" t="n"/>
      <c r="G707" s="51" t="n"/>
    </row>
    <row r="708" ht="54" customHeight="1">
      <c r="A708" s="29" t="n"/>
      <c r="B708" s="29" t="n"/>
      <c r="C708" s="29" t="n"/>
      <c r="D708" s="29" t="n"/>
      <c r="E708" s="29" t="n"/>
      <c r="F708" s="49" t="n"/>
      <c r="G708" s="51" t="n"/>
    </row>
    <row r="709" ht="54" customHeight="1">
      <c r="A709" s="29" t="n"/>
      <c r="B709" s="29" t="n"/>
      <c r="C709" s="29" t="n"/>
      <c r="D709" s="29" t="n"/>
      <c r="E709" s="29" t="n"/>
      <c r="F709" s="49" t="n"/>
      <c r="G709" s="51" t="n"/>
    </row>
    <row r="710" ht="54" customHeight="1">
      <c r="A710" s="29" t="n"/>
      <c r="B710" s="29" t="n"/>
      <c r="C710" s="29" t="n"/>
      <c r="D710" s="29" t="n"/>
      <c r="E710" s="29" t="n"/>
      <c r="F710" s="49" t="n"/>
      <c r="G710" s="51" t="n"/>
    </row>
    <row r="711" ht="54" customHeight="1">
      <c r="A711" s="29" t="n"/>
      <c r="B711" s="29" t="n"/>
      <c r="C711" s="29" t="n"/>
      <c r="D711" s="29" t="n"/>
      <c r="E711" s="29" t="n"/>
      <c r="F711" s="49" t="n"/>
      <c r="G711" s="51" t="n"/>
    </row>
    <row r="712" ht="54" customHeight="1">
      <c r="A712" s="29" t="n"/>
      <c r="B712" s="29" t="n"/>
      <c r="C712" s="29" t="n"/>
      <c r="D712" s="29" t="n"/>
      <c r="E712" s="29" t="n"/>
      <c r="F712" s="49" t="n"/>
      <c r="G712" s="51" t="n"/>
    </row>
    <row r="713" ht="54" customHeight="1">
      <c r="A713" s="29" t="n"/>
      <c r="B713" s="29" t="n"/>
      <c r="C713" s="29" t="n"/>
      <c r="D713" s="29" t="n"/>
      <c r="E713" s="29" t="n"/>
      <c r="F713" s="49" t="n"/>
      <c r="G713" s="51" t="n"/>
    </row>
    <row r="714" ht="54" customHeight="1">
      <c r="A714" s="29" t="n"/>
      <c r="B714" s="29" t="n"/>
      <c r="C714" s="29" t="n"/>
      <c r="D714" s="29" t="n"/>
      <c r="E714" s="29" t="n"/>
      <c r="F714" s="49" t="n"/>
      <c r="G714" s="51" t="n"/>
    </row>
    <row r="715" ht="54" customHeight="1">
      <c r="A715" s="29" t="n"/>
      <c r="B715" s="29" t="n"/>
      <c r="C715" s="29" t="n"/>
      <c r="D715" s="29" t="n"/>
      <c r="E715" s="29" t="n"/>
      <c r="F715" s="49" t="n"/>
      <c r="G715" s="51" t="n"/>
    </row>
    <row r="716" ht="54" customHeight="1">
      <c r="A716" s="29" t="n"/>
      <c r="B716" s="29" t="n"/>
      <c r="C716" s="29" t="n"/>
      <c r="D716" s="29" t="n"/>
      <c r="E716" s="29" t="n"/>
      <c r="F716" s="49" t="n"/>
      <c r="G716" s="51" t="n"/>
    </row>
    <row r="717" ht="54" customHeight="1">
      <c r="A717" s="29" t="n"/>
      <c r="B717" s="29" t="n"/>
      <c r="C717" s="29" t="n"/>
      <c r="D717" s="29" t="n"/>
      <c r="E717" s="29" t="n"/>
      <c r="F717" s="49" t="n"/>
      <c r="G717" s="51" t="n"/>
    </row>
    <row r="718" ht="54" customHeight="1">
      <c r="A718" s="29" t="n"/>
      <c r="B718" s="29" t="n"/>
      <c r="C718" s="29" t="n"/>
      <c r="D718" s="29" t="n"/>
      <c r="E718" s="29" t="n"/>
      <c r="F718" s="49" t="n"/>
      <c r="G718" s="51" t="n"/>
    </row>
    <row r="719" ht="54" customHeight="1">
      <c r="A719" s="29" t="n"/>
      <c r="B719" s="29" t="n"/>
      <c r="C719" s="29" t="n"/>
      <c r="D719" s="29" t="n"/>
      <c r="E719" s="29" t="n"/>
      <c r="F719" s="49" t="n"/>
      <c r="G719" s="51" t="n"/>
    </row>
    <row r="720" ht="54" customHeight="1">
      <c r="A720" s="29" t="n"/>
      <c r="B720" s="29" t="n"/>
      <c r="C720" s="29" t="n"/>
      <c r="D720" s="29" t="n"/>
      <c r="E720" s="29" t="n"/>
      <c r="F720" s="49" t="n"/>
      <c r="G720" s="51" t="n"/>
    </row>
    <row r="721" ht="54" customHeight="1">
      <c r="A721" s="29" t="n"/>
      <c r="B721" s="29" t="n"/>
      <c r="C721" s="29" t="n"/>
      <c r="D721" s="29" t="n"/>
      <c r="E721" s="29" t="n"/>
      <c r="F721" s="49" t="n"/>
      <c r="G721" s="51" t="n"/>
    </row>
    <row r="722" ht="54" customHeight="1">
      <c r="A722" s="29" t="n"/>
      <c r="B722" s="29" t="n"/>
      <c r="C722" s="29" t="n"/>
      <c r="D722" s="29" t="n"/>
      <c r="E722" s="29" t="n"/>
      <c r="F722" s="49" t="n"/>
      <c r="G722" s="51" t="n"/>
    </row>
    <row r="723" ht="54" customHeight="1">
      <c r="A723" s="29" t="n"/>
      <c r="B723" s="29" t="n"/>
      <c r="C723" s="29" t="n"/>
      <c r="D723" s="29" t="n"/>
      <c r="E723" s="29" t="n"/>
      <c r="F723" s="49" t="n"/>
      <c r="G723" s="51" t="n"/>
    </row>
    <row r="724" ht="54" customHeight="1">
      <c r="A724" s="29" t="n"/>
      <c r="B724" s="29" t="n"/>
      <c r="C724" s="29" t="n"/>
      <c r="D724" s="29" t="n"/>
      <c r="E724" s="29" t="n"/>
      <c r="F724" s="49" t="n"/>
      <c r="G724" s="51" t="n"/>
    </row>
    <row r="725" ht="54" customHeight="1">
      <c r="A725" s="29" t="n"/>
      <c r="B725" s="29" t="n"/>
      <c r="C725" s="29" t="n"/>
      <c r="D725" s="29" t="n"/>
      <c r="E725" s="29" t="n"/>
      <c r="F725" s="49" t="n"/>
      <c r="G725" s="51" t="n"/>
    </row>
    <row r="726" ht="54" customHeight="1">
      <c r="A726" s="29" t="n"/>
      <c r="B726" s="29" t="n"/>
      <c r="C726" s="29" t="n"/>
      <c r="D726" s="29" t="n"/>
      <c r="E726" s="29" t="n"/>
      <c r="F726" s="49" t="n"/>
      <c r="G726" s="51" t="n"/>
    </row>
    <row r="727" ht="54" customHeight="1">
      <c r="A727" s="29" t="n"/>
      <c r="B727" s="29" t="n"/>
      <c r="C727" s="29" t="n"/>
      <c r="D727" s="29" t="n"/>
      <c r="E727" s="29" t="n"/>
      <c r="F727" s="49" t="n"/>
      <c r="G727" s="51" t="n"/>
    </row>
    <row r="728" ht="54" customHeight="1">
      <c r="A728" s="29" t="n"/>
      <c r="B728" s="29" t="n"/>
      <c r="C728" s="29" t="n"/>
      <c r="D728" s="29" t="n"/>
      <c r="E728" s="29" t="n"/>
      <c r="F728" s="49" t="n"/>
      <c r="G728" s="51" t="n"/>
    </row>
    <row r="729" ht="54" customHeight="1">
      <c r="A729" s="29" t="n"/>
      <c r="B729" s="29" t="n"/>
      <c r="C729" s="29" t="n"/>
      <c r="D729" s="29" t="n"/>
      <c r="E729" s="29" t="n"/>
      <c r="F729" s="49" t="n"/>
      <c r="G729" s="51" t="n"/>
    </row>
    <row r="730" ht="54" customHeight="1">
      <c r="A730" s="29" t="n"/>
      <c r="B730" s="29" t="n"/>
      <c r="C730" s="29" t="n"/>
      <c r="D730" s="29" t="n"/>
      <c r="E730" s="29" t="n"/>
      <c r="F730" s="49" t="n"/>
      <c r="G730" s="51" t="n"/>
    </row>
    <row r="731" ht="54" customHeight="1">
      <c r="A731" s="29" t="n"/>
      <c r="B731" s="29" t="n"/>
      <c r="C731" s="29" t="n"/>
      <c r="D731" s="29" t="n"/>
      <c r="E731" s="29" t="n"/>
      <c r="F731" s="49" t="n"/>
      <c r="G731" s="51" t="n"/>
    </row>
    <row r="732" ht="54" customHeight="1">
      <c r="A732" s="29" t="n"/>
      <c r="B732" s="29" t="n"/>
      <c r="C732" s="29" t="n"/>
      <c r="D732" s="29" t="n"/>
      <c r="E732" s="29" t="n"/>
      <c r="F732" s="49" t="n"/>
      <c r="G732" s="51" t="n"/>
    </row>
    <row r="733" ht="54" customHeight="1">
      <c r="A733" s="29" t="n"/>
      <c r="B733" s="29" t="n"/>
      <c r="C733" s="29" t="n"/>
      <c r="D733" s="29" t="n"/>
      <c r="E733" s="29" t="n"/>
      <c r="F733" s="49" t="n"/>
      <c r="G733" s="51" t="n"/>
    </row>
    <row r="734" ht="54" customHeight="1">
      <c r="A734" s="29" t="n"/>
      <c r="B734" s="29" t="n"/>
      <c r="C734" s="29" t="n"/>
      <c r="D734" s="29" t="n"/>
      <c r="E734" s="29" t="n"/>
      <c r="F734" s="49" t="n"/>
      <c r="G734" s="51" t="n"/>
    </row>
    <row r="735" ht="54" customHeight="1">
      <c r="A735" s="29" t="n"/>
      <c r="B735" s="29" t="n"/>
      <c r="C735" s="29" t="n"/>
      <c r="D735" s="29" t="n"/>
      <c r="E735" s="29" t="n"/>
      <c r="F735" s="49" t="n"/>
      <c r="G735" s="51" t="n"/>
    </row>
    <row r="736" ht="54" customHeight="1">
      <c r="A736" s="29" t="n"/>
      <c r="B736" s="29" t="n"/>
      <c r="C736" s="29" t="n"/>
      <c r="D736" s="29" t="n"/>
      <c r="E736" s="29" t="n"/>
      <c r="F736" s="49" t="n"/>
      <c r="G736" s="51" t="n"/>
    </row>
    <row r="737" ht="54" customHeight="1">
      <c r="A737" s="29" t="n"/>
      <c r="B737" s="29" t="n"/>
      <c r="C737" s="29" t="n"/>
      <c r="D737" s="29" t="n"/>
      <c r="E737" s="29" t="n"/>
      <c r="F737" s="49" t="n"/>
      <c r="G737" s="51" t="n"/>
    </row>
    <row r="738" ht="54" customHeight="1">
      <c r="A738" s="29" t="n"/>
      <c r="B738" s="29" t="n"/>
      <c r="C738" s="29" t="n"/>
      <c r="D738" s="29" t="n"/>
      <c r="E738" s="29" t="n"/>
      <c r="F738" s="49" t="n"/>
      <c r="G738" s="51" t="n"/>
    </row>
    <row r="739" ht="54" customHeight="1">
      <c r="A739" s="29" t="n"/>
      <c r="B739" s="29" t="n"/>
      <c r="C739" s="29" t="n"/>
      <c r="D739" s="29" t="n"/>
      <c r="E739" s="29" t="n"/>
      <c r="F739" s="49" t="n"/>
      <c r="G739" s="51" t="n"/>
    </row>
    <row r="740" ht="54" customHeight="1">
      <c r="A740" s="29" t="n"/>
      <c r="B740" s="29" t="n"/>
      <c r="C740" s="29" t="n"/>
      <c r="D740" s="29" t="n"/>
      <c r="E740" s="29" t="n"/>
      <c r="F740" s="49" t="n"/>
      <c r="G740" s="51" t="n"/>
    </row>
    <row r="741" ht="54" customHeight="1">
      <c r="A741" s="29" t="n"/>
      <c r="B741" s="29" t="n"/>
      <c r="C741" s="29" t="n"/>
      <c r="D741" s="29" t="n"/>
      <c r="E741" s="29" t="n"/>
      <c r="F741" s="49" t="n"/>
      <c r="G741" s="51" t="n"/>
    </row>
    <row r="742" ht="54" customHeight="1">
      <c r="A742" s="29" t="n"/>
      <c r="B742" s="29" t="n"/>
      <c r="C742" s="29" t="n"/>
      <c r="D742" s="29" t="n"/>
      <c r="E742" s="29" t="n"/>
      <c r="F742" s="49" t="n"/>
      <c r="G742" s="51" t="n"/>
    </row>
    <row r="743" ht="54" customHeight="1">
      <c r="A743" s="29" t="n"/>
      <c r="B743" s="29" t="n"/>
      <c r="C743" s="29" t="n"/>
      <c r="D743" s="29" t="n"/>
      <c r="E743" s="29" t="n"/>
      <c r="F743" s="49" t="n"/>
      <c r="G743" s="51" t="n"/>
    </row>
    <row r="744" ht="54" customHeight="1">
      <c r="A744" s="29" t="n"/>
      <c r="B744" s="29" t="n"/>
      <c r="C744" s="29" t="n"/>
      <c r="D744" s="29" t="n"/>
      <c r="E744" s="29" t="n"/>
      <c r="F744" s="49" t="n"/>
      <c r="G744" s="51" t="n"/>
    </row>
    <row r="745" ht="54" customHeight="1">
      <c r="A745" s="29" t="n"/>
      <c r="B745" s="29" t="n"/>
      <c r="C745" s="29" t="n"/>
      <c r="D745" s="29" t="n"/>
      <c r="E745" s="29" t="n"/>
      <c r="F745" s="49" t="n"/>
      <c r="G745" s="51" t="n"/>
    </row>
    <row r="746" ht="54" customHeight="1">
      <c r="A746" s="29" t="n"/>
      <c r="B746" s="29" t="n"/>
      <c r="C746" s="29" t="n"/>
      <c r="D746" s="29" t="n"/>
      <c r="E746" s="29" t="n"/>
      <c r="F746" s="49" t="n"/>
      <c r="G746" s="51" t="n"/>
    </row>
    <row r="747" ht="54" customHeight="1">
      <c r="A747" s="29" t="n"/>
      <c r="B747" s="29" t="n"/>
      <c r="C747" s="29" t="n"/>
      <c r="D747" s="29" t="n"/>
      <c r="E747" s="29" t="n"/>
      <c r="F747" s="49" t="n"/>
      <c r="G747" s="51" t="n"/>
    </row>
    <row r="748" ht="54" customHeight="1">
      <c r="A748" s="29" t="n"/>
      <c r="B748" s="29" t="n"/>
      <c r="C748" s="29" t="n"/>
      <c r="D748" s="29" t="n"/>
      <c r="E748" s="29" t="n"/>
      <c r="F748" s="49" t="n"/>
      <c r="G748" s="51" t="n"/>
    </row>
    <row r="749" ht="54" customHeight="1">
      <c r="A749" s="29" t="n"/>
      <c r="B749" s="29" t="n"/>
      <c r="C749" s="29" t="n"/>
      <c r="D749" s="29" t="n"/>
      <c r="E749" s="29" t="n"/>
      <c r="F749" s="49" t="n"/>
      <c r="G749" s="51" t="n"/>
    </row>
    <row r="750" ht="54" customHeight="1">
      <c r="A750" s="29" t="n"/>
      <c r="B750" s="29" t="n"/>
      <c r="C750" s="29" t="n"/>
      <c r="D750" s="29" t="n"/>
      <c r="E750" s="29" t="n"/>
      <c r="F750" s="49" t="n"/>
      <c r="G750" s="51" t="n"/>
    </row>
    <row r="751" ht="54" customHeight="1">
      <c r="A751" s="29" t="n"/>
      <c r="B751" s="29" t="n"/>
      <c r="C751" s="29" t="n"/>
      <c r="D751" s="29" t="n"/>
      <c r="E751" s="29" t="n"/>
      <c r="F751" s="49" t="n"/>
      <c r="G751" s="51" t="n"/>
    </row>
    <row r="752" ht="54" customHeight="1">
      <c r="A752" s="29" t="n"/>
      <c r="B752" s="29" t="n"/>
      <c r="C752" s="29" t="n"/>
      <c r="D752" s="29" t="n"/>
      <c r="E752" s="29" t="n"/>
      <c r="F752" s="49" t="n"/>
      <c r="G752" s="51" t="n"/>
    </row>
    <row r="753" ht="54" customHeight="1">
      <c r="A753" s="29" t="n"/>
      <c r="B753" s="29" t="n"/>
      <c r="C753" s="29" t="n"/>
      <c r="D753" s="29" t="n"/>
      <c r="E753" s="29" t="n"/>
      <c r="F753" s="49" t="n"/>
      <c r="G753" s="51" t="n"/>
    </row>
    <row r="754" ht="54" customHeight="1">
      <c r="A754" s="29" t="n"/>
      <c r="B754" s="29" t="n"/>
      <c r="C754" s="29" t="n"/>
      <c r="D754" s="29" t="n"/>
      <c r="E754" s="29" t="n"/>
      <c r="F754" s="49" t="n"/>
      <c r="G754" s="51" t="n"/>
    </row>
    <row r="755" ht="54" customHeight="1">
      <c r="A755" s="29" t="n"/>
      <c r="B755" s="29" t="n"/>
      <c r="C755" s="29" t="n"/>
      <c r="D755" s="29" t="n"/>
      <c r="E755" s="29" t="n"/>
      <c r="F755" s="49" t="n"/>
      <c r="G755" s="51" t="n"/>
    </row>
    <row r="756" ht="54" customHeight="1">
      <c r="A756" s="29" t="n"/>
      <c r="B756" s="29" t="n"/>
      <c r="C756" s="29" t="n"/>
      <c r="D756" s="29" t="n"/>
      <c r="E756" s="29" t="n"/>
      <c r="F756" s="49" t="n"/>
      <c r="G756" s="51" t="n"/>
    </row>
    <row r="757" ht="54" customHeight="1">
      <c r="A757" s="29" t="n"/>
      <c r="B757" s="29" t="n"/>
      <c r="C757" s="29" t="n"/>
      <c r="D757" s="29" t="n"/>
      <c r="E757" s="29" t="n"/>
      <c r="F757" s="49" t="n"/>
      <c r="G757" s="51" t="n"/>
    </row>
    <row r="758" ht="54" customHeight="1">
      <c r="A758" s="29" t="n"/>
      <c r="B758" s="29" t="n"/>
      <c r="C758" s="29" t="n"/>
      <c r="D758" s="29" t="n"/>
      <c r="E758" s="29" t="n"/>
      <c r="F758" s="49" t="n"/>
      <c r="G758" s="51" t="n"/>
    </row>
    <row r="759" ht="54" customHeight="1">
      <c r="A759" s="29" t="n"/>
      <c r="B759" s="29" t="n"/>
      <c r="C759" s="29" t="n"/>
      <c r="D759" s="29" t="n"/>
      <c r="E759" s="29" t="n"/>
      <c r="F759" s="49" t="n"/>
      <c r="G759" s="51" t="n"/>
    </row>
    <row r="760" ht="54" customHeight="1">
      <c r="A760" s="29" t="n"/>
      <c r="B760" s="29" t="n"/>
      <c r="C760" s="29" t="n"/>
      <c r="D760" s="29" t="n"/>
      <c r="E760" s="29" t="n"/>
      <c r="F760" s="49" t="n"/>
      <c r="G760" s="51" t="n"/>
    </row>
    <row r="761" ht="54" customHeight="1">
      <c r="A761" s="29" t="n"/>
      <c r="B761" s="29" t="n"/>
      <c r="C761" s="29" t="n"/>
      <c r="D761" s="29" t="n"/>
      <c r="E761" s="29" t="n"/>
      <c r="F761" s="49" t="n"/>
      <c r="G761" s="51" t="n"/>
    </row>
    <row r="762" ht="54" customHeight="1">
      <c r="A762" s="29" t="n"/>
      <c r="B762" s="29" t="n"/>
      <c r="C762" s="29" t="n"/>
      <c r="D762" s="29" t="n"/>
      <c r="E762" s="29" t="n"/>
      <c r="F762" s="49" t="n"/>
      <c r="G762" s="51" t="n"/>
    </row>
    <row r="763" ht="54" customHeight="1">
      <c r="A763" s="29" t="n"/>
      <c r="B763" s="29" t="n"/>
      <c r="C763" s="29" t="n"/>
      <c r="D763" s="29" t="n"/>
      <c r="E763" s="29" t="n"/>
      <c r="F763" s="49" t="n"/>
      <c r="G763" s="51" t="n"/>
    </row>
    <row r="764" ht="54" customHeight="1">
      <c r="A764" s="29" t="n"/>
      <c r="B764" s="29" t="n"/>
      <c r="C764" s="29" t="n"/>
      <c r="D764" s="29" t="n"/>
      <c r="E764" s="29" t="n"/>
      <c r="F764" s="49" t="n"/>
      <c r="G764" s="51" t="n"/>
    </row>
    <row r="765" ht="54" customHeight="1">
      <c r="A765" s="29" t="n"/>
      <c r="B765" s="29" t="n"/>
      <c r="C765" s="29" t="n"/>
      <c r="D765" s="29" t="n"/>
      <c r="E765" s="29" t="n"/>
      <c r="F765" s="49" t="n"/>
      <c r="G765" s="51" t="n"/>
    </row>
    <row r="766" ht="54" customHeight="1">
      <c r="A766" s="29" t="n"/>
      <c r="B766" s="29" t="n"/>
      <c r="C766" s="29" t="n"/>
      <c r="D766" s="29" t="n"/>
      <c r="E766" s="29" t="n"/>
      <c r="F766" s="49" t="n"/>
      <c r="G766" s="51" t="n"/>
    </row>
    <row r="767" ht="54" customHeight="1">
      <c r="A767" s="29" t="n"/>
      <c r="B767" s="29" t="n"/>
      <c r="C767" s="29" t="n"/>
      <c r="D767" s="29" t="n"/>
      <c r="E767" s="29" t="n"/>
      <c r="F767" s="49" t="n"/>
      <c r="G767" s="51" t="n"/>
    </row>
    <row r="768" ht="54" customHeight="1">
      <c r="A768" s="29" t="n"/>
      <c r="B768" s="29" t="n"/>
      <c r="C768" s="29" t="n"/>
      <c r="D768" s="29" t="n"/>
      <c r="E768" s="29" t="n"/>
      <c r="F768" s="49" t="n"/>
      <c r="G768" s="51" t="n"/>
    </row>
    <row r="769" ht="54" customHeight="1">
      <c r="A769" s="29" t="n"/>
      <c r="B769" s="29" t="n"/>
      <c r="C769" s="29" t="n"/>
      <c r="D769" s="29" t="n"/>
      <c r="E769" s="29" t="n"/>
      <c r="F769" s="49" t="n"/>
      <c r="G769" s="51" t="n"/>
    </row>
    <row r="770" ht="54" customHeight="1">
      <c r="A770" s="29" t="n"/>
      <c r="B770" s="29" t="n"/>
      <c r="C770" s="29" t="n"/>
      <c r="D770" s="29" t="n"/>
      <c r="E770" s="29" t="n"/>
      <c r="F770" s="49" t="n"/>
      <c r="G770" s="51" t="n"/>
    </row>
    <row r="771" ht="54" customHeight="1">
      <c r="A771" s="29" t="n"/>
      <c r="B771" s="29" t="n"/>
      <c r="C771" s="29" t="n"/>
      <c r="D771" s="29" t="n"/>
      <c r="E771" s="29" t="n"/>
      <c r="F771" s="49" t="n"/>
      <c r="G771" s="51" t="n"/>
    </row>
    <row r="772" ht="54" customHeight="1">
      <c r="A772" s="29" t="n"/>
      <c r="B772" s="29" t="n"/>
      <c r="C772" s="29" t="n"/>
      <c r="D772" s="29" t="n"/>
      <c r="E772" s="29" t="n"/>
      <c r="F772" s="49" t="n"/>
      <c r="G772" s="51" t="n"/>
    </row>
    <row r="773" ht="54" customHeight="1">
      <c r="A773" s="29" t="n"/>
      <c r="B773" s="29" t="n"/>
      <c r="C773" s="29" t="n"/>
      <c r="D773" s="29" t="n"/>
      <c r="E773" s="29" t="n"/>
      <c r="F773" s="49" t="n"/>
      <c r="G773" s="51" t="n"/>
    </row>
    <row r="774" ht="54" customHeight="1">
      <c r="A774" s="29" t="n"/>
      <c r="B774" s="29" t="n"/>
      <c r="C774" s="29" t="n"/>
      <c r="D774" s="29" t="n"/>
      <c r="E774" s="29" t="n"/>
      <c r="F774" s="49" t="n"/>
      <c r="G774" s="51" t="n"/>
    </row>
    <row r="775" ht="54" customHeight="1">
      <c r="A775" s="29" t="n"/>
      <c r="B775" s="29" t="n"/>
      <c r="C775" s="29" t="n"/>
      <c r="D775" s="29" t="n"/>
      <c r="E775" s="29" t="n"/>
      <c r="F775" s="49" t="n"/>
      <c r="G775" s="51" t="n"/>
    </row>
    <row r="776" ht="54" customHeight="1">
      <c r="A776" s="29" t="n"/>
      <c r="B776" s="29" t="n"/>
      <c r="C776" s="29" t="n"/>
      <c r="D776" s="29" t="n"/>
      <c r="E776" s="29" t="n"/>
      <c r="F776" s="49" t="n"/>
      <c r="G776" s="51" t="n"/>
    </row>
    <row r="777" ht="54" customHeight="1">
      <c r="A777" s="29" t="n"/>
      <c r="B777" s="29" t="n"/>
      <c r="C777" s="29" t="n"/>
      <c r="D777" s="29" t="n"/>
      <c r="E777" s="29" t="n"/>
      <c r="F777" s="49" t="n"/>
      <c r="G777" s="51" t="n"/>
    </row>
    <row r="778" ht="54" customHeight="1">
      <c r="A778" s="29" t="n"/>
      <c r="B778" s="29" t="n"/>
      <c r="C778" s="29" t="n"/>
      <c r="D778" s="29" t="n"/>
      <c r="E778" s="29" t="n"/>
      <c r="F778" s="49" t="n"/>
      <c r="G778" s="51" t="n"/>
    </row>
    <row r="779" ht="54" customHeight="1">
      <c r="A779" s="29" t="n"/>
      <c r="B779" s="29" t="n"/>
      <c r="C779" s="29" t="n"/>
      <c r="D779" s="29" t="n"/>
      <c r="E779" s="29" t="n"/>
      <c r="F779" s="49" t="n"/>
      <c r="G779" s="51" t="n"/>
    </row>
    <row r="780" ht="54" customHeight="1">
      <c r="A780" s="29" t="n"/>
      <c r="B780" s="29" t="n"/>
      <c r="C780" s="29" t="n"/>
      <c r="D780" s="29" t="n"/>
      <c r="E780" s="29" t="n"/>
      <c r="F780" s="49" t="n"/>
      <c r="G780" s="51" t="n"/>
    </row>
    <row r="781" ht="54" customHeight="1">
      <c r="A781" s="29" t="n"/>
      <c r="B781" s="29" t="n"/>
      <c r="C781" s="29" t="n"/>
      <c r="D781" s="29" t="n"/>
      <c r="E781" s="29" t="n"/>
      <c r="F781" s="49" t="n"/>
      <c r="G781" s="51" t="n"/>
    </row>
    <row r="782" ht="54" customHeight="1">
      <c r="A782" s="29" t="n"/>
      <c r="B782" s="29" t="n"/>
      <c r="C782" s="29" t="n"/>
      <c r="D782" s="29" t="n"/>
      <c r="E782" s="29" t="n"/>
      <c r="F782" s="49" t="n"/>
      <c r="G782" s="51" t="n"/>
    </row>
    <row r="783" ht="54" customHeight="1">
      <c r="A783" s="29" t="n"/>
      <c r="B783" s="29" t="n"/>
      <c r="C783" s="29" t="n"/>
      <c r="D783" s="29" t="n"/>
      <c r="E783" s="29" t="n"/>
      <c r="F783" s="49" t="n"/>
      <c r="G783" s="51" t="n"/>
    </row>
    <row r="784" ht="54" customHeight="1">
      <c r="A784" s="29" t="n"/>
      <c r="B784" s="29" t="n"/>
      <c r="C784" s="29" t="n"/>
      <c r="D784" s="29" t="n"/>
      <c r="E784" s="29" t="n"/>
      <c r="F784" s="49" t="n"/>
      <c r="G784" s="51" t="n"/>
    </row>
    <row r="785" ht="54" customHeight="1">
      <c r="A785" s="29" t="n"/>
      <c r="B785" s="29" t="n"/>
      <c r="C785" s="29" t="n"/>
      <c r="D785" s="29" t="n"/>
      <c r="E785" s="29" t="n"/>
      <c r="F785" s="49" t="n"/>
      <c r="G785" s="51" t="n"/>
    </row>
    <row r="786" ht="54" customHeight="1">
      <c r="A786" s="29" t="n"/>
      <c r="B786" s="29" t="n"/>
      <c r="C786" s="29" t="n"/>
      <c r="D786" s="29" t="n"/>
      <c r="E786" s="29" t="n"/>
      <c r="F786" s="49" t="n"/>
      <c r="G786" s="51" t="n"/>
    </row>
    <row r="787" ht="54" customHeight="1">
      <c r="A787" s="29" t="n"/>
      <c r="B787" s="29" t="n"/>
      <c r="C787" s="29" t="n"/>
      <c r="D787" s="29" t="n"/>
      <c r="E787" s="29" t="n"/>
      <c r="F787" s="49" t="n"/>
      <c r="G787" s="51" t="n"/>
    </row>
    <row r="788" ht="54" customHeight="1">
      <c r="A788" s="29" t="n"/>
      <c r="B788" s="29" t="n"/>
      <c r="C788" s="29" t="n"/>
      <c r="D788" s="29" t="n"/>
      <c r="E788" s="29" t="n"/>
      <c r="F788" s="49" t="n"/>
      <c r="G788" s="51" t="n"/>
    </row>
    <row r="789" ht="54" customHeight="1">
      <c r="A789" s="29" t="n"/>
      <c r="B789" s="29" t="n"/>
      <c r="C789" s="29" t="n"/>
      <c r="D789" s="29" t="n"/>
      <c r="E789" s="29" t="n"/>
      <c r="F789" s="49" t="n"/>
      <c r="G789" s="51" t="n"/>
    </row>
    <row r="790" ht="54" customHeight="1">
      <c r="A790" s="29" t="n"/>
      <c r="B790" s="29" t="n"/>
      <c r="C790" s="29" t="n"/>
      <c r="D790" s="29" t="n"/>
      <c r="E790" s="29" t="n"/>
      <c r="F790" s="49" t="n"/>
      <c r="G790" s="51" t="n"/>
    </row>
    <row r="791" ht="54" customHeight="1">
      <c r="A791" s="29" t="n"/>
      <c r="B791" s="29" t="n"/>
      <c r="C791" s="29" t="n"/>
      <c r="D791" s="29" t="n"/>
      <c r="E791" s="29" t="n"/>
      <c r="F791" s="49" t="n"/>
      <c r="G791" s="51" t="n"/>
    </row>
    <row r="792" ht="54" customHeight="1">
      <c r="A792" s="29" t="n"/>
      <c r="B792" s="29" t="n"/>
      <c r="C792" s="29" t="n"/>
      <c r="D792" s="29" t="n"/>
      <c r="E792" s="29" t="n"/>
      <c r="F792" s="49" t="n"/>
      <c r="G792" s="51" t="n"/>
    </row>
    <row r="793" ht="54" customHeight="1">
      <c r="A793" s="29" t="n"/>
      <c r="B793" s="29" t="n"/>
      <c r="C793" s="29" t="n"/>
      <c r="D793" s="29" t="n"/>
      <c r="E793" s="29" t="n"/>
      <c r="F793" s="49" t="n"/>
      <c r="G793" s="51" t="n"/>
    </row>
    <row r="794" ht="54" customHeight="1">
      <c r="A794" s="29" t="n"/>
      <c r="B794" s="29" t="n"/>
      <c r="C794" s="29" t="n"/>
      <c r="D794" s="29" t="n"/>
      <c r="E794" s="29" t="n"/>
      <c r="F794" s="49" t="n"/>
      <c r="G794" s="51" t="n"/>
    </row>
    <row r="795" ht="54" customHeight="1">
      <c r="A795" s="29" t="n"/>
      <c r="B795" s="29" t="n"/>
      <c r="C795" s="29" t="n"/>
      <c r="D795" s="29" t="n"/>
      <c r="E795" s="29" t="n"/>
      <c r="F795" s="49" t="n"/>
      <c r="G795" s="51" t="n"/>
    </row>
    <row r="796" ht="54" customHeight="1">
      <c r="A796" s="29" t="n"/>
      <c r="B796" s="29" t="n"/>
      <c r="C796" s="29" t="n"/>
      <c r="D796" s="29" t="n"/>
      <c r="E796" s="29" t="n"/>
      <c r="F796" s="49" t="n"/>
      <c r="G796" s="51" t="n"/>
    </row>
    <row r="797" ht="54" customHeight="1">
      <c r="A797" s="29" t="n"/>
      <c r="B797" s="29" t="n"/>
      <c r="C797" s="29" t="n"/>
      <c r="D797" s="29" t="n"/>
      <c r="E797" s="29" t="n"/>
      <c r="F797" s="49" t="n"/>
      <c r="G797" s="51" t="n"/>
    </row>
    <row r="798" ht="54" customHeight="1">
      <c r="A798" s="29" t="n"/>
      <c r="B798" s="29" t="n"/>
      <c r="C798" s="29" t="n"/>
      <c r="D798" s="29" t="n"/>
      <c r="E798" s="29" t="n"/>
      <c r="F798" s="49" t="n"/>
      <c r="G798" s="51" t="n"/>
    </row>
    <row r="799" ht="54" customHeight="1">
      <c r="A799" s="29" t="n"/>
      <c r="B799" s="29" t="n"/>
      <c r="C799" s="29" t="n"/>
      <c r="D799" s="29" t="n"/>
      <c r="E799" s="29" t="n"/>
      <c r="F799" s="49" t="n"/>
      <c r="G799" s="51" t="n"/>
    </row>
    <row r="800" ht="54" customHeight="1">
      <c r="A800" s="29" t="n"/>
      <c r="B800" s="29" t="n"/>
      <c r="C800" s="29" t="n"/>
      <c r="D800" s="29" t="n"/>
      <c r="E800" s="29" t="n"/>
      <c r="F800" s="49" t="n"/>
      <c r="G800" s="51" t="n"/>
    </row>
    <row r="801" ht="54" customHeight="1">
      <c r="A801" s="29" t="n"/>
      <c r="B801" s="29" t="n"/>
      <c r="C801" s="29" t="n"/>
      <c r="D801" s="29" t="n"/>
      <c r="E801" s="29" t="n"/>
      <c r="F801" s="49" t="n"/>
      <c r="G801" s="51" t="n"/>
    </row>
    <row r="802" ht="54" customHeight="1">
      <c r="A802" s="29" t="n"/>
      <c r="B802" s="29" t="n"/>
      <c r="C802" s="29" t="n"/>
      <c r="D802" s="29" t="n"/>
      <c r="E802" s="29" t="n"/>
      <c r="F802" s="49" t="n"/>
      <c r="G802" s="51" t="n"/>
    </row>
    <row r="803" ht="54" customHeight="1">
      <c r="A803" s="29" t="n"/>
      <c r="B803" s="29" t="n"/>
      <c r="C803" s="29" t="n"/>
      <c r="D803" s="29" t="n"/>
      <c r="E803" s="29" t="n"/>
      <c r="F803" s="49" t="n"/>
      <c r="G803" s="51" t="n"/>
    </row>
    <row r="804" ht="54" customHeight="1">
      <c r="A804" s="29" t="n"/>
      <c r="B804" s="29" t="n"/>
      <c r="C804" s="29" t="n"/>
      <c r="D804" s="29" t="n"/>
      <c r="E804" s="29" t="n"/>
      <c r="F804" s="49" t="n"/>
      <c r="G804" s="51" t="n"/>
    </row>
    <row r="805" ht="54" customHeight="1">
      <c r="A805" s="29" t="n"/>
      <c r="B805" s="29" t="n"/>
      <c r="C805" s="29" t="n"/>
      <c r="D805" s="29" t="n"/>
      <c r="E805" s="29" t="n"/>
      <c r="F805" s="49" t="n"/>
      <c r="G805" s="51" t="n"/>
    </row>
    <row r="806" ht="54" customHeight="1">
      <c r="A806" s="29" t="n"/>
      <c r="B806" s="29" t="n"/>
      <c r="C806" s="29" t="n"/>
      <c r="D806" s="29" t="n"/>
      <c r="E806" s="29" t="n"/>
      <c r="F806" s="49" t="n"/>
      <c r="G806" s="51" t="n"/>
    </row>
    <row r="807" ht="54" customHeight="1">
      <c r="A807" s="29" t="n"/>
      <c r="B807" s="29" t="n"/>
      <c r="C807" s="29" t="n"/>
      <c r="D807" s="29" t="n"/>
      <c r="E807" s="29" t="n"/>
      <c r="F807" s="49" t="n"/>
      <c r="G807" s="51" t="n"/>
    </row>
  </sheetData>
  <mergeCells count="1">
    <mergeCell ref="A3:G3"/>
  </mergeCells>
  <conditionalFormatting sqref="A8:A807">
    <cfRule type="expression" priority="1" dxfId="1">
      <formula>AND($A8&lt;&gt;"",ISBLANK(A8))</formula>
    </cfRule>
  </conditionalFormatting>
  <conditionalFormatting sqref="B8:B807">
    <cfRule type="expression" priority="2" dxfId="1">
      <formula>AND($A8&lt;&gt;"",ISBLANK(B8))</formula>
    </cfRule>
  </conditionalFormatting>
  <conditionalFormatting sqref="C8:C807">
    <cfRule type="expression" priority="3" dxfId="1">
      <formula>AND($A8&lt;&gt;"",ISBLANK(C8))</formula>
    </cfRule>
  </conditionalFormatting>
  <conditionalFormatting sqref="D8:D807">
    <cfRule type="expression" priority="4" dxfId="1">
      <formula>AND($A8&lt;&gt;"",ISBLANK(D8))</formula>
    </cfRule>
  </conditionalFormatting>
  <conditionalFormatting sqref="E8:E807">
    <cfRule type="expression" priority="5" dxfId="1">
      <formula>AND($A8&lt;&gt;"",ISBLANK(E8))</formula>
    </cfRule>
  </conditionalFormatting>
  <conditionalFormatting sqref="F8:F807">
    <cfRule type="expression" priority="6" dxfId="1">
      <formula>AND($A8&lt;&gt;"",ISBLANK(F8))</formula>
    </cfRule>
  </conditionalFormatting>
  <conditionalFormatting sqref="G8:G80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58" customWidth="1" min="5" max="5"/>
    <col width="28" customWidth="1" min="6" max="6"/>
    <col width="32" customWidth="1" min="7" max="7"/>
    <col width="58" customWidth="1" min="8" max="8"/>
    <col width="20" customWidth="1" min="9" max="9"/>
    <col width="28" customWidth="1" min="10" max="10"/>
    <col width="28" customWidth="1" min="11" max="11"/>
    <col width="28" customWidth="1" min="12" max="12"/>
  </cols>
  <sheetData>
    <row r="1" ht="30" customHeight="1">
      <c r="A1" s="2" t="n"/>
      <c r="B1" s="2" t="n"/>
      <c r="C1" s="2" t="n"/>
      <c r="D1" s="2" t="n"/>
      <c r="E1" s="2" t="n"/>
      <c r="F1" s="2" t="n"/>
      <c r="G1" s="2" t="n"/>
      <c r="H1" s="2" t="n"/>
      <c r="I1" s="2" t="n"/>
      <c r="J1" s="2" t="n"/>
      <c r="K1" s="2" t="n"/>
      <c r="L1" s="2" t="n"/>
    </row>
    <row r="2" ht="30" customHeight="1">
      <c r="A2" s="19" t="inlineStr">
        <is>
          <t>Corteqs · Keşif rotaları</t>
        </is>
      </c>
      <c r="B2" s="2" t="n"/>
      <c r="C2" s="2" t="n"/>
      <c r="D2" s="2" t="n"/>
      <c r="E2" s="2" t="n"/>
      <c r="F2" s="2" t="n"/>
      <c r="G2" s="2" t="n"/>
      <c r="H2" s="2" t="n"/>
      <c r="I2" s="2" t="n"/>
      <c r="J2" s="2" t="n"/>
      <c r="K2" s="2" t="n"/>
      <c r="L2" s="2" t="n"/>
    </row>
    <row r="3" ht="36" customHeight="1">
      <c r="A3" s="20" t="inlineStr">
        <is>
          <t>Türkçe başlığı okuyun; veriyi 8. satırdan yazın. 7. satırdaki alan adını ve sayfa adını değiştirmeyin.</t>
        </is>
      </c>
      <c r="I3" s="2" t="n"/>
      <c r="J3" s="2" t="n"/>
      <c r="K3" s="2" t="n"/>
      <c r="L3" s="2" t="n"/>
    </row>
    <row r="4" ht="30" customHeight="1">
      <c r="A4" s="21" t="n"/>
      <c r="B4" s="21" t="n"/>
      <c r="C4" s="21" t="n"/>
      <c r="D4" s="21" t="n"/>
      <c r="E4" s="21" t="n"/>
      <c r="F4" s="21" t="n"/>
      <c r="G4" s="21" t="n"/>
      <c r="H4" s="21" t="n"/>
      <c r="I4" s="21" t="n"/>
      <c r="J4" s="21" t="n"/>
      <c r="K4" s="21" t="n"/>
      <c r="L4" s="21" t="n"/>
    </row>
    <row r="5" ht="26" customHeight="1">
      <c r="A5" s="22" t="inlineStr">
        <is>
          <t>Zorunlu</t>
        </is>
      </c>
      <c r="B5" s="22" t="inlineStr">
        <is>
          <t>Zorunlu</t>
        </is>
      </c>
      <c r="C5" s="22" t="inlineStr">
        <is>
          <t>Zorunlu</t>
        </is>
      </c>
      <c r="D5" s="22" t="inlineStr">
        <is>
          <t>Zorunlu</t>
        </is>
      </c>
      <c r="E5" s="22" t="inlineStr">
        <is>
          <t>Zorunlu · alt satır</t>
        </is>
      </c>
      <c r="F5" s="22" t="inlineStr">
        <is>
          <t>İsteğe bağlı · ; ile</t>
        </is>
      </c>
      <c r="G5" s="22" t="inlineStr">
        <is>
          <t>Zorunlu</t>
        </is>
      </c>
      <c r="H5" s="22" t="inlineStr">
        <is>
          <t>Zorunlu</t>
        </is>
      </c>
      <c r="I5" s="22" t="inlineStr">
        <is>
          <t>Zorunlu · tarih</t>
        </is>
      </c>
      <c r="J5" s="22" t="inlineStr">
        <is>
          <t>Zorunlu · ; ile</t>
        </is>
      </c>
      <c r="K5" s="22" t="inlineStr">
        <is>
          <t>Zorunlu</t>
        </is>
      </c>
      <c r="L5" s="22" t="inlineStr">
        <is>
          <t>Zorunlu</t>
        </is>
      </c>
    </row>
    <row r="6" ht="44" customHeight="1">
      <c r="A6" s="25" t="inlineStr">
        <is>
          <t>Rota kimliği</t>
        </is>
      </c>
      <c r="B6" s="25" t="inlineStr">
        <is>
          <t>Şehir kimliği</t>
        </is>
      </c>
      <c r="C6" s="25" t="inlineStr">
        <is>
          <t>Rota başlığı</t>
        </is>
      </c>
      <c r="D6" s="25" t="inlineStr">
        <is>
          <t>Süre / rota türü</t>
        </is>
      </c>
      <c r="E6" s="25" t="inlineStr">
        <is>
          <t>Sıralı durak adları</t>
        </is>
      </c>
      <c r="F6" s="25" t="inlineStr">
        <is>
          <t>Varsa durak içerik kimlikleri</t>
        </is>
      </c>
      <c r="G6" s="25" t="inlineStr">
        <is>
          <t>Ana kart kimliği</t>
        </is>
      </c>
      <c r="H6" s="25" t="inlineStr">
        <is>
          <t>Rota ve erişim notu</t>
        </is>
      </c>
      <c r="I6" s="25" t="inlineStr">
        <is>
          <t>Rota kontrol tarihi</t>
        </is>
      </c>
      <c r="J6" s="25" t="inlineStr">
        <is>
          <t>Kaynak kimlikleri</t>
        </is>
      </c>
      <c r="K6" s="25" t="inlineStr">
        <is>
          <t>Sıra</t>
        </is>
      </c>
      <c r="L6" s="25" t="inlineStr">
        <is>
          <t>Editör durumu</t>
        </is>
      </c>
    </row>
    <row r="7" ht="32" customHeight="1">
      <c r="A7" s="28" t="inlineStr">
        <is>
          <t>route_id</t>
        </is>
      </c>
      <c r="B7" s="28" t="inlineStr">
        <is>
          <t>city_id</t>
        </is>
      </c>
      <c r="C7" s="28" t="inlineStr">
        <is>
          <t>title</t>
        </is>
      </c>
      <c r="D7" s="28" t="inlineStr">
        <is>
          <t>tag</t>
        </is>
      </c>
      <c r="E7" s="28" t="inlineStr">
        <is>
          <t>stops</t>
        </is>
      </c>
      <c r="F7" s="28" t="inlineStr">
        <is>
          <t>stop_entry_ids</t>
        </is>
      </c>
      <c r="G7" s="28" t="inlineStr">
        <is>
          <t>entry_id</t>
        </is>
      </c>
      <c r="H7" s="28" t="inlineStr">
        <is>
          <t>note</t>
        </is>
      </c>
      <c r="I7" s="28" t="inlineStr">
        <is>
          <t>reviewed_on</t>
        </is>
      </c>
      <c r="J7" s="28" t="inlineStr">
        <is>
          <t>source_ids</t>
        </is>
      </c>
      <c r="K7" s="28" t="inlineStr">
        <is>
          <t>order</t>
        </is>
      </c>
      <c r="L7" s="28" t="inlineStr">
        <is>
          <t>editorial_status</t>
        </is>
      </c>
    </row>
    <row r="8" ht="54" customHeight="1">
      <c r="A8" s="29" t="n"/>
      <c r="B8" s="29" t="n"/>
      <c r="C8" s="29" t="n"/>
      <c r="D8" s="29" t="n"/>
      <c r="E8" s="29" t="n"/>
      <c r="F8" s="29" t="n"/>
      <c r="G8" s="29" t="n"/>
      <c r="H8" s="29" t="n"/>
      <c r="I8" s="49" t="n"/>
      <c r="J8" s="29" t="n"/>
      <c r="K8" s="51" t="n"/>
      <c r="L8" s="29" t="n"/>
    </row>
    <row r="9" ht="54" customHeight="1">
      <c r="A9" s="29" t="n"/>
      <c r="B9" s="29" t="n"/>
      <c r="C9" s="29" t="n"/>
      <c r="D9" s="29" t="n"/>
      <c r="E9" s="29" t="n"/>
      <c r="F9" s="29" t="n"/>
      <c r="G9" s="29" t="n"/>
      <c r="H9" s="29" t="n"/>
      <c r="I9" s="49" t="n"/>
      <c r="J9" s="29" t="n"/>
      <c r="K9" s="51" t="n"/>
      <c r="L9" s="29" t="n"/>
    </row>
    <row r="10" ht="54" customHeight="1">
      <c r="A10" s="29" t="n"/>
      <c r="B10" s="29" t="n"/>
      <c r="C10" s="29" t="n"/>
      <c r="D10" s="29" t="n"/>
      <c r="E10" s="29" t="n"/>
      <c r="F10" s="29" t="n"/>
      <c r="G10" s="29" t="n"/>
      <c r="H10" s="29" t="n"/>
      <c r="I10" s="49" t="n"/>
      <c r="J10" s="29" t="n"/>
      <c r="K10" s="51" t="n"/>
      <c r="L10" s="29" t="n"/>
    </row>
    <row r="11" ht="54" customHeight="1">
      <c r="A11" s="29" t="n"/>
      <c r="B11" s="29" t="n"/>
      <c r="C11" s="29" t="n"/>
      <c r="D11" s="29" t="n"/>
      <c r="E11" s="29" t="n"/>
      <c r="F11" s="29" t="n"/>
      <c r="G11" s="29" t="n"/>
      <c r="H11" s="29" t="n"/>
      <c r="I11" s="49" t="n"/>
      <c r="J11" s="29" t="n"/>
      <c r="K11" s="51" t="n"/>
      <c r="L11" s="29" t="n"/>
    </row>
    <row r="12" ht="54" customHeight="1">
      <c r="A12" s="29" t="n"/>
      <c r="B12" s="29" t="n"/>
      <c r="C12" s="29" t="n"/>
      <c r="D12" s="29" t="n"/>
      <c r="E12" s="29" t="n"/>
      <c r="F12" s="29" t="n"/>
      <c r="G12" s="29" t="n"/>
      <c r="H12" s="29" t="n"/>
      <c r="I12" s="49" t="n"/>
      <c r="J12" s="29" t="n"/>
      <c r="K12" s="51" t="n"/>
      <c r="L12" s="29" t="n"/>
    </row>
    <row r="13" ht="54" customHeight="1">
      <c r="A13" s="29" t="n"/>
      <c r="B13" s="29" t="n"/>
      <c r="C13" s="29" t="n"/>
      <c r="D13" s="29" t="n"/>
      <c r="E13" s="29" t="n"/>
      <c r="F13" s="29" t="n"/>
      <c r="G13" s="29" t="n"/>
      <c r="H13" s="29" t="n"/>
      <c r="I13" s="49" t="n"/>
      <c r="J13" s="29" t="n"/>
      <c r="K13" s="51" t="n"/>
      <c r="L13" s="29" t="n"/>
    </row>
    <row r="14" ht="54" customHeight="1">
      <c r="A14" s="29" t="n"/>
      <c r="B14" s="29" t="n"/>
      <c r="C14" s="29" t="n"/>
      <c r="D14" s="29" t="n"/>
      <c r="E14" s="29" t="n"/>
      <c r="F14" s="29" t="n"/>
      <c r="G14" s="29" t="n"/>
      <c r="H14" s="29" t="n"/>
      <c r="I14" s="49" t="n"/>
      <c r="J14" s="29" t="n"/>
      <c r="K14" s="51" t="n"/>
      <c r="L14" s="29" t="n"/>
    </row>
    <row r="15" ht="54" customHeight="1">
      <c r="A15" s="29" t="n"/>
      <c r="B15" s="29" t="n"/>
      <c r="C15" s="29" t="n"/>
      <c r="D15" s="29" t="n"/>
      <c r="E15" s="29" t="n"/>
      <c r="F15" s="29" t="n"/>
      <c r="G15" s="29" t="n"/>
      <c r="H15" s="29" t="n"/>
      <c r="I15" s="49" t="n"/>
      <c r="J15" s="29" t="n"/>
      <c r="K15" s="51" t="n"/>
      <c r="L15" s="29" t="n"/>
    </row>
    <row r="16" ht="54" customHeight="1">
      <c r="A16" s="29" t="n"/>
      <c r="B16" s="29" t="n"/>
      <c r="C16" s="29" t="n"/>
      <c r="D16" s="29" t="n"/>
      <c r="E16" s="29" t="n"/>
      <c r="F16" s="29" t="n"/>
      <c r="G16" s="29" t="n"/>
      <c r="H16" s="29" t="n"/>
      <c r="I16" s="49" t="n"/>
      <c r="J16" s="29" t="n"/>
      <c r="K16" s="51" t="n"/>
      <c r="L16" s="29" t="n"/>
    </row>
    <row r="17" ht="54" customHeight="1">
      <c r="A17" s="29" t="n"/>
      <c r="B17" s="29" t="n"/>
      <c r="C17" s="29" t="n"/>
      <c r="D17" s="29" t="n"/>
      <c r="E17" s="29" t="n"/>
      <c r="F17" s="29" t="n"/>
      <c r="G17" s="29" t="n"/>
      <c r="H17" s="29" t="n"/>
      <c r="I17" s="49" t="n"/>
      <c r="J17" s="29" t="n"/>
      <c r="K17" s="51" t="n"/>
      <c r="L17" s="29" t="n"/>
    </row>
    <row r="18" ht="54" customHeight="1">
      <c r="A18" s="29" t="n"/>
      <c r="B18" s="29" t="n"/>
      <c r="C18" s="29" t="n"/>
      <c r="D18" s="29" t="n"/>
      <c r="E18" s="29" t="n"/>
      <c r="F18" s="29" t="n"/>
      <c r="G18" s="29" t="n"/>
      <c r="H18" s="29" t="n"/>
      <c r="I18" s="49" t="n"/>
      <c r="J18" s="29" t="n"/>
      <c r="K18" s="51" t="n"/>
      <c r="L18" s="29" t="n"/>
    </row>
    <row r="19" ht="54" customHeight="1">
      <c r="A19" s="29" t="n"/>
      <c r="B19" s="29" t="n"/>
      <c r="C19" s="29" t="n"/>
      <c r="D19" s="29" t="n"/>
      <c r="E19" s="29" t="n"/>
      <c r="F19" s="29" t="n"/>
      <c r="G19" s="29" t="n"/>
      <c r="H19" s="29" t="n"/>
      <c r="I19" s="49" t="n"/>
      <c r="J19" s="29" t="n"/>
      <c r="K19" s="51" t="n"/>
      <c r="L19" s="29" t="n"/>
    </row>
    <row r="20" ht="54" customHeight="1">
      <c r="A20" s="29" t="n"/>
      <c r="B20" s="29" t="n"/>
      <c r="C20" s="29" t="n"/>
      <c r="D20" s="29" t="n"/>
      <c r="E20" s="29" t="n"/>
      <c r="F20" s="29" t="n"/>
      <c r="G20" s="29" t="n"/>
      <c r="H20" s="29" t="n"/>
      <c r="I20" s="49" t="n"/>
      <c r="J20" s="29" t="n"/>
      <c r="K20" s="51" t="n"/>
      <c r="L20" s="29" t="n"/>
    </row>
    <row r="21" ht="54" customHeight="1">
      <c r="A21" s="29" t="n"/>
      <c r="B21" s="29" t="n"/>
      <c r="C21" s="29" t="n"/>
      <c r="D21" s="29" t="n"/>
      <c r="E21" s="29" t="n"/>
      <c r="F21" s="29" t="n"/>
      <c r="G21" s="29" t="n"/>
      <c r="H21" s="29" t="n"/>
      <c r="I21" s="49" t="n"/>
      <c r="J21" s="29" t="n"/>
      <c r="K21" s="51" t="n"/>
      <c r="L21" s="29" t="n"/>
    </row>
    <row r="22" ht="54" customHeight="1">
      <c r="A22" s="29" t="n"/>
      <c r="B22" s="29" t="n"/>
      <c r="C22" s="29" t="n"/>
      <c r="D22" s="29" t="n"/>
      <c r="E22" s="29" t="n"/>
      <c r="F22" s="29" t="n"/>
      <c r="G22" s="29" t="n"/>
      <c r="H22" s="29" t="n"/>
      <c r="I22" s="49" t="n"/>
      <c r="J22" s="29" t="n"/>
      <c r="K22" s="51" t="n"/>
      <c r="L22" s="29" t="n"/>
    </row>
    <row r="23" ht="54" customHeight="1">
      <c r="A23" s="29" t="n"/>
      <c r="B23" s="29" t="n"/>
      <c r="C23" s="29" t="n"/>
      <c r="D23" s="29" t="n"/>
      <c r="E23" s="29" t="n"/>
      <c r="F23" s="29" t="n"/>
      <c r="G23" s="29" t="n"/>
      <c r="H23" s="29" t="n"/>
      <c r="I23" s="49" t="n"/>
      <c r="J23" s="29" t="n"/>
      <c r="K23" s="51" t="n"/>
      <c r="L23" s="29" t="n"/>
    </row>
    <row r="24" ht="54" customHeight="1">
      <c r="A24" s="29" t="n"/>
      <c r="B24" s="29" t="n"/>
      <c r="C24" s="29" t="n"/>
      <c r="D24" s="29" t="n"/>
      <c r="E24" s="29" t="n"/>
      <c r="F24" s="29" t="n"/>
      <c r="G24" s="29" t="n"/>
      <c r="H24" s="29" t="n"/>
      <c r="I24" s="49" t="n"/>
      <c r="J24" s="29" t="n"/>
      <c r="K24" s="51" t="n"/>
      <c r="L24" s="29" t="n"/>
    </row>
    <row r="25" ht="54" customHeight="1">
      <c r="A25" s="29" t="n"/>
      <c r="B25" s="29" t="n"/>
      <c r="C25" s="29" t="n"/>
      <c r="D25" s="29" t="n"/>
      <c r="E25" s="29" t="n"/>
      <c r="F25" s="29" t="n"/>
      <c r="G25" s="29" t="n"/>
      <c r="H25" s="29" t="n"/>
      <c r="I25" s="49" t="n"/>
      <c r="J25" s="29" t="n"/>
      <c r="K25" s="51" t="n"/>
      <c r="L25" s="29" t="n"/>
    </row>
    <row r="26" ht="54" customHeight="1">
      <c r="A26" s="29" t="n"/>
      <c r="B26" s="29" t="n"/>
      <c r="C26" s="29" t="n"/>
      <c r="D26" s="29" t="n"/>
      <c r="E26" s="29" t="n"/>
      <c r="F26" s="29" t="n"/>
      <c r="G26" s="29" t="n"/>
      <c r="H26" s="29" t="n"/>
      <c r="I26" s="49" t="n"/>
      <c r="J26" s="29" t="n"/>
      <c r="K26" s="51" t="n"/>
      <c r="L26" s="29" t="n"/>
    </row>
    <row r="27" ht="54" customHeight="1">
      <c r="A27" s="29" t="n"/>
      <c r="B27" s="29" t="n"/>
      <c r="C27" s="29" t="n"/>
      <c r="D27" s="29" t="n"/>
      <c r="E27" s="29" t="n"/>
      <c r="F27" s="29" t="n"/>
      <c r="G27" s="29" t="n"/>
      <c r="H27" s="29" t="n"/>
      <c r="I27" s="49" t="n"/>
      <c r="J27" s="29" t="n"/>
      <c r="K27" s="51" t="n"/>
      <c r="L27" s="29" t="n"/>
    </row>
    <row r="28" ht="54" customHeight="1">
      <c r="A28" s="29" t="n"/>
      <c r="B28" s="29" t="n"/>
      <c r="C28" s="29" t="n"/>
      <c r="D28" s="29" t="n"/>
      <c r="E28" s="29" t="n"/>
      <c r="F28" s="29" t="n"/>
      <c r="G28" s="29" t="n"/>
      <c r="H28" s="29" t="n"/>
      <c r="I28" s="49" t="n"/>
      <c r="J28" s="29" t="n"/>
      <c r="K28" s="51" t="n"/>
      <c r="L28" s="29" t="n"/>
    </row>
    <row r="29" ht="54" customHeight="1">
      <c r="A29" s="29" t="n"/>
      <c r="B29" s="29" t="n"/>
      <c r="C29" s="29" t="n"/>
      <c r="D29" s="29" t="n"/>
      <c r="E29" s="29" t="n"/>
      <c r="F29" s="29" t="n"/>
      <c r="G29" s="29" t="n"/>
      <c r="H29" s="29" t="n"/>
      <c r="I29" s="49" t="n"/>
      <c r="J29" s="29" t="n"/>
      <c r="K29" s="51" t="n"/>
      <c r="L29" s="29" t="n"/>
    </row>
    <row r="30" ht="54" customHeight="1">
      <c r="A30" s="29" t="n"/>
      <c r="B30" s="29" t="n"/>
      <c r="C30" s="29" t="n"/>
      <c r="D30" s="29" t="n"/>
      <c r="E30" s="29" t="n"/>
      <c r="F30" s="29" t="n"/>
      <c r="G30" s="29" t="n"/>
      <c r="H30" s="29" t="n"/>
      <c r="I30" s="49" t="n"/>
      <c r="J30" s="29" t="n"/>
      <c r="K30" s="51" t="n"/>
      <c r="L30" s="29" t="n"/>
    </row>
    <row r="31" ht="54" customHeight="1">
      <c r="A31" s="29" t="n"/>
      <c r="B31" s="29" t="n"/>
      <c r="C31" s="29" t="n"/>
      <c r="D31" s="29" t="n"/>
      <c r="E31" s="29" t="n"/>
      <c r="F31" s="29" t="n"/>
      <c r="G31" s="29" t="n"/>
      <c r="H31" s="29" t="n"/>
      <c r="I31" s="49" t="n"/>
      <c r="J31" s="29" t="n"/>
      <c r="K31" s="51" t="n"/>
      <c r="L31" s="29" t="n"/>
    </row>
    <row r="32" ht="54" customHeight="1">
      <c r="A32" s="29" t="n"/>
      <c r="B32" s="29" t="n"/>
      <c r="C32" s="29" t="n"/>
      <c r="D32" s="29" t="n"/>
      <c r="E32" s="29" t="n"/>
      <c r="F32" s="29" t="n"/>
      <c r="G32" s="29" t="n"/>
      <c r="H32" s="29" t="n"/>
      <c r="I32" s="49" t="n"/>
      <c r="J32" s="29" t="n"/>
      <c r="K32" s="51" t="n"/>
      <c r="L32" s="29" t="n"/>
    </row>
    <row r="33" ht="54" customHeight="1">
      <c r="A33" s="29" t="n"/>
      <c r="B33" s="29" t="n"/>
      <c r="C33" s="29" t="n"/>
      <c r="D33" s="29" t="n"/>
      <c r="E33" s="29" t="n"/>
      <c r="F33" s="29" t="n"/>
      <c r="G33" s="29" t="n"/>
      <c r="H33" s="29" t="n"/>
      <c r="I33" s="49" t="n"/>
      <c r="J33" s="29" t="n"/>
      <c r="K33" s="51" t="n"/>
      <c r="L33" s="29" t="n"/>
    </row>
    <row r="34" ht="54" customHeight="1">
      <c r="A34" s="29" t="n"/>
      <c r="B34" s="29" t="n"/>
      <c r="C34" s="29" t="n"/>
      <c r="D34" s="29" t="n"/>
      <c r="E34" s="29" t="n"/>
      <c r="F34" s="29" t="n"/>
      <c r="G34" s="29" t="n"/>
      <c r="H34" s="29" t="n"/>
      <c r="I34" s="49" t="n"/>
      <c r="J34" s="29" t="n"/>
      <c r="K34" s="51" t="n"/>
      <c r="L34" s="29" t="n"/>
    </row>
    <row r="35" ht="54" customHeight="1">
      <c r="A35" s="29" t="n"/>
      <c r="B35" s="29" t="n"/>
      <c r="C35" s="29" t="n"/>
      <c r="D35" s="29" t="n"/>
      <c r="E35" s="29" t="n"/>
      <c r="F35" s="29" t="n"/>
      <c r="G35" s="29" t="n"/>
      <c r="H35" s="29" t="n"/>
      <c r="I35" s="49" t="n"/>
      <c r="J35" s="29" t="n"/>
      <c r="K35" s="51" t="n"/>
      <c r="L35" s="29" t="n"/>
    </row>
    <row r="36" ht="54" customHeight="1">
      <c r="A36" s="29" t="n"/>
      <c r="B36" s="29" t="n"/>
      <c r="C36" s="29" t="n"/>
      <c r="D36" s="29" t="n"/>
      <c r="E36" s="29" t="n"/>
      <c r="F36" s="29" t="n"/>
      <c r="G36" s="29" t="n"/>
      <c r="H36" s="29" t="n"/>
      <c r="I36" s="49" t="n"/>
      <c r="J36" s="29" t="n"/>
      <c r="K36" s="51" t="n"/>
      <c r="L36" s="29" t="n"/>
    </row>
    <row r="37" ht="54" customHeight="1">
      <c r="A37" s="29" t="n"/>
      <c r="B37" s="29" t="n"/>
      <c r="C37" s="29" t="n"/>
      <c r="D37" s="29" t="n"/>
      <c r="E37" s="29" t="n"/>
      <c r="F37" s="29" t="n"/>
      <c r="G37" s="29" t="n"/>
      <c r="H37" s="29" t="n"/>
      <c r="I37" s="49" t="n"/>
      <c r="J37" s="29" t="n"/>
      <c r="K37" s="51" t="n"/>
      <c r="L37" s="29" t="n"/>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G8:G37">
    <cfRule type="expression" priority="6" dxfId="1">
      <formula>AND($A8&lt;&gt;"",ISBLANK(G8))</formula>
    </cfRule>
  </conditionalFormatting>
  <conditionalFormatting sqref="H8:H37">
    <cfRule type="expression" priority="7" dxfId="1">
      <formula>AND($A8&lt;&gt;"",ISBLANK(H8))</formula>
    </cfRule>
  </conditionalFormatting>
  <conditionalFormatting sqref="I8:I37">
    <cfRule type="expression" priority="8" dxfId="1">
      <formula>AND($A8&lt;&gt;"",ISBLANK(I8))</formula>
    </cfRule>
  </conditionalFormatting>
  <conditionalFormatting sqref="J8:J37">
    <cfRule type="expression" priority="9" dxfId="1">
      <formula>AND($A8&lt;&gt;"",ISBLANK(J8))</formula>
    </cfRule>
  </conditionalFormatting>
  <conditionalFormatting sqref="K8:K37">
    <cfRule type="expression" priority="10" dxfId="1">
      <formula>AND($A8&lt;&gt;"",ISBLANK(K8))</formula>
    </cfRule>
  </conditionalFormatting>
  <conditionalFormatting sqref="L8:L37">
    <cfRule type="expression" priority="11" dxfId="1">
      <formula>AND($A8&lt;&gt;"",ISBLANK(L8))</formula>
    </cfRule>
  </conditionalFormatting>
  <dataValidations count="1">
    <dataValidation sqref="L8:L3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58" customWidth="1" min="4" max="4"/>
    <col width="28" customWidth="1" min="5" max="5"/>
    <col width="20" customWidth="1" min="6" max="6"/>
    <col width="28" customWidth="1" min="7" max="7"/>
    <col width="28" customWidth="1" min="8" max="8"/>
  </cols>
  <sheetData>
    <row r="1" ht="30" customHeight="1">
      <c r="A1" s="2" t="n"/>
      <c r="B1" s="2" t="n"/>
      <c r="C1" s="2" t="n"/>
      <c r="D1" s="2" t="n"/>
      <c r="E1" s="2" t="n"/>
      <c r="F1" s="2" t="n"/>
      <c r="G1" s="2" t="n"/>
      <c r="H1" s="2" t="n"/>
    </row>
    <row r="2" ht="30" customHeight="1">
      <c r="A2" s="19" t="inlineStr">
        <is>
          <t>Corteqs · Yerel terimler sözlüğü</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 · ; ile</t>
        </is>
      </c>
      <c r="F5" s="22" t="inlineStr">
        <is>
          <t>Zorunlu · tarih</t>
        </is>
      </c>
      <c r="G5" s="22" t="inlineStr">
        <is>
          <t>Zorunlu</t>
        </is>
      </c>
      <c r="H5" s="22" t="inlineStr">
        <is>
          <t>Zorunlu</t>
        </is>
      </c>
    </row>
    <row r="6" ht="44" customHeight="1">
      <c r="A6" s="25" t="inlineStr">
        <is>
          <t>Terim kimliği</t>
        </is>
      </c>
      <c r="B6" s="25" t="inlineStr">
        <is>
          <t>Şehir kimliği</t>
        </is>
      </c>
      <c r="C6" s="25" t="inlineStr">
        <is>
          <t>Yerel terim</t>
        </is>
      </c>
      <c r="D6" s="25" t="inlineStr">
        <is>
          <t>Türkçe açıklama</t>
        </is>
      </c>
      <c r="E6" s="25" t="inlineStr">
        <is>
          <t>Kaynak kimlikleri</t>
        </is>
      </c>
      <c r="F6" s="25" t="inlineStr">
        <is>
          <t>Terim kontrol tarihi</t>
        </is>
      </c>
      <c r="G6" s="25" t="inlineStr">
        <is>
          <t>Sıra</t>
        </is>
      </c>
      <c r="H6" s="25" t="inlineStr">
        <is>
          <t>Editör durumu</t>
        </is>
      </c>
    </row>
    <row r="7" ht="32" customHeight="1">
      <c r="A7" s="28" t="inlineStr">
        <is>
          <t>term_id</t>
        </is>
      </c>
      <c r="B7" s="28" t="inlineStr">
        <is>
          <t>city_id</t>
        </is>
      </c>
      <c r="C7" s="28" t="inlineStr">
        <is>
          <t>term</t>
        </is>
      </c>
      <c r="D7" s="28" t="inlineStr">
        <is>
          <t>definition</t>
        </is>
      </c>
      <c r="E7" s="28" t="inlineStr">
        <is>
          <t>source_ids</t>
        </is>
      </c>
      <c r="F7" s="28" t="inlineStr">
        <is>
          <t>reviewed_on</t>
        </is>
      </c>
      <c r="G7" s="28" t="inlineStr">
        <is>
          <t>order</t>
        </is>
      </c>
      <c r="H7" s="28" t="inlineStr">
        <is>
          <t>editorial_status</t>
        </is>
      </c>
    </row>
    <row r="8" ht="54" customHeight="1">
      <c r="A8" s="29" t="n"/>
      <c r="B8" s="29" t="n"/>
      <c r="C8" s="29" t="n"/>
      <c r="D8" s="29" t="n"/>
      <c r="E8" s="29" t="n"/>
      <c r="F8" s="49" t="n"/>
      <c r="G8" s="51" t="n"/>
      <c r="H8" s="29" t="n"/>
    </row>
    <row r="9" ht="54" customHeight="1">
      <c r="A9" s="29" t="n"/>
      <c r="B9" s="29" t="n"/>
      <c r="C9" s="29" t="n"/>
      <c r="D9" s="29" t="n"/>
      <c r="E9" s="29" t="n"/>
      <c r="F9" s="49" t="n"/>
      <c r="G9" s="51" t="n"/>
      <c r="H9" s="29" t="n"/>
    </row>
    <row r="10" ht="54" customHeight="1">
      <c r="A10" s="29" t="n"/>
      <c r="B10" s="29" t="n"/>
      <c r="C10" s="29" t="n"/>
      <c r="D10" s="29" t="n"/>
      <c r="E10" s="29" t="n"/>
      <c r="F10" s="49" t="n"/>
      <c r="G10" s="51" t="n"/>
      <c r="H10" s="29" t="n"/>
    </row>
    <row r="11" ht="54" customHeight="1">
      <c r="A11" s="29" t="n"/>
      <c r="B11" s="29" t="n"/>
      <c r="C11" s="29" t="n"/>
      <c r="D11" s="29" t="n"/>
      <c r="E11" s="29" t="n"/>
      <c r="F11" s="49" t="n"/>
      <c r="G11" s="51" t="n"/>
      <c r="H11" s="29" t="n"/>
    </row>
    <row r="12" ht="54" customHeight="1">
      <c r="A12" s="29" t="n"/>
      <c r="B12" s="29" t="n"/>
      <c r="C12" s="29" t="n"/>
      <c r="D12" s="29" t="n"/>
      <c r="E12" s="29" t="n"/>
      <c r="F12" s="49" t="n"/>
      <c r="G12" s="51" t="n"/>
      <c r="H12" s="29" t="n"/>
    </row>
    <row r="13" ht="54" customHeight="1">
      <c r="A13" s="29" t="n"/>
      <c r="B13" s="29" t="n"/>
      <c r="C13" s="29" t="n"/>
      <c r="D13" s="29" t="n"/>
      <c r="E13" s="29" t="n"/>
      <c r="F13" s="49" t="n"/>
      <c r="G13" s="51" t="n"/>
      <c r="H13" s="29" t="n"/>
    </row>
    <row r="14" ht="54" customHeight="1">
      <c r="A14" s="29" t="n"/>
      <c r="B14" s="29" t="n"/>
      <c r="C14" s="29" t="n"/>
      <c r="D14" s="29" t="n"/>
      <c r="E14" s="29" t="n"/>
      <c r="F14" s="49" t="n"/>
      <c r="G14" s="51" t="n"/>
      <c r="H14" s="29" t="n"/>
    </row>
    <row r="15" ht="54" customHeight="1">
      <c r="A15" s="29" t="n"/>
      <c r="B15" s="29" t="n"/>
      <c r="C15" s="29" t="n"/>
      <c r="D15" s="29" t="n"/>
      <c r="E15" s="29" t="n"/>
      <c r="F15" s="49" t="n"/>
      <c r="G15" s="51" t="n"/>
      <c r="H15" s="29" t="n"/>
    </row>
    <row r="16" ht="54" customHeight="1">
      <c r="A16" s="29" t="n"/>
      <c r="B16" s="29" t="n"/>
      <c r="C16" s="29" t="n"/>
      <c r="D16" s="29" t="n"/>
      <c r="E16" s="29" t="n"/>
      <c r="F16" s="49" t="n"/>
      <c r="G16" s="51" t="n"/>
      <c r="H16" s="29" t="n"/>
    </row>
    <row r="17" ht="54" customHeight="1">
      <c r="A17" s="29" t="n"/>
      <c r="B17" s="29" t="n"/>
      <c r="C17" s="29" t="n"/>
      <c r="D17" s="29" t="n"/>
      <c r="E17" s="29" t="n"/>
      <c r="F17" s="49" t="n"/>
      <c r="G17" s="51" t="n"/>
      <c r="H17" s="29" t="n"/>
    </row>
    <row r="18" ht="54" customHeight="1">
      <c r="A18" s="29" t="n"/>
      <c r="B18" s="29" t="n"/>
      <c r="C18" s="29" t="n"/>
      <c r="D18" s="29" t="n"/>
      <c r="E18" s="29" t="n"/>
      <c r="F18" s="49" t="n"/>
      <c r="G18" s="51" t="n"/>
      <c r="H18" s="29" t="n"/>
    </row>
    <row r="19" ht="54" customHeight="1">
      <c r="A19" s="29" t="n"/>
      <c r="B19" s="29" t="n"/>
      <c r="C19" s="29" t="n"/>
      <c r="D19" s="29" t="n"/>
      <c r="E19" s="29" t="n"/>
      <c r="F19" s="49" t="n"/>
      <c r="G19" s="51" t="n"/>
      <c r="H19" s="29" t="n"/>
    </row>
    <row r="20" ht="54" customHeight="1">
      <c r="A20" s="29" t="n"/>
      <c r="B20" s="29" t="n"/>
      <c r="C20" s="29" t="n"/>
      <c r="D20" s="29" t="n"/>
      <c r="E20" s="29" t="n"/>
      <c r="F20" s="49" t="n"/>
      <c r="G20" s="51" t="n"/>
      <c r="H20" s="29" t="n"/>
    </row>
    <row r="21" ht="54" customHeight="1">
      <c r="A21" s="29" t="n"/>
      <c r="B21" s="29" t="n"/>
      <c r="C21" s="29" t="n"/>
      <c r="D21" s="29" t="n"/>
      <c r="E21" s="29" t="n"/>
      <c r="F21" s="49" t="n"/>
      <c r="G21" s="51" t="n"/>
      <c r="H21" s="29" t="n"/>
    </row>
    <row r="22" ht="54" customHeight="1">
      <c r="A22" s="29" t="n"/>
      <c r="B22" s="29" t="n"/>
      <c r="C22" s="29" t="n"/>
      <c r="D22" s="29" t="n"/>
      <c r="E22" s="29" t="n"/>
      <c r="F22" s="49" t="n"/>
      <c r="G22" s="51" t="n"/>
      <c r="H22" s="29" t="n"/>
    </row>
    <row r="23" ht="54" customHeight="1">
      <c r="A23" s="29" t="n"/>
      <c r="B23" s="29" t="n"/>
      <c r="C23" s="29" t="n"/>
      <c r="D23" s="29" t="n"/>
      <c r="E23" s="29" t="n"/>
      <c r="F23" s="49" t="n"/>
      <c r="G23" s="51" t="n"/>
      <c r="H23" s="29" t="n"/>
    </row>
    <row r="24" ht="54" customHeight="1">
      <c r="A24" s="29" t="n"/>
      <c r="B24" s="29" t="n"/>
      <c r="C24" s="29" t="n"/>
      <c r="D24" s="29" t="n"/>
      <c r="E24" s="29" t="n"/>
      <c r="F24" s="49" t="n"/>
      <c r="G24" s="51" t="n"/>
      <c r="H24" s="29" t="n"/>
    </row>
    <row r="25" ht="54" customHeight="1">
      <c r="A25" s="29" t="n"/>
      <c r="B25" s="29" t="n"/>
      <c r="C25" s="29" t="n"/>
      <c r="D25" s="29" t="n"/>
      <c r="E25" s="29" t="n"/>
      <c r="F25" s="49" t="n"/>
      <c r="G25" s="51" t="n"/>
      <c r="H25" s="29" t="n"/>
    </row>
    <row r="26" ht="54" customHeight="1">
      <c r="A26" s="29" t="n"/>
      <c r="B26" s="29" t="n"/>
      <c r="C26" s="29" t="n"/>
      <c r="D26" s="29" t="n"/>
      <c r="E26" s="29" t="n"/>
      <c r="F26" s="49" t="n"/>
      <c r="G26" s="51" t="n"/>
      <c r="H26" s="29" t="n"/>
    </row>
    <row r="27" ht="54" customHeight="1">
      <c r="A27" s="29" t="n"/>
      <c r="B27" s="29" t="n"/>
      <c r="C27" s="29" t="n"/>
      <c r="D27" s="29" t="n"/>
      <c r="E27" s="29" t="n"/>
      <c r="F27" s="49" t="n"/>
      <c r="G27" s="51" t="n"/>
      <c r="H27" s="29" t="n"/>
    </row>
    <row r="28" ht="54" customHeight="1">
      <c r="A28" s="29" t="n"/>
      <c r="B28" s="29" t="n"/>
      <c r="C28" s="29" t="n"/>
      <c r="D28" s="29" t="n"/>
      <c r="E28" s="29" t="n"/>
      <c r="F28" s="49" t="n"/>
      <c r="G28" s="51" t="n"/>
      <c r="H28" s="29" t="n"/>
    </row>
    <row r="29" ht="54" customHeight="1">
      <c r="A29" s="29" t="n"/>
      <c r="B29" s="29" t="n"/>
      <c r="C29" s="29" t="n"/>
      <c r="D29" s="29" t="n"/>
      <c r="E29" s="29" t="n"/>
      <c r="F29" s="49" t="n"/>
      <c r="G29" s="51" t="n"/>
      <c r="H29" s="29" t="n"/>
    </row>
    <row r="30" ht="54" customHeight="1">
      <c r="A30" s="29" t="n"/>
      <c r="B30" s="29" t="n"/>
      <c r="C30" s="29" t="n"/>
      <c r="D30" s="29" t="n"/>
      <c r="E30" s="29" t="n"/>
      <c r="F30" s="49" t="n"/>
      <c r="G30" s="51" t="n"/>
      <c r="H30" s="29" t="n"/>
    </row>
    <row r="31" ht="54" customHeight="1">
      <c r="A31" s="29" t="n"/>
      <c r="B31" s="29" t="n"/>
      <c r="C31" s="29" t="n"/>
      <c r="D31" s="29" t="n"/>
      <c r="E31" s="29" t="n"/>
      <c r="F31" s="49" t="n"/>
      <c r="G31" s="51" t="n"/>
      <c r="H31" s="29" t="n"/>
    </row>
    <row r="32" ht="54" customHeight="1">
      <c r="A32" s="29" t="n"/>
      <c r="B32" s="29" t="n"/>
      <c r="C32" s="29" t="n"/>
      <c r="D32" s="29" t="n"/>
      <c r="E32" s="29" t="n"/>
      <c r="F32" s="49" t="n"/>
      <c r="G32" s="51" t="n"/>
      <c r="H32" s="29" t="n"/>
    </row>
    <row r="33" ht="54" customHeight="1">
      <c r="A33" s="29" t="n"/>
      <c r="B33" s="29" t="n"/>
      <c r="C33" s="29" t="n"/>
      <c r="D33" s="29" t="n"/>
      <c r="E33" s="29" t="n"/>
      <c r="F33" s="49" t="n"/>
      <c r="G33" s="51" t="n"/>
      <c r="H33" s="29" t="n"/>
    </row>
    <row r="34" ht="54" customHeight="1">
      <c r="A34" s="29" t="n"/>
      <c r="B34" s="29" t="n"/>
      <c r="C34" s="29" t="n"/>
      <c r="D34" s="29" t="n"/>
      <c r="E34" s="29" t="n"/>
      <c r="F34" s="49" t="n"/>
      <c r="G34" s="51" t="n"/>
      <c r="H34" s="29" t="n"/>
    </row>
    <row r="35" ht="54" customHeight="1">
      <c r="A35" s="29" t="n"/>
      <c r="B35" s="29" t="n"/>
      <c r="C35" s="29" t="n"/>
      <c r="D35" s="29" t="n"/>
      <c r="E35" s="29" t="n"/>
      <c r="F35" s="49" t="n"/>
      <c r="G35" s="51" t="n"/>
      <c r="H35" s="29" t="n"/>
    </row>
    <row r="36" ht="54" customHeight="1">
      <c r="A36" s="29" t="n"/>
      <c r="B36" s="29" t="n"/>
      <c r="C36" s="29" t="n"/>
      <c r="D36" s="29" t="n"/>
      <c r="E36" s="29" t="n"/>
      <c r="F36" s="49" t="n"/>
      <c r="G36" s="51" t="n"/>
      <c r="H36" s="29" t="n"/>
    </row>
    <row r="37" ht="54" customHeight="1">
      <c r="A37" s="29" t="n"/>
      <c r="B37" s="29" t="n"/>
      <c r="C37" s="29" t="n"/>
      <c r="D37" s="29" t="n"/>
      <c r="E37" s="29" t="n"/>
      <c r="F37" s="49" t="n"/>
      <c r="G37" s="51" t="n"/>
      <c r="H37" s="29" t="n"/>
    </row>
    <row r="38" ht="54" customHeight="1">
      <c r="A38" s="29" t="n"/>
      <c r="B38" s="29" t="n"/>
      <c r="C38" s="29" t="n"/>
      <c r="D38" s="29" t="n"/>
      <c r="E38" s="29" t="n"/>
      <c r="F38" s="49" t="n"/>
      <c r="G38" s="51" t="n"/>
      <c r="H38" s="29" t="n"/>
    </row>
    <row r="39" ht="54" customHeight="1">
      <c r="A39" s="29" t="n"/>
      <c r="B39" s="29" t="n"/>
      <c r="C39" s="29" t="n"/>
      <c r="D39" s="29" t="n"/>
      <c r="E39" s="29" t="n"/>
      <c r="F39" s="49" t="n"/>
      <c r="G39" s="51" t="n"/>
      <c r="H39" s="29" t="n"/>
    </row>
    <row r="40" ht="54" customHeight="1">
      <c r="A40" s="29" t="n"/>
      <c r="B40" s="29" t="n"/>
      <c r="C40" s="29" t="n"/>
      <c r="D40" s="29" t="n"/>
      <c r="E40" s="29" t="n"/>
      <c r="F40" s="49" t="n"/>
      <c r="G40" s="51" t="n"/>
      <c r="H40" s="29" t="n"/>
    </row>
    <row r="41" ht="54" customHeight="1">
      <c r="A41" s="29" t="n"/>
      <c r="B41" s="29" t="n"/>
      <c r="C41" s="29" t="n"/>
      <c r="D41" s="29" t="n"/>
      <c r="E41" s="29" t="n"/>
      <c r="F41" s="49" t="n"/>
      <c r="G41" s="51" t="n"/>
      <c r="H41" s="29" t="n"/>
    </row>
    <row r="42" ht="54" customHeight="1">
      <c r="A42" s="29" t="n"/>
      <c r="B42" s="29" t="n"/>
      <c r="C42" s="29" t="n"/>
      <c r="D42" s="29" t="n"/>
      <c r="E42" s="29" t="n"/>
      <c r="F42" s="49" t="n"/>
      <c r="G42" s="51" t="n"/>
      <c r="H42" s="29" t="n"/>
    </row>
    <row r="43" ht="54" customHeight="1">
      <c r="A43" s="29" t="n"/>
      <c r="B43" s="29" t="n"/>
      <c r="C43" s="29" t="n"/>
      <c r="D43" s="29" t="n"/>
      <c r="E43" s="29" t="n"/>
      <c r="F43" s="49" t="n"/>
      <c r="G43" s="51" t="n"/>
      <c r="H43" s="29" t="n"/>
    </row>
    <row r="44" ht="54" customHeight="1">
      <c r="A44" s="29" t="n"/>
      <c r="B44" s="29" t="n"/>
      <c r="C44" s="29" t="n"/>
      <c r="D44" s="29" t="n"/>
      <c r="E44" s="29" t="n"/>
      <c r="F44" s="49" t="n"/>
      <c r="G44" s="51" t="n"/>
      <c r="H44" s="29" t="n"/>
    </row>
    <row r="45" ht="54" customHeight="1">
      <c r="A45" s="29" t="n"/>
      <c r="B45" s="29" t="n"/>
      <c r="C45" s="29" t="n"/>
      <c r="D45" s="29" t="n"/>
      <c r="E45" s="29" t="n"/>
      <c r="F45" s="49" t="n"/>
      <c r="G45" s="51" t="n"/>
      <c r="H45" s="29" t="n"/>
    </row>
    <row r="46" ht="54" customHeight="1">
      <c r="A46" s="29" t="n"/>
      <c r="B46" s="29" t="n"/>
      <c r="C46" s="29" t="n"/>
      <c r="D46" s="29" t="n"/>
      <c r="E46" s="29" t="n"/>
      <c r="F46" s="49" t="n"/>
      <c r="G46" s="51" t="n"/>
      <c r="H46" s="29" t="n"/>
    </row>
    <row r="47" ht="54" customHeight="1">
      <c r="A47" s="29" t="n"/>
      <c r="B47" s="29" t="n"/>
      <c r="C47" s="29" t="n"/>
      <c r="D47" s="29" t="n"/>
      <c r="E47" s="29" t="n"/>
      <c r="F47" s="49" t="n"/>
      <c r="G47" s="51" t="n"/>
      <c r="H47" s="29" t="n"/>
    </row>
    <row r="48" ht="54" customHeight="1">
      <c r="A48" s="29" t="n"/>
      <c r="B48" s="29" t="n"/>
      <c r="C48" s="29" t="n"/>
      <c r="D48" s="29" t="n"/>
      <c r="E48" s="29" t="n"/>
      <c r="F48" s="49" t="n"/>
      <c r="G48" s="51" t="n"/>
      <c r="H48" s="29" t="n"/>
    </row>
    <row r="49" ht="54" customHeight="1">
      <c r="A49" s="29" t="n"/>
      <c r="B49" s="29" t="n"/>
      <c r="C49" s="29" t="n"/>
      <c r="D49" s="29" t="n"/>
      <c r="E49" s="29" t="n"/>
      <c r="F49" s="49" t="n"/>
      <c r="G49" s="51" t="n"/>
      <c r="H49" s="29" t="n"/>
    </row>
    <row r="50" ht="54" customHeight="1">
      <c r="A50" s="29" t="n"/>
      <c r="B50" s="29" t="n"/>
      <c r="C50" s="29" t="n"/>
      <c r="D50" s="29" t="n"/>
      <c r="E50" s="29" t="n"/>
      <c r="F50" s="49" t="n"/>
      <c r="G50" s="51" t="n"/>
      <c r="H50" s="29" t="n"/>
    </row>
    <row r="51" ht="54" customHeight="1">
      <c r="A51" s="29" t="n"/>
      <c r="B51" s="29" t="n"/>
      <c r="C51" s="29" t="n"/>
      <c r="D51" s="29" t="n"/>
      <c r="E51" s="29" t="n"/>
      <c r="F51" s="49" t="n"/>
      <c r="G51" s="51" t="n"/>
      <c r="H51" s="29" t="n"/>
    </row>
    <row r="52" ht="54" customHeight="1">
      <c r="A52" s="29" t="n"/>
      <c r="B52" s="29" t="n"/>
      <c r="C52" s="29" t="n"/>
      <c r="D52" s="29" t="n"/>
      <c r="E52" s="29" t="n"/>
      <c r="F52" s="49" t="n"/>
      <c r="G52" s="51" t="n"/>
      <c r="H52" s="29" t="n"/>
    </row>
    <row r="53" ht="54" customHeight="1">
      <c r="A53" s="29" t="n"/>
      <c r="B53" s="29" t="n"/>
      <c r="C53" s="29" t="n"/>
      <c r="D53" s="29" t="n"/>
      <c r="E53" s="29" t="n"/>
      <c r="F53" s="49" t="n"/>
      <c r="G53" s="51" t="n"/>
      <c r="H53" s="29" t="n"/>
    </row>
    <row r="54" ht="54" customHeight="1">
      <c r="A54" s="29" t="n"/>
      <c r="B54" s="29" t="n"/>
      <c r="C54" s="29" t="n"/>
      <c r="D54" s="29" t="n"/>
      <c r="E54" s="29" t="n"/>
      <c r="F54" s="49" t="n"/>
      <c r="G54" s="51" t="n"/>
      <c r="H54" s="29" t="n"/>
    </row>
    <row r="55" ht="54" customHeight="1">
      <c r="A55" s="29" t="n"/>
      <c r="B55" s="29" t="n"/>
      <c r="C55" s="29" t="n"/>
      <c r="D55" s="29" t="n"/>
      <c r="E55" s="29" t="n"/>
      <c r="F55" s="49" t="n"/>
      <c r="G55" s="51" t="n"/>
      <c r="H55" s="29" t="n"/>
    </row>
    <row r="56" ht="54" customHeight="1">
      <c r="A56" s="29" t="n"/>
      <c r="B56" s="29" t="n"/>
      <c r="C56" s="29" t="n"/>
      <c r="D56" s="29" t="n"/>
      <c r="E56" s="29" t="n"/>
      <c r="F56" s="49" t="n"/>
      <c r="G56" s="51" t="n"/>
      <c r="H56" s="29" t="n"/>
    </row>
    <row r="57" ht="54" customHeight="1">
      <c r="A57" s="29" t="n"/>
      <c r="B57" s="29" t="n"/>
      <c r="C57" s="29" t="n"/>
      <c r="D57" s="29" t="n"/>
      <c r="E57" s="29" t="n"/>
      <c r="F57" s="49" t="n"/>
      <c r="G57" s="51" t="n"/>
      <c r="H57" s="29" t="n"/>
    </row>
    <row r="58" ht="54" customHeight="1">
      <c r="A58" s="29" t="n"/>
      <c r="B58" s="29" t="n"/>
      <c r="C58" s="29" t="n"/>
      <c r="D58" s="29" t="n"/>
      <c r="E58" s="29" t="n"/>
      <c r="F58" s="49" t="n"/>
      <c r="G58" s="51" t="n"/>
      <c r="H58" s="29" t="n"/>
    </row>
    <row r="59" ht="54" customHeight="1">
      <c r="A59" s="29" t="n"/>
      <c r="B59" s="29" t="n"/>
      <c r="C59" s="29" t="n"/>
      <c r="D59" s="29" t="n"/>
      <c r="E59" s="29" t="n"/>
      <c r="F59" s="49" t="n"/>
      <c r="G59" s="51" t="n"/>
      <c r="H59" s="29" t="n"/>
    </row>
    <row r="60" ht="54" customHeight="1">
      <c r="A60" s="29" t="n"/>
      <c r="B60" s="29" t="n"/>
      <c r="C60" s="29" t="n"/>
      <c r="D60" s="29" t="n"/>
      <c r="E60" s="29" t="n"/>
      <c r="F60" s="49" t="n"/>
      <c r="G60" s="51" t="n"/>
      <c r="H60" s="29" t="n"/>
    </row>
    <row r="61" ht="54" customHeight="1">
      <c r="A61" s="29" t="n"/>
      <c r="B61" s="29" t="n"/>
      <c r="C61" s="29" t="n"/>
      <c r="D61" s="29" t="n"/>
      <c r="E61" s="29" t="n"/>
      <c r="F61" s="49" t="n"/>
      <c r="G61" s="51" t="n"/>
      <c r="H61" s="29" t="n"/>
    </row>
    <row r="62" ht="54" customHeight="1">
      <c r="A62" s="29" t="n"/>
      <c r="B62" s="29" t="n"/>
      <c r="C62" s="29" t="n"/>
      <c r="D62" s="29" t="n"/>
      <c r="E62" s="29" t="n"/>
      <c r="F62" s="49" t="n"/>
      <c r="G62" s="51" t="n"/>
      <c r="H62" s="29" t="n"/>
    </row>
    <row r="63" ht="54" customHeight="1">
      <c r="A63" s="29" t="n"/>
      <c r="B63" s="29" t="n"/>
      <c r="C63" s="29" t="n"/>
      <c r="D63" s="29" t="n"/>
      <c r="E63" s="29" t="n"/>
      <c r="F63" s="49" t="n"/>
      <c r="G63" s="51" t="n"/>
      <c r="H63" s="29" t="n"/>
    </row>
    <row r="64" ht="54" customHeight="1">
      <c r="A64" s="29" t="n"/>
      <c r="B64" s="29" t="n"/>
      <c r="C64" s="29" t="n"/>
      <c r="D64" s="29" t="n"/>
      <c r="E64" s="29" t="n"/>
      <c r="F64" s="49" t="n"/>
      <c r="G64" s="51" t="n"/>
      <c r="H64" s="29" t="n"/>
    </row>
    <row r="65" ht="54" customHeight="1">
      <c r="A65" s="29" t="n"/>
      <c r="B65" s="29" t="n"/>
      <c r="C65" s="29" t="n"/>
      <c r="D65" s="29" t="n"/>
      <c r="E65" s="29" t="n"/>
      <c r="F65" s="49" t="n"/>
      <c r="G65" s="51" t="n"/>
      <c r="H65" s="29" t="n"/>
    </row>
    <row r="66" ht="54" customHeight="1">
      <c r="A66" s="29" t="n"/>
      <c r="B66" s="29" t="n"/>
      <c r="C66" s="29" t="n"/>
      <c r="D66" s="29" t="n"/>
      <c r="E66" s="29" t="n"/>
      <c r="F66" s="49" t="n"/>
      <c r="G66" s="51" t="n"/>
      <c r="H66" s="29" t="n"/>
    </row>
    <row r="67" ht="54" customHeight="1">
      <c r="A67" s="29" t="n"/>
      <c r="B67" s="29" t="n"/>
      <c r="C67" s="29" t="n"/>
      <c r="D67" s="29" t="n"/>
      <c r="E67" s="29" t="n"/>
      <c r="F67" s="49" t="n"/>
      <c r="G67" s="51" t="n"/>
      <c r="H67" s="29" t="n"/>
    </row>
    <row r="68" ht="54" customHeight="1">
      <c r="A68" s="29" t="n"/>
      <c r="B68" s="29" t="n"/>
      <c r="C68" s="29" t="n"/>
      <c r="D68" s="29" t="n"/>
      <c r="E68" s="29" t="n"/>
      <c r="F68" s="49" t="n"/>
      <c r="G68" s="51" t="n"/>
      <c r="H68" s="29" t="n"/>
    </row>
    <row r="69" ht="54" customHeight="1">
      <c r="A69" s="29" t="n"/>
      <c r="B69" s="29" t="n"/>
      <c r="C69" s="29" t="n"/>
      <c r="D69" s="29" t="n"/>
      <c r="E69" s="29" t="n"/>
      <c r="F69" s="49" t="n"/>
      <c r="G69" s="51" t="n"/>
      <c r="H69" s="29" t="n"/>
    </row>
    <row r="70" ht="54" customHeight="1">
      <c r="A70" s="29" t="n"/>
      <c r="B70" s="29" t="n"/>
      <c r="C70" s="29" t="n"/>
      <c r="D70" s="29" t="n"/>
      <c r="E70" s="29" t="n"/>
      <c r="F70" s="49" t="n"/>
      <c r="G70" s="51" t="n"/>
      <c r="H70" s="29" t="n"/>
    </row>
    <row r="71" ht="54" customHeight="1">
      <c r="A71" s="29" t="n"/>
      <c r="B71" s="29" t="n"/>
      <c r="C71" s="29" t="n"/>
      <c r="D71" s="29" t="n"/>
      <c r="E71" s="29" t="n"/>
      <c r="F71" s="49" t="n"/>
      <c r="G71" s="51" t="n"/>
      <c r="H71" s="29" t="n"/>
    </row>
    <row r="72" ht="54" customHeight="1">
      <c r="A72" s="29" t="n"/>
      <c r="B72" s="29" t="n"/>
      <c r="C72" s="29" t="n"/>
      <c r="D72" s="29" t="n"/>
      <c r="E72" s="29" t="n"/>
      <c r="F72" s="49" t="n"/>
      <c r="G72" s="51" t="n"/>
      <c r="H72" s="29" t="n"/>
    </row>
    <row r="73" ht="54" customHeight="1">
      <c r="A73" s="29" t="n"/>
      <c r="B73" s="29" t="n"/>
      <c r="C73" s="29" t="n"/>
      <c r="D73" s="29" t="n"/>
      <c r="E73" s="29" t="n"/>
      <c r="F73" s="49" t="n"/>
      <c r="G73" s="51" t="n"/>
      <c r="H73" s="29" t="n"/>
    </row>
    <row r="74" ht="54" customHeight="1">
      <c r="A74" s="29" t="n"/>
      <c r="B74" s="29" t="n"/>
      <c r="C74" s="29" t="n"/>
      <c r="D74" s="29" t="n"/>
      <c r="E74" s="29" t="n"/>
      <c r="F74" s="49" t="n"/>
      <c r="G74" s="51" t="n"/>
      <c r="H74" s="29" t="n"/>
    </row>
    <row r="75" ht="54" customHeight="1">
      <c r="A75" s="29" t="n"/>
      <c r="B75" s="29" t="n"/>
      <c r="C75" s="29" t="n"/>
      <c r="D75" s="29" t="n"/>
      <c r="E75" s="29" t="n"/>
      <c r="F75" s="49" t="n"/>
      <c r="G75" s="51" t="n"/>
      <c r="H75" s="29" t="n"/>
    </row>
    <row r="76" ht="54" customHeight="1">
      <c r="A76" s="29" t="n"/>
      <c r="B76" s="29" t="n"/>
      <c r="C76" s="29" t="n"/>
      <c r="D76" s="29" t="n"/>
      <c r="E76" s="29" t="n"/>
      <c r="F76" s="49" t="n"/>
      <c r="G76" s="51" t="n"/>
      <c r="H76" s="29" t="n"/>
    </row>
    <row r="77" ht="54" customHeight="1">
      <c r="A77" s="29" t="n"/>
      <c r="B77" s="29" t="n"/>
      <c r="C77" s="29" t="n"/>
      <c r="D77" s="29" t="n"/>
      <c r="E77" s="29" t="n"/>
      <c r="F77" s="49" t="n"/>
      <c r="G77" s="51" t="n"/>
      <c r="H77" s="29" t="n"/>
    </row>
    <row r="78" ht="54" customHeight="1">
      <c r="A78" s="29" t="n"/>
      <c r="B78" s="29" t="n"/>
      <c r="C78" s="29" t="n"/>
      <c r="D78" s="29" t="n"/>
      <c r="E78" s="29" t="n"/>
      <c r="F78" s="49" t="n"/>
      <c r="G78" s="51" t="n"/>
      <c r="H78" s="29" t="n"/>
    </row>
    <row r="79" ht="54" customHeight="1">
      <c r="A79" s="29" t="n"/>
      <c r="B79" s="29" t="n"/>
      <c r="C79" s="29" t="n"/>
      <c r="D79" s="29" t="n"/>
      <c r="E79" s="29" t="n"/>
      <c r="F79" s="49" t="n"/>
      <c r="G79" s="51" t="n"/>
      <c r="H79" s="29" t="n"/>
    </row>
    <row r="80" ht="54" customHeight="1">
      <c r="A80" s="29" t="n"/>
      <c r="B80" s="29" t="n"/>
      <c r="C80" s="29" t="n"/>
      <c r="D80" s="29" t="n"/>
      <c r="E80" s="29" t="n"/>
      <c r="F80" s="49" t="n"/>
      <c r="G80" s="51" t="n"/>
      <c r="H80" s="29" t="n"/>
    </row>
    <row r="81" ht="54" customHeight="1">
      <c r="A81" s="29" t="n"/>
      <c r="B81" s="29" t="n"/>
      <c r="C81" s="29" t="n"/>
      <c r="D81" s="29" t="n"/>
      <c r="E81" s="29" t="n"/>
      <c r="F81" s="49" t="n"/>
      <c r="G81" s="51" t="n"/>
      <c r="H81" s="29" t="n"/>
    </row>
    <row r="82" ht="54" customHeight="1">
      <c r="A82" s="29" t="n"/>
      <c r="B82" s="29" t="n"/>
      <c r="C82" s="29" t="n"/>
      <c r="D82" s="29" t="n"/>
      <c r="E82" s="29" t="n"/>
      <c r="F82" s="49" t="n"/>
      <c r="G82" s="51" t="n"/>
      <c r="H82" s="29" t="n"/>
    </row>
    <row r="83" ht="54" customHeight="1">
      <c r="A83" s="29" t="n"/>
      <c r="B83" s="29" t="n"/>
      <c r="C83" s="29" t="n"/>
      <c r="D83" s="29" t="n"/>
      <c r="E83" s="29" t="n"/>
      <c r="F83" s="49" t="n"/>
      <c r="G83" s="51" t="n"/>
      <c r="H83" s="29" t="n"/>
    </row>
    <row r="84" ht="54" customHeight="1">
      <c r="A84" s="29" t="n"/>
      <c r="B84" s="29" t="n"/>
      <c r="C84" s="29" t="n"/>
      <c r="D84" s="29" t="n"/>
      <c r="E84" s="29" t="n"/>
      <c r="F84" s="49" t="n"/>
      <c r="G84" s="51" t="n"/>
      <c r="H84" s="29" t="n"/>
    </row>
    <row r="85" ht="54" customHeight="1">
      <c r="A85" s="29" t="n"/>
      <c r="B85" s="29" t="n"/>
      <c r="C85" s="29" t="n"/>
      <c r="D85" s="29" t="n"/>
      <c r="E85" s="29" t="n"/>
      <c r="F85" s="49" t="n"/>
      <c r="G85" s="51" t="n"/>
      <c r="H85" s="29" t="n"/>
    </row>
    <row r="86" ht="54" customHeight="1">
      <c r="A86" s="29" t="n"/>
      <c r="B86" s="29" t="n"/>
      <c r="C86" s="29" t="n"/>
      <c r="D86" s="29" t="n"/>
      <c r="E86" s="29" t="n"/>
      <c r="F86" s="49" t="n"/>
      <c r="G86" s="51" t="n"/>
      <c r="H86" s="29" t="n"/>
    </row>
    <row r="87" ht="54" customHeight="1">
      <c r="A87" s="29" t="n"/>
      <c r="B87" s="29" t="n"/>
      <c r="C87" s="29" t="n"/>
      <c r="D87" s="29" t="n"/>
      <c r="E87" s="29" t="n"/>
      <c r="F87" s="49" t="n"/>
      <c r="G87" s="51" t="n"/>
      <c r="H87" s="29" t="n"/>
    </row>
    <row r="88" ht="54" customHeight="1">
      <c r="A88" s="29" t="n"/>
      <c r="B88" s="29" t="n"/>
      <c r="C88" s="29" t="n"/>
      <c r="D88" s="29" t="n"/>
      <c r="E88" s="29" t="n"/>
      <c r="F88" s="49" t="n"/>
      <c r="G88" s="51" t="n"/>
      <c r="H88" s="29" t="n"/>
    </row>
    <row r="89" ht="54" customHeight="1">
      <c r="A89" s="29" t="n"/>
      <c r="B89" s="29" t="n"/>
      <c r="C89" s="29" t="n"/>
      <c r="D89" s="29" t="n"/>
      <c r="E89" s="29" t="n"/>
      <c r="F89" s="49" t="n"/>
      <c r="G89" s="51" t="n"/>
      <c r="H89" s="29" t="n"/>
    </row>
    <row r="90" ht="54" customHeight="1">
      <c r="A90" s="29" t="n"/>
      <c r="B90" s="29" t="n"/>
      <c r="C90" s="29" t="n"/>
      <c r="D90" s="29" t="n"/>
      <c r="E90" s="29" t="n"/>
      <c r="F90" s="49" t="n"/>
      <c r="G90" s="51" t="n"/>
      <c r="H90" s="29" t="n"/>
    </row>
    <row r="91" ht="54" customHeight="1">
      <c r="A91" s="29" t="n"/>
      <c r="B91" s="29" t="n"/>
      <c r="C91" s="29" t="n"/>
      <c r="D91" s="29" t="n"/>
      <c r="E91" s="29" t="n"/>
      <c r="F91" s="49" t="n"/>
      <c r="G91" s="51" t="n"/>
      <c r="H91" s="29" t="n"/>
    </row>
    <row r="92" ht="54" customHeight="1">
      <c r="A92" s="29" t="n"/>
      <c r="B92" s="29" t="n"/>
      <c r="C92" s="29" t="n"/>
      <c r="D92" s="29" t="n"/>
      <c r="E92" s="29" t="n"/>
      <c r="F92" s="49" t="n"/>
      <c r="G92" s="51" t="n"/>
      <c r="H92" s="29" t="n"/>
    </row>
    <row r="93" ht="54" customHeight="1">
      <c r="A93" s="29" t="n"/>
      <c r="B93" s="29" t="n"/>
      <c r="C93" s="29" t="n"/>
      <c r="D93" s="29" t="n"/>
      <c r="E93" s="29" t="n"/>
      <c r="F93" s="49" t="n"/>
      <c r="G93" s="51" t="n"/>
      <c r="H93" s="29" t="n"/>
    </row>
    <row r="94" ht="54" customHeight="1">
      <c r="A94" s="29" t="n"/>
      <c r="B94" s="29" t="n"/>
      <c r="C94" s="29" t="n"/>
      <c r="D94" s="29" t="n"/>
      <c r="E94" s="29" t="n"/>
      <c r="F94" s="49" t="n"/>
      <c r="G94" s="51" t="n"/>
      <c r="H94" s="29" t="n"/>
    </row>
    <row r="95" ht="54" customHeight="1">
      <c r="A95" s="29" t="n"/>
      <c r="B95" s="29" t="n"/>
      <c r="C95" s="29" t="n"/>
      <c r="D95" s="29" t="n"/>
      <c r="E95" s="29" t="n"/>
      <c r="F95" s="49" t="n"/>
      <c r="G95" s="51" t="n"/>
      <c r="H95" s="29" t="n"/>
    </row>
    <row r="96" ht="54" customHeight="1">
      <c r="A96" s="29" t="n"/>
      <c r="B96" s="29" t="n"/>
      <c r="C96" s="29" t="n"/>
      <c r="D96" s="29" t="n"/>
      <c r="E96" s="29" t="n"/>
      <c r="F96" s="49" t="n"/>
      <c r="G96" s="51" t="n"/>
      <c r="H96" s="29" t="n"/>
    </row>
    <row r="97" ht="54" customHeight="1">
      <c r="A97" s="29" t="n"/>
      <c r="B97" s="29" t="n"/>
      <c r="C97" s="29" t="n"/>
      <c r="D97" s="29" t="n"/>
      <c r="E97" s="29" t="n"/>
      <c r="F97" s="49" t="n"/>
      <c r="G97" s="51" t="n"/>
      <c r="H97" s="29" t="n"/>
    </row>
    <row r="98" ht="54" customHeight="1">
      <c r="A98" s="29" t="n"/>
      <c r="B98" s="29" t="n"/>
      <c r="C98" s="29" t="n"/>
      <c r="D98" s="29" t="n"/>
      <c r="E98" s="29" t="n"/>
      <c r="F98" s="49" t="n"/>
      <c r="G98" s="51" t="n"/>
      <c r="H98" s="29" t="n"/>
    </row>
    <row r="99" ht="54" customHeight="1">
      <c r="A99" s="29" t="n"/>
      <c r="B99" s="29" t="n"/>
      <c r="C99" s="29" t="n"/>
      <c r="D99" s="29" t="n"/>
      <c r="E99" s="29" t="n"/>
      <c r="F99" s="49" t="n"/>
      <c r="G99" s="51" t="n"/>
      <c r="H99" s="29" t="n"/>
    </row>
    <row r="100" ht="54" customHeight="1">
      <c r="A100" s="29" t="n"/>
      <c r="B100" s="29" t="n"/>
      <c r="C100" s="29" t="n"/>
      <c r="D100" s="29" t="n"/>
      <c r="E100" s="29" t="n"/>
      <c r="F100" s="49" t="n"/>
      <c r="G100" s="51" t="n"/>
      <c r="H100" s="29" t="n"/>
    </row>
    <row r="101" ht="54" customHeight="1">
      <c r="A101" s="29" t="n"/>
      <c r="B101" s="29" t="n"/>
      <c r="C101" s="29" t="n"/>
      <c r="D101" s="29" t="n"/>
      <c r="E101" s="29" t="n"/>
      <c r="F101" s="49" t="n"/>
      <c r="G101" s="51" t="n"/>
      <c r="H101" s="29" t="n"/>
    </row>
    <row r="102" ht="54" customHeight="1">
      <c r="A102" s="29" t="n"/>
      <c r="B102" s="29" t="n"/>
      <c r="C102" s="29" t="n"/>
      <c r="D102" s="29" t="n"/>
      <c r="E102" s="29" t="n"/>
      <c r="F102" s="49" t="n"/>
      <c r="G102" s="51" t="n"/>
      <c r="H102" s="29" t="n"/>
    </row>
    <row r="103" ht="54" customHeight="1">
      <c r="A103" s="29" t="n"/>
      <c r="B103" s="29" t="n"/>
      <c r="C103" s="29" t="n"/>
      <c r="D103" s="29" t="n"/>
      <c r="E103" s="29" t="n"/>
      <c r="F103" s="49" t="n"/>
      <c r="G103" s="51" t="n"/>
      <c r="H103" s="29" t="n"/>
    </row>
    <row r="104" ht="54" customHeight="1">
      <c r="A104" s="29" t="n"/>
      <c r="B104" s="29" t="n"/>
      <c r="C104" s="29" t="n"/>
      <c r="D104" s="29" t="n"/>
      <c r="E104" s="29" t="n"/>
      <c r="F104" s="49" t="n"/>
      <c r="G104" s="51" t="n"/>
      <c r="H104" s="29" t="n"/>
    </row>
    <row r="105" ht="54" customHeight="1">
      <c r="A105" s="29" t="n"/>
      <c r="B105" s="29" t="n"/>
      <c r="C105" s="29" t="n"/>
      <c r="D105" s="29" t="n"/>
      <c r="E105" s="29" t="n"/>
      <c r="F105" s="49" t="n"/>
      <c r="G105" s="51" t="n"/>
      <c r="H105" s="29" t="n"/>
    </row>
    <row r="106" ht="54" customHeight="1">
      <c r="A106" s="29" t="n"/>
      <c r="B106" s="29" t="n"/>
      <c r="C106" s="29" t="n"/>
      <c r="D106" s="29" t="n"/>
      <c r="E106" s="29" t="n"/>
      <c r="F106" s="49" t="n"/>
      <c r="G106" s="51" t="n"/>
      <c r="H106" s="29" t="n"/>
    </row>
    <row r="107" ht="54" customHeight="1">
      <c r="A107" s="29" t="n"/>
      <c r="B107" s="29" t="n"/>
      <c r="C107" s="29" t="n"/>
      <c r="D107" s="29" t="n"/>
      <c r="E107" s="29" t="n"/>
      <c r="F107" s="49" t="n"/>
      <c r="G107" s="51" t="n"/>
      <c r="H107" s="29" t="n"/>
    </row>
  </sheetData>
  <mergeCells count="1">
    <mergeCell ref="A3:H3"/>
  </mergeCells>
  <conditionalFormatting sqref="A8:A107">
    <cfRule type="expression" priority="1" dxfId="1">
      <formula>AND($A8&lt;&gt;"",ISBLANK(A8))</formula>
    </cfRule>
  </conditionalFormatting>
  <conditionalFormatting sqref="B8:B107">
    <cfRule type="expression" priority="2" dxfId="1">
      <formula>AND($A8&lt;&gt;"",ISBLANK(B8))</formula>
    </cfRule>
  </conditionalFormatting>
  <conditionalFormatting sqref="C8:C107">
    <cfRule type="expression" priority="3" dxfId="1">
      <formula>AND($A8&lt;&gt;"",ISBLANK(C8))</formula>
    </cfRule>
  </conditionalFormatting>
  <conditionalFormatting sqref="D8:D107">
    <cfRule type="expression" priority="4" dxfId="1">
      <formula>AND($A8&lt;&gt;"",ISBLANK(D8))</formula>
    </cfRule>
  </conditionalFormatting>
  <conditionalFormatting sqref="E8:E107">
    <cfRule type="expression" priority="5" dxfId="1">
      <formula>AND($A8&lt;&gt;"",ISBLANK(E8))</formula>
    </cfRule>
  </conditionalFormatting>
  <conditionalFormatting sqref="F8:F107">
    <cfRule type="expression" priority="6" dxfId="1">
      <formula>AND($A8&lt;&gt;"",ISBLANK(F8))</formula>
    </cfRule>
  </conditionalFormatting>
  <conditionalFormatting sqref="G8:G107">
    <cfRule type="expression" priority="7" dxfId="1">
      <formula>AND($A8&lt;&gt;"",ISBLANK(G8))</formula>
    </cfRule>
  </conditionalFormatting>
  <conditionalFormatting sqref="H8:H107">
    <cfRule type="expression" priority="8" dxfId="1">
      <formula>AND($A8&lt;&gt;"",ISBLANK(H8))</formula>
    </cfRule>
  </conditionalFormatting>
  <dataValidations count="1">
    <dataValidation sqref="H8:H1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s>
  <sheetData>
    <row r="1" ht="30" customHeight="1">
      <c r="A1" s="2" t="n"/>
      <c r="B1" s="2" t="n"/>
      <c r="C1" s="2" t="n"/>
      <c r="D1" s="2" t="n"/>
      <c r="E1" s="2" t="n"/>
      <c r="F1" s="2" t="n"/>
      <c r="G1" s="2" t="n"/>
    </row>
    <row r="2" ht="30" customHeight="1">
      <c r="A2" s="19" t="inlineStr">
        <is>
          <t>Corteqs · Yerleşim yol haritası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Adım kimliği</t>
        </is>
      </c>
      <c r="B6" s="25" t="inlineStr">
        <is>
          <t>Şehir kimliği</t>
        </is>
      </c>
      <c r="C6" s="25" t="inlineStr">
        <is>
          <t>İçerik kimliği</t>
        </is>
      </c>
      <c r="D6" s="25" t="inlineStr">
        <is>
          <t>Adım başlığı</t>
        </is>
      </c>
      <c r="E6" s="25" t="inlineStr">
        <is>
          <t>Ne zaman</t>
        </is>
      </c>
      <c r="F6" s="25" t="inlineStr">
        <is>
          <t>Adım açıklaması</t>
        </is>
      </c>
      <c r="G6" s="25" t="inlineStr">
        <is>
          <t>Sıra</t>
        </is>
      </c>
    </row>
    <row r="7" ht="32" customHeight="1">
      <c r="A7" s="28" t="inlineStr">
        <is>
          <t>step_id</t>
        </is>
      </c>
      <c r="B7" s="28" t="inlineStr">
        <is>
          <t>city_id</t>
        </is>
      </c>
      <c r="C7" s="28" t="inlineStr">
        <is>
          <t>entry_id</t>
        </is>
      </c>
      <c r="D7" s="28" t="inlineStr">
        <is>
          <t>title</t>
        </is>
      </c>
      <c r="E7" s="28" t="inlineStr">
        <is>
          <t>when</t>
        </is>
      </c>
      <c r="F7" s="28" t="inlineStr">
        <is>
          <t>description</t>
        </is>
      </c>
      <c r="G7" s="28" t="inlineStr">
        <is>
          <t>order</t>
        </is>
      </c>
    </row>
    <row r="8" ht="54" customHeight="1">
      <c r="A8" s="29" t="inlineStr">
        <is>
          <t>marbella:step:1</t>
        </is>
      </c>
      <c r="B8" s="29" t="inlineStr">
        <is>
          <t>marbella</t>
        </is>
      </c>
      <c r="C8" s="29" t="inlineStr">
        <is>
          <t>marbella:malaga-havalimani-marbella-otobus-ve-taksi</t>
        </is>
      </c>
      <c r="D8" s="29" t="inlineStr">
        <is>
          <t>Málaga havalimanından Marbella'ya geç</t>
        </is>
      </c>
      <c r="E8" s="29" t="inlineStr">
        <is>
          <t>Varış günü</t>
        </is>
      </c>
      <c r="F8" s="29" t="inlineStr">
        <is>
          <t>Avanzabús otobüsü havalimanını Marbella otogarına bağlıyor (bilgi hattı 902 020 052); taksi için havalimanında Taxi Union ve Unitaxi şirketleri hizmet veriyor.</t>
        </is>
      </c>
      <c r="G8" s="51" t="n">
        <v>1</v>
      </c>
    </row>
    <row r="9" ht="54" customHeight="1">
      <c r="A9" s="29" t="inlineStr">
        <is>
          <t>marbella:step:2</t>
        </is>
      </c>
      <c r="B9" s="29" t="inlineStr">
        <is>
          <t>marbella</t>
        </is>
      </c>
      <c r="C9" s="29" t="inlineStr">
        <is>
          <t>marbella:gecici-konaklama-kayitli-turistik-konut-kontrolu</t>
        </is>
      </c>
      <c r="D9" s="29" t="inlineStr">
        <is>
          <t>Geçici konaklamanı seç, kayıt kodunu kontrol et</t>
        </is>
      </c>
      <c r="E9" s="29" t="inlineStr">
        <is>
          <t>Varıştan önce ya da ilk günler</t>
        </is>
      </c>
      <c r="F9" s="29" t="inlineStr">
        <is>
          <t>Turistik kiralık konutta ilandaki VUT/HU/00000 biçimli kodu Junta'nın sorgu aracında ara. Aynı kiracıya iki aydan uzun kesintisiz kiralanan konut VUT sayılmaz.</t>
        </is>
      </c>
      <c r="G9" s="51" t="n">
        <v>2</v>
      </c>
    </row>
    <row r="10" ht="54" customHeight="1">
      <c r="A10" s="29" t="inlineStr">
        <is>
          <t>marbella:step:3</t>
        </is>
      </c>
      <c r="B10" s="29" t="inlineStr">
        <is>
          <t>marbella</t>
        </is>
      </c>
      <c r="C10" s="29" t="inlineStr">
        <is>
          <t>marbella:marbella-ilk-hafta-yerel-duraklar</t>
        </is>
      </c>
      <c r="D10" s="29" t="inlineStr">
        <is>
          <t>Adres kaydını (empadronamiento) yaptır</t>
        </is>
      </c>
      <c r="E10" s="29" t="inlineStr">
        <is>
          <t>İlk hafta</t>
        </is>
      </c>
      <c r="F10" s="29" t="inlineStr">
        <is>
          <t>Pasaport ya da NIE/TIE, kira sözleşmesi ve yakın tarihli fatura hazırla; Alta y Cambio de Domicilio formunu doldur. Belgeleri OAC'ta cita previa ile ya da Concejalía de Extranjeros Residentes'te ver.</t>
        </is>
      </c>
      <c r="G10" s="51" t="n">
        <v>3</v>
      </c>
    </row>
    <row r="11" ht="54" customHeight="1">
      <c r="A11" s="29" t="inlineStr">
        <is>
          <t>marbella:step:4</t>
        </is>
      </c>
      <c r="B11" s="29" t="inlineStr">
        <is>
          <t>marbella</t>
        </is>
      </c>
      <c r="C11" s="29" t="inlineStr">
        <is>
          <t>marbella:marbella-ilk-hafta-yerel-duraklar</t>
        </is>
      </c>
      <c r="D11" s="29" t="inlineStr">
        <is>
          <t>NIE ya da TIE işleri için Marbella Comisaría'sını ara</t>
        </is>
      </c>
      <c r="E11" s="29" t="inlineStr">
        <is>
          <t>İlk hafta</t>
        </is>
      </c>
      <c r="F11" s="29" t="inlineStr">
        <is>
          <t>Comisaría de Marbella (Avda. Arias de Velasco 25) NIE ataması ve TIE çıkarma işlemlerini yapan ofisler arasında; gitmeden 952 86 72 41 numarasını ara.</t>
        </is>
      </c>
      <c r="G11" s="51" t="n">
        <v>4</v>
      </c>
    </row>
    <row r="12" ht="54" customHeight="1">
      <c r="A12" s="29" t="inlineStr">
        <is>
          <t>marbella:step:5</t>
        </is>
      </c>
      <c r="B12" s="29" t="inlineStr">
        <is>
          <t>marbella</t>
        </is>
      </c>
      <c r="C12" s="29" t="inlineStr">
        <is>
          <t>marbella:extranjeros-residentes-ofisleri-marbella</t>
        </is>
      </c>
      <c r="D12" s="29" t="inlineStr">
        <is>
          <t>Yabancı sakinler birimiyle bağlantı kur</t>
        </is>
      </c>
      <c r="E12" s="29" t="inlineStr">
        <is>
          <t>İlk haftalar</t>
        </is>
      </c>
      <c r="F12" s="29" t="inlineStr">
        <is>
          <t>Concejalía de Extranjeros Residentes'in üç ofisi pazartesiden cumaya 09:00-14:00 açık; merkez ofis C/ José Meliá 2'de.</t>
        </is>
      </c>
      <c r="G12" s="51" t="n">
        <v>5</v>
      </c>
    </row>
    <row r="13" ht="54" customHeight="1">
      <c r="A13" s="29" t="inlineStr">
        <is>
          <t>marbella:step:6</t>
        </is>
      </c>
      <c r="B13" s="29" t="inlineStr">
        <is>
          <t>marbella</t>
        </is>
      </c>
      <c r="C13" s="29" t="inlineStr">
        <is>
          <t>marbella:sosyal-hizmetler-merkezleri-marbella</t>
        </is>
      </c>
      <c r="D13" s="29" t="inlineStr">
        <is>
          <t>Gerekirse belediye sosyal hizmetlerine başvur</t>
        </is>
      </c>
      <c r="E13" s="29" t="inlineStr">
        <is>
          <t>Yerleştikten sonra, ihtiyaç olunca</t>
        </is>
      </c>
      <c r="F13" s="29" t="inlineStr">
        <is>
          <t>Delegación de Derechos Sociales merkez ofisi Calle Vázquez Clavel 25'te (952 768 700); sosyal hizmet uzmanıyla ilk görüşme en geç 20 iş günü içinde yapılır.</t>
        </is>
      </c>
      <c r="G13" s="51" t="n">
        <v>6</v>
      </c>
    </row>
    <row r="14" ht="54" customHeight="1">
      <c r="A14" s="29" t="inlineStr">
        <is>
          <t>marbella:step:7</t>
        </is>
      </c>
      <c r="B14" s="29" t="inlineStr">
        <is>
          <t>marbella</t>
        </is>
      </c>
      <c r="C14" s="29" t="inlineStr">
        <is>
          <t>marbella:yaz-sicaginda-saglik-korunma-andalucia</t>
        </is>
      </c>
      <c r="D14" s="29" t="inlineStr">
        <is>
          <t>Yaz gelmeden sıcağa hazırlan</t>
        </is>
      </c>
      <c r="E14" s="29" t="inlineStr">
        <is>
          <t>Mayıs-eylül arası</t>
        </is>
      </c>
      <c r="F14" s="29" t="inlineStr">
        <is>
          <t>Öğle güneşinden kaçın, bol su iç ve Salud Responde uygulamasından risk seviyesini takip et; ulusal plan her yıl mayıs ile eylül arasında devreye giriyor.</t>
        </is>
      </c>
      <c r="G14" s="51" t="n">
        <v>7</v>
      </c>
    </row>
    <row r="15" ht="54" customHeight="1">
      <c r="A15" s="29" t="n"/>
      <c r="B15" s="29" t="n"/>
      <c r="C15" s="29" t="n"/>
      <c r="D15" s="29" t="n"/>
      <c r="E15" s="29" t="n"/>
      <c r="F15" s="29" t="n"/>
      <c r="G15" s="51" t="n"/>
    </row>
    <row r="16" ht="54" customHeight="1">
      <c r="A16" s="29" t="n"/>
      <c r="B16" s="29" t="n"/>
      <c r="C16" s="29" t="n"/>
      <c r="D16" s="29" t="n"/>
      <c r="E16" s="29" t="n"/>
      <c r="F16" s="29" t="n"/>
      <c r="G16" s="51" t="n"/>
    </row>
    <row r="17" ht="54" customHeight="1">
      <c r="A17" s="29" t="n"/>
      <c r="B17" s="29" t="n"/>
      <c r="C17" s="29" t="n"/>
      <c r="D17" s="29" t="n"/>
      <c r="E17" s="29" t="n"/>
      <c r="F17" s="29" t="n"/>
      <c r="G17" s="51" t="n"/>
    </row>
    <row r="18" ht="54" customHeight="1">
      <c r="A18" s="29" t="n"/>
      <c r="B18" s="29" t="n"/>
      <c r="C18" s="29" t="n"/>
      <c r="D18" s="29" t="n"/>
      <c r="E18" s="29" t="n"/>
      <c r="F18" s="29" t="n"/>
      <c r="G18" s="51" t="n"/>
    </row>
    <row r="19" ht="54" customHeight="1">
      <c r="A19" s="29" t="n"/>
      <c r="B19" s="29" t="n"/>
      <c r="C19" s="29" t="n"/>
      <c r="D19" s="29" t="n"/>
      <c r="E19" s="29" t="n"/>
      <c r="F19" s="29" t="n"/>
      <c r="G19" s="51" t="n"/>
    </row>
    <row r="20" ht="54" customHeight="1">
      <c r="A20" s="29" t="n"/>
      <c r="B20" s="29" t="n"/>
      <c r="C20" s="29" t="n"/>
      <c r="D20" s="29" t="n"/>
      <c r="E20" s="29" t="n"/>
      <c r="F20" s="29" t="n"/>
      <c r="G20" s="51" t="n"/>
    </row>
    <row r="21" ht="54" customHeight="1">
      <c r="A21" s="29" t="n"/>
      <c r="B21" s="29" t="n"/>
      <c r="C21" s="29" t="n"/>
      <c r="D21" s="29" t="n"/>
      <c r="E21" s="29" t="n"/>
      <c r="F21" s="29" t="n"/>
      <c r="G21" s="51" t="n"/>
    </row>
    <row r="22" ht="54" customHeight="1">
      <c r="A22" s="29" t="n"/>
      <c r="B22" s="29" t="n"/>
      <c r="C22" s="29" t="n"/>
      <c r="D22" s="29" t="n"/>
      <c r="E22" s="29" t="n"/>
      <c r="F22" s="29" t="n"/>
      <c r="G22" s="51" t="n"/>
    </row>
    <row r="23" ht="54" customHeight="1">
      <c r="A23" s="29" t="n"/>
      <c r="B23" s="29" t="n"/>
      <c r="C23" s="29" t="n"/>
      <c r="D23" s="29" t="n"/>
      <c r="E23" s="29" t="n"/>
      <c r="F23" s="29" t="n"/>
      <c r="G23" s="51" t="n"/>
    </row>
    <row r="24" ht="54" customHeight="1">
      <c r="A24" s="29" t="n"/>
      <c r="B24" s="29" t="n"/>
      <c r="C24" s="29" t="n"/>
      <c r="D24" s="29" t="n"/>
      <c r="E24" s="29" t="n"/>
      <c r="F24" s="29" t="n"/>
      <c r="G24" s="51" t="n"/>
    </row>
    <row r="25" ht="54" customHeight="1">
      <c r="A25" s="29" t="n"/>
      <c r="B25" s="29" t="n"/>
      <c r="C25" s="29" t="n"/>
      <c r="D25" s="29" t="n"/>
      <c r="E25" s="29" t="n"/>
      <c r="F25" s="29" t="n"/>
      <c r="G25" s="51" t="n"/>
    </row>
    <row r="26" ht="54" customHeight="1">
      <c r="A26" s="29" t="n"/>
      <c r="B26" s="29" t="n"/>
      <c r="C26" s="29" t="n"/>
      <c r="D26" s="29" t="n"/>
      <c r="E26" s="29" t="n"/>
      <c r="F26" s="29" t="n"/>
      <c r="G26" s="51" t="n"/>
    </row>
    <row r="27" ht="54" customHeight="1">
      <c r="A27" s="29" t="n"/>
      <c r="B27" s="29" t="n"/>
      <c r="C27" s="29" t="n"/>
      <c r="D27" s="29" t="n"/>
      <c r="E27" s="29" t="n"/>
      <c r="F27" s="29" t="n"/>
      <c r="G27" s="51" t="n"/>
    </row>
    <row r="28" ht="54" customHeight="1">
      <c r="A28" s="29" t="n"/>
      <c r="B28" s="29" t="n"/>
      <c r="C28" s="29" t="n"/>
      <c r="D28" s="29" t="n"/>
      <c r="E28" s="29" t="n"/>
      <c r="F28" s="29" t="n"/>
      <c r="G28" s="51" t="n"/>
    </row>
    <row r="29" ht="54" customHeight="1">
      <c r="A29" s="29" t="n"/>
      <c r="B29" s="29" t="n"/>
      <c r="C29" s="29" t="n"/>
      <c r="D29" s="29" t="n"/>
      <c r="E29" s="29" t="n"/>
      <c r="F29" s="29" t="n"/>
      <c r="G29" s="51" t="n"/>
    </row>
    <row r="30" ht="54" customHeight="1">
      <c r="A30" s="29" t="n"/>
      <c r="B30" s="29" t="n"/>
      <c r="C30" s="29" t="n"/>
      <c r="D30" s="29" t="n"/>
      <c r="E30" s="29" t="n"/>
      <c r="F30" s="29" t="n"/>
      <c r="G30" s="51" t="n"/>
    </row>
    <row r="31" ht="54" customHeight="1">
      <c r="A31" s="29" t="n"/>
      <c r="B31" s="29" t="n"/>
      <c r="C31" s="29" t="n"/>
      <c r="D31" s="29" t="n"/>
      <c r="E31" s="29" t="n"/>
      <c r="F31" s="29" t="n"/>
      <c r="G31" s="51" t="n"/>
    </row>
    <row r="32" ht="54" customHeight="1">
      <c r="A32" s="29" t="n"/>
      <c r="B32" s="29" t="n"/>
      <c r="C32" s="29" t="n"/>
      <c r="D32" s="29" t="n"/>
      <c r="E32" s="29" t="n"/>
      <c r="F32" s="29" t="n"/>
      <c r="G32" s="51" t="n"/>
    </row>
    <row r="33" ht="54" customHeight="1">
      <c r="A33" s="29" t="n"/>
      <c r="B33" s="29" t="n"/>
      <c r="C33" s="29" t="n"/>
      <c r="D33" s="29" t="n"/>
      <c r="E33" s="29" t="n"/>
      <c r="F33" s="29" t="n"/>
      <c r="G33" s="51" t="n"/>
    </row>
    <row r="34" ht="54" customHeight="1">
      <c r="A34" s="29" t="n"/>
      <c r="B34" s="29" t="n"/>
      <c r="C34" s="29" t="n"/>
      <c r="D34" s="29" t="n"/>
      <c r="E34" s="29" t="n"/>
      <c r="F34" s="29" t="n"/>
      <c r="G34" s="51" t="n"/>
    </row>
    <row r="35" ht="54" customHeight="1">
      <c r="A35" s="29" t="n"/>
      <c r="B35" s="29" t="n"/>
      <c r="C35" s="29" t="n"/>
      <c r="D35" s="29" t="n"/>
      <c r="E35" s="29" t="n"/>
      <c r="F35" s="29" t="n"/>
      <c r="G35" s="51" t="n"/>
    </row>
    <row r="36" ht="54" customHeight="1">
      <c r="A36" s="29" t="n"/>
      <c r="B36" s="29" t="n"/>
      <c r="C36" s="29" t="n"/>
      <c r="D36" s="29" t="n"/>
      <c r="E36" s="29" t="n"/>
      <c r="F36" s="29" t="n"/>
      <c r="G36" s="51" t="n"/>
    </row>
    <row r="37" ht="54" customHeight="1">
      <c r="A37" s="29" t="n"/>
      <c r="B37" s="29" t="n"/>
      <c r="C37" s="29" t="n"/>
      <c r="D37" s="29" t="n"/>
      <c r="E37" s="29" t="n"/>
      <c r="F37" s="29" t="n"/>
      <c r="G37" s="51" t="n"/>
    </row>
    <row r="38" ht="54" customHeight="1">
      <c r="A38" s="29" t="n"/>
      <c r="B38" s="29" t="n"/>
      <c r="C38" s="29" t="n"/>
      <c r="D38" s="29" t="n"/>
      <c r="E38" s="29" t="n"/>
      <c r="F38" s="29" t="n"/>
      <c r="G38" s="51" t="n"/>
    </row>
    <row r="39" ht="54" customHeight="1">
      <c r="A39" s="29" t="n"/>
      <c r="B39" s="29" t="n"/>
      <c r="C39" s="29" t="n"/>
      <c r="D39" s="29" t="n"/>
      <c r="E39" s="29" t="n"/>
      <c r="F39" s="29" t="n"/>
      <c r="G39" s="51" t="n"/>
    </row>
    <row r="40" ht="54" customHeight="1">
      <c r="A40" s="29" t="n"/>
      <c r="B40" s="29" t="n"/>
      <c r="C40" s="29" t="n"/>
      <c r="D40" s="29" t="n"/>
      <c r="E40" s="29" t="n"/>
      <c r="F40" s="29" t="n"/>
      <c r="G40" s="51" t="n"/>
    </row>
    <row r="41" ht="54" customHeight="1">
      <c r="A41" s="29" t="n"/>
      <c r="B41" s="29" t="n"/>
      <c r="C41" s="29" t="n"/>
      <c r="D41" s="29" t="n"/>
      <c r="E41" s="29" t="n"/>
      <c r="F41" s="29" t="n"/>
      <c r="G41" s="51" t="n"/>
    </row>
    <row r="42" ht="54" customHeight="1">
      <c r="A42" s="29" t="n"/>
      <c r="B42" s="29" t="n"/>
      <c r="C42" s="29" t="n"/>
      <c r="D42" s="29" t="n"/>
      <c r="E42" s="29" t="n"/>
      <c r="F42" s="29" t="n"/>
      <c r="G42" s="51" t="n"/>
    </row>
    <row r="43" ht="54" customHeight="1">
      <c r="A43" s="29" t="n"/>
      <c r="B43" s="29" t="n"/>
      <c r="C43" s="29" t="n"/>
      <c r="D43" s="29" t="n"/>
      <c r="E43" s="29" t="n"/>
      <c r="F43" s="29" t="n"/>
      <c r="G43" s="51" t="n"/>
    </row>
    <row r="44" ht="54" customHeight="1">
      <c r="A44" s="29" t="n"/>
      <c r="B44" s="29" t="n"/>
      <c r="C44" s="29" t="n"/>
      <c r="D44" s="29" t="n"/>
      <c r="E44" s="29" t="n"/>
      <c r="F44" s="29" t="n"/>
      <c r="G44" s="51" t="n"/>
    </row>
    <row r="45" ht="54" customHeight="1">
      <c r="A45" s="29" t="n"/>
      <c r="B45" s="29" t="n"/>
      <c r="C45" s="29" t="n"/>
      <c r="D45" s="29" t="n"/>
      <c r="E45" s="29" t="n"/>
      <c r="F45" s="29" t="n"/>
      <c r="G45" s="51" t="n"/>
    </row>
    <row r="46" ht="54" customHeight="1">
      <c r="A46" s="29" t="n"/>
      <c r="B46" s="29" t="n"/>
      <c r="C46" s="29" t="n"/>
      <c r="D46" s="29" t="n"/>
      <c r="E46" s="29" t="n"/>
      <c r="F46" s="29" t="n"/>
      <c r="G46" s="51" t="n"/>
    </row>
    <row r="47" ht="54" customHeight="1">
      <c r="A47" s="29" t="n"/>
      <c r="B47" s="29" t="n"/>
      <c r="C47" s="29" t="n"/>
      <c r="D47" s="29" t="n"/>
      <c r="E47" s="29" t="n"/>
      <c r="F47" s="29" t="n"/>
      <c r="G47" s="51" t="n"/>
    </row>
  </sheetData>
  <mergeCells count="1">
    <mergeCell ref="A3:G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E8:E47">
    <cfRule type="expression" priority="5" dxfId="1">
      <formula>AND($A8&lt;&gt;"",ISBLANK(E8))</formula>
    </cfRule>
  </conditionalFormatting>
  <conditionalFormatting sqref="F8:F47">
    <cfRule type="expression" priority="6" dxfId="1">
      <formula>AND($A8&lt;&gt;"",ISBLANK(F8))</formula>
    </cfRule>
  </conditionalFormatting>
  <conditionalFormatting sqref="G8:G4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5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48" customWidth="1" min="5" max="5"/>
    <col width="20" customWidth="1" min="6" max="6"/>
    <col width="28" customWidth="1" min="7" max="7"/>
    <col width="58" customWidth="1" min="8" max="8"/>
    <col width="28" customWidth="1" min="9" max="9"/>
    <col width="28" customWidth="1" min="10" max="10"/>
    <col width="28" customWidth="1" min="11" max="11"/>
  </cols>
  <sheetData>
    <row r="1" ht="30" customHeight="1">
      <c r="A1" s="2" t="n"/>
      <c r="B1" s="2" t="n"/>
      <c r="C1" s="2" t="n"/>
      <c r="D1" s="2" t="n"/>
      <c r="E1" s="2" t="n"/>
      <c r="F1" s="2" t="n"/>
      <c r="G1" s="2" t="n"/>
      <c r="H1" s="2" t="n"/>
      <c r="I1" s="2" t="n"/>
      <c r="J1" s="2" t="n"/>
      <c r="K1" s="2" t="n"/>
    </row>
    <row r="2" ht="30" customHeight="1">
      <c r="A2" s="19" t="inlineStr">
        <is>
          <t>Corteqs · Birincil bilgi kaynakları</t>
        </is>
      </c>
      <c r="B2" s="2" t="n"/>
      <c r="C2" s="2" t="n"/>
      <c r="D2" s="2" t="n"/>
      <c r="E2" s="2" t="n"/>
      <c r="F2" s="2" t="n"/>
      <c r="G2" s="2" t="n"/>
      <c r="H2" s="2" t="n"/>
      <c r="I2" s="2" t="n"/>
      <c r="J2" s="2" t="n"/>
      <c r="K2" s="2" t="n"/>
    </row>
    <row r="3" ht="36" customHeight="1">
      <c r="A3" s="20" t="inlineStr">
        <is>
          <t>Türkçe başlığı okuyun; veriyi 8. satırdan yazın. 7. satırdaki alan adını ve sayfa adını değiştirmeyin.</t>
        </is>
      </c>
      <c r="I3" s="2" t="n"/>
      <c r="J3" s="2" t="n"/>
      <c r="K3" s="2" t="n"/>
    </row>
    <row r="4" ht="30" customHeight="1">
      <c r="A4" s="21" t="n"/>
      <c r="B4" s="21" t="n"/>
      <c r="C4" s="21" t="n"/>
      <c r="D4" s="21" t="n"/>
      <c r="E4" s="21" t="n"/>
      <c r="F4" s="21" t="n"/>
      <c r="G4" s="21" t="n"/>
      <c r="H4" s="21" t="n"/>
      <c r="I4" s="21" t="n"/>
      <c r="J4" s="21" t="n"/>
      <c r="K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İsteğe bağlı</t>
        </is>
      </c>
      <c r="H5" s="22" t="inlineStr">
        <is>
          <t>İsteğe bağlı</t>
        </is>
      </c>
      <c r="I5" s="22" t="inlineStr">
        <is>
          <t>Zorunlu</t>
        </is>
      </c>
      <c r="J5" s="22" t="inlineStr">
        <is>
          <t>İsteğe bağlı</t>
        </is>
      </c>
      <c r="K5" s="22" t="inlineStr">
        <is>
          <t>İsteğe bağlı</t>
        </is>
      </c>
    </row>
    <row r="6" ht="44" customHeight="1">
      <c r="A6" s="25" t="inlineStr">
        <is>
          <t>Kaynak kimliği</t>
        </is>
      </c>
      <c r="B6" s="25" t="inlineStr">
        <is>
          <t>Şehir kimliği</t>
        </is>
      </c>
      <c r="C6" s="25" t="inlineStr">
        <is>
          <t>Kaynak başlığı</t>
        </is>
      </c>
      <c r="D6" s="25" t="inlineStr">
        <is>
          <t>Yayıncı / kurum</t>
        </is>
      </c>
      <c r="E6" s="25" t="inlineStr">
        <is>
          <t>Kaynak bağlantısı</t>
        </is>
      </c>
      <c r="F6" s="25" t="inlineStr">
        <is>
          <t>Kaynak kontrol tarihi</t>
        </is>
      </c>
      <c r="G6" s="25" t="inlineStr">
        <is>
          <t>Araştırma konusu</t>
        </is>
      </c>
      <c r="H6" s="25" t="inlineStr">
        <is>
          <t>Türkçe araştırma notu</t>
        </is>
      </c>
      <c r="I6" s="25" t="inlineStr">
        <is>
          <t>Kaynak notu incelendi</t>
        </is>
      </c>
      <c r="J6" s="25" t="inlineStr">
        <is>
          <t>Varsa kaynak kanıt dosyası</t>
        </is>
      </c>
      <c r="K6" s="25" t="inlineStr">
        <is>
          <t>Varsa kanıt SHA-256</t>
        </is>
      </c>
    </row>
    <row r="7" ht="32" customHeight="1">
      <c r="A7" s="28" t="inlineStr">
        <is>
          <t>source_id</t>
        </is>
      </c>
      <c r="B7" s="28" t="inlineStr">
        <is>
          <t>city_id</t>
        </is>
      </c>
      <c r="C7" s="28" t="inlineStr">
        <is>
          <t>title</t>
        </is>
      </c>
      <c r="D7" s="28" t="inlineStr">
        <is>
          <t>publisher</t>
        </is>
      </c>
      <c r="E7" s="28" t="inlineStr">
        <is>
          <t>url</t>
        </is>
      </c>
      <c r="F7" s="28" t="inlineStr">
        <is>
          <t>checked_on</t>
        </is>
      </c>
      <c r="G7" s="28" t="inlineStr">
        <is>
          <t>topic</t>
        </is>
      </c>
      <c r="H7" s="28" t="inlineStr">
        <is>
          <t>summary</t>
        </is>
      </c>
      <c r="I7" s="28" t="inlineStr">
        <is>
          <t>verified</t>
        </is>
      </c>
      <c r="J7" s="28" t="inlineStr">
        <is>
          <t>snapshot_file</t>
        </is>
      </c>
      <c r="K7" s="28" t="inlineStr">
        <is>
          <t>snapshot_sha256</t>
        </is>
      </c>
    </row>
    <row r="8" ht="54" customHeight="1">
      <c r="A8" s="29" t="inlineStr">
        <is>
          <t>marbella:kaynak:001</t>
        </is>
      </c>
      <c r="B8" s="29" t="inlineStr">
        <is>
          <t>marbella</t>
        </is>
      </c>
      <c r="C8" s="29" t="inlineStr">
        <is>
          <t>Extranjería - Asignación de NIE a instancia de interesado - Sede Electrónica de la Policía Nacional</t>
        </is>
      </c>
      <c r="D8" s="29" t="inlineStr">
        <is>
          <t>Dirección General de la Policía (Policía Nacional) - Sede electrónica</t>
        </is>
      </c>
      <c r="E8" s="29" t="inlineStr">
        <is>
          <t>https://sede.policia.gob.es/portalCiudadano/_es/tramites_extranjeria_tramite_asignacion_nie.php</t>
        </is>
      </c>
      <c r="F8" s="49" t="n">
        <v>46319</v>
      </c>
      <c r="G8" s="29" t="inlineStr">
        <is>
          <t>marbella:oturum</t>
        </is>
      </c>
      <c r="H8" s="29" t="inlineStr">
        <is>
          <t>Kart 1: NIE nedir, kim talep eder (EX15 + tasa 790-012); sayfada yıl yok, NIE ücreti tasas sayfasinda</t>
        </is>
      </c>
      <c r="I8" s="29" t="inlineStr">
        <is>
          <t>Evet</t>
        </is>
      </c>
      <c r="J8" s="29" t="inlineStr">
        <is>
          <t>Lisans kanıtları/3e20ce2f8a8e98ef200e674b100dcce40fad7a8dfbba32a5d70918627315adef.html</t>
        </is>
      </c>
      <c r="K8" s="29" t="inlineStr">
        <is>
          <t>3e20ce2f8a8e98ef200e674b100dcce40fad7a8dfbba32a5d70918627315adef</t>
        </is>
      </c>
    </row>
    <row r="9" ht="54" customHeight="1">
      <c r="A9" s="29" t="inlineStr">
        <is>
          <t>marbella:kaynak:002</t>
        </is>
      </c>
      <c r="B9" s="29" t="inlineStr">
        <is>
          <t>marbella</t>
        </is>
      </c>
      <c r="C9" s="29" t="inlineStr">
        <is>
          <t xml:space="preserve">BOE-A-2025-12056 Orden PJC/617/2025, de 13 de junio, por la que se establece el importe de las tasas por tramitación de autorizaciones administrativas y documentos de identidad en </t>
        </is>
      </c>
      <c r="D9" s="29" t="inlineStr">
        <is>
          <t>Agencia Estatal Boletín Oficial del Estado (BOE)</t>
        </is>
      </c>
      <c r="E9" s="29" t="inlineStr">
        <is>
          <t>https://www.boe.es/buscar/doc.php?id=BOE-A-2025-12056</t>
        </is>
      </c>
      <c r="F9" s="49" t="n">
        <v>46319</v>
      </c>
      <c r="G9" s="29" t="inlineStr">
        <is>
          <t>marbella:oturum</t>
        </is>
      </c>
      <c r="H9" s="29" t="inlineStr">
        <is>
          <t>Kart 7 ücret: aile birleşimi tasası 10,94 EUR (Orden PJC/617/2025, 16.06.2025'ten beri; RD 316/2026 buna atıf yapıyor, yenisi bulunamadı)</t>
        </is>
      </c>
      <c r="I9" s="29" t="inlineStr">
        <is>
          <t>Evet</t>
        </is>
      </c>
      <c r="J9" s="29" t="inlineStr">
        <is>
          <t>Lisans kanıtları/3bfdcf55ef3d00c3986989886f8f289d1c3d82b16166f4e0a26d4160feacc248.html</t>
        </is>
      </c>
      <c r="K9" s="29" t="inlineStr">
        <is>
          <t>3bfdcf55ef3d00c3986989886f8f289d1c3d82b16166f4e0a26d4160feacc248</t>
        </is>
      </c>
    </row>
    <row r="10" ht="54" customHeight="1">
      <c r="A10" s="29" t="inlineStr">
        <is>
          <t>marbella:kaynak:003</t>
        </is>
      </c>
      <c r="B10" s="29" t="inlineStr">
        <is>
          <t>marbella</t>
        </is>
      </c>
      <c r="C10" s="29" t="inlineStr">
        <is>
          <t>Extranjería - Certificado de Registro de Ciudadano de la Unión Europea - Sede Electrónica de la Policía Nacional</t>
        </is>
      </c>
      <c r="D10" s="29" t="inlineStr">
        <is>
          <t>Dirección General de la Policía (Policía Nacional) - Sede electrónica</t>
        </is>
      </c>
      <c r="E10" s="29" t="inlineStr">
        <is>
          <t>https://sede.policia.gob.es/portalCiudadano/_es/tramites_extranjeria_tramite_certificadoregistro_ciudadanoue.php</t>
        </is>
      </c>
      <c r="F10" s="49" t="n">
        <v>46319</v>
      </c>
      <c r="G10" s="29" t="inlineStr">
        <is>
          <t>marbella:oturum</t>
        </is>
      </c>
      <c r="H10" s="29" t="inlineStr">
        <is>
          <t>Kart 1 ve 2: AB vatandaşı kayıt sertifikası (yeşil NIE): 3 ay içinde, anında verilir, EX18 + tasa 790-012, sertifikada NIE yer alır</t>
        </is>
      </c>
      <c r="I10" s="29" t="inlineStr">
        <is>
          <t>Evet</t>
        </is>
      </c>
      <c r="J10" s="29" t="inlineStr">
        <is>
          <t>Lisans kanıtları/4b0400f02808e37dfe79c80c2f63bde7cceac00cfa07e1500136c61f165a34ea.html</t>
        </is>
      </c>
      <c r="K10" s="29" t="inlineStr">
        <is>
          <t>4b0400f02808e37dfe79c80c2f63bde7cceac00cfa07e1500136c61f165a34ea</t>
        </is>
      </c>
    </row>
    <row r="11" ht="54" customHeight="1">
      <c r="A11" s="29" t="inlineStr">
        <is>
          <t>marbella:kaynak:004</t>
        </is>
      </c>
      <c r="B11" s="29" t="inlineStr">
        <is>
          <t>marbella</t>
        </is>
      </c>
      <c r="C11" s="29" t="inlineStr">
        <is>
          <t>Tasas de trámites de extranjería (Sede electrónica). Sitio web de la Policía Nacional España</t>
        </is>
      </c>
      <c r="D11" s="29" t="inlineStr">
        <is>
          <t>Dirección General de la Policía (Policía Nacional) - Sede electrónica</t>
        </is>
      </c>
      <c r="E11" s="29" t="inlineStr">
        <is>
          <t>https://sede.policia.gob.es/portalCiudadano/_es/tramites_extranjeria_tasas.php</t>
        </is>
      </c>
      <c r="F11" s="49" t="n">
        <v>46319</v>
      </c>
      <c r="G11" s="29" t="inlineStr">
        <is>
          <t>marbella:oturum</t>
        </is>
      </c>
      <c r="H11" s="29" t="inlineStr">
        <is>
          <t>Kart 2, 4, 6, 15 ücretler (sayfa 24.10.2026 tarihinde güncel, yıl etiketi yok; tutarlar Orden PJC/617/2025 ile aynı): AB kayıt sertifikası 12,00 EUR; TIE ilk 16,08; TIE yenileme 19,30; Brexit TIE 12,00</t>
        </is>
      </c>
      <c r="I11" s="29" t="inlineStr">
        <is>
          <t>Evet</t>
        </is>
      </c>
      <c r="J11" s="29" t="inlineStr">
        <is>
          <t>Lisans kanıtları/49fa384a5d2f0bdbb002b96ec7e0e11979ba77e29deda39e53832333cda3f1f5.html</t>
        </is>
      </c>
      <c r="K11" s="29" t="inlineStr">
        <is>
          <t>49fa384a5d2f0bdbb002b96ec7e0e11979ba77e29deda39e53832333cda3f1f5</t>
        </is>
      </c>
    </row>
    <row r="12" ht="54" customHeight="1">
      <c r="A12" s="29" t="inlineStr">
        <is>
          <t>marbella:kaynak:005</t>
        </is>
      </c>
      <c r="B12" s="29" t="inlineStr">
        <is>
          <t>marbella</t>
        </is>
      </c>
      <c r="C12" s="29" t="inlineStr">
        <is>
          <t>BOE-A-2024-24099 Real Decreto 1155/2024, de 19 de noviembre, por el que se aprueba el Reglamento de la Ley Orgánica 4/2000, de 11 de enero, sobre derechos y libertades de los extra</t>
        </is>
      </c>
      <c r="D12" s="29" t="inlineStr">
        <is>
          <t>Agencia Estatal Boletín Oficial del Estado (BOE)</t>
        </is>
      </c>
      <c r="E12" s="29" t="inlineStr">
        <is>
          <t>https://www.boe.es/buscar/act.php?id=BOE-A-2024-24099</t>
        </is>
      </c>
      <c r="F12" s="49" t="n">
        <v>46319</v>
      </c>
      <c r="G12" s="29" t="inlineStr">
        <is>
          <t>marbella:oturum</t>
        </is>
      </c>
      <c r="H12" s="29" t="inlineStr">
        <is>
          <t>Kart 6: yenileme süresi (bitişten önceki 2 ay, sonraki 3 ay içinde uzatma); konsolide metin 22/09/2026 güncel</t>
        </is>
      </c>
      <c r="I12" s="29" t="inlineStr">
        <is>
          <t>Evet</t>
        </is>
      </c>
      <c r="J12" s="29" t="inlineStr">
        <is>
          <t>Lisans kanıtları/5e089f91bc5332d4c5f27938f0351ca40faa08fefd4959e25458c7558e9789a6.html</t>
        </is>
      </c>
      <c r="K12" s="29" t="inlineStr">
        <is>
          <t>5e089f91bc5332d4c5f27938f0351ca40faa08fefd4959e25458c7558e9789a6</t>
        </is>
      </c>
    </row>
    <row r="13" ht="54" customHeight="1">
      <c r="A13" s="29" t="inlineStr">
        <is>
          <t>marbella:kaynak:006</t>
        </is>
      </c>
      <c r="B13" s="29" t="inlineStr">
        <is>
          <t>marbella</t>
        </is>
      </c>
      <c r="C13" s="29" t="inlineStr">
        <is>
          <t>BOE-A-2007-4184 Real Decreto 240/2007, de 16 de febrero, sobre entrada, libre circulación y residencia en España de ciudadanos de los Estados miembros de la Unión Europea y de otro</t>
        </is>
      </c>
      <c r="D13" s="29" t="inlineStr">
        <is>
          <t>Agencia Estatal Boletín Oficial del Estado (BOE)</t>
        </is>
      </c>
      <c r="E13" s="29" t="inlineStr">
        <is>
          <t>https://www.boe.es/buscar/act.php?id=BOE-A-2007-4184</t>
        </is>
      </c>
      <c r="F13" s="49" t="n">
        <v>46319</v>
      </c>
      <c r="G13" s="29" t="inlineStr">
        <is>
          <t>marbella:oturum</t>
        </is>
      </c>
      <c r="H13" s="29" t="inlineStr">
        <is>
          <t>Kart 5: AB vatandaşı işçi/serbest çalışan olarak 3 aydan uzun kalabilir, İspanyollarla aynı koşullar (art. 3 ve 7)</t>
        </is>
      </c>
      <c r="I13" s="29" t="inlineStr">
        <is>
          <t>Evet</t>
        </is>
      </c>
      <c r="J13" s="29" t="inlineStr">
        <is>
          <t>Lisans kanıtları/17910f67ec73d74619247e9da1e4222672a46596aca8e705d1e98409eb9c0497.html</t>
        </is>
      </c>
      <c r="K13" s="29" t="inlineStr">
        <is>
          <t>17910f67ec73d74619247e9da1e4222672a46596aca8e705d1e98409eb9c0497</t>
        </is>
      </c>
    </row>
    <row r="14" ht="54" customHeight="1">
      <c r="A14" s="29" t="inlineStr">
        <is>
          <t>marbella:kaynak:007</t>
        </is>
      </c>
      <c r="B14" s="29" t="inlineStr">
        <is>
          <t>marbella</t>
        </is>
      </c>
      <c r="C14" s="29" t="inlineStr">
        <is>
          <t>Hoja 7 - Renovación de la autorización de residencia temporal no lucrativa - Migraciones - Ministerio de Inclusión, Seguridad Social y Migraciones</t>
        </is>
      </c>
      <c r="D14" s="29" t="inlineStr">
        <is>
          <t>Ministerio de Inclusión, Seguridad Social y Migraciones</t>
        </is>
      </c>
      <c r="E14" s="29" t="inlineStr">
        <is>
          <t>https://www.inclusion.gob.es/web/migraciones/w/renovacion-de-la-autorizacion-de-residencia-temporal-no-lucrativa</t>
        </is>
      </c>
      <c r="F14" s="49" t="n">
        <v>46321</v>
      </c>
      <c r="G14" s="29" t="inlineStr">
        <is>
          <t>marbella:oturum</t>
        </is>
      </c>
      <c r="H14" s="29" t="inlineStr">
        <is>
          <t>Izin yenileme: nereye, form, harç kodu</t>
        </is>
      </c>
      <c r="I14" s="29" t="inlineStr">
        <is>
          <t>Evet</t>
        </is>
      </c>
      <c r="J14" s="29" t="inlineStr">
        <is>
          <t>Lisans kanıtları/0b22ae122eb6b70b0dd4a2c6aabaa115db647173e98aa2313574091ed30309df.html</t>
        </is>
      </c>
      <c r="K14" s="29" t="inlineStr">
        <is>
          <t>0b22ae122eb6b70b0dd4a2c6aabaa115db647173e98aa2313574091ed30309df</t>
        </is>
      </c>
    </row>
    <row r="15" ht="54" customHeight="1">
      <c r="A15" s="29" t="inlineStr">
        <is>
          <t>marbella:kaynak:008</t>
        </is>
      </c>
      <c r="B15" s="29" t="inlineStr">
        <is>
          <t>marbella</t>
        </is>
      </c>
      <c r="C15" s="29" t="inlineStr">
        <is>
          <t>Hoja 8 - Autorización de residencia temporal por reagrupación familiar - Migraciones - Ministerio de Inclusión, Seguridad Social y Migraciones</t>
        </is>
      </c>
      <c r="D15" s="29" t="inlineStr">
        <is>
          <t>Ministerio de Inclusión, Seguridad Social y Migraciones</t>
        </is>
      </c>
      <c r="E15" s="29" t="inlineStr">
        <is>
          <t>https://www.inclusion.gob.es/web/migraciones/w/autorizacion-de-residencia-temporal-por-reagrupacion-familiar</t>
        </is>
      </c>
      <c r="F15" s="49" t="n">
        <v>46321</v>
      </c>
      <c r="G15" s="29" t="inlineStr">
        <is>
          <t>marbella:oturum</t>
        </is>
      </c>
      <c r="H15" s="29" t="inlineStr">
        <is>
          <t>Aile birleşimi: nereye, form, harç kodu</t>
        </is>
      </c>
      <c r="I15" s="29" t="inlineStr">
        <is>
          <t>Evet</t>
        </is>
      </c>
      <c r="J15" s="29" t="inlineStr">
        <is>
          <t>Lisans kanıtları/c92d68f0f537db819b254b8550b04bb6403821ded6c82ae17f2d3dd214579d99.html</t>
        </is>
      </c>
      <c r="K15" s="29" t="inlineStr">
        <is>
          <t>c92d68f0f537db819b254b8550b04bb6403821ded6c82ae17f2d3dd214579d99</t>
        </is>
      </c>
    </row>
    <row r="16" ht="54" customHeight="1">
      <c r="A16" s="29" t="inlineStr">
        <is>
          <t>marbella:kaynak:009</t>
        </is>
      </c>
      <c r="B16" s="29" t="inlineStr">
        <is>
          <t>marbella</t>
        </is>
      </c>
      <c r="C16" s="29" t="inlineStr">
        <is>
          <t>Hoja 50 - Autorización de residencia de larga duración UE - Migraciones - Ministerio de Inclusión, Seguridad Social y Migraciones</t>
        </is>
      </c>
      <c r="D16" s="29" t="inlineStr">
        <is>
          <t>Ministerio de Inclusión, Seguridad Social y Migraciones</t>
        </is>
      </c>
      <c r="E16" s="29" t="inlineStr">
        <is>
          <t>https://www.inclusion.gob.es/web/migraciones/w/50.-autorizacion-de-residencia-de-larga-duracion-ue</t>
        </is>
      </c>
      <c r="F16" s="49" t="n">
        <v>46321</v>
      </c>
      <c r="G16" s="29" t="inlineStr">
        <is>
          <t>marbella:oturum</t>
        </is>
      </c>
      <c r="H16" s="29" t="inlineStr">
        <is>
          <t>Kalıcı oturum: nereye, form, harç kodu 2.6</t>
        </is>
      </c>
      <c r="I16" s="29" t="inlineStr">
        <is>
          <t>Evet</t>
        </is>
      </c>
      <c r="J16" s="29" t="inlineStr">
        <is>
          <t>Lisans kanıtları/513cce3edc23e180e181f80b237ff99823c6638e7b14b78667a584d7c0eeead2.html</t>
        </is>
      </c>
      <c r="K16" s="29" t="inlineStr">
        <is>
          <t>513cce3edc23e180e181f80b237ff99823c6638e7b14b78667a584d7c0eeead2</t>
        </is>
      </c>
    </row>
    <row r="17" ht="54" customHeight="1">
      <c r="A17" s="29" t="inlineStr">
        <is>
          <t>marbella:kaynak:010</t>
        </is>
      </c>
      <c r="B17" s="29" t="inlineStr">
        <is>
          <t>marbella</t>
        </is>
      </c>
      <c r="C17" s="29" t="inlineStr">
        <is>
          <t>Hoja 28 - Autorización de residencia temporal por circunstancias excepcionales. Arraigo social - Migraciones - Ministerio de Inclusión, Seguridad Social y Migraciones</t>
        </is>
      </c>
      <c r="D17" s="29" t="inlineStr">
        <is>
          <t>Ministerio de Inclusión, Seguridad Social y Migraciones</t>
        </is>
      </c>
      <c r="E17" s="29" t="inlineStr">
        <is>
          <t>https://www.inclusion.gob.es/web/migraciones/w/autorizacion-residencia-temporal-por-circunstancias-excepcionales.-arraigo-social</t>
        </is>
      </c>
      <c r="F17" s="49" t="n">
        <v>46321</v>
      </c>
      <c r="G17" s="29" t="inlineStr">
        <is>
          <t>marbella:oturum</t>
        </is>
      </c>
      <c r="H17" s="29" t="inlineStr">
        <is>
          <t>Arraigo social: nereye, form, harç kodu, gelir şartı</t>
        </is>
      </c>
      <c r="I17" s="29" t="inlineStr">
        <is>
          <t>Evet</t>
        </is>
      </c>
      <c r="J17" s="29" t="inlineStr">
        <is>
          <t>Lisans kanıtları/a5a3bc7725b010bcea050b0514ed3cc62415b213605d4234979a7e2f6dfa6a2e.html</t>
        </is>
      </c>
      <c r="K17" s="29" t="inlineStr">
        <is>
          <t>a5a3bc7725b010bcea050b0514ed3cc62415b213605d4234979a7e2f6dfa6a2e</t>
        </is>
      </c>
    </row>
    <row r="18" ht="54" customHeight="1">
      <c r="A18" s="29" t="inlineStr">
        <is>
          <t>marbella:kaynak:011</t>
        </is>
      </c>
      <c r="B18" s="29" t="inlineStr">
        <is>
          <t>marbella</t>
        </is>
      </c>
      <c r="C18" s="29" t="inlineStr">
        <is>
          <t>Requisitos Visado Nómadas</t>
        </is>
      </c>
      <c r="D18" s="29" t="inlineStr">
        <is>
          <t>Ministerio de Asuntos Exteriores, Unión Europea y Cooperación (Consulado General en Estambul)</t>
        </is>
      </c>
      <c r="E18" s="29" t="inlineStr">
        <is>
          <t>https://www.exteriores.gob.es/Consulados/estambul/es/Comunicacion/Noticias/Paginas/Articulos/Requisitos-Visado-Teletrabajo.aspx</t>
        </is>
      </c>
      <c r="F18" s="49" t="n">
        <v>46319</v>
      </c>
      <c r="G18" s="29" t="inlineStr">
        <is>
          <t>marbella:oturum</t>
        </is>
      </c>
      <c r="H18" s="29" t="inlineStr">
        <is>
          <t>Kart 10 gelir eşiği: SMI'nin %200'ü (aile: ilk kişi %75, diğerleri %25); sayfa tarihi 7 Ocak 2025, 2026 SMI rakamı sayfada yok</t>
        </is>
      </c>
      <c r="I18" s="29" t="inlineStr">
        <is>
          <t>Evet</t>
        </is>
      </c>
      <c r="J18" s="29" t="inlineStr">
        <is>
          <t>Lisans kanıtları/0b16e2f5b518dabc9ddf8fa297df720813d778b0abe87ff192578eb832e9ef8a.html</t>
        </is>
      </c>
      <c r="K18" s="29" t="inlineStr">
        <is>
          <t>0b16e2f5b518dabc9ddf8fa297df720813d778b0abe87ff192578eb832e9ef8a</t>
        </is>
      </c>
    </row>
    <row r="19" ht="54" customHeight="1">
      <c r="A19" s="29" t="inlineStr">
        <is>
          <t>marbella:kaynak:012</t>
        </is>
      </c>
      <c r="B19" s="29" t="inlineStr">
        <is>
          <t>marbella</t>
        </is>
      </c>
      <c r="C19" s="29" t="inlineStr">
        <is>
          <t>BOE-A-2026-3815 Real Decreto 126/2026, de 18 de febrero, por el que se fija el salario mínimo interprofesional para 2026.</t>
        </is>
      </c>
      <c r="D19" s="29" t="inlineStr">
        <is>
          <t>Boletín Oficial del Estado</t>
        </is>
      </c>
      <c r="E19" s="29" t="inlineStr">
        <is>
          <t>https://www.boe.es/diario_boe/txt.php?id=BOE-A-2026-3815</t>
        </is>
      </c>
      <c r="F19" s="49" t="n">
        <v>46319</v>
      </c>
      <c r="G19" s="29" t="inlineStr">
        <is>
          <t>marbella:oturum</t>
        </is>
      </c>
      <c r="H19" s="29" t="inlineStr">
        <is>
          <t>2026 asgari ücret tutarı (dijital göçebe vizesi gelir şartı için).</t>
        </is>
      </c>
      <c r="I19" s="29" t="inlineStr">
        <is>
          <t>Evet</t>
        </is>
      </c>
      <c r="J19" s="29" t="inlineStr">
        <is>
          <t>Lisans kanıtları/a88d31e5dce050c16ee9d9ef701dc59bf5b839b2d1e2bbcc5349d3cf350601b6.html</t>
        </is>
      </c>
      <c r="K19" s="29" t="inlineStr">
        <is>
          <t>a88d31e5dce050c16ee9d9ef701dc59bf5b839b2d1e2bbcc5349d3cf350601b6</t>
        </is>
      </c>
    </row>
    <row r="20" ht="54" customHeight="1">
      <c r="A20" s="29" t="inlineStr">
        <is>
          <t>marbella:kaynak:013</t>
        </is>
      </c>
      <c r="B20" s="29" t="inlineStr">
        <is>
          <t>marbella</t>
        </is>
      </c>
      <c r="C20" s="29" t="inlineStr">
        <is>
          <t>Servicios consulares</t>
        </is>
      </c>
      <c r="D20" s="29" t="inlineStr">
        <is>
          <t>Ministerio de Asuntos Exteriores, Consulado General de España en Estambul</t>
        </is>
      </c>
      <c r="E20" s="29" t="inlineStr">
        <is>
          <t>https://www.exteriores.gob.es/Consulados/estambul/es/ServiciosConsulares/Paginas/index.aspx?scca=Visados&amp;scco=Turqu%C3%ADa&amp;scd=141&amp;scs=Visados+Nacionales+-+Visado+de+residencia+no+lucrativa</t>
        </is>
      </c>
      <c r="F20" s="49" t="n">
        <v>46319</v>
      </c>
      <c r="G20" s="29" t="inlineStr">
        <is>
          <t>marbella:oturum</t>
        </is>
      </c>
      <c r="H20" s="29" t="inlineStr">
        <is>
          <t>İstanbul Başkonsolosluğu'nun NLV şartları ve başvuru yolu.</t>
        </is>
      </c>
      <c r="I20" s="29" t="inlineStr">
        <is>
          <t>Evet</t>
        </is>
      </c>
      <c r="J20" s="29" t="inlineStr">
        <is>
          <t>Lisans kanıtları/894bd3ef10fca2eaa4ec3bb8f19f8f0f7af06f6d11e083622b3b93dc5769f3ff.html</t>
        </is>
      </c>
      <c r="K20" s="29" t="inlineStr">
        <is>
          <t>894bd3ef10fca2eaa4ec3bb8f19f8f0f7af06f6d11e083622b3b93dc5769f3ff</t>
        </is>
      </c>
    </row>
    <row r="21" ht="54" customHeight="1">
      <c r="A21" s="29" t="inlineStr">
        <is>
          <t>marbella:kaynak:014</t>
        </is>
      </c>
      <c r="B21" s="29" t="inlineStr">
        <is>
          <t>marbella</t>
        </is>
      </c>
      <c r="C21" s="29" t="inlineStr">
        <is>
          <t>Non-lucrative residence visa</t>
        </is>
      </c>
      <c r="D21" s="29" t="inlineStr">
        <is>
          <t>Ministerio de Asuntos Exteriores, Unión Europea y Cooperación (Embajada en Nueva Delhi)</t>
        </is>
      </c>
      <c r="E21" s="29" t="inlineStr">
        <is>
          <t>https://www.exteriores.gob.es/Embajadas/nuevadelhi/en/ServiciosConsulares/Paginas/Consular/Visado-de-residencia-no-lucrativa.aspx</t>
        </is>
      </c>
      <c r="F21" s="49" t="n">
        <v>46319</v>
      </c>
      <c r="G21" s="29" t="inlineStr">
        <is>
          <t>marbella:oturum</t>
        </is>
      </c>
      <c r="H21" s="29" t="inlineStr">
        <is>
          <t>Kart 11 gelir eşiği: IPREM %400 = 2.400 EUR/ay (2026), aile bireyi başına 600 EUR; sayfa 2026 yılını açıkça yazıyor (sayfa İngilizce)</t>
        </is>
      </c>
      <c r="I21" s="29" t="inlineStr">
        <is>
          <t>Evet</t>
        </is>
      </c>
      <c r="J21" s="29" t="inlineStr">
        <is>
          <t>Lisans kanıtları/9672ef220f15ec089885a85495831fa005f819140fb9394c31b9bb5ac8b3b11c.html</t>
        </is>
      </c>
      <c r="K21" s="29" t="inlineStr">
        <is>
          <t>9672ef220f15ec089885a85495831fa005f819140fb9394c31b9bb5ac8b3b11c</t>
        </is>
      </c>
    </row>
    <row r="22" ht="54" customHeight="1">
      <c r="A22" s="29" t="inlineStr">
        <is>
          <t>marbella:kaynak:015</t>
        </is>
      </c>
      <c r="B22" s="29" t="inlineStr">
        <is>
          <t>marbella</t>
        </is>
      </c>
      <c r="C22" s="29" t="inlineStr">
        <is>
          <t>BOE-A-2025-76 Ley Orgánica 1/2025, de 2 de enero, de medidas en materia de eficiencia del Servicio Público de Justicia.</t>
        </is>
      </c>
      <c r="D22" s="29" t="inlineStr">
        <is>
          <t>Agencia Estatal Boletín Oficial del Estado (BOE)</t>
        </is>
      </c>
      <c r="E22" s="29" t="inlineStr">
        <is>
          <t>https://www.boe.es/buscar/act.php?id=BOE-A-2025-76</t>
        </is>
      </c>
      <c r="F22" s="49" t="n">
        <v>46319</v>
      </c>
      <c r="G22" s="29" t="inlineStr">
        <is>
          <t>marbella:oturum</t>
        </is>
      </c>
      <c r="H22" s="29" t="inlineStr">
        <is>
          <t>Kart 12: yatırımcı/altın vize (Ley 14/2013 art. 63-67) yürürlükten kalktı; yürürlük 03/04/2025</t>
        </is>
      </c>
      <c r="I22" s="29" t="inlineStr">
        <is>
          <t>Evet</t>
        </is>
      </c>
      <c r="J22" s="29" t="inlineStr">
        <is>
          <t>Lisans kanıtları/e1ff140b426ba22a087a5a261cb8ffa04b512fef654677c9cd2163e3628344fa.html</t>
        </is>
      </c>
      <c r="K22" s="29" t="inlineStr">
        <is>
          <t>e1ff140b426ba22a087a5a261cb8ffa04b512fef654677c9cd2163e3628344fa</t>
        </is>
      </c>
    </row>
    <row r="23" ht="54" customHeight="1">
      <c r="A23" s="29" t="inlineStr">
        <is>
          <t>marbella:kaynak:016</t>
        </is>
      </c>
      <c r="B23" s="29" t="inlineStr">
        <is>
          <t>marbella</t>
        </is>
      </c>
      <c r="C23" s="29" t="inlineStr">
        <is>
          <t>La Moncloa. El 3 de abril entra en vigor el fin de las 'Golden Visa' | 02/04/2025 [Prensa/Actualidad/Vivienda y Agenda Urbana]</t>
        </is>
      </c>
      <c r="D23" s="29" t="inlineStr">
        <is>
          <t>La Moncloa - Gobierno de España</t>
        </is>
      </c>
      <c r="E23" s="29" t="inlineStr">
        <is>
          <t>https://www.lamoncloa.gob.es/serviciosdeprensa/notasprensa/vivienda-agenda-urbana/paginas/2025/020425-fin-golden-visa.aspx</t>
        </is>
      </c>
      <c r="F23" s="49" t="n">
        <v>46319</v>
      </c>
      <c r="G23" s="29" t="inlineStr">
        <is>
          <t>marbella:oturum</t>
        </is>
      </c>
      <c r="H23" s="29" t="inlineStr">
        <is>
          <t>Kart 12: resmi basın notu 02/04/2025, golden visa 3 Nisan 2025'te sona erdi</t>
        </is>
      </c>
      <c r="I23" s="29" t="inlineStr">
        <is>
          <t>Evet</t>
        </is>
      </c>
      <c r="J23" s="29" t="inlineStr">
        <is>
          <t>Lisans kanıtları/4183a8be0a21993076e5a45854fd7c9c42dba3da84f3054a007e584e3698cae3.html</t>
        </is>
      </c>
      <c r="K23" s="29" t="inlineStr">
        <is>
          <t>4183a8be0a21993076e5a45854fd7c9c42dba3da84f3054a007e584e3698cae3</t>
        </is>
      </c>
    </row>
    <row r="24" ht="54" customHeight="1">
      <c r="A24" s="29" t="inlineStr">
        <is>
          <t>marbella:kaynak:017</t>
        </is>
      </c>
      <c r="B24" s="29" t="inlineStr">
        <is>
          <t>marbella</t>
        </is>
      </c>
      <c r="C24" s="29" t="inlineStr">
        <is>
          <t>BOE-A-1889-4763 Real Decreto de 24 de julio de 1889 por el que se publica el Código Civil.</t>
        </is>
      </c>
      <c r="D24" s="29" t="inlineStr">
        <is>
          <t>Agencia Estatal Boletín Oficial del Estado (BOE)</t>
        </is>
      </c>
      <c r="E24" s="29" t="inlineStr">
        <is>
          <t>https://www.boe.es/buscar/act.php?id=BOE-A-1889-4763</t>
        </is>
      </c>
      <c r="F24" s="49" t="n">
        <v>46319</v>
      </c>
      <c r="G24" s="29" t="inlineStr">
        <is>
          <t>marbella:oturum</t>
        </is>
      </c>
      <c r="H24" s="29" t="inlineStr">
        <is>
          <t>Kart 14: vatandaşlık için 10 yıl (mülteci 5; İberoamerika/Andorra/Filipinler/Ekvator Ginesi/Portekiz/Sefarad 2 yıl)</t>
        </is>
      </c>
      <c r="I24" s="29" t="inlineStr">
        <is>
          <t>Evet</t>
        </is>
      </c>
      <c r="J24" s="29" t="inlineStr">
        <is>
          <t>Lisans kanıtları/b128a04d0de811a5533a933653e17871077bf5440787ab0f32b23f5b9e21886d.html</t>
        </is>
      </c>
      <c r="K24" s="29" t="inlineStr">
        <is>
          <t>b128a04d0de811a5533a933653e17871077bf5440787ab0f32b23f5b9e21886d</t>
        </is>
      </c>
    </row>
    <row r="25" ht="54" customHeight="1">
      <c r="A25" s="29" t="inlineStr">
        <is>
          <t>marbella:kaynak:018</t>
        </is>
      </c>
      <c r="B25" s="29" t="inlineStr">
        <is>
          <t>marbella</t>
        </is>
      </c>
      <c r="C25" s="29" t="inlineStr">
        <is>
          <t>BOE-A-2015-12047 Real Decreto 1004/2015, de 6 de noviembre, por el que se aprueba el Reglamento por el que se regula el procedimiento para la adquisición de la nacionalidad español</t>
        </is>
      </c>
      <c r="D25" s="29" t="inlineStr">
        <is>
          <t>Boletín Oficial del Estado</t>
        </is>
      </c>
      <c r="E25" s="29" t="inlineStr">
        <is>
          <t>https://www.boe.es/buscar/act.php?id=BOE-A-2015-12047</t>
        </is>
      </c>
      <c r="F25" s="49" t="n">
        <v>46319</v>
      </c>
      <c r="G25" s="29" t="inlineStr">
        <is>
          <t>marbella:oturum</t>
        </is>
      </c>
      <c r="H25" s="29" t="inlineStr">
        <is>
          <t>Vatandaşlıkta DELE A2 ve CCSE sınavı şartı.</t>
        </is>
      </c>
      <c r="I25" s="29" t="inlineStr">
        <is>
          <t>Evet</t>
        </is>
      </c>
      <c r="J25" s="29" t="inlineStr">
        <is>
          <t>Lisans kanıtları/cbbcf4d994205d4f9b3a3866ea9eb0c871d0d400fea2b11248f37c86b8900991.html</t>
        </is>
      </c>
      <c r="K25" s="29" t="inlineStr">
        <is>
          <t>cbbcf4d994205d4f9b3a3866ea9eb0c871d0d400fea2b11248f37c86b8900991</t>
        </is>
      </c>
    </row>
    <row r="26" ht="54" customHeight="1">
      <c r="A26" s="29" t="inlineStr">
        <is>
          <t>marbella:kaynak:019</t>
        </is>
      </c>
      <c r="B26" s="29" t="inlineStr">
        <is>
          <t>marbella</t>
        </is>
      </c>
      <c r="C26" s="29" t="inlineStr">
        <is>
          <t>BOE-A-2020-7276 Resolución de 2 de julio de 2020, de la Subsecretaría, por la que se publica la Instrucción conjunta de la Dirección General de Migraciones y de la Dirección Genera</t>
        </is>
      </c>
      <c r="D26" s="29" t="inlineStr">
        <is>
          <t>Agencia Estatal Boletín Oficial del Estado (BOE)</t>
        </is>
      </c>
      <c r="E26" s="29" t="inlineStr">
        <is>
          <t>https://www.boe.es/diario_boe/txt.php?id=BOE-A-2020-7276</t>
        </is>
      </c>
      <c r="F26" s="49" t="n">
        <v>46319</v>
      </c>
      <c r="G26" s="29" t="inlineStr">
        <is>
          <t>marbella:oturum</t>
        </is>
      </c>
      <c r="H26" s="29" t="inlineStr">
        <is>
          <t>Kart 15: Brexit sonrası İngiliz vatandaşı için Geri Çekilme Anlaşması art. 18.4 ikamet belgesi (2020 talimatı; ücret tasas sayfasında)</t>
        </is>
      </c>
      <c r="I26" s="29" t="inlineStr">
        <is>
          <t>Evet</t>
        </is>
      </c>
      <c r="J26" s="29" t="inlineStr">
        <is>
          <t>Lisans kanıtları/9c9ffb0d0ed4f74c698d2ed6087b0b1e81058f060b14451b8cace53f0380752d.html</t>
        </is>
      </c>
      <c r="K26" s="29" t="inlineStr">
        <is>
          <t>9c9ffb0d0ed4f74c698d2ed6087b0b1e81058f060b14451b8cace53f0380752d</t>
        </is>
      </c>
    </row>
    <row r="27" ht="54" customHeight="1">
      <c r="A27" s="29" t="inlineStr">
        <is>
          <t>marbella:kaynak:020</t>
        </is>
      </c>
      <c r="B27" s="29" t="inlineStr">
        <is>
          <t>marbella</t>
        </is>
      </c>
      <c r="C27" s="29" t="inlineStr">
        <is>
          <t>BOE-A-1985-5392 Ley 7/1985, de 2 de abril, Reguladora de las Bases del Régimen Local</t>
        </is>
      </c>
      <c r="D27" s="29" t="inlineStr">
        <is>
          <t>Agencia Estatal Boletín Oficial del Estado (BOE)</t>
        </is>
      </c>
      <c r="E27" s="29" t="inlineStr">
        <is>
          <t>https://www.boe.es/buscar/act.php?id=BOE-A-1985-5392</t>
        </is>
      </c>
      <c r="F27" s="49" t="n">
        <v>46319</v>
      </c>
      <c r="G27" s="29" t="inlineStr">
        <is>
          <t>marbella:resmi</t>
        </is>
      </c>
      <c r="H27" s="29" t="inlineStr">
        <is>
          <t>Kart 1: empadronamiento zorunlu; padrón belediye idari kaydı, ikametin kanıtı</t>
        </is>
      </c>
      <c r="I27" s="29" t="inlineStr">
        <is>
          <t>Evet</t>
        </is>
      </c>
      <c r="J27" s="29" t="inlineStr">
        <is>
          <t>Lisans kanıtları/c60f69f4fe90497e33ed040a89d04a2b7059273e34ffd1493ab9faaa0fd1decd.html</t>
        </is>
      </c>
      <c r="K27" s="29" t="inlineStr">
        <is>
          <t>c60f69f4fe90497e33ed040a89d04a2b7059273e34ffd1493ab9faaa0fd1decd</t>
        </is>
      </c>
    </row>
    <row r="28" ht="54" customHeight="1">
      <c r="A28" s="29" t="inlineStr">
        <is>
          <t>marbella:kaynak:021</t>
        </is>
      </c>
      <c r="B28" s="29" t="inlineStr">
        <is>
          <t>marbella</t>
        </is>
      </c>
      <c r="C28" s="29" t="inlineStr">
        <is>
          <t>BOE-A-2020-4784 Resolución de 29 de abril de 2020, de la Subsecretaría, por la que se publica la Resolución de 17 de febrero de 2020, de la Presidencia del Instituto Nacional de Es</t>
        </is>
      </c>
      <c r="D28" s="29" t="inlineStr">
        <is>
          <t>Agencia Estatal Boletín Oficial del Estado (BOE)</t>
        </is>
      </c>
      <c r="E28" s="29" t="inlineStr">
        <is>
          <t>https://www.boe.es/buscar/doc.php?id=BOE-A-2020-4784</t>
        </is>
      </c>
      <c r="F28" s="49" t="n">
        <v>46319</v>
      </c>
      <c r="G28" s="29" t="inlineStr">
        <is>
          <t>marbella:resmi</t>
        </is>
      </c>
      <c r="H28" s="29" t="inlineStr">
        <is>
          <t>Kart 2: certificado (kesin kanıt) ile volante (yalnız bilgilendirici) farkı</t>
        </is>
      </c>
      <c r="I28" s="29" t="inlineStr">
        <is>
          <t>Evet</t>
        </is>
      </c>
      <c r="J28" s="29" t="inlineStr">
        <is>
          <t>Lisans kanıtları/368697ed87bc228f3fa50f95f6d93d47537da5dd31dabcb9ab26acf35dc11416.html</t>
        </is>
      </c>
      <c r="K28" s="29" t="inlineStr">
        <is>
          <t>368697ed87bc228f3fa50f95f6d93d47537da5dd31dabcb9ab26acf35dc11416</t>
        </is>
      </c>
    </row>
    <row r="29" ht="54" customHeight="1">
      <c r="A29" s="29" t="inlineStr">
        <is>
          <t>marbella:kaynak:022</t>
        </is>
      </c>
      <c r="B29" s="29" t="inlineStr">
        <is>
          <t>marbella</t>
        </is>
      </c>
      <c r="C29" s="29" t="inlineStr">
        <is>
          <t>Seguridad Social: Afiliación</t>
        </is>
      </c>
      <c r="D29" s="29" t="inlineStr">
        <is>
          <t>Seguridad Social (Tesorería General de la Seguridad Social)</t>
        </is>
      </c>
      <c r="E29" s="29" t="inlineStr">
        <is>
          <t>https://www.seg-social.es/wps/portal/wss/internet/Trabajadores/Afiliacion/10817/31190/2194/160060?changeLanguage=es</t>
        </is>
      </c>
      <c r="F29" s="49" t="n">
        <v>46319</v>
      </c>
      <c r="G29" s="29" t="inlineStr">
        <is>
          <t>marbella:resmi</t>
        </is>
      </c>
      <c r="H29" s="29" t="inlineStr">
        <is>
          <t>Kart 3: SS numarası çevrimiçi servis veya TA.1 formu ile</t>
        </is>
      </c>
      <c r="I29" s="29" t="inlineStr">
        <is>
          <t>Evet</t>
        </is>
      </c>
      <c r="J29" s="29" t="inlineStr">
        <is>
          <t>Lisans kanıtları/3b2400542e4e5bdd299a40439c1cdd1e64b521d1080c78b54b558c40e1446cdf.html</t>
        </is>
      </c>
      <c r="K29" s="29" t="inlineStr">
        <is>
          <t>3b2400542e4e5bdd299a40439c1cdd1e64b521d1080c78b54b558c40e1446cdf</t>
        </is>
      </c>
    </row>
    <row r="30" ht="54" customHeight="1">
      <c r="A30" s="29" t="inlineStr">
        <is>
          <t>marbella:kaynak:023</t>
        </is>
      </c>
      <c r="B30" s="29" t="inlineStr">
        <is>
          <t>marbella</t>
        </is>
      </c>
      <c r="C30" s="29" t="inlineStr">
        <is>
          <t>Categorias</t>
        </is>
      </c>
      <c r="D30" s="29" t="inlineStr">
        <is>
          <t>Seguridad Social - Tesorería General (Import@ss)</t>
        </is>
      </c>
      <c r="E30" s="29" t="inlineStr">
        <is>
          <t>https://portal.seg-social.gob.es/wps/portal/importass/importass/Categorias/Vida+laboral+e+informes/Informes+sobre+tu+situacion+laboral/Informe+de+tu+vida+laboral</t>
        </is>
      </c>
      <c r="F30" s="49" t="n">
        <v>46319</v>
      </c>
      <c r="G30" s="29" t="inlineStr">
        <is>
          <t>marbella:resmi</t>
        </is>
      </c>
      <c r="H30" s="29" t="inlineStr">
        <is>
          <t>Kart 4: vida laboral raporu ne ve hangi kimlik doğrulamayla alınır</t>
        </is>
      </c>
      <c r="I30" s="29" t="inlineStr">
        <is>
          <t>Evet</t>
        </is>
      </c>
      <c r="J30" s="29" t="inlineStr">
        <is>
          <t>Lisans kanıtları/d532fcd15b230c0ce05a3747da15ebb81e8b1547b35f8e8312d7f5e9dd73a799.html</t>
        </is>
      </c>
      <c r="K30" s="29" t="inlineStr">
        <is>
          <t>d532fcd15b230c0ce05a3747da15ebb81e8b1547b35f8e8312d7f5e9dd73a799</t>
        </is>
      </c>
    </row>
    <row r="31" ht="54" customHeight="1">
      <c r="A31" s="29" t="inlineStr">
        <is>
          <t>marbella:kaynak:024</t>
        </is>
      </c>
      <c r="B31" s="29" t="inlineStr">
        <is>
          <t>marbella</t>
        </is>
      </c>
      <c r="C31" s="29" t="inlineStr">
        <is>
          <t>Agencia Tributaria: NIF Persona física</t>
        </is>
      </c>
      <c r="D31" s="29" t="inlineStr">
        <is>
          <t>Agencia Tributaria (AEAT)</t>
        </is>
      </c>
      <c r="E31" s="29" t="inlineStr">
        <is>
          <t>https://sede.agenciatributaria.gob.es/Sede/censos-nif-domicilio-fiscal/solicitar-nif/nif-persona-fisica.html</t>
        </is>
      </c>
      <c r="F31" s="49" t="n">
        <v>46319</v>
      </c>
      <c r="G31" s="29" t="inlineStr">
        <is>
          <t>marbella:resmi</t>
        </is>
      </c>
      <c r="H31" s="29" t="inlineStr">
        <is>
          <t>Kart 5: NIE yoksa vergi numarası (NIF) AEAT'tan; NIE varsa NIF=NIE</t>
        </is>
      </c>
      <c r="I31" s="29" t="inlineStr">
        <is>
          <t>Evet</t>
        </is>
      </c>
      <c r="J31" s="29" t="inlineStr">
        <is>
          <t>Lisans kanıtları/c2ecdbc7bbd8dbfa1f836abfa6f014a3869c697ebf40be683c85f5a6ac63c8a6.html</t>
        </is>
      </c>
      <c r="K31" s="29" t="inlineStr">
        <is>
          <t>c2ecdbc7bbd8dbfa1f836abfa6f014a3869c697ebf40be683c85f5a6ac63c8a6</t>
        </is>
      </c>
    </row>
    <row r="32" ht="54" customHeight="1">
      <c r="A32" s="29" t="inlineStr">
        <is>
          <t>marbella:kaynak:025</t>
        </is>
      </c>
      <c r="B32" s="29" t="inlineStr">
        <is>
          <t>marbella</t>
        </is>
      </c>
      <c r="C32" s="29" t="inlineStr">
        <is>
          <t>Cl@ve | ¿Qué es Cl@ve Permanente?</t>
        </is>
      </c>
      <c r="D32" s="29" t="inlineStr">
        <is>
          <t>Gobierno de España - Cl@ve (clave.gob.es)</t>
        </is>
      </c>
      <c r="E32" s="29" t="inlineStr">
        <is>
          <t>https://clave.gob.es/clave-permanente/que-es</t>
        </is>
      </c>
      <c r="F32" s="49" t="n">
        <v>46319</v>
      </c>
      <c r="G32" s="29" t="inlineStr">
        <is>
          <t>marbella:resmi</t>
        </is>
      </c>
      <c r="H32" s="29" t="inlineStr">
        <is>
          <t>Kart 6: Cl@ve Permanente kalıcı şifre ile (DNI/NIE + şifre)</t>
        </is>
      </c>
      <c r="I32" s="29" t="inlineStr">
        <is>
          <t>Evet</t>
        </is>
      </c>
      <c r="J32" s="29" t="inlineStr">
        <is>
          <t>Lisans kanıtları/60fac516ad088d98c87e1ffc38244027147f93f51b0a9f56186556f5f91c32b1.html</t>
        </is>
      </c>
      <c r="K32" s="29" t="inlineStr">
        <is>
          <t>60fac516ad088d98c87e1ffc38244027147f93f51b0a9f56186556f5f91c32b1</t>
        </is>
      </c>
    </row>
    <row r="33" ht="54" customHeight="1">
      <c r="A33" s="29" t="inlineStr">
        <is>
          <t>marbella:kaynak:026</t>
        </is>
      </c>
      <c r="B33" s="29" t="inlineStr">
        <is>
          <t>marbella</t>
        </is>
      </c>
      <c r="C33" s="29" t="inlineStr">
        <is>
          <t>Cl@ve | The Cl@ve app</t>
        </is>
      </c>
      <c r="D33" s="29" t="inlineStr">
        <is>
          <t>Gobierno de España, Cl@ve</t>
        </is>
      </c>
      <c r="E33" s="29" t="inlineStr">
        <is>
          <t>https://clave.gob.es/en/clave-movil/app-clave</t>
        </is>
      </c>
      <c r="F33" s="49" t="n">
        <v>46319</v>
      </c>
      <c r="G33" s="29" t="inlineStr">
        <is>
          <t>marbella:oturum</t>
        </is>
      </c>
      <c r="H33" s="29" t="inlineStr">
        <is>
          <t>Eski Cl@ve PIN uygulamasının yeni Cl@ve uygulamasına dönüşmesi ve Cl@ve Móvil.</t>
        </is>
      </c>
      <c r="I33" s="29" t="inlineStr">
        <is>
          <t>Evet</t>
        </is>
      </c>
      <c r="J33" s="29" t="inlineStr">
        <is>
          <t>Lisans kanıtları/c15a7ebe11d4d9349d6a0df1dff04536d7690f5c222c937283e78615c293ac59.html</t>
        </is>
      </c>
      <c r="K33" s="29" t="inlineStr">
        <is>
          <t>c15a7ebe11d4d9349d6a0df1dff04536d7690f5c222c937283e78615c293ac59</t>
        </is>
      </c>
    </row>
    <row r="34" ht="54" customHeight="1">
      <c r="A34" s="29" t="inlineStr">
        <is>
          <t>marbella:kaynak:027</t>
        </is>
      </c>
      <c r="B34" s="29" t="inlineStr">
        <is>
          <t>marbella</t>
        </is>
      </c>
      <c r="C34" s="29" t="inlineStr">
        <is>
          <t>Certificado con Acreditación Presencial - Sede</t>
        </is>
      </c>
      <c r="D34" s="29" t="inlineStr">
        <is>
          <t>Fábrica Nacional de Moneda y Timbre (FNMT)</t>
        </is>
      </c>
      <c r="E34" s="29" t="inlineStr">
        <is>
          <t>https://www.sede.fnmt.gob.es/certificados/persona-fisica/obtener-certificado-software</t>
        </is>
      </c>
      <c r="F34" s="49" t="n">
        <v>46319</v>
      </c>
      <c r="G34" s="29" t="inlineStr">
        <is>
          <t>marbella:resmi</t>
        </is>
      </c>
      <c r="H34" s="29" t="inlineStr">
        <is>
          <t>Kart 7: FNMT sertifikası adımları (başvuru kodu, ofiste kimlik doğrulama, indirme)</t>
        </is>
      </c>
      <c r="I34" s="29" t="inlineStr">
        <is>
          <t>Evet</t>
        </is>
      </c>
      <c r="J34" s="29" t="inlineStr">
        <is>
          <t>Lisans kanıtları/f9fa6b466c9febeb87d5eb6f1b65c6e376e5194eb7b941e7efe9436b71597070.html</t>
        </is>
      </c>
      <c r="K34" s="29" t="inlineStr">
        <is>
          <t>f9fa6b466c9febeb87d5eb6f1b65c6e376e5194eb7b941e7efe9436b71597070</t>
        </is>
      </c>
    </row>
    <row r="35" ht="54" customHeight="1">
      <c r="A35" s="29" t="inlineStr">
        <is>
          <t>marbella:kaynak:028</t>
        </is>
      </c>
      <c r="B35" s="29" t="inlineStr">
        <is>
          <t>marbella</t>
        </is>
      </c>
      <c r="C35" s="29" t="inlineStr">
        <is>
          <t>Traductores/as - Intérpretes Jurados/as</t>
        </is>
      </c>
      <c r="D35" s="29" t="inlineStr">
        <is>
          <t>Ministerio de Asuntos Exteriores, Unión Europea y Cooperación</t>
        </is>
      </c>
      <c r="E35" s="29" t="inlineStr">
        <is>
          <t>https://www.exteriores.gob.es/es/ServiciosAlCiudadano/Paginas/Traductores-Interpretes-Jurados.aspx</t>
        </is>
      </c>
      <c r="F35" s="49" t="n">
        <v>46319</v>
      </c>
      <c r="G35" s="29" t="inlineStr">
        <is>
          <t>marbella:resmi</t>
        </is>
      </c>
      <c r="H35" s="29" t="inlineStr">
        <is>
          <t>Kart 8: yeminli tercüme resmi geçerlidir; ücret serbest piyasa, sayfada tutar yok</t>
        </is>
      </c>
      <c r="I35" s="29" t="inlineStr">
        <is>
          <t>Evet</t>
        </is>
      </c>
      <c r="J35" s="29" t="inlineStr">
        <is>
          <t>Lisans kanıtları/15cf103501e9949d916abcf83589d731e0765f01108325dcb423cf656b06c6df.html</t>
        </is>
      </c>
      <c r="K35" s="29" t="inlineStr">
        <is>
          <t>15cf103501e9949d916abcf83589d731e0765f01108325dcb423cf656b06c6df</t>
        </is>
      </c>
    </row>
    <row r="36" ht="54" customHeight="1">
      <c r="A36" s="29" t="inlineStr">
        <is>
          <t>marbella:kaynak:029</t>
        </is>
      </c>
      <c r="B36" s="29" t="inlineStr">
        <is>
          <t>marbella</t>
        </is>
      </c>
      <c r="C36" s="29" t="inlineStr">
        <is>
          <t>Legalización Única o Apostilla de la Haya - Trámites y Gestiones Personales</t>
        </is>
      </c>
      <c r="D36" s="29" t="inlineStr">
        <is>
          <t>Ministerio de Justicia</t>
        </is>
      </c>
      <c r="E36" s="29" t="inlineStr">
        <is>
          <t>https://www.mjusticia.gob.es/es/ciudadania/tramites/legalizacion-unica-apostilla</t>
        </is>
      </c>
      <c r="F36" s="49" t="n">
        <v>46319</v>
      </c>
      <c r="G36" s="29" t="inlineStr">
        <is>
          <t>marbella:resmi</t>
        </is>
      </c>
      <c r="H36" s="29" t="inlineStr">
        <is>
          <t>Kart 8: apostil kimden alınır (noter belgeleri yalnız Colegio de Notarios); apostil ücreti sayfada yok</t>
        </is>
      </c>
      <c r="I36" s="29" t="inlineStr">
        <is>
          <t>Evet</t>
        </is>
      </c>
      <c r="J36" s="29" t="inlineStr">
        <is>
          <t>Lisans kanıtları/30bfe0df74ce4ef5f3db85b3f9e2a0d5d8376f3c01a7548a191fa8fdce568d70.html</t>
        </is>
      </c>
      <c r="K36" s="29" t="inlineStr">
        <is>
          <t>30bfe0df74ce4ef5f3db85b3f9e2a0d5d8376f3c01a7548a191fa8fdce568d70</t>
        </is>
      </c>
    </row>
    <row r="37" ht="54" customHeight="1">
      <c r="A37" s="29" t="inlineStr">
        <is>
          <t>marbella:kaynak:030</t>
        </is>
      </c>
      <c r="B37" s="29" t="inlineStr">
        <is>
          <t>marbella</t>
        </is>
      </c>
      <c r="C37" s="29" t="inlineStr">
        <is>
          <t>BOE-A-1989-28111 Real Decreto 1426/1989, de 17 de noviembre, por el que se aprueba el Arancel de los Notarios.</t>
        </is>
      </c>
      <c r="D37" s="29" t="inlineStr">
        <is>
          <t>Agencia Estatal Boletín Oficial del Estado (BOE)</t>
        </is>
      </c>
      <c r="E37" s="29" t="inlineStr">
        <is>
          <t>https://www.boe.es/buscar/act.php?id=BOE-A-1989-28111</t>
        </is>
      </c>
      <c r="F37" s="49" t="n">
        <v>46319</v>
      </c>
      <c r="G37" s="29" t="inlineStr">
        <is>
          <t>marbella:resmi</t>
        </is>
      </c>
      <c r="H37" s="29" t="inlineStr">
        <is>
          <t>Kart 9: noter harçları (vekaletname 30,050605 EUR, imza tasdiki 6,010121 EUR); konsolide metinde son değişiklik 17/11/2011, hâlâ yürürlükte; miktarlı işlemlerde oranlı tarife</t>
        </is>
      </c>
      <c r="I37" s="29" t="inlineStr">
        <is>
          <t>Evet</t>
        </is>
      </c>
      <c r="J37" s="29" t="inlineStr">
        <is>
          <t>Lisans kanıtları/7ac8b005a4cb8d0dfdf53a3cb0be22ebffddfa2320cad6e72631badbfef437fd.html</t>
        </is>
      </c>
      <c r="K37" s="29" t="inlineStr">
        <is>
          <t>7ac8b005a4cb8d0dfdf53a3cb0be22ebffddfa2320cad6e72631badbfef437fd</t>
        </is>
      </c>
    </row>
    <row r="38" ht="54" customHeight="1">
      <c r="A38" s="29" t="inlineStr">
        <is>
          <t>marbella:kaynak:031</t>
        </is>
      </c>
      <c r="B38" s="29" t="inlineStr">
        <is>
          <t>marbella</t>
        </is>
      </c>
      <c r="C38" s="29" t="inlineStr">
        <is>
          <t>BOE-A-2011-12628 Ley 20/2011, de 21 de julio, del Registro Civil.</t>
        </is>
      </c>
      <c r="D38" s="29" t="inlineStr">
        <is>
          <t>Agencia Estatal Boletín Oficial del Estado (BOE)</t>
        </is>
      </c>
      <c r="E38" s="29" t="inlineStr">
        <is>
          <t>https://www.boe.es/buscar/act.php?id=BOE-A-2011-12628</t>
        </is>
      </c>
      <c r="F38" s="49" t="n">
        <v>46319</v>
      </c>
      <c r="G38" s="29" t="inlineStr">
        <is>
          <t>marbella:resmi</t>
        </is>
      </c>
      <c r="H38" s="29" t="inlineStr">
        <is>
          <t>Kart 10: Libro de Familia yeni Registro Civil modelinde kaldırılıyor, etkileri geçici olarak sürüyor</t>
        </is>
      </c>
      <c r="I38" s="29" t="inlineStr">
        <is>
          <t>Evet</t>
        </is>
      </c>
      <c r="J38" s="29" t="inlineStr">
        <is>
          <t>Lisans kanıtları/b37e9fa3f69ef15d48fdf71f9e2fc21af9542c099143f54e2838e01ebc7c97da.html</t>
        </is>
      </c>
      <c r="K38" s="29" t="inlineStr">
        <is>
          <t>b37e9fa3f69ef15d48fdf71f9e2fc21af9542c099143f54e2838e01ebc7c97da</t>
        </is>
      </c>
    </row>
    <row r="39" ht="54" customHeight="1">
      <c r="A39" s="29" t="inlineStr">
        <is>
          <t>marbella:kaynak:032</t>
        </is>
      </c>
      <c r="B39" s="29" t="inlineStr">
        <is>
          <t>marbella</t>
        </is>
      </c>
      <c r="C39" s="29" t="inlineStr">
        <is>
          <t>BOE-A-2021-15391 Instrucción de 16 de septiembre de 2021, de la Dirección General de Seguridad Jurídica y Fe Pública, por la que se acuerdan las pautas y criterios para apoyar la e</t>
        </is>
      </c>
      <c r="D39" s="29" t="inlineStr">
        <is>
          <t>Ministerio de Justicia (BOE)</t>
        </is>
      </c>
      <c r="E39" s="29" t="inlineStr">
        <is>
          <t>https://www.boe.es/buscar/act.php?id=BOE-A-2021-15391</t>
        </is>
      </c>
      <c r="F39" s="49" t="n">
        <v>46321</v>
      </c>
      <c r="G39" s="29" t="inlineStr">
        <is>
          <t>marbella:resmi</t>
        </is>
      </c>
      <c r="H39" s="29" t="inlineStr">
        <is>
          <t>Libro de Familia ve DICIREG geçişi: ofis bazında yürürlük, DICIREG ofislerinde yeni kitap verilmez</t>
        </is>
      </c>
      <c r="I39" s="29" t="inlineStr">
        <is>
          <t>Evet</t>
        </is>
      </c>
      <c r="J39" s="29" t="inlineStr">
        <is>
          <t>Lisans kanıtları/8da740163a86ab3b11a7d38c3f618394ac83dc728d893442cacdb523afbdad22.html</t>
        </is>
      </c>
      <c r="K39" s="29" t="inlineStr">
        <is>
          <t>8da740163a86ab3b11a7d38c3f618394ac83dc728d893442cacdb523afbdad22</t>
        </is>
      </c>
    </row>
    <row r="40" ht="54" customHeight="1">
      <c r="A40" s="29" t="inlineStr">
        <is>
          <t>marbella:kaynak:033</t>
        </is>
      </c>
      <c r="B40" s="29" t="inlineStr">
        <is>
          <t>marbella</t>
        </is>
      </c>
      <c r="C40" s="29" t="inlineStr">
        <is>
          <t>El Registro Civil - Estado civil</t>
        </is>
      </c>
      <c r="D40" s="29" t="inlineStr">
        <is>
          <t>Ministerio de Justicia</t>
        </is>
      </c>
      <c r="E40" s="29" t="inlineStr">
        <is>
          <t>https://www.mjusticia.gob.es/es/ciudadania/estado-civil/registro-civil</t>
        </is>
      </c>
      <c r="F40" s="49" t="n">
        <v>46319</v>
      </c>
      <c r="G40" s="29" t="inlineStr">
        <is>
          <t>marbella:resmi</t>
        </is>
      </c>
      <c r="H40" s="29" t="inlineStr">
        <is>
          <t>Kart 11 (ve 10): Registro Civil ne kaydeder; sertifikalar ücretsiz</t>
        </is>
      </c>
      <c r="I40" s="29" t="inlineStr">
        <is>
          <t>Evet</t>
        </is>
      </c>
      <c r="J40" s="29" t="inlineStr">
        <is>
          <t>Lisans kanıtları/3bc527edf4bbfd807b5af80512af3f47f52d213d14fd21441791565b1c7e5ea8.html</t>
        </is>
      </c>
      <c r="K40" s="29" t="inlineStr">
        <is>
          <t>3bc527edf4bbfd807b5af80512af3f47f52d213d14fd21441791565b1c7e5ea8</t>
        </is>
      </c>
    </row>
    <row r="41" ht="54" customHeight="1">
      <c r="A41" s="29" t="inlineStr">
        <is>
          <t>marbella:kaynak:034</t>
        </is>
      </c>
      <c r="B41" s="29" t="inlineStr">
        <is>
          <t>marbella</t>
        </is>
      </c>
      <c r="C41" s="29" t="inlineStr">
        <is>
          <t>DGT - Canje de permisos de países extracomunitarios</t>
        </is>
      </c>
      <c r="D41" s="29" t="inlineStr">
        <is>
          <t>Dirección General de Tráfico (DGT)</t>
        </is>
      </c>
      <c r="E41" s="29" t="inlineStr">
        <is>
          <t>https://www.dgt.es/nuestros-servicios/permisos-de-conducir/permisos-extranjeros-y-de-fuerzas-y-cuerpos-de-seguridad/canjes-de-permisos/canjes-de-permisos-extranjeros/canje-de-permisos-de-otros-paises/</t>
        </is>
      </c>
      <c r="F41" s="49" t="n">
        <v>46319</v>
      </c>
      <c r="G41" s="29" t="inlineStr">
        <is>
          <t>marbella:resmi</t>
        </is>
      </c>
      <c r="H41" s="29" t="inlineStr">
        <is>
          <t>Kart 12: ehliyet İspanya'da yerleşik olmadan önce alınmış olmalı</t>
        </is>
      </c>
      <c r="I41" s="29" t="inlineStr">
        <is>
          <t>Evet</t>
        </is>
      </c>
      <c r="J41" s="29" t="inlineStr">
        <is>
          <t>Lisans kanıtları/7d94e3ec46e6b7a74379fe76a068151beca99c604c383d05bdcf90f2fd07768c.html</t>
        </is>
      </c>
      <c r="K41" s="29" t="inlineStr">
        <is>
          <t>7d94e3ec46e6b7a74379fe76a068151beca99c604c383d05bdcf90f2fd07768c</t>
        </is>
      </c>
    </row>
    <row r="42" ht="54" customHeight="1">
      <c r="A42" s="29" t="inlineStr">
        <is>
          <t>marbella:kaynak:035</t>
        </is>
      </c>
      <c r="B42" s="29" t="inlineStr">
        <is>
          <t>marbella</t>
        </is>
      </c>
      <c r="C42" s="29" t="inlineStr">
        <is>
          <t>BOE-A-2011-5606 Acuerdo entre el Reino de España y la República de Turquía sobre el reconocimiento recíproco y el canje de los permisos de conducción nacionales, hecho "ad referend</t>
        </is>
      </c>
      <c r="D42" s="29" t="inlineStr">
        <is>
          <t>Boletín Oficial del Estado</t>
        </is>
      </c>
      <c r="E42" s="29" t="inlineStr">
        <is>
          <t>https://www.boe.es/diario_boe/txt.php?id=BOE-A-2011-5606</t>
        </is>
      </c>
      <c r="F42" s="49" t="n">
        <v>46319</v>
      </c>
      <c r="G42" s="29" t="inlineStr">
        <is>
          <t>marbella:oturum</t>
        </is>
      </c>
      <c r="H42" s="29" t="inlineStr">
        <is>
          <t>Türkiye-İspanya ehliyet değişim anlaşması: sınıflar, sınav şartı, değiştirilemeyen sınıflar.</t>
        </is>
      </c>
      <c r="I42" s="29" t="inlineStr">
        <is>
          <t>Evet</t>
        </is>
      </c>
      <c r="J42" s="29" t="inlineStr">
        <is>
          <t>Lisans kanıtları/53b1243fa1db18f65495c1c59132d572f10a826e2de658252520f73df9a4326b.html</t>
        </is>
      </c>
      <c r="K42" s="29" t="inlineStr">
        <is>
          <t>53b1243fa1db18f65495c1c59132d572f10a826e2de658252520f73df9a4326b</t>
        </is>
      </c>
    </row>
    <row r="43" ht="54" customHeight="1">
      <c r="A43" s="29" t="inlineStr">
        <is>
          <t>marbella:kaynak:036</t>
        </is>
      </c>
      <c r="B43" s="29" t="inlineStr">
        <is>
          <t>marbella</t>
        </is>
      </c>
      <c r="C43" s="29" t="inlineStr">
        <is>
          <t>Sede Electrónica DGT - Matriculación de vehículos nuevos y vehículos provenientes del extranjero</t>
        </is>
      </c>
      <c r="D43" s="29" t="inlineStr">
        <is>
          <t>Dirección General de Tráfico (DGT) - Sede electrónica</t>
        </is>
      </c>
      <c r="E43" s="29" t="inlineStr">
        <is>
          <t>https://sede.dgt.gob.es/es/vehiculos/matriculaciones-de-vehiculos/matriculacion-ordinaria/</t>
        </is>
      </c>
      <c r="F43" s="49" t="n">
        <v>46319</v>
      </c>
      <c r="G43" s="29" t="inlineStr">
        <is>
          <t>marbella:resmi</t>
        </is>
      </c>
      <c r="H43" s="29" t="inlineStr">
        <is>
          <t>Kart 13: araç tescili, DGT azami 3 ay, tescil vergisi ödeme/muafiyat kanıtı gerekir</t>
        </is>
      </c>
      <c r="I43" s="29" t="inlineStr">
        <is>
          <t>Evet</t>
        </is>
      </c>
      <c r="J43" s="29" t="inlineStr">
        <is>
          <t>Lisans kanıtları/6f027c960fdb8de30dd8edc9db2d1bf3c0ee7e319d378dd59c5e4740b10e66e7.html</t>
        </is>
      </c>
      <c r="K43" s="29" t="inlineStr">
        <is>
          <t>6f027c960fdb8de30dd8edc9db2d1bf3c0ee7e319d378dd59c5e4740b10e66e7</t>
        </is>
      </c>
    </row>
    <row r="44" ht="54" customHeight="1">
      <c r="A44" s="29" t="inlineStr">
        <is>
          <t>marbella:kaynak:037</t>
        </is>
      </c>
      <c r="B44" s="29" t="inlineStr">
        <is>
          <t>marbella</t>
        </is>
      </c>
      <c r="C44" s="29" t="inlineStr">
        <is>
          <t>Agencia Tributaria: Impuesto de Matriculación</t>
        </is>
      </c>
      <c r="D44" s="29" t="inlineStr">
        <is>
          <t>Agencia Tributaria (AEAT)</t>
        </is>
      </c>
      <c r="E44" s="29" t="inlineStr">
        <is>
          <t>https://sede.agenciatributaria.gob.es/Sede/impuestos-tasas/impuesto-matriculacion.html</t>
        </is>
      </c>
      <c r="F44" s="49" t="n">
        <v>46319</v>
      </c>
      <c r="G44" s="29" t="inlineStr">
        <is>
          <t>marbella:resmi</t>
        </is>
      </c>
      <c r="H44" s="29" t="inlineStr">
        <is>
          <t>Kart 13 vergi: tescil vergisi Modelo 576 ile kendi beyan (vergi tutarı sayfada yok)</t>
        </is>
      </c>
      <c r="I44" s="29" t="inlineStr">
        <is>
          <t>Evet</t>
        </is>
      </c>
      <c r="J44" s="29" t="inlineStr">
        <is>
          <t>Lisans kanıtları/a7cf1a18d8f622adb3b18e4e5db0c0de87f388e37c160f4639a2bd92d5f38fe3.html</t>
        </is>
      </c>
      <c r="K44" s="29" t="inlineStr">
        <is>
          <t>a7cf1a18d8f622adb3b18e4e5db0c0de87f388e37c160f4639a2bd92d5f38fe3</t>
        </is>
      </c>
    </row>
    <row r="45" ht="54" customHeight="1">
      <c r="A45" s="29" t="inlineStr">
        <is>
          <t>marbella:kaynak:038</t>
        </is>
      </c>
      <c r="B45" s="29" t="inlineStr">
        <is>
          <t>marbella</t>
        </is>
      </c>
      <c r="C45" s="29" t="inlineStr">
        <is>
          <t>Solicitud de apertura de cuentas de pago - Cliente Bancario, Banco de España</t>
        </is>
      </c>
      <c r="D45" s="29" t="inlineStr">
        <is>
          <t>Banco de España - Cliente Bancario</t>
        </is>
      </c>
      <c r="E45" s="29" t="inlineStr">
        <is>
          <t>https://clientebancario.bde.es/pcb/es/blog/solicitud-de-apertura-de-cuentas-de-pago.html</t>
        </is>
      </c>
      <c r="F45" s="49" t="n">
        <v>46319</v>
      </c>
      <c r="G45" s="29" t="inlineStr">
        <is>
          <t>marbella:para</t>
        </is>
      </c>
      <c r="H45" s="29" t="inlineStr">
        <is>
          <t>Kart 1: banka hesap açmada serbest ama uyruk/ikamet gibi ayrımcı gerekçeyle reddedemez; zorluk olursa temel ödeme hesabı. Sayfa tarihi 11/11/2025. Belge listesi (NIE/pasaport) bu sayfada yok.</t>
        </is>
      </c>
      <c r="I45" s="29" t="inlineStr">
        <is>
          <t>Evet</t>
        </is>
      </c>
      <c r="J45" s="29" t="inlineStr">
        <is>
          <t>Lisans kanıtları/0e76e3344f719fedbca845c9fde389f0c68c82306f76d8b7f83c4da4dd97ee9c.html</t>
        </is>
      </c>
      <c r="K45" s="29" t="inlineStr">
        <is>
          <t>0e76e3344f719fedbca845c9fde389f0c68c82306f76d8b7f83c4da4dd97ee9c</t>
        </is>
      </c>
    </row>
    <row r="46" ht="54" customHeight="1">
      <c r="A46" s="29" t="inlineStr">
        <is>
          <t>marbella:kaynak:039</t>
        </is>
      </c>
      <c r="B46" s="29" t="inlineStr">
        <is>
          <t>marbella</t>
        </is>
      </c>
      <c r="C46" s="29" t="inlineStr">
        <is>
          <t>¿Quiénes pueden solicitarla? - Cliente Bancario, Banco de España</t>
        </is>
      </c>
      <c r="D46" s="29" t="inlineStr">
        <is>
          <t>Banco de España - Cliente Bancario</t>
        </is>
      </c>
      <c r="E46" s="29" t="inlineStr">
        <is>
          <t>https://clientebancario.bde.es/pcb/es/menu-horizontal/productosservici/cuentasdepositos/cuentascorriente/guia-textual/CuentadepagoBasica/quienes-pueden-solicitarla-.html</t>
        </is>
      </c>
      <c r="F46" s="49" t="n">
        <v>46319</v>
      </c>
      <c r="G46" s="29" t="inlineStr">
        <is>
          <t>marbella:para</t>
        </is>
      </c>
      <c r="H46" s="29" t="inlineStr">
        <is>
          <t>Kart 1: banka hesabı hakkı - AB'de yasal ikamet eden herkese temel ödeme hesabı sunma zorunluluğu (sabit adres şart değil).</t>
        </is>
      </c>
      <c r="I46" s="29" t="inlineStr">
        <is>
          <t>Evet</t>
        </is>
      </c>
      <c r="J46" s="29" t="inlineStr">
        <is>
          <t>Lisans kanıtları/77b469df8a2f5ec88100a830b6cd53e2b576a32109414c9f456d5b9c6bcc865b.html</t>
        </is>
      </c>
      <c r="K46" s="29" t="inlineStr">
        <is>
          <t>77b469df8a2f5ec88100a830b6cd53e2b576a32109414c9f456d5b9c6bcc865b</t>
        </is>
      </c>
    </row>
    <row r="47" ht="54" customHeight="1">
      <c r="A47" s="29" t="inlineStr">
        <is>
          <t>marbella:kaynak:040</t>
        </is>
      </c>
      <c r="B47" s="29" t="inlineStr">
        <is>
          <t>marbella</t>
        </is>
      </c>
      <c r="C47" s="29" t="inlineStr">
        <is>
          <t>Transferencia SEPA - Cliente Bancario, Banco de España</t>
        </is>
      </c>
      <c r="D47" s="29" t="inlineStr">
        <is>
          <t>Banco de España - Cliente Bancario</t>
        </is>
      </c>
      <c r="E47" s="29" t="inlineStr">
        <is>
          <t>https://clientebancario.bde.es/pcb/es/menu-horizontal/productosservici/serviciospago/traspasostransfe/guia-textual/tipos/Transferencia_SEPA.html</t>
        </is>
      </c>
      <c r="F47" s="49" t="n">
        <v>46319</v>
      </c>
      <c r="G47" s="29" t="inlineStr">
        <is>
          <t>marbella:para</t>
        </is>
      </c>
      <c r="H47" s="29" t="inlineStr">
        <is>
          <t>Kart 2: SEPA bölgesi (27 AB üyesi + IS, LI, NO) ve euro ödemelerin ulusal/sınır ötesi aynı koşullarda yapılması.</t>
        </is>
      </c>
      <c r="I47" s="29" t="inlineStr">
        <is>
          <t>Evet</t>
        </is>
      </c>
      <c r="J47" s="29" t="inlineStr">
        <is>
          <t>Lisans kanıtları/df9275d7450cd640c950f481ca12d6a0359adb48d04ed459a37eb117e9e6d70d.html</t>
        </is>
      </c>
      <c r="K47" s="29" t="inlineStr">
        <is>
          <t>df9275d7450cd640c950f481ca12d6a0359adb48d04ed459a37eb117e9e6d70d</t>
        </is>
      </c>
    </row>
    <row r="48" ht="54" customHeight="1">
      <c r="A48" s="29" t="inlineStr">
        <is>
          <t>marbella:kaynak:041</t>
        </is>
      </c>
      <c r="B48" s="29" t="inlineStr">
        <is>
          <t>marbella</t>
        </is>
      </c>
      <c r="C48" s="29" t="inlineStr">
        <is>
          <t>Upppsss…transferencia enviada al IBAN equivocado - Cliente Bancario, Banco de España</t>
        </is>
      </c>
      <c r="D48" s="29" t="inlineStr">
        <is>
          <t>Banco de España - Portal del Cliente Bancario</t>
        </is>
      </c>
      <c r="E48" s="29" t="inlineStr">
        <is>
          <t>https://clientebancario.bde.es/pcb/es/blog/upppssstransferencia-enviada-al-iban-equivocado.html</t>
        </is>
      </c>
      <c r="F48" s="49" t="n">
        <v>46319</v>
      </c>
      <c r="G48" s="29" t="inlineStr">
        <is>
          <t>marbella:para</t>
        </is>
      </c>
      <c r="H48" s="29" t="inlineStr">
        <is>
          <t>Kart 2 (IBAN): 19/02/2026 tarihli BdE sayfası; 9 Ekim'den beri alıcı adı doğrulama hizmeti (coincidente/casi coincidente/no coincidente); uyarıya rağmen havale gider</t>
        </is>
      </c>
      <c r="I48" s="29" t="inlineStr">
        <is>
          <t>Evet</t>
        </is>
      </c>
      <c r="J48" s="29" t="inlineStr">
        <is>
          <t>Lisans kanıtları/ac63ec4a3291141cfaa2a1515ef1dfb81b58d7fe452b175a27a573c6af591026.html</t>
        </is>
      </c>
      <c r="K48" s="29" t="inlineStr">
        <is>
          <t>ac63ec4a3291141cfaa2a1515ef1dfb81b58d7fe452b175a27a573c6af591026</t>
        </is>
      </c>
    </row>
    <row r="49" ht="54" customHeight="1">
      <c r="A49" s="29" t="inlineStr">
        <is>
          <t>marbella:kaynak:042</t>
        </is>
      </c>
      <c r="B49" s="29" t="inlineStr">
        <is>
          <t>marbella</t>
        </is>
      </c>
      <c r="C49" s="29" t="inlineStr">
        <is>
          <t>Agencia Tributaria: Gravamen estatal</t>
        </is>
      </c>
      <c r="D49" s="29" t="inlineStr">
        <is>
          <t>Agencia Tributaria (AEAT)</t>
        </is>
      </c>
      <c r="E49" s="29" t="inlineStr">
        <is>
          <t>https://sede.agenciatributaria.gob.es/Sede/ayuda/manuales-videos-folletos/manuales-practicos/irpf-2025/c15-calculo-impuesto-determinacion-cuotas-integras/gravamen-base-liquidable-general/gravamen-estatal.html</t>
        </is>
      </c>
      <c r="F49" s="49" t="n">
        <v>46319</v>
      </c>
      <c r="G49" s="29" t="inlineStr">
        <is>
          <t>marbella:para</t>
        </is>
      </c>
      <c r="H49" s="29" t="inlineStr">
        <is>
          <t>Kart 3: devlet IRPF ölçeği 9,50% (12.450 EUR'ya kadar) - 24,50% (300.000 EUR üstü); ölçek yaşanılan yerden bağımsız devlet payı. Manuel Renta 2025 (2026 baharında verilen beyan), sayfa 2026'da erişildi.</t>
        </is>
      </c>
      <c r="I49" s="29" t="inlineStr">
        <is>
          <t>Evet</t>
        </is>
      </c>
      <c r="J49" s="29" t="inlineStr">
        <is>
          <t>Lisans kanıtları/cf034579f6383a255d2b0682059fe338b68413dac26432b8e9214f9696e6526d.html</t>
        </is>
      </c>
      <c r="K49" s="29" t="inlineStr">
        <is>
          <t>cf034579f6383a255d2b0682059fe338b68413dac26432b8e9214f9696e6526d</t>
        </is>
      </c>
    </row>
    <row r="50" ht="54" customHeight="1">
      <c r="A50" s="29" t="inlineStr">
        <is>
          <t>marbella:kaynak:043</t>
        </is>
      </c>
      <c r="B50" s="29" t="inlineStr">
        <is>
          <t>marbella</t>
        </is>
      </c>
      <c r="C50" s="29" t="inlineStr">
        <is>
          <t>Agencia Tributaria: Gravamen autonómico</t>
        </is>
      </c>
      <c r="D50" s="29" t="inlineStr">
        <is>
          <t>Agencia Tributaria (AEAT)</t>
        </is>
      </c>
      <c r="E50" s="29" t="inlineStr">
        <is>
          <t>https://sede.agenciatributaria.gob.es/Sede/ayuda/manuales-videos-folletos/manuales-practicos/irpf-2025/c15-calculo-impuesto-determinacion-cuotas-integras/gravamen-base-liquidable-general/gravamen-autonomico.html</t>
        </is>
      </c>
      <c r="F50" s="49" t="n">
        <v>46319</v>
      </c>
      <c r="G50" s="29" t="inlineStr">
        <is>
          <t>marbella:para</t>
        </is>
      </c>
      <c r="H50" s="29" t="inlineStr">
        <is>
          <t>Kart 3: bölgesel dilimin her özerk bölge tarafından onaylanan ölçeğe göre değiştiği (bölgeye göre değişir) çerçevesi. Sayfa 'Para el ejercicio 2025', güncelleme 17/marzo/2026.</t>
        </is>
      </c>
      <c r="I50" s="29" t="inlineStr">
        <is>
          <t>Evet</t>
        </is>
      </c>
      <c r="J50" s="29" t="inlineStr">
        <is>
          <t>Lisans kanıtları/6aa585d2693f134d22ba162112676052af012014ffc0fe58011a4075f91dbb4b.html</t>
        </is>
      </c>
      <c r="K50" s="29" t="inlineStr">
        <is>
          <t>6aa585d2693f134d22ba162112676052af012014ffc0fe58011a4075f91dbb4b</t>
        </is>
      </c>
    </row>
    <row r="51" ht="54" customHeight="1">
      <c r="A51" s="29" t="inlineStr">
        <is>
          <t>marbella:kaynak:044</t>
        </is>
      </c>
      <c r="B51" s="29" t="inlineStr">
        <is>
          <t>marbella</t>
        </is>
      </c>
      <c r="C51" s="29" t="inlineStr">
        <is>
          <t>Agencia Tributaria: Tipos impositivos de IVA</t>
        </is>
      </c>
      <c r="D51" s="29" t="inlineStr">
        <is>
          <t>Agencia Tributaria (AEAT)</t>
        </is>
      </c>
      <c r="E51" s="29" t="inlineStr">
        <is>
          <t>https://sede.agenciatributaria.gob.es/Sede/iva/calculo-iva-repercutido-clientes/tipos-impositivos-iva.html</t>
        </is>
      </c>
      <c r="F51" s="49" t="n">
        <v>46319</v>
      </c>
      <c r="G51" s="29" t="inlineStr">
        <is>
          <t>marbella:para</t>
        </is>
      </c>
      <c r="H51" s="29" t="inlineStr">
        <is>
          <t>Kart 4: genel %21, indirimli %10 ve %4 (+ bazı işlemlerde %0). Sayfa güncelleme 13/octubre/2026. Not: sayfa 4'ü de 'reducido' diyor; 'süper azaltılmış' adı AEAT sözlüğünde. | 'Süper azaltılmış %4' adı AEAT sözlüğünde (sede.agenciatributaria.gob.es/.../glosario/sobre-iva.html: 'el superreducido del 4%').</t>
        </is>
      </c>
      <c r="I51" s="29" t="inlineStr">
        <is>
          <t>Evet</t>
        </is>
      </c>
      <c r="J51" s="29" t="inlineStr">
        <is>
          <t>Lisans kanıtları/60a68e7e314a612315304229d09b2054ce033f0776da5e41ba4fcd86bca54ac2.html</t>
        </is>
      </c>
      <c r="K51" s="29" t="inlineStr">
        <is>
          <t>60a68e7e314a612315304229d09b2054ce033f0776da5e41ba4fcd86bca54ac2</t>
        </is>
      </c>
    </row>
    <row r="52" ht="54" customHeight="1">
      <c r="A52" s="29" t="inlineStr">
        <is>
          <t>marbella:kaynak:045</t>
        </is>
      </c>
      <c r="B52" s="29" t="inlineStr">
        <is>
          <t>marbella</t>
        </is>
      </c>
      <c r="C52" s="29" t="inlineStr">
        <is>
          <t>: Territorio en el que se aplica el impuesto</t>
        </is>
      </c>
      <c r="D52" s="29" t="inlineStr">
        <is>
          <t>Agencia Tributaria (AEAT)</t>
        </is>
      </c>
      <c r="E52" s="29" t="inlineStr">
        <is>
          <t>https://sede.agenciatributaria.gob.es/Sede/ayuda/manuales-videos-folletos/manuales-practicos/manual-iva-2025/capitulo-02-introduccion/territorio-que-se-aplica-impuesto.html</t>
        </is>
      </c>
      <c r="F52" s="49" t="n">
        <v>46319</v>
      </c>
      <c r="G52" s="29" t="inlineStr">
        <is>
          <t>marbella:para</t>
        </is>
      </c>
      <c r="H52" s="29" t="inlineStr">
        <is>
          <t>Kart 4: IVA yalnız Yarımada ve Baleares'te; Canarias, Ceuta, Melilla kapsam dışı. Manuel IVA 2025.</t>
        </is>
      </c>
      <c r="I52" s="29" t="inlineStr">
        <is>
          <t>Evet</t>
        </is>
      </c>
      <c r="J52" s="29" t="inlineStr">
        <is>
          <t>Lisans kanıtları/b327da1005dfba23860bbf4a321dc2fac11e5a60480ef26073b3d732e91a66d3.html</t>
        </is>
      </c>
      <c r="K52" s="29" t="inlineStr">
        <is>
          <t>b327da1005dfba23860bbf4a321dc2fac11e5a60480ef26073b3d732e91a66d3</t>
        </is>
      </c>
    </row>
    <row r="53" ht="54" customHeight="1">
      <c r="A53" s="29" t="inlineStr">
        <is>
          <t>marbella:kaynak:046</t>
        </is>
      </c>
      <c r="B53" s="29" t="inlineStr">
        <is>
          <t>marbella</t>
        </is>
      </c>
      <c r="C53" s="29" t="inlineStr">
        <is>
          <t>Agencia Tributaria: Plazo y forma de presentación de las declaraciones</t>
        </is>
      </c>
      <c r="D53" s="29" t="inlineStr">
        <is>
          <t>Agencia Tributaria (AEAT)</t>
        </is>
      </c>
      <c r="E53" s="29" t="inlineStr">
        <is>
          <t>https://sede.agenciatributaria.gob.es/Sede/ayuda/manuales-videos-folletos/manuales-practicos/irpf-2025/c01-campana-declaracion-renta/confirmacion-borrador-presentacion-declaraciones/plazo-forma-presentacion.html</t>
        </is>
      </c>
      <c r="F53" s="49" t="n">
        <v>46319</v>
      </c>
      <c r="G53" s="29" t="inlineStr">
        <is>
          <t>marbella:para</t>
        </is>
      </c>
      <c r="H53" s="29" t="inlineStr">
        <is>
          <t>Kart 5: Renta 2025 kampanyası 8 Nisan - 30 Haziran 2026; banka talimatlı ödeme için 25 Haziran 2026; Renta WEB. Her yıl tarih değişir. | Kart 7: beyan Renta WEB ile mükellef kendisi internetten verebilir; colaboradores sociales (gestor/asesor) temsilci olarak aynı servisi kullanabilir.</t>
        </is>
      </c>
      <c r="I53" s="29" t="inlineStr">
        <is>
          <t>Evet</t>
        </is>
      </c>
      <c r="J53" s="29" t="inlineStr">
        <is>
          <t>Lisans kanıtları/c8eac1ccd523529e64bcb9525258b31b72022de3f20e5bb99fccf2e0a66993e5.html</t>
        </is>
      </c>
      <c r="K53" s="29" t="inlineStr">
        <is>
          <t>c8eac1ccd523529e64bcb9525258b31b72022de3f20e5bb99fccf2e0a66993e5</t>
        </is>
      </c>
    </row>
    <row r="54" ht="54" customHeight="1">
      <c r="A54" s="29" t="inlineStr">
        <is>
          <t>marbella:kaynak:047</t>
        </is>
      </c>
      <c r="B54" s="29" t="inlineStr">
        <is>
          <t>marbella</t>
        </is>
      </c>
      <c r="C54" s="29" t="inlineStr">
        <is>
          <t>Agencia Tributaria: Delimitación de la obligación de declarar en el IRPF</t>
        </is>
      </c>
      <c r="D54" s="29" t="inlineStr">
        <is>
          <t>Agencia Tributaria (AEAT)</t>
        </is>
      </c>
      <c r="E54" s="29" t="inlineStr">
        <is>
          <t>https://sede.agenciatributaria.gob.es/Sede/ayuda/manuales-videos-folletos/manuales-practicos/irpf-2025/c01-campana-declaracion-renta/quienes-estan-obligados-presentar-declaracion-irpf/delimitacion-obligacion-declarar-irpf.html</t>
        </is>
      </c>
      <c r="F54" s="49" t="n">
        <v>46319</v>
      </c>
      <c r="G54" s="29" t="inlineStr">
        <is>
          <t>marbella:para</t>
        </is>
      </c>
      <c r="H54" s="29" t="inlineStr">
        <is>
          <t>Kart 5: beyan zorunluluğu eşikleri (iş gelirinde tek ödeyici için 22.000 EUR, birden çok ödeyicide 15.876 EUR). Manuel Renta 2025 (2025 geliri).</t>
        </is>
      </c>
      <c r="I54" s="29" t="inlineStr">
        <is>
          <t>Evet</t>
        </is>
      </c>
      <c r="J54" s="29" t="inlineStr">
        <is>
          <t>Lisans kanıtları/829142ae4fb4e341294a296dd5e53bbb14ba64bea4382e95099cc2fe53da8ac8.html</t>
        </is>
      </c>
      <c r="K54" s="29" t="inlineStr">
        <is>
          <t>829142ae4fb4e341294a296dd5e53bbb14ba64bea4382e95099cc2fe53da8ac8</t>
        </is>
      </c>
    </row>
    <row r="55" ht="54" customHeight="1">
      <c r="A55" s="29" t="inlineStr">
        <is>
          <t>marbella:kaynak:048</t>
        </is>
      </c>
      <c r="B55" s="29" t="inlineStr">
        <is>
          <t>marbella</t>
        </is>
      </c>
      <c r="C55" s="29" t="inlineStr">
        <is>
          <t>Agencia Tributaria: Cómo consultar una devolución</t>
        </is>
      </c>
      <c r="D55" s="29" t="inlineStr">
        <is>
          <t>Agencia Tributaria (AEAT)</t>
        </is>
      </c>
      <c r="E55" s="29" t="inlineStr">
        <is>
          <t>https://sede.agenciatributaria.gob.es/Sede/irpf/declaraciones-presentadas/consultar-devolucion.html</t>
        </is>
      </c>
      <c r="F55" s="49" t="n">
        <v>46319</v>
      </c>
      <c r="G55" s="29" t="inlineStr">
        <is>
          <t>marbella:para</t>
        </is>
      </c>
      <c r="H55" s="29" t="inlineStr">
        <is>
          <t>Kart 6: vergi iadesi banka havalesiyle kendi hesabına; idarenin 6 ayı var, aşılırsa faiz. Sayfa güncelleme 09/abril/2026.</t>
        </is>
      </c>
      <c r="I55" s="29" t="inlineStr">
        <is>
          <t>Evet</t>
        </is>
      </c>
      <c r="J55" s="29" t="inlineStr">
        <is>
          <t>Lisans kanıtları/eeeb7e570933e633c86498f9c0268dd9d8e308e0736ac1b07216aa85fa58007e.html</t>
        </is>
      </c>
      <c r="K55" s="29" t="inlineStr">
        <is>
          <t>eeeb7e570933e633c86498f9c0268dd9d8e308e0736ac1b07216aa85fa58007e</t>
        </is>
      </c>
    </row>
    <row r="56" ht="54" customHeight="1">
      <c r="A56" s="29" t="inlineStr">
        <is>
          <t>marbella:kaynak:049</t>
        </is>
      </c>
      <c r="B56" s="29" t="inlineStr">
        <is>
          <t>marbella</t>
        </is>
      </c>
      <c r="C56" s="29" t="inlineStr">
        <is>
          <t>Agencia Tributaria: Preguntas frecuentes sobre colaboración social</t>
        </is>
      </c>
      <c r="D56" s="29" t="inlineStr">
        <is>
          <t>Agencia Tributaria (AEAT)</t>
        </is>
      </c>
      <c r="E56" s="29" t="inlineStr">
        <is>
          <t>https://sede.agenciatributaria.gob.es/Sede/colaborar-agencia-tributaria/colaboracion-social-presentacion-declaraciones/preguntas-frecuentes-sobre-colaboracion-social.html</t>
        </is>
      </c>
      <c r="F56" s="49" t="n">
        <v>46319</v>
      </c>
      <c r="G56" s="29" t="inlineStr">
        <is>
          <t>marbella:para</t>
        </is>
      </c>
      <c r="H56" s="29" t="inlineStr">
        <is>
          <t>Kart 7: gestor/asesor ancak AEAT ile işbirliği anlaşmalı meslek kuruluşları üyesi olarak üçüncü kişi adına elektronik beyan verebilir; zorunluluk getirmez. Sayfa güncelleme 19/junio/2023.</t>
        </is>
      </c>
      <c r="I56" s="29" t="inlineStr">
        <is>
          <t>Evet</t>
        </is>
      </c>
      <c r="J56" s="29" t="inlineStr">
        <is>
          <t>Lisans kanıtları/052be9aaf70897a2c0df96013b73b32867b073be973e18d08a1a8e3528767ca4.html</t>
        </is>
      </c>
      <c r="K56" s="29" t="inlineStr">
        <is>
          <t>052be9aaf70897a2c0df96013b73b32867b073be973e18d08a1a8e3528767ca4</t>
        </is>
      </c>
    </row>
    <row r="57" ht="54" customHeight="1">
      <c r="A57" s="29" t="inlineStr">
        <is>
          <t>marbella:kaynak:050</t>
        </is>
      </c>
      <c r="B57" s="29" t="inlineStr">
        <is>
          <t>marbella</t>
        </is>
      </c>
      <c r="C57" s="29" t="inlineStr">
        <is>
          <t>BOE-A-2004-18911 Real Decreto Legislativo 8/2004, de 29 de octubre, por el que se aprueba el texto refundido de la Ley sobre responsabilidad civil y seguro en la circulación de veh</t>
        </is>
      </c>
      <c r="D57" s="29" t="inlineStr">
        <is>
          <t>Boletín Oficial del Estado (BOE)</t>
        </is>
      </c>
      <c r="E57" s="29" t="inlineStr">
        <is>
          <t>https://www.boe.es/buscar/act.php?id=BOE-A-2004-18911</t>
        </is>
      </c>
      <c r="F57" s="49" t="n">
        <v>46319</v>
      </c>
      <c r="G57" s="29" t="inlineStr">
        <is>
          <t>marbella:para</t>
        </is>
      </c>
      <c r="H57" s="29" t="inlineStr">
        <is>
          <t>Kart 8: araç sigortası zorunluluğu (her araç için sözleşme). Konsolide metin (BOE).</t>
        </is>
      </c>
      <c r="I57" s="29" t="inlineStr">
        <is>
          <t>Evet</t>
        </is>
      </c>
      <c r="J57" s="29" t="inlineStr">
        <is>
          <t>Lisans kanıtları/e617fe30f892599071dd14dd20064a54aeaf9134d412fa3c44e5ec8b6f3e88c8.html</t>
        </is>
      </c>
      <c r="K57" s="29" t="inlineStr">
        <is>
          <t>e617fe30f892599071dd14dd20064a54aeaf9134d412fa3c44e5ec8b6f3e88c8</t>
        </is>
      </c>
    </row>
    <row r="58" ht="54" customHeight="1">
      <c r="A58" s="29" t="inlineStr">
        <is>
          <t>marbella:kaynak:051</t>
        </is>
      </c>
      <c r="B58" s="29" t="inlineStr">
        <is>
          <t>marbella</t>
        </is>
      </c>
      <c r="C58" s="29" t="inlineStr">
        <is>
          <t>Seguros hipotecarios - Cliente Bancario, Banco de España</t>
        </is>
      </c>
      <c r="D58" s="29" t="inlineStr">
        <is>
          <t>Banco de España - Cliente Bancario</t>
        </is>
      </c>
      <c r="E58" s="29" t="inlineStr">
        <is>
          <t>https://clientebancario.bde.es/pcb/es/menu-horizontal/productosservici/financiacion/hipotecas/guia-textual/primerospasoscon/Seguros_hipotecarios.html</t>
        </is>
      </c>
      <c r="F58" s="49" t="n">
        <v>46319</v>
      </c>
      <c r="G58" s="29" t="inlineStr">
        <is>
          <t>marbella:para</t>
        </is>
      </c>
      <c r="H58" s="29" t="inlineStr">
        <is>
          <t>Kart 8: hipotekle ilişkili sigortalar (hayat, yangın/multirriesgo hogar). DİKKAT: aynı sayfa yangın/hogar sigortasını 'hipotek alırken zorunlu' diyor, bağlı hayat sigortasını zorunlu değil gösteriyor; DGSFP ise yasal zorunluluk olmadığını söylüyor. Ev/hayat için net 'isteğe bağlı' cümlesi yok.</t>
        </is>
      </c>
      <c r="I58" s="29" t="inlineStr">
        <is>
          <t>Evet</t>
        </is>
      </c>
      <c r="J58" s="29" t="inlineStr">
        <is>
          <t>Lisans kanıtları/15b757e913013eb69c1ff23f4ff977b637cdba2aa29bb9b614e432b84ac01bef.html</t>
        </is>
      </c>
      <c r="K58" s="29" t="inlineStr">
        <is>
          <t>15b757e913013eb69c1ff23f4ff977b637cdba2aa29bb9b614e432b84ac01bef</t>
        </is>
      </c>
    </row>
    <row r="59" ht="54" customHeight="1">
      <c r="A59" s="29" t="inlineStr">
        <is>
          <t>marbella:kaynak:052</t>
        </is>
      </c>
      <c r="B59" s="29" t="inlineStr">
        <is>
          <t>marbella</t>
        </is>
      </c>
      <c r="C59" s="29" t="inlineStr">
        <is>
          <t>Seguridad Social: Prestaciones / Pensiones de Trabajadores</t>
        </is>
      </c>
      <c r="D59" s="29" t="inlineStr">
        <is>
          <t>Seguridad Social (seg-social.es)</t>
        </is>
      </c>
      <c r="E59" s="29" t="inlineStr">
        <is>
          <t>https://www.seg-social.es/wps/portal/wss/internet/Trabajadores/PrestacionesPensionesTrabajadores/10963/28393/28396/28472</t>
        </is>
      </c>
      <c r="F59" s="49" t="n">
        <v>46319</v>
      </c>
      <c r="G59" s="29" t="inlineStr">
        <is>
          <t>marbella:para</t>
        </is>
      </c>
      <c r="H59" s="29" t="inlineStr">
        <is>
          <t>Kart 9: 2026 için emeklilik yaşı tablosu (38 yıl 3 ay+ prim: 65; daha az: 66 yıl 10 ay; 2027'den itibaren 38 yıl 6 ay), asgari 15 yıl prim. Yıllık değişir.</t>
        </is>
      </c>
      <c r="I59" s="29" t="inlineStr">
        <is>
          <t>Evet</t>
        </is>
      </c>
      <c r="J59" s="29" t="inlineStr">
        <is>
          <t>Lisans kanıtları/43a3b34bab55deedef178dd6bb405f8dd183c56f0a923a46df881a89e41f8f7e.html</t>
        </is>
      </c>
      <c r="K59" s="29" t="inlineStr">
        <is>
          <t>43a3b34bab55deedef178dd6bb405f8dd183c56f0a923a46df881a89e41f8f7e</t>
        </is>
      </c>
    </row>
    <row r="60" ht="54" customHeight="1">
      <c r="A60" s="29" t="inlineStr">
        <is>
          <t>marbella:kaynak:053</t>
        </is>
      </c>
      <c r="B60" s="29" t="inlineStr">
        <is>
          <t>marbella</t>
        </is>
      </c>
      <c r="C60" s="29" t="inlineStr">
        <is>
          <t>BOE-A-2026-7296 Orden PJC/297/2026, de 30 de marzo, por la que se desarrollan las normas legales de cotización a la Seguridad Social, desempleo, protección por cese de actividad, F</t>
        </is>
      </c>
      <c r="D60" s="29" t="inlineStr">
        <is>
          <t>Boletín Oficial del Estado (BOE)</t>
        </is>
      </c>
      <c r="E60" s="29" t="inlineStr">
        <is>
          <t>https://www.boe.es/buscar/act.php?id=BOE-A-2026-7296</t>
        </is>
      </c>
      <c r="F60" s="49" t="n">
        <v>46319</v>
      </c>
      <c r="G60" s="29" t="inlineStr">
        <is>
          <t>marbella:para</t>
        </is>
      </c>
      <c r="H60" s="29" t="inlineStr">
        <is>
          <t>Kart 9: 2026 ortak risk (contingencias comunes) primi toplam %28,30: işveren %23,60, işçi %4,70. Ejercicio 2026.</t>
        </is>
      </c>
      <c r="I60" s="29" t="inlineStr">
        <is>
          <t>Evet</t>
        </is>
      </c>
      <c r="J60" s="29" t="inlineStr">
        <is>
          <t>Lisans kanıtları/4e1a433802ecadf73729ff92a7cbccf69184fff4759b467eb8cf4b456ef0eb88.html</t>
        </is>
      </c>
      <c r="K60" s="29" t="inlineStr">
        <is>
          <t>4e1a433802ecadf73729ff92a7cbccf69184fff4759b467eb8cf4b456ef0eb88</t>
        </is>
      </c>
    </row>
    <row r="61" ht="54" customHeight="1">
      <c r="A61" s="29" t="inlineStr">
        <is>
          <t>marbella:kaynak:054</t>
        </is>
      </c>
      <c r="B61" s="29" t="inlineStr">
        <is>
          <t>marbella</t>
        </is>
      </c>
      <c r="C61" s="29" t="inlineStr">
        <is>
          <t>Bizum: te contamos todos sus secretos - Cliente Bancario, Banco de España</t>
        </is>
      </c>
      <c r="D61" s="29" t="inlineStr">
        <is>
          <t>Banco de España - Cliente Bancario</t>
        </is>
      </c>
      <c r="E61" s="29" t="inlineStr">
        <is>
          <t>https://clientebancario.bde.es/pcb/es/blog/bizum--te-contamos-todos-sus-secretos.html</t>
        </is>
      </c>
      <c r="F61" s="49" t="n">
        <v>46319</v>
      </c>
      <c r="G61" s="29" t="inlineStr">
        <is>
          <t>marbella:para</t>
        </is>
      </c>
      <c r="H61" s="29" t="inlineStr">
        <is>
          <t>Kart 10: Bizum telefon numarasını hesaba bağlar, bankalar komisyon almaz, işlemler geri alınamaz. Sayfadaki limit rakamları (0,50-1.000 EUR) tarihsiz, karta yazılmasın.</t>
        </is>
      </c>
      <c r="I61" s="29" t="inlineStr">
        <is>
          <t>Evet</t>
        </is>
      </c>
      <c r="J61" s="29" t="inlineStr">
        <is>
          <t>Lisans kanıtları/13ca2935614c4d5742ae9e799ac0844c1dd3e1f5e877770fe1d3f1c040b6dd97.html</t>
        </is>
      </c>
      <c r="K61" s="29" t="inlineStr">
        <is>
          <t>13ca2935614c4d5742ae9e799ac0844c1dd3e1f5e877770fe1d3f1c040b6dd97</t>
        </is>
      </c>
    </row>
    <row r="62" ht="54" customHeight="1">
      <c r="A62" s="29" t="inlineStr">
        <is>
          <t>marbella:kaynak:055</t>
        </is>
      </c>
      <c r="B62" s="29" t="inlineStr">
        <is>
          <t>marbella</t>
        </is>
      </c>
      <c r="C62" s="29" t="inlineStr">
        <is>
          <t>Comisiones - Cliente Bancario, Banco de España</t>
        </is>
      </c>
      <c r="D62" s="29" t="inlineStr">
        <is>
          <t>Banco de España - Cliente Bancario</t>
        </is>
      </c>
      <c r="E62" s="29" t="inlineStr">
        <is>
          <t>https://clientebancario.bde.es/pcb/es/menu-horizontal/productosservici/relacionados/comisiones/</t>
        </is>
      </c>
      <c r="F62" s="49" t="n">
        <v>46319</v>
      </c>
      <c r="G62" s="29" t="inlineStr">
        <is>
          <t>marbella:para</t>
        </is>
      </c>
      <c r="H62" s="29" t="inlineStr">
        <is>
          <t>Kart 11: komisyonlar serbest (norm sınırlamadıkça), bankalar sık kullanılan hizmetlerin komisyonlarını yayımlamak zorunda.</t>
        </is>
      </c>
      <c r="I62" s="29" t="inlineStr">
        <is>
          <t>Evet</t>
        </is>
      </c>
      <c r="J62" s="29" t="inlineStr">
        <is>
          <t>Lisans kanıtları/1d29be37901dbd4e66f8cf41fca48c1acb952e89ee1dd1b50dae9ea0d3ed4834.html</t>
        </is>
      </c>
      <c r="K62" s="29" t="inlineStr">
        <is>
          <t>1d29be37901dbd4e66f8cf41fca48c1acb952e89ee1dd1b50dae9ea0d3ed4834</t>
        </is>
      </c>
    </row>
    <row r="63" ht="54" customHeight="1">
      <c r="A63" s="29" t="inlineStr">
        <is>
          <t>marbella:kaynak:056</t>
        </is>
      </c>
      <c r="B63" s="29" t="inlineStr">
        <is>
          <t>marbella</t>
        </is>
      </c>
      <c r="C63" s="29" t="inlineStr">
        <is>
          <t>Comisiones - Cliente Bancario, Banco de España</t>
        </is>
      </c>
      <c r="D63" s="29" t="inlineStr">
        <is>
          <t>Banco de España - Cliente Bancario</t>
        </is>
      </c>
      <c r="E63" s="29" t="inlineStr">
        <is>
          <t>https://clientebancario.bde.es/pcb/es/menu-horizontal/productosservici/cuentasdepositos/cuentascorriente/guia-textual/CuentadepagoBasica/comisiones.html</t>
        </is>
      </c>
      <c r="F63" s="49" t="n">
        <v>46319</v>
      </c>
      <c r="G63" s="29" t="inlineStr">
        <is>
          <t>marbella:para</t>
        </is>
      </c>
      <c r="H63" s="29" t="inlineStr">
        <is>
          <t>Kart 11: temel ödeme hesabı için yasal azami komisyon 3 EUR/ay (BdE iki yılda bir güncelleyebilir). Kart 1 için de yardımcı.</t>
        </is>
      </c>
      <c r="I63" s="29" t="inlineStr">
        <is>
          <t>Evet</t>
        </is>
      </c>
      <c r="J63" s="29" t="inlineStr">
        <is>
          <t>Lisans kanıtları/eb90ff95eaf3fda25d7a3cbf22c3e12e2c21796f95f69f428a0523cc6f834dfc.html</t>
        </is>
      </c>
      <c r="K63" s="29" t="inlineStr">
        <is>
          <t>eb90ff95eaf3fda25d7a3cbf22c3e12e2c21796f95f69f428a0523cc6f834dfc</t>
        </is>
      </c>
    </row>
    <row r="64" ht="54" customHeight="1">
      <c r="A64" s="29" t="inlineStr">
        <is>
          <t>marbella:kaynak:057</t>
        </is>
      </c>
      <c r="B64" s="29" t="inlineStr">
        <is>
          <t>marbella</t>
        </is>
      </c>
      <c r="C64" s="29" t="inlineStr">
        <is>
          <t>Agencia Tributaria: Ámbito de aplicación</t>
        </is>
      </c>
      <c r="D64" s="29" t="inlineStr">
        <is>
          <t>Agencia Tributaria (AEAT)</t>
        </is>
      </c>
      <c r="E64"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64" s="49" t="n">
        <v>46319</v>
      </c>
      <c r="G64" s="29" t="inlineStr">
        <is>
          <t>marbella:para</t>
        </is>
      </c>
      <c r="H64" s="29" t="inlineStr">
        <is>
          <t>Kart 12: Beckham kuralı şartları: önceki 5 vergi döneminde İspanya'da yerleşik olmama, iş sözleşmesi/işveren görevlendirmesi. Manuel Renta 2025.</t>
        </is>
      </c>
      <c r="I64" s="29" t="inlineStr">
        <is>
          <t>Evet</t>
        </is>
      </c>
      <c r="J64" s="29" t="inlineStr">
        <is>
          <t>Lisans kanıtları/069714f22a07d7085a0a6b6b55b43ae64673922630f05ae7061aaa16f04b1841.html</t>
        </is>
      </c>
      <c r="K64" s="29" t="inlineStr">
        <is>
          <t>069714f22a07d7085a0a6b6b55b43ae64673922630f05ae7061aaa16f04b1841</t>
        </is>
      </c>
    </row>
    <row r="65" ht="54" customHeight="1">
      <c r="A65" s="29" t="inlineStr">
        <is>
          <t>marbella:kaynak:058</t>
        </is>
      </c>
      <c r="B65" s="29" t="inlineStr">
        <is>
          <t>marbella</t>
        </is>
      </c>
      <c r="C65" s="29" t="inlineStr">
        <is>
          <t>Agencia Tributaria: Régimen fiscal especial aplicable a los trabajadores desplazados a territorio español</t>
        </is>
      </c>
      <c r="D65" s="29" t="inlineStr">
        <is>
          <t>Agencia Tributaria (AEAT)</t>
        </is>
      </c>
      <c r="E65" s="29" t="inlineStr">
        <is>
          <t>https://sede.agenciatributaria.gob.es/Sede/ayuda/manuales-videos-folletos/manuales-practicos/irpf-2025/c15-calculo-impuesto-determinacion-cuotas-integras/regimen-fiscal-especial-aplicable-trabajadores.html</t>
        </is>
      </c>
      <c r="F65" s="49" t="n">
        <v>46319</v>
      </c>
      <c r="G65" s="29" t="inlineStr">
        <is>
          <t>marbella:para</t>
        </is>
      </c>
      <c r="H65" s="29" t="inlineStr">
        <is>
          <t>Kart 12: rejim süresi (geliş yılı + sonraki 5 vergi dönemi) ve oran %24 (600.000 EUR'ya kadar). Manuel Renta 2025.</t>
        </is>
      </c>
      <c r="I65" s="29" t="inlineStr">
        <is>
          <t>Evet</t>
        </is>
      </c>
      <c r="J65" s="29" t="inlineStr">
        <is>
          <t>Lisans kanıtları/d5fe19403f93894545b14b5ae1a7ca8fb8c94711bc79fac4a164184c9ef19e89.html</t>
        </is>
      </c>
      <c r="K65" s="29" t="inlineStr">
        <is>
          <t>d5fe19403f93894545b14b5ae1a7ca8fb8c94711bc79fac4a164184c9ef19e89</t>
        </is>
      </c>
    </row>
    <row r="66" ht="54" customHeight="1">
      <c r="A66" s="29" t="inlineStr">
        <is>
          <t>marbella:kaynak:059</t>
        </is>
      </c>
      <c r="B66" s="29" t="inlineStr">
        <is>
          <t>marbella</t>
        </is>
      </c>
      <c r="C66" s="29" t="inlineStr">
        <is>
          <t>BOE-A-2015-11430 Real Decreto Legislativo 2/2015, de 23 de octubre, por el que se aprueba el texto refundido de la Ley del Estatuto de los Trabajadores.</t>
        </is>
      </c>
      <c r="D66" s="29" t="inlineStr">
        <is>
          <t>BOE (Agencia Estatal Boletín Oficial del Estado)</t>
        </is>
      </c>
      <c r="E66" s="29" t="inlineStr">
        <is>
          <t>https://www.boe.es/buscar/act.php?id=BOE-A-2015-11430</t>
        </is>
      </c>
      <c r="F66" s="49" t="n">
        <v>46319</v>
      </c>
      <c r="G66" s="29" t="inlineStr">
        <is>
          <t>marbella:is</t>
        </is>
      </c>
      <c r="H66" s="29" t="inlineStr">
        <is>
          <t>Kart 1: sözleşme türleri. Art. 15: sözleşme kural olarak belirsiz süreli sayılır; belirli süreli yalnız üretim koşulları (circunstancias de la producción) veya ikame (sustitución) nedeniyle yapılabilir (2021 reformu sonrası metin); fijo-discontinuo da aynı maddede geçer. Sayfa konsolide metin, son güncelleme 21/10/2026 görünümü; hukuki değeri olmayan bilgi amaçlı konsolide sürüm notu var.</t>
        </is>
      </c>
      <c r="I66" s="29" t="inlineStr">
        <is>
          <t>Evet</t>
        </is>
      </c>
      <c r="J66" s="29" t="inlineStr">
        <is>
          <t>Lisans kanıtları/d9a59a0ef368ee46722c67872526d743a2eaab871f316a5bbd0a600459859367.html</t>
        </is>
      </c>
      <c r="K66" s="29" t="inlineStr">
        <is>
          <t>d9a59a0ef368ee46722c67872526d743a2eaab871f316a5bbd0a600459859367</t>
        </is>
      </c>
    </row>
    <row r="67" ht="54" customHeight="1">
      <c r="A67" s="29" t="inlineStr">
        <is>
          <t>marbella:kaynak:060</t>
        </is>
      </c>
      <c r="B67" s="29" t="inlineStr">
        <is>
          <t>marbella</t>
        </is>
      </c>
      <c r="C67" s="29" t="inlineStr">
        <is>
          <t>BOE-A-2021-21788 Real Decreto-ley 32/2021, de 28 de diciembre, de medidas urgentes para la reforma laboral, la garantía de la estabilidad en el empleo y la transformación del merca</t>
        </is>
      </c>
      <c r="D67" s="29" t="inlineStr">
        <is>
          <t>BOE (Jefatura del Estado)</t>
        </is>
      </c>
      <c r="E67" s="29" t="inlineStr">
        <is>
          <t>https://www.boe.es/buscar/act.php?id=BOE-A-2021-21788</t>
        </is>
      </c>
      <c r="F67" s="49" t="n">
        <v>46319</v>
      </c>
      <c r="G67" s="29" t="inlineStr">
        <is>
          <t>marbella:is</t>
        </is>
      </c>
      <c r="H67" s="29" t="inlineStr">
        <is>
          <t>Kart 1: 2021 iş reformunun amacı ve kapsamı: sözleşme türlerinin sadeleştirilmesi, belirsiz süreli sözleşmenin genelleştirilmesi, belirli süreli sözleşmeye nedensellik şartı; formativo sözleşmenin iki türe ayrılması (preamble). Karta yazılacak güncel kural için Estatuto konsolide metnine bakılır; bu RD-ley reformun kaynağı (28/12/2021, yürürlük 31/12/2021 ve 30/03/2022).</t>
        </is>
      </c>
      <c r="I67" s="29" t="inlineStr">
        <is>
          <t>Evet</t>
        </is>
      </c>
      <c r="J67" s="29" t="inlineStr">
        <is>
          <t>Lisans kanıtları/dfe5e70920600958304226ad77c9adaa98f24986a719e2b878754e27b496dd67.html</t>
        </is>
      </c>
      <c r="K67" s="29" t="inlineStr">
        <is>
          <t>dfe5e70920600958304226ad77c9adaa98f24986a719e2b878754e27b496dd67</t>
        </is>
      </c>
    </row>
    <row r="68" ht="54" customHeight="1">
      <c r="A68" s="29" t="inlineStr">
        <is>
          <t>marbella:kaynak:061</t>
        </is>
      </c>
      <c r="B68" s="29" t="inlineStr">
        <is>
          <t>marbella</t>
        </is>
      </c>
      <c r="C68" s="29" t="inlineStr">
        <is>
          <t>BOE-A-2026-3815 Real Decreto 126/2026, de 18 de febrero, por el que se fija el salario mínimo interprofesional para 2026.</t>
        </is>
      </c>
      <c r="D68" s="29" t="inlineStr">
        <is>
          <t>BOE (Agencia Estatal Boletín Oficial del Estado)</t>
        </is>
      </c>
      <c r="E68" s="29" t="inlineStr">
        <is>
          <t>https://www.boe.es/eli/es/rd/2026/02/18/126/con</t>
        </is>
      </c>
      <c r="F68" s="49" t="n">
        <v>46319</v>
      </c>
      <c r="G68" s="29" t="inlineStr">
        <is>
          <t>marbella:is</t>
        </is>
      </c>
      <c r="H68" s="29" t="inlineStr">
        <is>
          <t>Kart 2: SMI 2026. RD 126/2026 (BOE 19/02/2026): günlük 40,70 euro veya aylık 1 221 euro (metinde 'euros/mes', 1 ile 221 arasında boşluk karakteri var); ev hizmetlisi saatlik 9,55 euro; 1 Ocak 2026'dan itibaren geçerli ('a partir del 1 de enero de 2026'). Yıllık 17.094 euro / 14 ödeme ifadesi metinde YOK (haber sitelerinden); karta yazılırsa 'metin yalnız günlük ve aylık tutarı verir' çerçevesinde. Konsolide metin 'Última actualización, publicada el 19/02/2026'.</t>
        </is>
      </c>
      <c r="I68" s="29" t="inlineStr">
        <is>
          <t>Evet</t>
        </is>
      </c>
      <c r="J68" s="29" t="inlineStr">
        <is>
          <t>Lisans kanıtları/0b05c22f8901dfeb74d9b999afed2ba617a34e953e9da6399d2b7ec2ad648ac1.html</t>
        </is>
      </c>
      <c r="K68" s="29" t="inlineStr">
        <is>
          <t>0b05c22f8901dfeb74d9b999afed2ba617a34e953e9da6399d2b7ec2ad648ac1</t>
        </is>
      </c>
    </row>
    <row r="69" ht="54" customHeight="1">
      <c r="A69" s="29" t="inlineStr">
        <is>
          <t>marbella:kaynak:062</t>
        </is>
      </c>
      <c r="B69" s="29" t="inlineStr">
        <is>
          <t>marbella</t>
        </is>
      </c>
      <c r="C69" s="29" t="inlineStr">
        <is>
          <t>BOE-A-2025-21667 Resolución de 17 de octubre de 2025, de la Dirección General de Trabajo, por la que se publica la relación de fiestas laborales para el año 2026.</t>
        </is>
      </c>
      <c r="D69" s="29" t="inlineStr">
        <is>
          <t>BOE (Ministerio de Trabajo y Economía Social, Dirección General de Trabajo)</t>
        </is>
      </c>
      <c r="E69" s="29" t="inlineStr">
        <is>
          <t>https://www.boe.es/diario_boe/txt.php?id=BOE-A-2025-21667</t>
        </is>
      </c>
      <c r="F69" s="49" t="n">
        <v>46319</v>
      </c>
      <c r="G69" s="29" t="inlineStr">
        <is>
          <t>marbella:is</t>
        </is>
      </c>
      <c r="H69" s="29" t="inlineStr">
        <is>
          <t>Kart 3: resmi tatiller. 2026 yılı iş bayramları listesi (ulusal + özerk bölge + Ceuta/Melilla), anexo 'Año 2026'; Yılbaşı, 6 Ocak (Epifanía), 1 Mayıs, 15 Ağustos, 12 Ekim vb. ulusal sütunlarda; bölgeye göre farklı günler ayrı sütun. Her yıl yeni resolución yayımlanır (2027 listesi Ekim 2026'da yayımlandı, bu karta 2026 resolución'u yazıldı; yıl damgası: 'para el año 2026').</t>
        </is>
      </c>
      <c r="I69" s="29" t="inlineStr">
        <is>
          <t>Evet</t>
        </is>
      </c>
      <c r="J69" s="29" t="inlineStr">
        <is>
          <t>Lisans kanıtları/48af8c3f9e3ab48e6d933e3575d5b38982bb57f59b0079f6ea8733d514e32078.html</t>
        </is>
      </c>
      <c r="K69" s="29" t="inlineStr">
        <is>
          <t>48af8c3f9e3ab48e6d933e3575d5b38982bb57f59b0079f6ea8733d514e32078</t>
        </is>
      </c>
    </row>
    <row r="70" ht="54" customHeight="1">
      <c r="A70" s="29" t="inlineStr">
        <is>
          <t>marbella:kaynak:063</t>
        </is>
      </c>
      <c r="B70" s="29" t="inlineStr">
        <is>
          <t>marbella</t>
        </is>
      </c>
      <c r="C70" s="29" t="inlineStr">
        <is>
          <t>BOE-A-1995-912 Orden de 27 de diciembre de 1994 por la que se aprueba el modelo de recibo individual de salarios.</t>
        </is>
      </c>
      <c r="D70" s="29" t="inlineStr">
        <is>
          <t>BOE (Ministerio de Trabajo, texto consolidado)</t>
        </is>
      </c>
      <c r="E70" s="29" t="inlineStr">
        <is>
          <t>https://www.boe.es/buscar/act.php?id=BOE-A-1995-912</t>
        </is>
      </c>
      <c r="F70" s="49" t="n">
        <v>46319</v>
      </c>
      <c r="G70" s="29" t="inlineStr">
        <is>
          <t>marbella:is</t>
        </is>
      </c>
      <c r="H70" s="29" t="inlineStr">
        <is>
          <t>Kart 4: nómina. Resmî bordro modeli: aylık (meses naturales); kazançlar ve kesintiler açık ve ayrı gösterilir; işçi imzası/banka dekontu; bordrolar en az 5 yıl saklanır (art. 3). Model tablosu (anexo) metinde değil, görsel; son güncelleme 11/11/2014 (Orden ESS/2098/2014).</t>
        </is>
      </c>
      <c r="I70" s="29" t="inlineStr">
        <is>
          <t>Evet</t>
        </is>
      </c>
      <c r="J70" s="29" t="inlineStr">
        <is>
          <t>Lisans kanıtları/cbd78d471d3d6af94a9ff28bbb3edbeefee1387f3bc8f6e92e534aa1aa88a4bd.html</t>
        </is>
      </c>
      <c r="K70" s="29" t="inlineStr">
        <is>
          <t>cbd78d471d3d6af94a9ff28bbb3edbeefee1387f3bc8f6e92e534aa1aa88a4bd</t>
        </is>
      </c>
    </row>
    <row r="71" ht="54" customHeight="1">
      <c r="A71" s="29" t="inlineStr">
        <is>
          <t>marbella:kaynak:064</t>
        </is>
      </c>
      <c r="B71" s="29" t="inlineStr">
        <is>
          <t>marbella</t>
        </is>
      </c>
      <c r="C71" s="29" t="inlineStr">
        <is>
          <t>BOE-A-2026-7296 Orden PJC/297/2026, de 30 de marzo, por la que se desarrollan las normas legales de cotización a la Seguridad Social, desempleo, protección por cese de actividad, F</t>
        </is>
      </c>
      <c r="D71" s="29" t="inlineStr">
        <is>
          <t>BOE (Ministerio de la Presidencia, Justicia y Relaciones con las Cortes)</t>
        </is>
      </c>
      <c r="E71" s="29" t="inlineStr">
        <is>
          <t>https://www.boe.es/diario_boe/txt.php?id=BOE-A-2026-7296</t>
        </is>
      </c>
      <c r="F71" s="49" t="n">
        <v>46319</v>
      </c>
      <c r="G71" s="29" t="inlineStr">
        <is>
          <t>marbella:is</t>
        </is>
      </c>
      <c r="H71" s="29" t="inlineStr">
        <is>
          <t>Kart 4: bordroda sosyal güvenlik kesintisi. 2026 genel rejim ortak risklerde (contingencias comunes) toplam %28,30: %23,60 işveren, %4,70 işçi. Orden yılı 2026. İşsizlik, FP, MEI işçi payı ayrı maddede (yazılacaksa o metinden doğrulanmalı).</t>
        </is>
      </c>
      <c r="I71" s="29" t="inlineStr">
        <is>
          <t>Evet</t>
        </is>
      </c>
      <c r="J71" s="29" t="inlineStr">
        <is>
          <t>Lisans kanıtları/b929bc7e92be30c91abf74ee2d8670bb1ed24d5a38506e36c21b5cba5d9dc732.html</t>
        </is>
      </c>
      <c r="K71" s="29" t="inlineStr">
        <is>
          <t>b929bc7e92be30c91abf74ee2d8670bb1ed24d5a38506e36c21b5cba5d9dc732</t>
        </is>
      </c>
    </row>
    <row r="72" ht="54" customHeight="1">
      <c r="A72" s="29" t="inlineStr">
        <is>
          <t>marbella:kaynak:065</t>
        </is>
      </c>
      <c r="B72" s="29" t="inlineStr">
        <is>
          <t>marbella</t>
        </is>
      </c>
      <c r="C72" s="29" t="inlineStr">
        <is>
          <t>Prestación contributiva - He trabajado más de un año</t>
        </is>
      </c>
      <c r="D72" s="29" t="inlineStr">
        <is>
          <t>SEPE (Servicio Público de Empleo Estatal)</t>
        </is>
      </c>
      <c r="E72" s="29" t="inlineStr">
        <is>
          <t>https://www.sepe.es/HomeSepe/prestaciones-desempleo/prestacion-contributiva/prestacion-contributiva-mas-de-un-anyo.html</t>
        </is>
      </c>
      <c r="F72" s="49" t="n">
        <v>46319</v>
      </c>
      <c r="G72" s="29" t="inlineStr">
        <is>
          <t>marbella:is</t>
        </is>
      </c>
      <c r="H72" s="29" t="inlineStr">
        <is>
          <t>Kart 7: paro. Şart: son 6 yılda en az 360 gün işsizlik primi; başvuru son çalışılan günden sonra 15 iş günü içinde (sayfada 'Solicitud ... plazo de los quince días hábiles'); tutar: ilk 180 gün baz matrahın %70'i, 181. günden sonra %60. Süre tablosu ayrı sayfada ('Ver tabla de la duración'). Tarih/yıl damgası sayfada yok.</t>
        </is>
      </c>
      <c r="I72" s="29" t="inlineStr">
        <is>
          <t>Evet</t>
        </is>
      </c>
      <c r="J72" s="29" t="inlineStr">
        <is>
          <t>Lisans kanıtları/fb293c47c327e19e6a754937bfde550ca6e7fc7b240379dec715ab545efab344.html</t>
        </is>
      </c>
      <c r="K72" s="29" t="inlineStr">
        <is>
          <t>fb293c47c327e19e6a754937bfde550ca6e7fc7b240379dec715ab545efab344</t>
        </is>
      </c>
    </row>
    <row r="73" ht="54" customHeight="1">
      <c r="A73" s="29" t="inlineStr">
        <is>
          <t>marbella:kaynak:066</t>
        </is>
      </c>
      <c r="B73" s="29" t="inlineStr">
        <is>
          <t>marbella</t>
        </is>
      </c>
      <c r="C73" s="29" t="inlineStr">
        <is>
          <t>Duración contributiva |Servicio Público de Empleo Estatal</t>
        </is>
      </c>
      <c r="D73" s="29" t="inlineStr">
        <is>
          <t>SEPE (Servicio Público de Empleo Estatal)</t>
        </is>
      </c>
      <c r="E73" s="29" t="inlineStr">
        <is>
          <t>https://www.sepe.es/HomeSepe/prestaciones-desempleo/duracion-prestacion-contributiva.html</t>
        </is>
      </c>
      <c r="F73" s="49" t="n">
        <v>46319</v>
      </c>
      <c r="G73" s="29" t="inlineStr">
        <is>
          <t>marbella:is</t>
        </is>
      </c>
      <c r="H73" s="29" t="inlineStr">
        <is>
          <t>Kart 7: paro süresi tablosu: 360-539 gün prim = 120 gün ödenek, 540-719 = 180, ... 2.160 ve üzeri = 720 gün (azami). Sayfada tek yıl damgası altbilgide '2023 SEPE' (telif); tablo kendisi tarihsiz.</t>
        </is>
      </c>
      <c r="I73" s="29" t="inlineStr">
        <is>
          <t>Evet</t>
        </is>
      </c>
      <c r="J73" s="29" t="inlineStr">
        <is>
          <t>Lisans kanıtları/31c9dd67af7079b8f061bc43880f4ac31f89b6badef4d44bb7d07296cc44b643.html</t>
        </is>
      </c>
      <c r="K73" s="29" t="inlineStr">
        <is>
          <t>31c9dd67af7079b8f061bc43880f4ac31f89b6badef4d44bb7d07296cc44b643</t>
        </is>
      </c>
    </row>
    <row r="74" ht="54" customHeight="1">
      <c r="A74" s="29" t="inlineStr">
        <is>
          <t>marbella:kaynak:067</t>
        </is>
      </c>
      <c r="B74" s="29" t="inlineStr">
        <is>
          <t>marbella</t>
        </is>
      </c>
      <c r="C74" s="29" t="inlineStr">
        <is>
          <t>BOE-A-2015-11724 Real Decreto Legislativo 8/2015, de 30 de octubre, por el que se aprueba el texto refundido de la Ley General de la Seguridad Social.</t>
        </is>
      </c>
      <c r="D74" s="29" t="inlineStr">
        <is>
          <t>BOE (Agencia Estatal Boletín Oficial del Estado)</t>
        </is>
      </c>
      <c r="E74" s="29" t="inlineStr">
        <is>
          <t>https://www.boe.es/buscar/act.php?id=BOE-A-2015-11724</t>
        </is>
      </c>
      <c r="F74" s="49" t="n">
        <v>46319</v>
      </c>
      <c r="G74" s="29" t="inlineStr">
        <is>
          <t>marbella:is</t>
        </is>
      </c>
      <c r="H74" s="29" t="inlineStr">
        <is>
          <t>Kart 8: iş kazası tanımı (art. 156: iş nedeniyle veya işle bağlantılı bedensel yaralanma; 156.2: işe gidiş-dönüş kazası da sayılır) ve geçici iş göremezlik azami süresi 365 gün + 180 gün (art. 169). Konsolide metin; meslek hastalığı tanımı art. 157.</t>
        </is>
      </c>
      <c r="I74" s="29" t="inlineStr">
        <is>
          <t>Evet</t>
        </is>
      </c>
      <c r="J74" s="29" t="inlineStr">
        <is>
          <t>Lisans kanıtları/2dd045fd02c01d2e30e4596fd91b85b44e0cde97b249887c294edcffb33ac6f1.html</t>
        </is>
      </c>
      <c r="K74" s="29" t="inlineStr">
        <is>
          <t>2dd045fd02c01d2e30e4596fd91b85b44e0cde97b249887c294edcffb33ac6f1</t>
        </is>
      </c>
    </row>
    <row r="75" ht="54" customHeight="1">
      <c r="A75" s="29" t="inlineStr">
        <is>
          <t>marbella:kaynak:068</t>
        </is>
      </c>
      <c r="B75" s="29" t="inlineStr">
        <is>
          <t>marbella</t>
        </is>
      </c>
      <c r="C75" s="29" t="inlineStr">
        <is>
          <t>Guía para darte de alta en la Seguridad Social como trabajador autónomo - Revista Seguridad Social</t>
        </is>
      </c>
      <c r="D75" s="29" t="inlineStr">
        <is>
          <t>Seguridad Social (Revista Seguridad Social, revista.seg-social.es)</t>
        </is>
      </c>
      <c r="E75" s="29" t="inlineStr">
        <is>
          <t>https://revista.seg-social.es/-/guia-para-darte-de-alta-en-la-seguridad-social-como-trabajador-autonomo</t>
        </is>
      </c>
      <c r="F75" s="49" t="n">
        <v>46319</v>
      </c>
      <c r="G75" s="29" t="inlineStr">
        <is>
          <t>marbella:is</t>
        </is>
      </c>
      <c r="H75" s="29" t="inlineStr">
        <is>
          <t>Kart 9: otonom kaydı. Sıra: önce IAE/vergi kaydı (Agencia Tributaria), sonra Seguridad Social'da RETA alta (Import@ss / Tu Seguridad Social, çevrimiçi); sırasında mutua seçilir, tarifa plana seçeneği sorulur, banka hesabı verilir. Sayfada yıl damgası yok; tarifa plana tutarı bu sayfada yok.</t>
        </is>
      </c>
      <c r="I75" s="29" t="inlineStr">
        <is>
          <t>Evet</t>
        </is>
      </c>
      <c r="J75" s="29" t="inlineStr">
        <is>
          <t>Lisans kanıtları/05ab5ffe4939f0ab5553de252f96fd3ba71074c896ee8f85cf035bbe936d59c6.html</t>
        </is>
      </c>
      <c r="K75" s="29" t="inlineStr">
        <is>
          <t>05ab5ffe4939f0ab5553de252f96fd3ba71074c896ee8f85cf035bbe936d59c6</t>
        </is>
      </c>
    </row>
    <row r="76" ht="54" customHeight="1">
      <c r="A76" s="29" t="inlineStr">
        <is>
          <t>marbella:kaynak:069</t>
        </is>
      </c>
      <c r="B76" s="29" t="inlineStr">
        <is>
          <t>marbella</t>
        </is>
      </c>
      <c r="C76" s="29" t="inlineStr">
        <is>
          <t>¿Qué puedo homologar o convalidar? - Homologación y convalidación de títulos y estudios extranjeros no universitarios | Ministerio de Educación, Formación Profesional y Deportes</t>
        </is>
      </c>
      <c r="D76" s="29" t="inlineStr">
        <is>
          <t>Ministerio de Educación, Formación Profesional y Deportes</t>
        </is>
      </c>
      <c r="E76" s="29" t="inlineStr">
        <is>
          <t>https://www.educacionfpydeportes.gob.es/mc/convalidacion-homologacion/convalidacion-no-universitaria/homologar-convalidar.html</t>
        </is>
      </c>
      <c r="F76" s="49" t="n">
        <v>46319</v>
      </c>
      <c r="G76" s="29" t="inlineStr">
        <is>
          <t>marbella:is</t>
        </is>
      </c>
      <c r="H76" s="29" t="inlineStr">
        <is>
          <t>Kart 11: yabancı okul/lise/MYO (üniversite DIŞI) diploma denkliği. Şart: ülkesinde resmî ve tamamlanmış olmalı, İspanyol karşılığıyla yeterli denklik; tek tek dersler, İspanya'dan zaten alınmış diplomalar ve yetkisiz yabancı okul diplomaları denklenmez. Sayfada yıl damgası yok; sayfa 'bilgilendirme, hukuki değeri yok' notlu.</t>
        </is>
      </c>
      <c r="I76" s="29" t="inlineStr">
        <is>
          <t>Evet</t>
        </is>
      </c>
      <c r="J76" s="29" t="inlineStr">
        <is>
          <t>Lisans kanıtları/0fef729b5e425c3e3fec9fe30f1c29c3d5a9979fda76a0338fa8c563af5ee3ff.html</t>
        </is>
      </c>
      <c r="K76" s="29" t="inlineStr">
        <is>
          <t>0fef729b5e425c3e3fec9fe30f1c29c3d5a9979fda76a0338fa8c563af5ee3ff</t>
        </is>
      </c>
    </row>
    <row r="77" ht="54" customHeight="1">
      <c r="A77" s="29" t="inlineStr">
        <is>
          <t>marbella:kaynak:070</t>
        </is>
      </c>
      <c r="B77" s="29" t="inlineStr">
        <is>
          <t>marbella</t>
        </is>
      </c>
      <c r="C77" s="29" t="inlineStr">
        <is>
          <t>BOE-A-2022-17045 Real Decreto 889/2022, de 18 de octubre, por el que se establecen las condiciones y los procedimientos de homologación, de declaración de equivalencia y de convali</t>
        </is>
      </c>
      <c r="D77" s="29" t="inlineStr">
        <is>
          <t>BOE (Ministerio de Universidades)</t>
        </is>
      </c>
      <c r="E77" s="29" t="inlineStr">
        <is>
          <t>https://www.boe.es/buscar/doc.php?id=BOE-A-2022-17045</t>
        </is>
      </c>
      <c r="F77" s="49" t="n">
        <v>46319</v>
      </c>
      <c r="G77" s="29" t="inlineStr">
        <is>
          <t>marbella:is</t>
        </is>
      </c>
      <c r="H77" s="29" t="inlineStr">
        <is>
          <t>Kart 11: yabancı ÜNİVERSİTE diploması. Art. 12: başvuru yalnız çevrimiçi, Ministerio de Universidades sede electrónica; homologación = düzenlenmiş meslek (profesión regulada) için, equivalencia = düzenlenmemiş için (art. 2 tanımları). Metin 2022 tarihli RD (BOE 19/10/2022), güncel sürümü sayfada.</t>
        </is>
      </c>
      <c r="I77" s="29" t="inlineStr">
        <is>
          <t>Evet</t>
        </is>
      </c>
      <c r="J77" s="29" t="inlineStr">
        <is>
          <t>Lisans kanıtları/069d8636e3be5530d9ef4babcadfb1dd09eb2a95d42bfe415b1efbe4ce476a60.html</t>
        </is>
      </c>
      <c r="K77" s="29" t="inlineStr">
        <is>
          <t>069d8636e3be5530d9ef4babcadfb1dd09eb2a95d42bfe415b1efbe4ce476a60</t>
        </is>
      </c>
    </row>
    <row r="78" ht="54" customHeight="1">
      <c r="A78" s="29" t="inlineStr">
        <is>
          <t>marbella:kaynak:071</t>
        </is>
      </c>
      <c r="B78" s="29" t="inlineStr">
        <is>
          <t>marbella</t>
        </is>
      </c>
      <c r="C78" s="29" t="inlineStr">
        <is>
          <t>Contratación y suministro</t>
        </is>
      </c>
      <c r="D78" s="29" t="inlineStr">
        <is>
          <t>MITECO (Ministerio para la Transición Ecológica y el Reto Demográfico)</t>
        </is>
      </c>
      <c r="E78" s="29" t="inlineStr">
        <is>
          <t>https://www.miteco.gob.es/es/energia/energia-electrica/electricidad/contratacion-suministro.html</t>
        </is>
      </c>
      <c r="F78" s="49" t="n">
        <v>46319</v>
      </c>
      <c r="G78" s="29" t="inlineStr">
        <is>
          <t>marbella:fatura</t>
        </is>
      </c>
      <c r="H78" s="29" t="inlineStr">
        <is>
          <t>Kart 1: serbest piyasa herkese açık, regüle piyasada (PVPC) yalnız &lt;=10 kW gerçek kişi/mikro işletme ve comercializadora de referencia ile. Sayfada yıl yok (canlı resmî sayfa).</t>
        </is>
      </c>
      <c r="I78" s="29" t="inlineStr">
        <is>
          <t>Evet</t>
        </is>
      </c>
      <c r="J78" s="29" t="inlineStr">
        <is>
          <t>Lisans kanıtları/4758e6434f52013ae23879e4c87817909b6c4ad061e3934e84387708b7518b98.html</t>
        </is>
      </c>
      <c r="K78" s="29" t="inlineStr">
        <is>
          <t>4758e6434f52013ae23879e4c87817909b6c4ad061e3934e84387708b7518b98</t>
        </is>
      </c>
    </row>
    <row r="79" ht="54" customHeight="1">
      <c r="A79" s="29" t="inlineStr">
        <is>
          <t>marbella:kaynak:072</t>
        </is>
      </c>
      <c r="B79" s="29" t="inlineStr">
        <is>
          <t>marbella</t>
        </is>
      </c>
      <c r="C79" s="29" t="inlineStr">
        <is>
          <t>Comercialización y suministro eléctrico | CNMC</t>
        </is>
      </c>
      <c r="D79" s="29" t="inlineStr">
        <is>
          <t>CNMC (Comisión Nacional de los Mercados y la Competencia)</t>
        </is>
      </c>
      <c r="E79" s="29" t="inlineStr">
        <is>
          <t>https://www.cnmc.es/facil-para-ti/que-hace-la-cnmc-para-consumidores/comercializacion-y-suministro-electrico</t>
        </is>
      </c>
      <c r="F79" s="49" t="n">
        <v>46319</v>
      </c>
      <c r="G79" s="29" t="inlineStr">
        <is>
          <t>marbella:fatura</t>
        </is>
      </c>
      <c r="H79" s="29" t="inlineStr">
        <is>
          <t>Kart 2: faturanın bileşenleri (sabit güç terimi, enerji terimi, peaje/cargo ayrı gösterilir, Impuesto especial de la electricidad + IVA). Kart 3: güç değişikliği comercializadora üzerinden istenir, 12 ayda bir yapılır (potencia contratada). Kart 1 için de PVPC'ye kimin girebildiğini söyler. Sayfa içinde yıl damgası yalnız 'Copyright 2024'; bölümlerin bir kısmı 'en proceso de elaboración/pendiente de actualización' notlu, yukarıdaki cümleler bunlardan bağımsız metin. Vergi oranları (IVA yüzdesi) sayfada yok.</t>
        </is>
      </c>
      <c r="I79" s="29" t="inlineStr">
        <is>
          <t>Evet</t>
        </is>
      </c>
      <c r="J79" s="29" t="inlineStr">
        <is>
          <t>Lisans kanıtları/38c0a92eb9f088b7647061ca862af284609dccd0bfd87af9c1385e9b9616db29.html</t>
        </is>
      </c>
      <c r="K79" s="29" t="inlineStr">
        <is>
          <t>38c0a92eb9f088b7647061ca862af284609dccd0bfd87af9c1385e9b9616db29</t>
        </is>
      </c>
    </row>
    <row r="80" ht="54" customHeight="1">
      <c r="A80" s="29" t="inlineStr">
        <is>
          <t>marbella:kaynak:073</t>
        </is>
      </c>
      <c r="B80" s="29" t="inlineStr">
        <is>
          <t>marbella</t>
        </is>
      </c>
      <c r="C80" s="29" t="inlineStr">
        <is>
          <t>Precio Voluntario para el Pequeño Consumidor (PVPC)</t>
        </is>
      </c>
      <c r="D80" s="29" t="inlineStr">
        <is>
          <t>MITECO (Ministerio para la Transición Ecológica y el Reto Demográfico)</t>
        </is>
      </c>
      <c r="E80" s="29" t="inlineStr">
        <is>
          <t>https://www.miteco.gob.es/es/energia/energia-electrica/electricidad/contratacion-suministro/precio-voluntario.html</t>
        </is>
      </c>
      <c r="F80" s="49" t="n">
        <v>46319</v>
      </c>
      <c r="G80" s="29" t="inlineStr">
        <is>
          <t>marbella:fatura</t>
        </is>
      </c>
      <c r="H80" s="29" t="inlineStr">
        <is>
          <t>Kart 1: PVPC saatlik değişen, toptan piyasaya endeksli fiyat (1 Nisan 2014'ten beri; 1 Ocak 2024'ten itibaren kısmen uzun vadeli sinyal içerir). Kart 2: PVPC'de potencia ve energía terimi var, vergi PVPC'nin üstüne ayrıca eklenir.</t>
        </is>
      </c>
      <c r="I80" s="29" t="inlineStr">
        <is>
          <t>Evet</t>
        </is>
      </c>
      <c r="J80" s="29" t="inlineStr">
        <is>
          <t>Lisans kanıtları/a45bf332451206ed7e7cea4d7f7bd4a68bd7042a9d3f7789208063aba5d21bde.html</t>
        </is>
      </c>
      <c r="K80" s="29" t="inlineStr">
        <is>
          <t>a45bf332451206ed7e7cea4d7f7bd4a68bd7042a9d3f7789208063aba5d21bde</t>
        </is>
      </c>
    </row>
    <row r="81" ht="54" customHeight="1">
      <c r="A81" s="29" t="inlineStr">
        <is>
          <t>marbella:kaynak:074</t>
        </is>
      </c>
      <c r="B81" s="29" t="inlineStr">
        <is>
          <t>marbella</t>
        </is>
      </c>
      <c r="C81" s="29" t="inlineStr">
        <is>
          <t>Consumidores de gas. Guía informativa | CNMC</t>
        </is>
      </c>
      <c r="D81" s="29" t="inlineStr">
        <is>
          <t>CNMC (Comisión Nacional de los Mercados y la Competencia)</t>
        </is>
      </c>
      <c r="E81" s="29" t="inlineStr">
        <is>
          <t>https://www.cnmc.es/facil-para-ti/que-hace-la-cnmc-para-consumidores/consumidores-gas</t>
        </is>
      </c>
      <c r="F81" s="49" t="n">
        <v>46319</v>
      </c>
      <c r="G81" s="29" t="inlineStr">
        <is>
          <t>marbella:fatura</t>
        </is>
      </c>
      <c r="H81" s="29" t="inlineStr">
        <is>
          <t>Kart 4: gaz serbest piyasa / TUR ayrımı, TUR hakkı (yıllık tüketim &lt;=50.000 kWh, &lt;=4 bar), TUR.1-3 kademeleri, TUR değişkeni Ocak-Nisan-Temmuz-Ekim'de üç ayda bir güncellenir, tedarikçi değişimi ücretsiz, uzaktan sözleşmede 14 gün cayma, fatura içeriği. Kart 7: comparador.cnmc.gob.es yalnız bilgi aracı, doğrudan sözleşme yaptırmaz. Sayfa 'Peajes de acceso para el año de gas 2026' anıyor (güncel); 'En 2024' ayrı ödenek tutarı eski, kullanma.</t>
        </is>
      </c>
      <c r="I81" s="29" t="inlineStr">
        <is>
          <t>Evet</t>
        </is>
      </c>
      <c r="J81" s="29" t="inlineStr">
        <is>
          <t>Lisans kanıtları/a68b126f14613861f0ec04861fb78e299b602b55a06b04f0f08bc4f95507b9f7.html</t>
        </is>
      </c>
      <c r="K81" s="29" t="inlineStr">
        <is>
          <t>a68b126f14613861f0ec04861fb78e299b602b55a06b04f0f08bc4f95507b9f7</t>
        </is>
      </c>
    </row>
    <row r="82" ht="54" customHeight="1">
      <c r="A82" s="29" t="inlineStr">
        <is>
          <t>marbella:kaynak:075</t>
        </is>
      </c>
      <c r="B82" s="29" t="inlineStr">
        <is>
          <t>marbella</t>
        </is>
      </c>
      <c r="C82" s="29" t="inlineStr">
        <is>
          <t>¿Cuáles son los requisitos para solicitarlo?</t>
        </is>
      </c>
      <c r="D82" s="29" t="inlineStr">
        <is>
          <t>MITECO (Ministerio para la Transición Ecológica y el Reto Demográfico)</t>
        </is>
      </c>
      <c r="E82" s="29" t="inlineStr">
        <is>
          <t>https://www.miteco.gob.es/es/energia/pobreza-energetica/pe-001/requisitos.html</t>
        </is>
      </c>
      <c r="F82" s="49" t="n">
        <v>46319</v>
      </c>
      <c r="G82" s="29" t="inlineStr">
        <is>
          <t>marbella:fatura</t>
        </is>
      </c>
      <c r="H82" s="29" t="inlineStr">
        <is>
          <t>Kart 5: bono social için PVPC + gerçek ikametgah + gelir/aile/emekli/IMV vb. kriterler (1,5 x IPREM 14 pagas, her ek yetişkin +0,3, her çocuk +0,5). Tarihe duyarlı: sayfa 'Hasta el 31 de diciembre de 2026 será de 42,5%' (geçici indirim) ve 'a partir del 31 de diciembre de 2025, en el 35%' (olağan indirim) diyor; sayfada TL/euro IPREM tutarları da yer alıyor (kart metninde sabit tutar yazma). 2026 sayfası.</t>
        </is>
      </c>
      <c r="I82" s="29" t="inlineStr">
        <is>
          <t>Evet</t>
        </is>
      </c>
      <c r="J82" s="29" t="inlineStr">
        <is>
          <t>Lisans kanıtları/2ba33e8b3440bf41e213bff5e0bed88c3bb71e30a6413946c4a40faacdb2a9e0.html</t>
        </is>
      </c>
      <c r="K82" s="29" t="inlineStr">
        <is>
          <t>2ba33e8b3440bf41e213bff5e0bed88c3bb71e30a6413946c4a40faacdb2a9e0</t>
        </is>
      </c>
    </row>
    <row r="83" ht="54" customHeight="1">
      <c r="A83" s="29" t="inlineStr">
        <is>
          <t>marbella:kaynak:076</t>
        </is>
      </c>
      <c r="B83" s="29" t="inlineStr">
        <is>
          <t>marbella</t>
        </is>
      </c>
      <c r="C83" s="29" t="inlineStr">
        <is>
          <t>BOE-A-2017-11505 Real Decreto 897/2017, de 6 de octubre, por el que se regula la figura del consumidor vulnerable, el bono social y otras medidas de protección para los consumidore</t>
        </is>
      </c>
      <c r="D83" s="29" t="inlineStr">
        <is>
          <t>BOE (Agencia Estatal Boletín Oficial del Estado)</t>
        </is>
      </c>
      <c r="E83" s="29" t="inlineStr">
        <is>
          <t>https://www.boe.es/buscar/act.php?id=BOE-A-2017-11505</t>
        </is>
      </c>
      <c r="F83" s="49" t="n">
        <v>46319</v>
      </c>
      <c r="G83" s="29" t="inlineStr">
        <is>
          <t>marbella:fatura</t>
        </is>
      </c>
      <c r="H83" s="29" t="inlineStr">
        <is>
          <t>Kart 5: yasal dayanak, madde 3 (vulnerable tüketici kriterleri). Konsolide metin 'Última actualización publicada el 28/01/2026'; madde 3 mevcut sürümü 01/11/2024'ten geçerli. Fiili 2026 indirim oranları bu metinde değil, MITECO sayfasında.</t>
        </is>
      </c>
      <c r="I83" s="29" t="inlineStr">
        <is>
          <t>Evet</t>
        </is>
      </c>
      <c r="J83" s="29" t="inlineStr">
        <is>
          <t>Lisans kanıtları/67230e4d4db4d5b0d3a8c0504501f4ef0b832716b61dc8b49e738b3c60984224.html</t>
        </is>
      </c>
      <c r="K83" s="29" t="inlineStr">
        <is>
          <t>67230e4d4db4d5b0d3a8c0504501f4ef0b832716b61dc8b49e738b3c60984224</t>
        </is>
      </c>
    </row>
    <row r="84" ht="54" customHeight="1">
      <c r="A84" s="29" t="inlineStr">
        <is>
          <t>marbella:kaynak:077</t>
        </is>
      </c>
      <c r="B84" s="29" t="inlineStr">
        <is>
          <t>marbella</t>
        </is>
      </c>
      <c r="C84" s="29" t="inlineStr">
        <is>
          <t>BOE-A-2022-10757 Ley 11/2022, de 28 de junio, General de Telecomunicaciones.</t>
        </is>
      </c>
      <c r="D84" s="29" t="inlineStr">
        <is>
          <t>BOE (Agencia Estatal Boletín Oficial del Estado)</t>
        </is>
      </c>
      <c r="E84" s="29" t="inlineStr">
        <is>
          <t>https://www.boe.es/buscar/act.php?id=BOE-A-2022-10757</t>
        </is>
      </c>
      <c r="F84" s="49" t="n">
        <v>46319</v>
      </c>
      <c r="G84" s="29" t="inlineStr">
        <is>
          <t>marbella:fatura</t>
        </is>
      </c>
      <c r="H84" s="29" t="inlineStr">
        <is>
          <t>Kart 6: tüketici-operatör sözleşmesi 24 aydan uzun olamaz (madde 67.7). Konsolide metin 'Última actualización publicada el 27/12/2025'.</t>
        </is>
      </c>
      <c r="I84" s="29" t="inlineStr">
        <is>
          <t>Evet</t>
        </is>
      </c>
      <c r="J84" s="29" t="inlineStr">
        <is>
          <t>Lisans kanıtları/8297453ff79fe6744adb2036528a6b2e84cfad0eb488f504b95bb1ff0aa0e0a5.html</t>
        </is>
      </c>
      <c r="K84" s="29" t="inlineStr">
        <is>
          <t>8297453ff79fe6744adb2036528a6b2e84cfad0eb488f504b95bb1ff0aa0e0a5</t>
        </is>
      </c>
    </row>
    <row r="85" ht="54" customHeight="1">
      <c r="A85" s="29" t="inlineStr">
        <is>
          <t>marbella:kaynak:078</t>
        </is>
      </c>
      <c r="B85" s="29" t="inlineStr">
        <is>
          <t>marbella</t>
        </is>
      </c>
      <c r="C85" s="29" t="inlineStr">
        <is>
          <t>BOE-A-2007-20555 Real Decreto Legislativo 1/2007, de 16 de noviembre, por el que se aprueba el texto refundido de la Ley General para la Defensa de los Consumidores y Usuarios y ot</t>
        </is>
      </c>
      <c r="D85" s="29" t="inlineStr">
        <is>
          <t>BOE (Agencia Estatal Boletín Oficial del Estado)</t>
        </is>
      </c>
      <c r="E85" s="29" t="inlineStr">
        <is>
          <t>https://www.boe.es/buscar/act.php?id=BOE-A-2007-20555</t>
        </is>
      </c>
      <c r="F85" s="49" t="n">
        <v>46319</v>
      </c>
      <c r="G85" s="29" t="inlineStr">
        <is>
          <t>marbella:fatura</t>
        </is>
      </c>
      <c r="H85" s="29" t="inlineStr">
        <is>
          <t>Kart 6: cayma hakkı, madde 102 (14 takvim günü, gerekçe göstermeden). Uzaktan/dükkân dışı sözleşmeler için geçerli, mağazada imzalanan sözleşmeye otomatik uygulanmaz. Konsolide metin 'Última actualización publicada el 28/02/2026'.</t>
        </is>
      </c>
      <c r="I85" s="29" t="inlineStr">
        <is>
          <t>Evet</t>
        </is>
      </c>
      <c r="J85" s="29" t="inlineStr">
        <is>
          <t>Lisans kanıtları/a3a4fb90c6fa1243cd9b7d6e1fea998090a873f6843c92a3a4d1314115b7be29.html</t>
        </is>
      </c>
      <c r="K85" s="29" t="inlineStr">
        <is>
          <t>a3a4fb90c6fa1243cd9b7d6e1fea998090a873f6843c92a3a4d1314115b7be29</t>
        </is>
      </c>
    </row>
    <row r="86" ht="54" customHeight="1">
      <c r="A86" s="29" t="inlineStr">
        <is>
          <t>marbella:kaynak:079</t>
        </is>
      </c>
      <c r="B86" s="29" t="inlineStr">
        <is>
          <t>marbella</t>
        </is>
      </c>
      <c r="C86" s="29" t="inlineStr">
        <is>
          <t>Energía | CNMC</t>
        </is>
      </c>
      <c r="D86" s="29" t="inlineStr">
        <is>
          <t>CNMC (Comisión Nacional de los Mercados y la Competencia)</t>
        </is>
      </c>
      <c r="E86" s="29" t="inlineStr">
        <is>
          <t>https://www.cnmc.es/facil-para-ti/herramientas-utiles/energia</t>
        </is>
      </c>
      <c r="F86" s="49" t="n">
        <v>46319</v>
      </c>
      <c r="G86" s="29" t="inlineStr">
        <is>
          <t>marbella:fatura</t>
        </is>
      </c>
      <c r="H86" s="29" t="inlineStr">
        <is>
          <t>Kart 7: CNMC karşılaştırma aracı elektrik ve doğalgaz tekliflerini karşılaştırır (adres comparador.cnmc.gob.es). Aynı sayfa 'Entiende tu factura' aracını (kart 2 için faydalı) ve PVPC fatura simülatörünü (&lt;=10 kW) tanıtır. Sayfadaki 'cerca de 800 ofertas de más de 80 comercializadoras' sayısı 2020 kaynaklı, kullanma.</t>
        </is>
      </c>
      <c r="I86" s="29" t="inlineStr">
        <is>
          <t>Evet</t>
        </is>
      </c>
      <c r="J86" s="29" t="inlineStr">
        <is>
          <t>Lisans kanıtları/c6ac86f0b12c95d3cb7532e78223f0294f4fa3afba9b837952f03b060ae1a7dd.html</t>
        </is>
      </c>
      <c r="K86" s="29" t="inlineStr">
        <is>
          <t>c6ac86f0b12c95d3cb7532e78223f0294f4fa3afba9b837952f03b060ae1a7dd</t>
        </is>
      </c>
    </row>
    <row r="87" ht="54" customHeight="1">
      <c r="A87" s="29" t="inlineStr">
        <is>
          <t>marbella:kaynak:080</t>
        </is>
      </c>
      <c r="B87" s="29" t="inlineStr">
        <is>
          <t>marbella</t>
        </is>
      </c>
      <c r="C87" s="29" t="inlineStr">
        <is>
          <t>Reclamaciones</t>
        </is>
      </c>
      <c r="D87" s="29" t="inlineStr">
        <is>
          <t>MITECO (Ministerio para la Transición Ecológica y el Reto Demográfico)</t>
        </is>
      </c>
      <c r="E87" s="29" t="inlineStr">
        <is>
          <t>https://www.miteco.gob.es/es/energia/energia-electrica/electricidad/contratacion-suministro/reclamaciones.html</t>
        </is>
      </c>
      <c r="F87" s="49" t="n">
        <v>46319</v>
      </c>
      <c r="G87" s="29" t="inlineStr">
        <is>
          <t>marbella:fatura</t>
        </is>
      </c>
      <c r="H87" s="29" t="inlineStr">
        <is>
          <t>Kart 8: elektrik şikâyeti önce comercializadora/distribuidora'ya, 15 iş günü yanıt süresi, sonra Defensor del cliente / Juntas Arbitrales de Consumo / Comunidades Autónomas; bono social reddinde Comunidad Autónoma. Sayfada yıl yok (canlı resmî sayfa).</t>
        </is>
      </c>
      <c r="I87" s="29" t="inlineStr">
        <is>
          <t>Evet</t>
        </is>
      </c>
      <c r="J87" s="29" t="inlineStr">
        <is>
          <t>Lisans kanıtları/5c028debd9cb90201d4376c6d79986c83760b370d259eafd24a7120d6515bf53.html</t>
        </is>
      </c>
      <c r="K87" s="29" t="inlineStr">
        <is>
          <t>5c028debd9cb90201d4376c6d79986c83760b370d259eafd24a7120d6515bf53</t>
        </is>
      </c>
    </row>
    <row r="88" ht="54" customHeight="1">
      <c r="A88" s="29" t="inlineStr">
        <is>
          <t>marbella:kaynak:081</t>
        </is>
      </c>
      <c r="B88" s="29" t="inlineStr">
        <is>
          <t>marbella</t>
        </is>
      </c>
      <c r="C88" s="29" t="inlineStr">
        <is>
          <t>Usuarios Teleco | Telefonía e Internet</t>
        </is>
      </c>
      <c r="D88" s="29" t="inlineStr">
        <is>
          <t>Secretaría de Estado de Telecomunicaciones e Infraestructuras Digitales (digital.gob.es)</t>
        </is>
      </c>
      <c r="E88" s="29" t="inlineStr">
        <is>
          <t>https://usuariosteleco.digital.gob.es/reclamaciones/telefonia-e-internet</t>
        </is>
      </c>
      <c r="F88" s="49" t="n">
        <v>46319</v>
      </c>
      <c r="G88" s="29" t="inlineStr">
        <is>
          <t>marbella:fatura</t>
        </is>
      </c>
      <c r="H88" s="29" t="inlineStr">
        <is>
          <t>Kart 8: telekom şikâyeti önce operatöre, 1 ay içinde yanıt yoksa/yetersizse OAUT'a, başvuru süresi 3 ay, OAUT 6 ayda karar verir. (SETSI'nin bugünkü adı: Secretaría de Estado de Telecomunicaciones e Infraestructuras Digitales.) Sayfada yıl yok (canlı resmî sayfa).</t>
        </is>
      </c>
      <c r="I88" s="29" t="inlineStr">
        <is>
          <t>Evet</t>
        </is>
      </c>
      <c r="J88" s="29" t="inlineStr">
        <is>
          <t>Lisans kanıtları/d8e0c0a5741768fef8c3367b641ac623cd21130016bd0c2c167eeb67a530c3cf.html</t>
        </is>
      </c>
      <c r="K88" s="29" t="inlineStr">
        <is>
          <t>d8e0c0a5741768fef8c3367b641ac623cd21130016bd0c2c167eeb67a530c3cf</t>
        </is>
      </c>
    </row>
    <row r="89" ht="54" customHeight="1">
      <c r="A89" s="29" t="inlineStr">
        <is>
          <t>marbella:kaynak:082</t>
        </is>
      </c>
      <c r="B89" s="29" t="inlineStr">
        <is>
          <t>marbella</t>
        </is>
      </c>
      <c r="C89" s="29" t="inlineStr">
        <is>
          <t>BOE-A-1960-10906 Ley 49/1960, de 21 de julio, sobre propiedad horizontal.</t>
        </is>
      </c>
      <c r="D89" s="29" t="inlineStr">
        <is>
          <t>BOE (Agencia Estatal Boletín Oficial del Estado)</t>
        </is>
      </c>
      <c r="E89" s="29" t="inlineStr">
        <is>
          <t>https://www.boe.es/buscar/act.php?id=BOE-A-1960-10906</t>
        </is>
      </c>
      <c r="F89" s="49" t="n">
        <v>46319</v>
      </c>
      <c r="G89" s="29" t="inlineStr">
        <is>
          <t>marbella:fatura</t>
        </is>
      </c>
      <c r="H89" s="29" t="inlineStr">
        <is>
          <t>Kart 9: ortak giderlere katılım (madde 9.1.e, katılım payına göre), yıllık Junta toplantısı (madde 16.1), organlar ve başkanın seçimi/rotasyonu (madde 13). Konsolide metin 'Última actualización publicada el 03/10/2026'. Fondo de reserva en az yıllık bütçenin %10'u (madde 9.1.f).</t>
        </is>
      </c>
      <c r="I89" s="29" t="inlineStr">
        <is>
          <t>Evet</t>
        </is>
      </c>
      <c r="J89" s="29" t="inlineStr">
        <is>
          <t>Lisans kanıtları/8b98f88f1721781f0fa8de601a0ad842dd9d521ea42f27557f22792c8fcce6b7.html</t>
        </is>
      </c>
      <c r="K89" s="29" t="inlineStr">
        <is>
          <t>8b98f88f1721781f0fa8de601a0ad842dd9d521ea42f27557f22792c8fcce6b7</t>
        </is>
      </c>
    </row>
    <row r="90" ht="54" customHeight="1">
      <c r="A90" s="29" t="inlineStr">
        <is>
          <t>marbella:kaynak:083</t>
        </is>
      </c>
      <c r="B90" s="29" t="inlineStr">
        <is>
          <t>marbella</t>
        </is>
      </c>
      <c r="C90" s="29" t="inlineStr">
        <is>
          <t>BOE-A-2006-11130 Ley 5/2006, de 10 de mayo, del libro quinto del Código Civil de Cataluña, relativo a los derechos reales.</t>
        </is>
      </c>
      <c r="D90" s="29" t="inlineStr">
        <is>
          <t>Boletín Oficial del Estado (BOE)</t>
        </is>
      </c>
      <c r="E90" s="29" t="inlineStr">
        <is>
          <t>https://www.boe.es/buscar/act.php?id=BOE-A-2006-11130</t>
        </is>
      </c>
      <c r="F90" s="49" t="n">
        <v>46319</v>
      </c>
      <c r="G90" s="29" t="inlineStr">
        <is>
          <t>marbella:fatura</t>
        </is>
      </c>
      <c r="H90" s="29" t="inlineStr">
        <is>
          <t>Katalonya'da kat mülkiyeti (propiedad horizontal) kendi medeni kanununun 5. kitabıyla düzenlenir; yedek fon oranı md. 553-6'da.</t>
        </is>
      </c>
      <c r="I90" s="29" t="inlineStr">
        <is>
          <t>Evet</t>
        </is>
      </c>
      <c r="J90" s="29" t="inlineStr">
        <is>
          <t>Lisans kanıtları/0a5c17642c3dc78dae6624c9ef658a5d1256ee4559abdcb12c91ff05c0c0d8c1.html</t>
        </is>
      </c>
      <c r="K90" s="29" t="inlineStr">
        <is>
          <t>0a5c17642c3dc78dae6624c9ef658a5d1256ee4559abdcb12c91ff05c0c0d8c1</t>
        </is>
      </c>
    </row>
    <row r="91" ht="54" customHeight="1">
      <c r="A91" s="29" t="inlineStr">
        <is>
          <t>marbella:kaynak:084</t>
        </is>
      </c>
      <c r="B91" s="29" t="inlineStr">
        <is>
          <t>marbella</t>
        </is>
      </c>
      <c r="C91" s="29" t="inlineStr">
        <is>
          <t>BOE-A-2018-10752 Real Decreto-ley 7/2018, de 27 de julio, sobre el acceso universal al Sistema Nacional de Salud.</t>
        </is>
      </c>
      <c r="D91" s="29" t="inlineStr">
        <is>
          <t>Boletín Oficial del Estado (BOE)</t>
        </is>
      </c>
      <c r="E91" s="29" t="inlineStr">
        <is>
          <t>https://www.boe.es/buscar/act.php?id=BOE-A-2018-10752</t>
        </is>
      </c>
      <c r="F91" s="49" t="n">
        <v>46319</v>
      </c>
      <c r="G91" s="29" t="inlineStr">
        <is>
          <t>marbella:saglik</t>
        </is>
      </c>
      <c r="H91" s="29" t="inlineStr">
        <is>
          <t>Kart 1: evrensel erişim; SNS hak sahipleri (art. 3.1) ve ikamet izni olmayan yabancıların aynı koşullarda hakkı (art. 3 ter). Orijinal metin BOE 30/07/2018, yürürlük 31/07/2018 (norm Real Decreto-ley'dir; 'RD 7/2018' değil). Hak sahipliği şart ayrıntısı seg-social sayfasında.</t>
        </is>
      </c>
      <c r="I91" s="29" t="inlineStr">
        <is>
          <t>Evet</t>
        </is>
      </c>
      <c r="J91" s="29" t="inlineStr">
        <is>
          <t>Lisans kanıtları/3c773a3241780ea2318bc94464c03c362f8e05670ed46bb4f2c8a770eab8cfe5.html</t>
        </is>
      </c>
      <c r="K91" s="29" t="inlineStr">
        <is>
          <t>3c773a3241780ea2318bc94464c03c362f8e05670ed46bb4f2c8a770eab8cfe5</t>
        </is>
      </c>
    </row>
    <row r="92" ht="54" customHeight="1">
      <c r="A92" s="29" t="inlineStr">
        <is>
          <t>marbella:kaynak:085</t>
        </is>
      </c>
      <c r="B92" s="29" t="inlineStr">
        <is>
          <t>marbella</t>
        </is>
      </c>
      <c r="C92" s="29" t="inlineStr">
        <is>
          <t>Seguridad Social: Prestaciones / Pensiones de Trabajadores</t>
        </is>
      </c>
      <c r="D92" s="29" t="inlineStr">
        <is>
          <t>Seguridad Social (Tesorería/INSS)</t>
        </is>
      </c>
      <c r="E92" s="29" t="inlineStr">
        <is>
          <t>https://www.seg-social.es/wps/portal/wss/internet/Trabajadores/PrestacionesPensionesTrabajadores/10938/30476</t>
        </is>
      </c>
      <c r="F92" s="49" t="n">
        <v>46319</v>
      </c>
      <c r="G92" s="29" t="inlineStr">
        <is>
          <t>marbella:saglik</t>
        </is>
      </c>
      <c r="H92" s="29" t="inlineStr">
        <is>
          <t>Kart 1: SNS hak sahipleri (İspanyol vatandaşı + İspanya'da ikamet eden yabancı; yabancı için yasal ve mutat ikamet, başka yoldan zorunlu sağlık güvencesi olmaması), ikamet izni olmayanlar (art. 3 ter) ve bölge sorumluluğu ('competencia ... corresponde a las CCAA/Servicios Públicos de Salud'). Sayfa Seguridad Social © 2026, JS gerekmeden okunuyor.</t>
        </is>
      </c>
      <c r="I92" s="29" t="inlineStr">
        <is>
          <t>Evet</t>
        </is>
      </c>
      <c r="J92" s="29" t="inlineStr">
        <is>
          <t>Lisans kanıtları/653dfa628d869103285c1e99a554b4905b439e95e032c60e84ffa4d297130e1d.html</t>
        </is>
      </c>
      <c r="K92" s="29" t="inlineStr">
        <is>
          <t>653dfa628d869103285c1e99a554b4905b439e95e032c60e84ffa4d297130e1d</t>
        </is>
      </c>
    </row>
    <row r="93" ht="54" customHeight="1">
      <c r="A93" s="29" t="inlineStr">
        <is>
          <t>marbella:kaynak:086</t>
        </is>
      </c>
      <c r="B93" s="29" t="inlineStr">
        <is>
          <t>marbella</t>
        </is>
      </c>
      <c r="C93" s="29" t="inlineStr">
        <is>
          <t>Ministerio de Sanidad, Consumo y Bienestar Social - Servicios al Ciudadano - Vacantes en organismos internacionales</t>
        </is>
      </c>
      <c r="D93" s="29" t="inlineStr">
        <is>
          <t>Ministerio de Sanidad</t>
        </is>
      </c>
      <c r="E93" s="29" t="inlineStr">
        <is>
          <t>https://www.sanidad.gob.es/servCiudadanos/internacional/convenioEspecial.htm</t>
        </is>
      </c>
      <c r="F93" s="49" t="n">
        <v>46319</v>
      </c>
      <c r="G93" s="29" t="inlineStr">
        <is>
          <t>marbella:saglik</t>
        </is>
      </c>
      <c r="H93" s="29" t="inlineStr">
        <is>
          <t>Kart 2: SNS güvencesi olmayanlar için convenio especial: şartlar (1 yıl kesintisiz fiili ikamet, padrón, başka kamu güvencesi olmaması) ve aylık ücret (65 yaş altı 60 euro, 65 ve üstü 157 euro). Tarihe duyarlı: ücretler RD 576/2013 sabit tutarı; BOE metni 'bölgeler ek hizmet eklerse ücret artırılabilir' diyor (bölgeye göre değişir). Sayfada yıl yok. Sayfa &lt;title&gt; alanı hatalı ('Vacantes en organismos internacionales'); içerik doğru.</t>
        </is>
      </c>
      <c r="I93" s="29" t="inlineStr">
        <is>
          <t>Evet</t>
        </is>
      </c>
      <c r="J93" s="29" t="inlineStr">
        <is>
          <t>Lisans kanıtları/03b1f8622180fb21466ad6eb7e5e527bdfdc981b52603f5f31aba289b4c751a8.html</t>
        </is>
      </c>
      <c r="K93" s="29" t="inlineStr">
        <is>
          <t>03b1f8622180fb21466ad6eb7e5e527bdfdc981b52603f5f31aba289b4c751a8</t>
        </is>
      </c>
    </row>
    <row r="94" ht="54" customHeight="1">
      <c r="A94" s="29" t="inlineStr">
        <is>
          <t>marbella:kaynak:087</t>
        </is>
      </c>
      <c r="B94" s="29" t="inlineStr">
        <is>
          <t>marbella</t>
        </is>
      </c>
      <c r="C94" s="29" t="inlineStr">
        <is>
          <t>BOE-A-2015-8343 Real Decreto Legislativo 1/2015, de 24 de julio, por el que se aprueba el texto refundido de la Ley de garantías y uso racional de los medicamentos y productos sani</t>
        </is>
      </c>
      <c r="D94" s="29" t="inlineStr">
        <is>
          <t>Boletín Oficial del Estado (BOE)</t>
        </is>
      </c>
      <c r="E94" s="29" t="inlineStr">
        <is>
          <t>https://www.boe.es/buscar/act.php?id=BOE-A-2015-8343</t>
        </is>
      </c>
      <c r="F94" s="49" t="n">
        <v>46319</v>
      </c>
      <c r="G94" s="29" t="inlineStr">
        <is>
          <t>marbella:saglik</t>
        </is>
      </c>
      <c r="H94" s="29" t="inlineStr">
        <is>
          <t>Kart 3: reçeteli ilaç katılım payı (copago), art. 102, gelire göre: %60 (gelir &gt;=100.000 euro), %50 (60.000-100.000), %45 (18.000-60.000), %40 diğer aktif sigortalılar, %10 SS emeklileri; ikamet izinsiz yabancılar için %40; aylık tavanlar var. Tarihe duyarlı: konsolide sayfa 'Última actualización 31/07/2026'; oranlar 24/10/2026 itibarıyla sayfadaki güncel metin. Ulusal kural.</t>
        </is>
      </c>
      <c r="I94" s="29" t="inlineStr">
        <is>
          <t>Evet</t>
        </is>
      </c>
      <c r="J94" s="29" t="inlineStr">
        <is>
          <t>Lisans kanıtları/2bbda3e30529b78824f668bb999ae4d3183053addf1e1c8dac234ccda3a88cc6.html</t>
        </is>
      </c>
      <c r="K94" s="29" t="inlineStr">
        <is>
          <t>2bbda3e30529b78824f668bb999ae4d3183053addf1e1c8dac234ccda3a88cc6</t>
        </is>
      </c>
    </row>
    <row r="95" ht="54" customHeight="1">
      <c r="A95" s="29" t="inlineStr">
        <is>
          <t>marbella:kaynak:088</t>
        </is>
      </c>
      <c r="B95" s="29" t="inlineStr">
        <is>
          <t>marbella</t>
        </is>
      </c>
      <c r="C95" s="29" t="inlineStr">
        <is>
          <t>Ministerio de Sanidad - Profesionales - Cartera de Servicios comunes del SNS</t>
        </is>
      </c>
      <c r="D95" s="29" t="inlineStr">
        <is>
          <t>Ministerio de Sanidad</t>
        </is>
      </c>
      <c r="E95" s="29" t="inlineStr">
        <is>
          <t>https://www.sanidad.gob.es/profesionales/prestacionesSanitarias/CarteraDeServicios/home.htm</t>
        </is>
      </c>
      <c r="F95" s="49" t="n">
        <v>46319</v>
      </c>
      <c r="G95" s="29" t="inlineStr">
        <is>
          <t>marbella:saglik</t>
        </is>
      </c>
      <c r="H95" s="29" t="inlineStr">
        <is>
          <t>Kart 3: temel ortak paket tamamen kamu finansmanlı; ilaç, ortopedi, diyet ürünleri ve acil olmayan sağlık nakli 'aportación del usuario'na tabi. Sayfada ayrıca menü bağlantısı 'Cartera de servicios complementaria de las comunidades autónomas' (bölgeye göre değişir çerçevesi). Sayfada yıl yok; norm listesi Orden SND/715/2026 (8 Temmuz 2026)'ya kadar güncel.</t>
        </is>
      </c>
      <c r="I95" s="29" t="inlineStr">
        <is>
          <t>Evet</t>
        </is>
      </c>
      <c r="J95" s="29" t="inlineStr">
        <is>
          <t>Lisans kanıtları/adfa80d17723c88c851d3d4f49994d5ef1a5422340e2d096ef4afc21206cdbe0.html</t>
        </is>
      </c>
      <c r="K95" s="29" t="inlineStr">
        <is>
          <t>adfa80d17723c88c851d3d4f49994d5ef1a5422340e2d096ef4afc21206cdbe0</t>
        </is>
      </c>
    </row>
    <row r="96" ht="54" customHeight="1">
      <c r="A96" s="29" t="inlineStr">
        <is>
          <t>marbella:kaynak:089</t>
        </is>
      </c>
      <c r="B96" s="29" t="inlineStr">
        <is>
          <t>marbella</t>
        </is>
      </c>
      <c r="C96" s="29" t="inlineStr">
        <is>
          <t>BOE-A-1997-14058 Real Decreto 903/1997, de 16 de junio, por el que se regula el acceso, mediante redes de telecomunicaciones, al servicio de atención de llamadas de urgencia a trav</t>
        </is>
      </c>
      <c r="D96" s="29" t="inlineStr">
        <is>
          <t>Boletín Oficial del Estado (BOE)</t>
        </is>
      </c>
      <c r="E96" s="29" t="inlineStr">
        <is>
          <t>https://www.boe.es/buscar/doc.php?id=BOE-A-1997-14058</t>
        </is>
      </c>
      <c r="F96" s="49" t="n">
        <v>46319</v>
      </c>
      <c r="G96" s="29" t="inlineStr">
        <is>
          <t>marbella:saglik</t>
        </is>
      </c>
      <c r="H96" s="29" t="inlineStr">
        <is>
          <t>Kart 4: 112 tek acil numara, ücretsiz; aramalar coğrafi alana göre ilgili merkeze yönlendirilir (hizmeti özerk bölgeler yürütür = bölgeye göre değişir). 061 (sağlık acil) için ulusal resmî derin sayfa BULUNAMADI, bkz. gaps.md. Orijinal metin 27/06/1997.</t>
        </is>
      </c>
      <c r="I96" s="29" t="inlineStr">
        <is>
          <t>Evet</t>
        </is>
      </c>
      <c r="J96" s="29" t="inlineStr">
        <is>
          <t>Lisans kanıtları/b33e9a95c2e6c4e28768862118210659efcbd7843897ed6765ec4d7b27d280e8.html</t>
        </is>
      </c>
      <c r="K96" s="29" t="inlineStr">
        <is>
          <t>b33e9a95c2e6c4e28768862118210659efcbd7843897ed6765ec4d7b27d280e8</t>
        </is>
      </c>
    </row>
    <row r="97" ht="54" customHeight="1">
      <c r="A97" s="29" t="inlineStr">
        <is>
          <t>marbella:kaynak:090</t>
        </is>
      </c>
      <c r="B97" s="29" t="inlineStr">
        <is>
          <t>marbella</t>
        </is>
      </c>
      <c r="C97" s="29" t="inlineStr">
        <is>
          <t>Ministerio de Sanidad - Áreas - Promoción de la salud y prevención - Vacunas y programas de vacunación - Calendario de vacunación a lo largo de toda la vida 2026</t>
        </is>
      </c>
      <c r="D97" s="29" t="inlineStr">
        <is>
          <t>Ministerio de Sanidad</t>
        </is>
      </c>
      <c r="E97" s="29" t="inlineStr">
        <is>
          <t>https://www.sanidad.gob.es/areas/promocionPrevencion/vacunaciones/calendario/home.htm</t>
        </is>
      </c>
      <c r="F97" s="49" t="n">
        <v>46319</v>
      </c>
      <c r="G97" s="29" t="inlineStr">
        <is>
          <t>marbella:saglik</t>
        </is>
      </c>
      <c r="H97" s="29" t="inlineStr">
        <is>
          <t>Kart 5: CISNS ortak aşı takvimi; sayfa başlığında yıl 2026; 'Calendario común de vacunación a lo largo de toda la vida del Consejo Interterritorial del Sistema Nacional de Salud (CISNS)'; uygulama özerk bölgelerin yetkisi (bölgeye göre değişir). Takvim PDF'i ayrı bağlantı (okunmadı).</t>
        </is>
      </c>
      <c r="I97" s="29" t="inlineStr">
        <is>
          <t>Evet</t>
        </is>
      </c>
      <c r="J97" s="29" t="inlineStr">
        <is>
          <t>Lisans kanıtları/80e85eab0e66886ce11c2bf913991e3f1d49d085d674318d5df2642b192ae28c.html</t>
        </is>
      </c>
      <c r="K97" s="29" t="inlineStr">
        <is>
          <t>80e85eab0e66886ce11c2bf913991e3f1d49d085d674318d5df2642b192ae28c</t>
        </is>
      </c>
    </row>
    <row r="98" ht="54" customHeight="1">
      <c r="A98" s="29" t="inlineStr">
        <is>
          <t>marbella:kaynak:091</t>
        </is>
      </c>
      <c r="B98" s="29" t="inlineStr">
        <is>
          <t>marbella</t>
        </is>
      </c>
      <c r="C98" s="29" t="inlineStr">
        <is>
          <t>BOE-A-2006-16212 Real Decreto 1030/2006, de 15 de septiembre, por el que se establece la cartera de servicios comunes del Sistema Nacional de Salud y el procedimiento para su actua</t>
        </is>
      </c>
      <c r="D98" s="29" t="inlineStr">
        <is>
          <t>Boletín Oficial del Estado (BOE)</t>
        </is>
      </c>
      <c r="E98" s="29" t="inlineStr">
        <is>
          <t>https://www.boe.es/buscar/act.php?id=BOE-A-2006-16212</t>
        </is>
      </c>
      <c r="F98" s="49" t="n">
        <v>46319</v>
      </c>
      <c r="G98" s="29" t="inlineStr">
        <is>
          <t>marbella:saglik</t>
        </is>
      </c>
      <c r="H98" s="29" t="inlineStr">
        <is>
          <t>Kart 6: ortak hizmet paketinde hamilelik ve lohusalık bakımı (ilk trimesterde yakalama, riskli hamilelik, doğum hazırlığı, doğum sonrası ilk ay lohusa ziyareti); metin 'según la organización del correspondiente servicio de salud' (bölgeye göre değişir). Konsolide metin son güncelleme 31/07/2026. Çocuk sağlığı: aynı sayfada '6.1 Servicios de atención a la infancia'.</t>
        </is>
      </c>
      <c r="I98" s="29" t="inlineStr">
        <is>
          <t>Evet</t>
        </is>
      </c>
      <c r="J98" s="29" t="inlineStr">
        <is>
          <t>Lisans kanıtları/fbc920770543f568959de73d76188e9bb39cab48e2be4ded8869261fcff260ce.html</t>
        </is>
      </c>
      <c r="K98" s="29" t="inlineStr">
        <is>
          <t>fbc920770543f568959de73d76188e9bb39cab48e2be4ded8869261fcff260ce</t>
        </is>
      </c>
    </row>
    <row r="99" ht="54" customHeight="1">
      <c r="A99" s="29" t="inlineStr">
        <is>
          <t>marbella:kaynak:092</t>
        </is>
      </c>
      <c r="B99" s="29" t="inlineStr">
        <is>
          <t>marbella</t>
        </is>
      </c>
      <c r="C99" s="29" t="inlineStr">
        <is>
          <t>Seguridad Social: Prestaciones / Pensiones de Trabajadores</t>
        </is>
      </c>
      <c r="D99" s="29" t="inlineStr">
        <is>
          <t>Seguridad Social (INSS)</t>
        </is>
      </c>
      <c r="E99" s="29" t="inlineStr">
        <is>
          <t>https://www.seg-social.es/wps/portal/wss/internet/Trabajadores/PrestacionesPensionesTrabajadores/6b96a085-4dc0-47af-b2cb-97e00716791e/requisitos+19-c021</t>
        </is>
      </c>
      <c r="F99" s="49" t="n">
        <v>46319</v>
      </c>
      <c r="G99" s="29" t="inlineStr">
        <is>
          <t>marbella:saglik</t>
        </is>
      </c>
      <c r="H99" s="29" t="inlineStr">
        <is>
          <t>Kart 6: doğum ve bakım izni/ödeneği ulusal çerçeve (RDL 9/2025 ile izin uzatıldı, yürürlük 31/07/2025; ödenek düzenleyici matrahın %100'ü). Bu alıntılarda hafta sayısı yok (Duración bölümü ET art. 48'e atıf yapıyor); kartta süre rakamı yazılacaksa ET/BOE'den ayrıca doğrulanmalı. Sağlık değil Seguridad Social ödeneği.</t>
        </is>
      </c>
      <c r="I99" s="29" t="inlineStr">
        <is>
          <t>Evet</t>
        </is>
      </c>
      <c r="J99" s="29" t="inlineStr">
        <is>
          <t>Lisans kanıtları/cce848cf59c456f4e10127c5c8266685b0ae9c1785df50848de7101af738fe28.html</t>
        </is>
      </c>
      <c r="K99" s="29" t="inlineStr">
        <is>
          <t>cce848cf59c456f4e10127c5c8266685b0ae9c1785df50848de7101af738fe28</t>
        </is>
      </c>
    </row>
    <row r="100" ht="54" customHeight="1">
      <c r="A100" s="29" t="inlineStr">
        <is>
          <t>marbella:kaynak:093</t>
        </is>
      </c>
      <c r="B100" s="29" t="inlineStr">
        <is>
          <t>marbella</t>
        </is>
      </c>
      <c r="C100" s="29" t="inlineStr">
        <is>
          <t>BOE-A-2006-21990 Ley 39/2006, de 14 de diciembre, de Promoción de la Autonomía Personal y Atención a las personas en situación de dependencia.</t>
        </is>
      </c>
      <c r="D100" s="29" t="inlineStr">
        <is>
          <t>Boletín Oficial del Estado (BOE)</t>
        </is>
      </c>
      <c r="E100" s="29" t="inlineStr">
        <is>
          <t>https://www.boe.es/buscar/act.php?id=BOE-A-2006-21990</t>
        </is>
      </c>
      <c r="F100" s="49" t="n">
        <v>46319</v>
      </c>
      <c r="G100" s="29" t="inlineStr">
        <is>
          <t>marbella:saglik</t>
        </is>
      </c>
      <c r="H100" s="29" t="inlineStr">
        <is>
          <t>Kart 7 (yaşlı bakımı/bağımlılık): SAAD; devlet asgari ortak hak içeriğini garanti eder, uygulama özerk bölgelerle birlikte (bölgeye göre değişir; art. 1.2). Hak sahipliği art. 5: bağımlılık derecesi + 5 yıl ikamet (son 2 yıl kesintisiz); yabancılar LO 4/2000'e tabi. TARİHE DUYARLI: art. 5 Ley 4/2026 (1 Ekim 2026) ile değişti, yürürlük 23/10/2026; sayfa 'Última actualización 03/10/2026'. Kart yazılırken art. 5 güncel metni yeniden okunmalı.</t>
        </is>
      </c>
      <c r="I100" s="29" t="inlineStr">
        <is>
          <t>Evet</t>
        </is>
      </c>
      <c r="J100" s="29" t="inlineStr">
        <is>
          <t>Lisans kanıtları/ad5a1a83a938796cf4581cb6837fdb4be56f9a2d9982efda06f6812675f5b215.html</t>
        </is>
      </c>
      <c r="K100" s="29" t="inlineStr">
        <is>
          <t>ad5a1a83a938796cf4581cb6837fdb4be56f9a2d9982efda06f6812675f5b215</t>
        </is>
      </c>
    </row>
    <row r="101" ht="54" customHeight="1">
      <c r="A101" s="29" t="inlineStr">
        <is>
          <t>marbella:kaynak:094</t>
        </is>
      </c>
      <c r="B101" s="29" t="inlineStr">
        <is>
          <t>marbella</t>
        </is>
      </c>
      <c r="C101" s="29" t="inlineStr">
        <is>
          <t>BOE-A-1994-26003 Ley 29/1994, de 24 de noviembre, de Arrendamientos Urbanos.</t>
        </is>
      </c>
      <c r="D101" s="29" t="inlineStr">
        <is>
          <t>Boletín Oficial del Estado (BOE)</t>
        </is>
      </c>
      <c r="E101" s="29" t="inlineStr">
        <is>
          <t>https://www.boe.es/buscar/act.php?id=BOE-A-1994-26003</t>
        </is>
      </c>
      <c r="F101" s="49" t="n">
        <v>46319</v>
      </c>
      <c r="G101" s="29" t="inlineStr">
        <is>
          <t>marbella:ev</t>
        </is>
      </c>
      <c r="H101" s="29" t="inlineStr">
        <is>
          <t>Kart 1: LAU md. 9.1 - süre özgürce kararlaştırılır; 5 yıldan kısaysa (kiraya veren tüzel kişiyse 7 yıldan kısaysa) yıllık zorunlu uzatma; kiracı 30 gün önceden bildirerek yenilememe hakkı. Konsolide metin 'última actualización publicada el 07/10/2026'. UYARI: md. 10 (zımni uzatma, 4/2 ay ihbar, +3 yıl) RDL 28/2026 ile 15/11/2026'dan itibaren değişecek (6 ay ihbar, 5 yıllık uzatma, tazminat); RDL 29/2026 (6 Ekim 2026) md. 9.4, 9 bis (geçici konut) ekledi - kart yazılırken md. 9.1 çekirdeğiyle sınırlı kal.</t>
        </is>
      </c>
      <c r="I101" s="29" t="inlineStr">
        <is>
          <t>Evet</t>
        </is>
      </c>
      <c r="J101" s="29" t="inlineStr">
        <is>
          <t>Lisans kanıtları/664e61e793162d4c30a7f5003c913ddb99b4ac86833d14266770102a0a1353bc.html</t>
        </is>
      </c>
      <c r="K101" s="29" t="inlineStr">
        <is>
          <t>664e61e793162d4c30a7f5003c913ddb99b4ac86833d14266770102a0a1353bc</t>
        </is>
      </c>
    </row>
    <row r="102" ht="54" customHeight="1">
      <c r="A102" s="29" t="inlineStr">
        <is>
          <t>marbella:kaynak:095</t>
        </is>
      </c>
      <c r="B102" s="29" t="inlineStr">
        <is>
          <t>marbella</t>
        </is>
      </c>
      <c r="C102" s="29" t="inlineStr">
        <is>
          <t>INEbase / Nivel y condiciones de vida (IPC) /Índices de precios de consumo y vivienda /Índice de referencia de arrendamientos de vivienda / Últimos datos</t>
        </is>
      </c>
      <c r="D102" s="29" t="inlineStr">
        <is>
          <t>Instituto Nacional de Estadística (INE)</t>
        </is>
      </c>
      <c r="E102" s="29" t="inlineStr">
        <is>
          <t>https://ine.es/dyngs/INEbase/operacion.htm?c=Estadistica_C&amp;cid=1254736177110&amp;idp=1254735976607&amp;menu=ultiDatos</t>
        </is>
      </c>
      <c r="F102" s="49" t="n">
        <v>46319</v>
      </c>
      <c r="G102" s="29" t="inlineStr">
        <is>
          <t>marbella:ev</t>
        </is>
      </c>
      <c r="H102" s="29" t="inlineStr">
        <is>
          <t>Kart 3 (tarihe duyarlı): INE IRAV sayfası - 26 Mayıs 2023 sonrası sözleşmeler IRAV'a göre güncellenir; endeks = IPC, çekirdek IPC ve ayarlı ortalama oranlarının en düşüğü. Sayfadaki son veri: 'Septiembre 2026', yayın 14/10/2026, yıllık değişim 2,54 % (her ay değişir - kartta rakam yazma ya da tarihle yaz).</t>
        </is>
      </c>
      <c r="I102" s="29" t="inlineStr">
        <is>
          <t>Evet</t>
        </is>
      </c>
      <c r="J102" s="29" t="inlineStr">
        <is>
          <t>Lisans kanıtları/ca1f5c565144f1122bb26fbba26fb9394ae0f36bee62010c4417f7e5c870393b.html</t>
        </is>
      </c>
      <c r="K102" s="29" t="inlineStr">
        <is>
          <t>ca1f5c565144f1122bb26fbba26fb9394ae0f36bee62010c4417f7e5c870393b</t>
        </is>
      </c>
    </row>
    <row r="103" ht="54" customHeight="1">
      <c r="A103" s="29" t="inlineStr">
        <is>
          <t>marbella:kaynak:096</t>
        </is>
      </c>
      <c r="B103" s="29" t="inlineStr">
        <is>
          <t>marbella</t>
        </is>
      </c>
      <c r="C103" s="29" t="inlineStr">
        <is>
          <t>Estafas en alquileres de viviendas | Ciudadanía | INCIBE</t>
        </is>
      </c>
      <c r="D103" s="29" t="inlineStr">
        <is>
          <t>INCIBE (Instituto Nacional de Ciberseguridad, Ciudadanía/OSI)</t>
        </is>
      </c>
      <c r="E103" s="29" t="inlineStr">
        <is>
          <t>https://www.incibe.es/ciudadania/estafas-alquileres</t>
        </is>
      </c>
      <c r="F103" s="49" t="n">
        <v>46319</v>
      </c>
      <c r="G103" s="29" t="inlineStr">
        <is>
          <t>marbella:ev</t>
        </is>
      </c>
      <c r="H103" s="29" t="inlineStr">
        <is>
          <t>Kart 6: resmî siber güvenlik kurumundan sahte kiralık ilan uyarıları - çok düşük fiyat, kopyalanmış fotoğraf, yurtdışında oturduğu için evi gösteremeyen ev sahibi, anahtar/sözleşme için aracı, acele, anonim para gönderme (MoneyGram/Western Union) ve ev sahibinin ülkesi dışı banka havalesi. Sayfa tarihsiz ve eski tarz (örnek hikaye Dublin) ama ilke geçerli; policia.es sayfaları JS/boş, interior.gob.es 403 verdi.</t>
        </is>
      </c>
      <c r="I103" s="29" t="inlineStr">
        <is>
          <t>Evet</t>
        </is>
      </c>
      <c r="J103" s="29" t="inlineStr">
        <is>
          <t>Lisans kanıtları/f62be0a46694aba2d1eae580468ff41dce608668f8d49aee4b1f6cde2841a4d9.html</t>
        </is>
      </c>
      <c r="K103" s="29" t="inlineStr">
        <is>
          <t>f62be0a46694aba2d1eae580468ff41dce608668f8d49aee4b1f6cde2841a4d9</t>
        </is>
      </c>
    </row>
    <row r="104" ht="54" customHeight="1">
      <c r="A104" s="29" t="inlineStr">
        <is>
          <t>marbella:kaynak:097</t>
        </is>
      </c>
      <c r="B104" s="29" t="inlineStr">
        <is>
          <t>marbella</t>
        </is>
      </c>
      <c r="C104" s="29" t="inlineStr">
        <is>
          <t>Categorias</t>
        </is>
      </c>
      <c r="D104" s="29" t="inlineStr">
        <is>
          <t>Tesorería General de la Seguridad Social</t>
        </is>
      </c>
      <c r="E104" s="29" t="inlineStr">
        <is>
          <t>https://portal.seg-social.gob.es/wps/portal/importass/importass/Categorias/Altas,+bajas+y+modificaciones/Altas+y+afiliacion+de+trabajadores/Solicitar+el+numero+de+la+Seguridad+Social</t>
        </is>
      </c>
      <c r="F104" s="49" t="n">
        <v>46319</v>
      </c>
      <c r="G104" s="29" t="inlineStr">
        <is>
          <t>marbella:planlama</t>
        </is>
      </c>
      <c r="H104" s="29" t="inlineStr">
        <is>
          <t>Kart 3: ilk günlerde sosyal güvenlik numarası (NUSS) adımı; NIE ile başvurulur, sağlık kartı için de kullanılır. Sayfa tarihsiz.</t>
        </is>
      </c>
      <c r="I104" s="29" t="inlineStr">
        <is>
          <t>Evet</t>
        </is>
      </c>
      <c r="J104" s="29" t="inlineStr">
        <is>
          <t>Lisans kanıtları/416ecdff4ad58afc1a7bba19b4b6d1108e2452529b9505f80f44579957550da1.html</t>
        </is>
      </c>
      <c r="K104" s="29" t="inlineStr">
        <is>
          <t>416ecdff4ad58afc1a7bba19b4b6d1108e2452529b9505f80f44579957550da1</t>
        </is>
      </c>
    </row>
    <row r="105" ht="54" customHeight="1">
      <c r="A105" s="29" t="inlineStr">
        <is>
          <t>marbella:kaynak:098</t>
        </is>
      </c>
      <c r="B105" s="29" t="inlineStr">
        <is>
          <t>marbella</t>
        </is>
      </c>
      <c r="C105" s="29" t="inlineStr">
        <is>
          <t>: Medios de pago</t>
        </is>
      </c>
      <c r="D105" s="29" t="inlineStr">
        <is>
          <t>Agencia Tributaria (AEAT) - Aduanas</t>
        </is>
      </c>
      <c r="E105" s="29" t="inlineStr">
        <is>
          <t>https://sede.agenciatributaria.gob.es/Sede/viajeros-trabajadores-desplazados-fronterizos/viajeros/medios-pago.html</t>
        </is>
      </c>
      <c r="F105" s="49" t="n">
        <v>46319</v>
      </c>
      <c r="G105" s="29" t="inlineStr">
        <is>
          <t>marbella:planlama</t>
        </is>
      </c>
      <c r="H105" s="29" t="inlineStr">
        <is>
          <t>Kart 4: nakit/ödeme aracı taşıma eşiği (10.000 euro), AB içi için S1, AB dışı için E1 modeli. Sayfa 'Página actualizada: 23/septiembre/2026'.</t>
        </is>
      </c>
      <c r="I105" s="29" t="inlineStr">
        <is>
          <t>Evet</t>
        </is>
      </c>
      <c r="J105" s="29" t="inlineStr">
        <is>
          <t>Lisans kanıtları/733dcfb4bc205771c0fe323a310d81de0999dfb67d370771207e61bc5f263ad3.html</t>
        </is>
      </c>
      <c r="K105" s="29" t="inlineStr">
        <is>
          <t>733dcfb4bc205771c0fe323a310d81de0999dfb67d370771207e61bc5f263ad3</t>
        </is>
      </c>
    </row>
    <row r="106" ht="54" customHeight="1">
      <c r="A106" s="29" t="inlineStr">
        <is>
          <t>marbella:kaynak:099</t>
        </is>
      </c>
      <c r="B106" s="29" t="inlineStr">
        <is>
          <t>marbella</t>
        </is>
      </c>
      <c r="C106" s="29" t="inlineStr">
        <is>
          <t>Agencia Tributaria: Traslado de actividad empresarial, de residencia y otros - Traslado de residencia. Franquicias y ...</t>
        </is>
      </c>
      <c r="D106" s="29" t="inlineStr">
        <is>
          <t>Agencia Tributaria (AEAT) - Aduanas</t>
        </is>
      </c>
      <c r="E106" s="29" t="inlineStr">
        <is>
          <t>https://sede.agenciatributaria.gob.es/Sede/no-residentes/exenciones-viajeros-embajadas-otros/traslado-actividad-empresarial-residencia-otros/traslado-residencia-franquicias-exencion-impuestos.html</t>
        </is>
      </c>
      <c r="F106" s="49" t="n">
        <v>46319</v>
      </c>
      <c r="G106" s="29" t="inlineStr">
        <is>
          <t>marbella:planlama</t>
        </is>
      </c>
      <c r="H106" s="29" t="inlineStr">
        <is>
          <t>Kart 4 (ev eşyası taşıma): AB dışından ikamet taşıyan kişinin eşyası için gümrük/KDV muafiyeti koşulları (12 ay yurt dışı ikamet, 6 ay eşya sahipliği). Sayfa 'Página actualizada: 12/mayo/2026'.</t>
        </is>
      </c>
      <c r="I106" s="29" t="inlineStr">
        <is>
          <t>Evet</t>
        </is>
      </c>
      <c r="J106" s="29" t="inlineStr">
        <is>
          <t>Lisans kanıtları/512df17a25bf9d3fb972ad90c08f886b4ba6d8a28eddad2e9af2a009eb3773a4.html</t>
        </is>
      </c>
      <c r="K106" s="29" t="inlineStr">
        <is>
          <t>512df17a25bf9d3fb972ad90c08f886b4ba6d8a28eddad2e9af2a009eb3773a4</t>
        </is>
      </c>
    </row>
    <row r="107" ht="54" customHeight="1">
      <c r="A107" s="29" t="inlineStr">
        <is>
          <t>marbella:kaynak:100</t>
        </is>
      </c>
      <c r="B107" s="29" t="inlineStr">
        <is>
          <t>marbella</t>
        </is>
      </c>
      <c r="C107" s="29" t="inlineStr">
        <is>
          <t>Agencia Tributaria: Mascotas. Animales de compañía</t>
        </is>
      </c>
      <c r="D107" s="29" t="inlineStr">
        <is>
          <t>Agencia Tributaria (AEAT) - Aduanas</t>
        </is>
      </c>
      <c r="E107" s="29" t="inlineStr">
        <is>
          <t>https://sede.agenciatributaria.gob.es/Sede/viajeros-trabajadores-desplazados-fronterizos/viajeros/mascotas-animales-compania.html</t>
        </is>
      </c>
      <c r="F107" s="49" t="n">
        <v>46319</v>
      </c>
      <c r="G107" s="29" t="inlineStr">
        <is>
          <t>marbella:planlama</t>
        </is>
      </c>
      <c r="H107" s="29" t="inlineStr">
        <is>
          <t>Kart 5: AB dışı ülkeden (Türkiye dahil) evcil hayvanla giriş: mikroçip, kuduz aşısı, serolojik test, zoosanitario sertifika/pasaport, giriş noktası. Sayfa 'Página actualizada: 23/septiembre/2026'. Not: sayfa Reglamento 577/2013 Anexo II'ye atıf yapıyor; MAPA sayfası 2026/636'ya atıf yapıyor (güncel liste için bkz. gaps).</t>
        </is>
      </c>
      <c r="I107" s="29" t="inlineStr">
        <is>
          <t>Evet</t>
        </is>
      </c>
      <c r="J107" s="29" t="inlineStr">
        <is>
          <t>Lisans kanıtları/de292a74d87b29a8ee293845e8db8a567d7f53515765fa840f9fa6b3b39e4675.html</t>
        </is>
      </c>
      <c r="K107" s="29" t="inlineStr">
        <is>
          <t>de292a74d87b29a8ee293845e8db8a567d7f53515765fa840f9fa6b3b39e4675</t>
        </is>
      </c>
    </row>
    <row r="108" ht="54" customHeight="1">
      <c r="A108" s="29" t="inlineStr">
        <is>
          <t>marbella:kaynak:101</t>
        </is>
      </c>
      <c r="B108" s="29" t="inlineStr">
        <is>
          <t>marbella</t>
        </is>
      </c>
      <c r="C108" s="29" t="inlineStr">
        <is>
          <t>Reglamento Delegado (UE) 2026/131 de la Comisión (DOUE L 2026/131, 27.3.2026)</t>
        </is>
      </c>
      <c r="D108" s="29" t="inlineStr">
        <is>
          <t>Oficina de Publicaciones de la Unión Europea (Diario Oficial de la UE)</t>
        </is>
      </c>
      <c r="E108" s="29" t="inlineStr">
        <is>
          <t>https://publications.europa.eu/resource/cellar/12bce2c0-297f-11f1-8803-01aa75ed71a1.0007.03/DOC_1</t>
        </is>
      </c>
      <c r="F108" s="49" t="n">
        <v>46319</v>
      </c>
      <c r="G108" s="29" t="inlineStr">
        <is>
          <t>marbella:planlama</t>
        </is>
      </c>
      <c r="H108" s="29" t="inlineStr">
        <is>
          <t>Evcil hayvan kartı: 577/2013 yerine 22.4.2026'dan beri geçerli kurallar; art. 14 c) üçüncü ülkeden gelen köpek/kedi/hurón için kuduz antikor testi.</t>
        </is>
      </c>
      <c r="I108" s="29" t="inlineStr">
        <is>
          <t>Evet</t>
        </is>
      </c>
      <c r="J108" s="29" t="inlineStr">
        <is>
          <t>Lisans kanıtları/79da971b5974151c5ab8c30fc8421bb9000868304b94c7fd44de42fdbe266de2.html</t>
        </is>
      </c>
      <c r="K108" s="29" t="inlineStr">
        <is>
          <t>79da971b5974151c5ab8c30fc8421bb9000868304b94c7fd44de42fdbe266de2</t>
        </is>
      </c>
    </row>
    <row r="109" ht="54" customHeight="1">
      <c r="A109" s="29" t="inlineStr">
        <is>
          <t>marbella:kaynak:102</t>
        </is>
      </c>
      <c r="B109" s="29" t="inlineStr">
        <is>
          <t>marbella</t>
        </is>
      </c>
      <c r="C109" s="29" t="inlineStr">
        <is>
          <t>Servicios consulares</t>
        </is>
      </c>
      <c r="D109" s="29" t="inlineStr">
        <is>
          <t>Ministerio de Asuntos Exteriores, UE y Cooperación (Consulado General de España en Estambul)</t>
        </is>
      </c>
      <c r="E109" s="29" t="inlineStr">
        <is>
          <t>https://www.exteriores.gob.es/Consulados/estambul/es/ServiciosConsulares/Paginas/index.aspx?scca=Visados&amp;scco=Turqu%C3%ADa&amp;scd=141&amp;scs=Visados+Nacionales+-+Visado+de+estudios</t>
        </is>
      </c>
      <c r="F109" s="49" t="n">
        <v>46319</v>
      </c>
      <c r="G109" s="29" t="inlineStr">
        <is>
          <t>marbella:planlama</t>
        </is>
      </c>
      <c r="H109" s="29" t="inlineStr">
        <is>
          <t>Kart 6: öğrenci vizesi için sağlık sigortası şartı (kalış süresince geçerli, SNS ortak temel hizmet paketine benzer kapsam). Sayfa tarihsiz; 2026-10-24'te açıldı.</t>
        </is>
      </c>
      <c r="I109" s="29" t="inlineStr">
        <is>
          <t>Evet</t>
        </is>
      </c>
      <c r="J109" s="29" t="inlineStr">
        <is>
          <t>Lisans kanıtları/a97f38046d900f9faeb0661b530a2eba79a22a8a1ecc3abda10ba2f0371050b8.html</t>
        </is>
      </c>
      <c r="K109" s="29" t="inlineStr">
        <is>
          <t>a97f38046d900f9faeb0661b530a2eba79a22a8a1ecc3abda10ba2f0371050b8</t>
        </is>
      </c>
    </row>
    <row r="110" ht="54" customHeight="1">
      <c r="A110" s="29" t="inlineStr">
        <is>
          <t>marbella:kaynak:103</t>
        </is>
      </c>
      <c r="B110" s="29" t="inlineStr">
        <is>
          <t>marbella</t>
        </is>
      </c>
      <c r="C110" s="29" t="inlineStr">
        <is>
          <t>Monedas en euros - Banco de España</t>
        </is>
      </c>
      <c r="D110" s="29" t="inlineStr">
        <is>
          <t>Banco de España</t>
        </is>
      </c>
      <c r="E110" s="29" t="inlineStr">
        <is>
          <t>https://www.bde.es/wbe/es/areas-actuacion/billetes-monedas/monedas-euros/</t>
        </is>
      </c>
      <c r="F110" s="49" t="n">
        <v>46319</v>
      </c>
      <c r="G110" s="29" t="inlineStr">
        <is>
          <t>marbella:planlama</t>
        </is>
      </c>
      <c r="H110" s="29" t="inlineStr">
        <is>
          <t>Kart 7: para birimi euro (euro bozuk paralar zona euro'da yasal ödeme aracı; İspanya'da FNMT basıyor, Banco de España dolaşıma sokuyor). Sayfa tarihsiz; güncel (2026-10-24'te açıldı).</t>
        </is>
      </c>
      <c r="I110" s="29" t="inlineStr">
        <is>
          <t>Evet</t>
        </is>
      </c>
      <c r="J110" s="29" t="inlineStr">
        <is>
          <t>Lisans kanıtları/3c5b55850a19928d9273b158299b437894f83769b2210ab600ecba5cde1dd528.html</t>
        </is>
      </c>
      <c r="K110" s="29" t="inlineStr">
        <is>
          <t>3c5b55850a19928d9273b158299b437894f83769b2210ab600ecba5cde1dd528</t>
        </is>
      </c>
    </row>
    <row r="111" ht="54" customHeight="1">
      <c r="A111" s="29" t="inlineStr">
        <is>
          <t>marbella:kaynak:104</t>
        </is>
      </c>
      <c r="B111" s="29" t="inlineStr">
        <is>
          <t>marbella</t>
        </is>
      </c>
      <c r="C111" s="29" t="inlineStr">
        <is>
          <t>BOE-A-1978-31229 Constitución Española.</t>
        </is>
      </c>
      <c r="D111" s="29" t="inlineStr">
        <is>
          <t>Agencia Estatal Boletín Oficial del Estado</t>
        </is>
      </c>
      <c r="E111" s="29" t="inlineStr">
        <is>
          <t>https://www.boe.es/buscar/act.php?id=BOE-A-1978-31229</t>
        </is>
      </c>
      <c r="F111" s="49" t="n">
        <v>46319</v>
      </c>
      <c r="G111" s="29" t="inlineStr">
        <is>
          <t>marbella:planlama</t>
        </is>
      </c>
      <c r="H111" s="29" t="inlineStr">
        <is>
          <t>Kart 7: resmî diller (Kastilyaca devlet dili; diğer İspanyol dilleri özerk bölgelerde ortak resmî dil).</t>
        </is>
      </c>
      <c r="I111" s="29" t="inlineStr">
        <is>
          <t>Evet</t>
        </is>
      </c>
      <c r="J111" s="29" t="inlineStr">
        <is>
          <t>Lisans kanıtları/9c471bb536ef77b418b7ad4c51de8d268c4e650b25b77a16ac09ddd62a8acbea.html</t>
        </is>
      </c>
      <c r="K111" s="29" t="inlineStr">
        <is>
          <t>9c471bb536ef77b418b7ad4c51de8d268c4e650b25b77a16ac09ddd62a8acbea</t>
        </is>
      </c>
    </row>
    <row r="112" ht="54" customHeight="1">
      <c r="A112" s="29" t="inlineStr">
        <is>
          <t>marbella:kaynak:105</t>
        </is>
      </c>
      <c r="B112" s="29" t="inlineStr">
        <is>
          <t>marbella</t>
        </is>
      </c>
      <c r="C112" s="29" t="inlineStr">
        <is>
          <t>BOE-A-2002-4221 Real Decreto 236/2002, de 1 de marzo, por el que se establece la hora de verano.</t>
        </is>
      </c>
      <c r="D112" s="29" t="inlineStr">
        <is>
          <t>Agencia Estatal Boletín Oficial del Estado</t>
        </is>
      </c>
      <c r="E112" s="29" t="inlineStr">
        <is>
          <t>https://www.boe.es/buscar/doc.php?id=BOE-A-2002-4221</t>
        </is>
      </c>
      <c r="F112" s="49" t="n">
        <v>46319</v>
      </c>
      <c r="G112" s="29" t="inlineStr">
        <is>
          <t>marbella:planlama</t>
        </is>
      </c>
      <c r="H112" s="29" t="inlineStr">
        <is>
          <t>Kart 7: iki resmî saat (Yarımada+Balear / Kanarya), yaz saati kuralı (Mart son pazar - Ekim son pazar). Sayfa 'texto original' 2002 tarihli ve yürürlükte; 2026 takvimi Orden PCM/186/2022 ile (bu yıl 25 Ekim 2026'da bitiyor).</t>
        </is>
      </c>
      <c r="I112" s="29" t="inlineStr">
        <is>
          <t>Evet</t>
        </is>
      </c>
      <c r="J112" s="29" t="inlineStr">
        <is>
          <t>Lisans kanıtları/40cc31504eb7ad4e9c7ebf2e92f99fdaecb13e6a042f3f672a73b0fe8ec4d1aa.html</t>
        </is>
      </c>
      <c r="K112" s="29" t="inlineStr">
        <is>
          <t>40cc31504eb7ad4e9c7ebf2e92f99fdaecb13e6a042f3f672a73b0fe8ec4d1aa</t>
        </is>
      </c>
    </row>
    <row r="113" ht="54" customHeight="1">
      <c r="A113" s="29" t="inlineStr">
        <is>
          <t>marbella:kaynak:106</t>
        </is>
      </c>
      <c r="B113" s="29" t="inlineStr">
        <is>
          <t>marbella</t>
        </is>
      </c>
      <c r="C113" s="29" t="inlineStr">
        <is>
          <t>: Franquicias: Tabaco, alcohol y otras mercancías</t>
        </is>
      </c>
      <c r="D113" s="29" t="inlineStr">
        <is>
          <t>Agencia Tributaria (AEAT) - Aduanas</t>
        </is>
      </c>
      <c r="E113" s="29" t="inlineStr">
        <is>
          <t>https://sede.agenciatributaria.gob.es/Sede/viajeros-trabajadores-desplazados-fronterizos/viajeros/franquicias-tabaco-alcohol-otras-mercancias.html</t>
        </is>
      </c>
      <c r="F113" s="49" t="n">
        <v>46319</v>
      </c>
      <c r="G113" s="29" t="inlineStr">
        <is>
          <t>marbella:planlama</t>
        </is>
      </c>
      <c r="H113" s="29" t="inlineStr">
        <is>
          <t>Kart 4: AB dışından gelen yolcunun muafiyet tutarları (hava/deniz 430 euro, kara 300 euro). Sayfa 'Página actualizada: 23/septiembre/2026'.</t>
        </is>
      </c>
      <c r="I113" s="29" t="inlineStr">
        <is>
          <t>Evet</t>
        </is>
      </c>
      <c r="J113" s="29" t="inlineStr">
        <is>
          <t>Lisans kanıtları/5e542cbc850b6f2b4eb5d513f8db048eb6f620bdfd9e25543d83c21fd5db8f0f.html</t>
        </is>
      </c>
      <c r="K113" s="29" t="inlineStr">
        <is>
          <t>5e542cbc850b6f2b4eb5d513f8db048eb6f620bdfd9e25543d83c21fd5db8f0f</t>
        </is>
      </c>
    </row>
    <row r="114" ht="54" customHeight="1">
      <c r="A114" s="29" t="inlineStr">
        <is>
          <t>marbella:kaynak:107</t>
        </is>
      </c>
      <c r="B114" s="29" t="inlineStr">
        <is>
          <t>marbella</t>
        </is>
      </c>
      <c r="C114" s="29" t="inlineStr">
        <is>
          <t>BOE-A-2006-7899 Ley Orgánica 2/2006, de 3 de mayo, de Educación.</t>
        </is>
      </c>
      <c r="D114" s="29" t="inlineStr">
        <is>
          <t>BOE - Agencia Estatal Boletín Oficial del Estado</t>
        </is>
      </c>
      <c r="E114" s="29" t="inlineStr">
        <is>
          <t>https://www.boe.es/buscar/act.php?id=BOE-A-2006-7899</t>
        </is>
      </c>
      <c r="F114" s="49" t="n">
        <v>46319</v>
      </c>
      <c r="G114" s="29" t="inlineStr">
        <is>
          <t>marbella:aile</t>
        </is>
      </c>
      <c r="H114" s="29" t="inlineStr">
        <is>
          <t>Kart 1: zorunlu temel eğitim 6-16 yaş (art. 4), okul türleri público/privado/concertado (art. 108), kayıt/admisión çerçevesi ve bölge idarelerinin düzenlemesi (art. 84). Takvim ve puanlama bölgeye göre değişir. Konsolide metin.</t>
        </is>
      </c>
      <c r="I114" s="29" t="inlineStr">
        <is>
          <t>Evet</t>
        </is>
      </c>
      <c r="J114" s="29" t="inlineStr">
        <is>
          <t>Lisans kanıtları/c065b637450d90a21699d3fb9253aff01ff1d26abb42e17158a9e688ed3c3d5d.html</t>
        </is>
      </c>
      <c r="K114" s="29" t="inlineStr">
        <is>
          <t>c065b637450d90a21699d3fb9253aff01ff1d26abb42e17158a9e688ed3c3d5d</t>
        </is>
      </c>
    </row>
    <row r="115" ht="54" customHeight="1">
      <c r="A115" s="29" t="inlineStr">
        <is>
          <t>marbella:kaynak:108</t>
        </is>
      </c>
      <c r="B115" s="29" t="inlineStr">
        <is>
          <t>marbella</t>
        </is>
      </c>
      <c r="C115" s="29" t="inlineStr">
        <is>
          <t>BOE-A-2024-11858 Real Decreto 534/2024, de 11 de junio, por el que se regulan los requisitos de acceso a las enseñanzas universitarias oficiales de Grado, las características básic</t>
        </is>
      </c>
      <c r="D115" s="29" t="inlineStr">
        <is>
          <t>BOE</t>
        </is>
      </c>
      <c r="E115" s="29" t="inlineStr">
        <is>
          <t>https://www.boe.es/buscar/act.php?id=BOE-A-2024-11858</t>
        </is>
      </c>
      <c r="F115" s="49" t="n">
        <v>46319</v>
      </c>
      <c r="G115" s="29" t="inlineStr">
        <is>
          <t>marbella:aile</t>
        </is>
      </c>
      <c r="H115" s="29" t="inlineStr">
        <is>
          <t>Kart 2: yabancı liseliler için üniversiteye giriş (art. 6 prueba de acceso gerekmeyen sistemler, homologación gerekmez; DA 4a prueba zorunlu sistemler). Türkiye art. 6 listesinde yok (AB/anlaşmalı sistemler, AE okulları, IB). Konsolide metin.</t>
        </is>
      </c>
      <c r="I115" s="29" t="inlineStr">
        <is>
          <t>Evet</t>
        </is>
      </c>
      <c r="J115" s="29" t="inlineStr">
        <is>
          <t>Lisans kanıtları/d9306f1d6722c5704f223507b217d5a564aef18f64236f6f88df25c3ecb267ab.html</t>
        </is>
      </c>
      <c r="K115" s="29" t="inlineStr">
        <is>
          <t>d9306f1d6722c5704f223507b217d5a564aef18f64236f6f88df25c3ecb267ab</t>
        </is>
      </c>
    </row>
    <row r="116" ht="54" customHeight="1">
      <c r="A116" s="29" t="inlineStr">
        <is>
          <t>marbella:kaynak:109</t>
        </is>
      </c>
      <c r="B116" s="29" t="inlineStr">
        <is>
          <t>marbella</t>
        </is>
      </c>
      <c r="C116" s="29" t="inlineStr">
        <is>
          <t>Tipos de estudiantes internacionales</t>
        </is>
      </c>
      <c r="D116" s="29" t="inlineStr">
        <is>
          <t>UNED (universidad pública) - UNEDasiss</t>
        </is>
      </c>
      <c r="E116" s="29" t="inlineStr">
        <is>
          <t>https://unedasiss.uned.es/publico_destino</t>
        </is>
      </c>
      <c r="F116" s="49" t="n">
        <v>46319</v>
      </c>
      <c r="G116" s="29" t="inlineStr">
        <is>
          <t>marbella:aile</t>
        </is>
      </c>
      <c r="H116" s="29" t="inlineStr">
        <is>
          <t>Kart 2: acreditación UNEDasiss, calificación de acceso, PCE. Sayfa 'Unión Europea, EEES, IB, Escuelas Europeas, China y Colombia' grubunu açıklıyor (Türkiye listede yok; ülke bazlı sayfa ayrıca bakılmalı). Kamu üniversitesi sitesi, .gob.es değil.</t>
        </is>
      </c>
      <c r="I116" s="29" t="inlineStr">
        <is>
          <t>Evet</t>
        </is>
      </c>
      <c r="J116" s="29" t="inlineStr">
        <is>
          <t>Lisans kanıtları/a3be9197d91cd4f7cabc6d85197e0d933cfb6c4859214812c09833e151014435.html</t>
        </is>
      </c>
      <c r="K116" s="29" t="inlineStr">
        <is>
          <t>a3be9197d91cd4f7cabc6d85197e0d933cfb6c4859214812c09833e151014435</t>
        </is>
      </c>
    </row>
    <row r="117" ht="54" customHeight="1">
      <c r="A117" s="29" t="inlineStr">
        <is>
          <t>marbella:kaynak:110</t>
        </is>
      </c>
      <c r="B117" s="29" t="inlineStr">
        <is>
          <t>marbella</t>
        </is>
      </c>
      <c r="C117" s="29" t="inlineStr">
        <is>
          <t>Seguridad Social: Prestaciones / Pensiones de Trabajadores</t>
        </is>
      </c>
      <c r="D117" s="29" t="inlineStr">
        <is>
          <t>Seguridad Social (INSS)</t>
        </is>
      </c>
      <c r="E117" s="29" t="inlineStr">
        <is>
          <t>https://www.seg-social.es/wps/portal/wss/internet/Trabajadores/PrestacionesPensionesTrabajadores/65850d68-8d06-4645-bde7-05374ee42ac7</t>
        </is>
      </c>
      <c r="F117" s="49" t="n">
        <v>46319</v>
      </c>
      <c r="G117" s="29" t="inlineStr">
        <is>
          <t>marbella:aile</t>
        </is>
      </c>
      <c r="H117" s="29" t="inlineStr">
        <is>
          <t>Kart 4: IMV hak sahipleri, 1 yıl yasal ve fiili ikamet şartı, 2026 garantili gelir tablosu, complemento de ayuda para la infancia başvurusu; yabancı için residencia legal kanıtı (autorización de residencia). Seguridad Social © 2026.</t>
        </is>
      </c>
      <c r="I117" s="29" t="inlineStr">
        <is>
          <t>Evet</t>
        </is>
      </c>
      <c r="J117" s="29" t="inlineStr">
        <is>
          <t>Lisans kanıtları/549f5e9327e841c957212be272e6fb204af3c320665a4eac9dfc1eb16a0c7be2.html</t>
        </is>
      </c>
      <c r="K117" s="29" t="inlineStr">
        <is>
          <t>549f5e9327e841c957212be272e6fb204af3c320665a4eac9dfc1eb16a0c7be2</t>
        </is>
      </c>
    </row>
    <row r="118" ht="54" customHeight="1">
      <c r="A118" s="29" t="inlineStr">
        <is>
          <t>marbella:kaynak:111</t>
        </is>
      </c>
      <c r="B118" s="29" t="inlineStr">
        <is>
          <t>marbella</t>
        </is>
      </c>
      <c r="C118" s="29" t="inlineStr">
        <is>
          <t>BOE-A-2021-21007 Ley 19/2021, de 20 de diciembre, por la que se establece el ingreso mínimo vital.</t>
        </is>
      </c>
      <c r="D118" s="29" t="inlineStr">
        <is>
          <t>BOE</t>
        </is>
      </c>
      <c r="E118" s="29" t="inlineStr">
        <is>
          <t>https://www.boe.es/buscar/act.php?id=BOE-A-2021-21007</t>
        </is>
      </c>
      <c r="F118" s="49" t="n">
        <v>46319</v>
      </c>
      <c r="G118" s="29" t="inlineStr">
        <is>
          <t>marbella:aile</t>
        </is>
      </c>
      <c r="H118" s="29" t="inlineStr">
        <is>
          <t>Kart 4: IMV ve complemento de ayuda para la infancia yasal dayanağı (preámbulo). Konsolide metin.</t>
        </is>
      </c>
      <c r="I118" s="29" t="inlineStr">
        <is>
          <t>Evet</t>
        </is>
      </c>
      <c r="J118" s="29" t="inlineStr">
        <is>
          <t>Lisans kanıtları/1d2f68a0ef0516a3b52e1111fe26f7c6e2dfdfab12fb07ea2148f02b21fc9807.html</t>
        </is>
      </c>
      <c r="K118" s="29" t="inlineStr">
        <is>
          <t>1d2f68a0ef0516a3b52e1111fe26f7c6e2dfdfab12fb07ea2148f02b21fc9807</t>
        </is>
      </c>
    </row>
    <row r="119" ht="54" customHeight="1">
      <c r="A119" s="29" t="inlineStr">
        <is>
          <t>marbella:kaynak:112</t>
        </is>
      </c>
      <c r="B119" s="29" t="inlineStr">
        <is>
          <t>marbella</t>
        </is>
      </c>
      <c r="C119" s="29" t="inlineStr">
        <is>
          <t>Qué necesitas - Becas y ayudas para estudiantes | Ministerio de Educación, Formación Profesional y Deportes</t>
        </is>
      </c>
      <c r="D119" s="29" t="inlineStr">
        <is>
          <t>Ministerio de Educación, Formación Profesional y Deportes - Becas y ayudas</t>
        </is>
      </c>
      <c r="E119" s="29" t="inlineStr">
        <is>
          <t>https://www.becaseducacion.gob.es/becas-y-ayudas/universidad-grado-master/que-necesitas.html</t>
        </is>
      </c>
      <c r="F119" s="49" t="n">
        <v>46319</v>
      </c>
      <c r="G119" s="29" t="inlineStr">
        <is>
          <t>marbella:aile</t>
        </is>
      </c>
      <c r="H119" s="29" t="inlineStr">
        <is>
          <t>Kart 5: genel burs şartları, AB dışı yabancı için kural (18 yaş altı ya da 31/12/2025 itibarıyla ikamet izni; sadece estancia yetmez), 1.700 € renta / 2.700 € residencia / 50-125 € excelencia. Curso 2026/27.</t>
        </is>
      </c>
      <c r="I119" s="29" t="inlineStr">
        <is>
          <t>Evet</t>
        </is>
      </c>
      <c r="J119" s="29" t="inlineStr">
        <is>
          <t>Lisans kanıtları/dd26b7a4303fdf2c7db4ae564fda473a81ed0edd9edab2832f5b17bf1a53a548.html</t>
        </is>
      </c>
      <c r="K119" s="29" t="inlineStr">
        <is>
          <t>dd26b7a4303fdf2c7db4ae564fda473a81ed0edd9edab2832f5b17bf1a53a548</t>
        </is>
      </c>
    </row>
    <row r="120" ht="54" customHeight="1">
      <c r="A120" s="29" t="inlineStr">
        <is>
          <t>marbella:kaynak:113</t>
        </is>
      </c>
      <c r="B120" s="29" t="inlineStr">
        <is>
          <t>marbella</t>
        </is>
      </c>
      <c r="C120" s="29" t="inlineStr">
        <is>
          <t>Cómo solicitarla - Becas y ayudas para estudiantes | Ministerio de Educación, Formación Profesional y Deportes</t>
        </is>
      </c>
      <c r="D120" s="29" t="inlineStr">
        <is>
          <t>Ministerio de Educación, Formación Profesional y Deportes - Becas y ayudas</t>
        </is>
      </c>
      <c r="E120" s="29" t="inlineStr">
        <is>
          <t>https://www.becaseducacion.gob.es/becas-y-ayudas/fp-bachillerato-otros/como-solicitarla.html</t>
        </is>
      </c>
      <c r="F120" s="49" t="n">
        <v>46319</v>
      </c>
      <c r="G120" s="29" t="inlineStr">
        <is>
          <t>marbella:aile</t>
        </is>
      </c>
      <c r="H120" s="29" t="inlineStr">
        <is>
          <t>Kart 5: başvuru dönemi 19 Mayıs'ta kapandı (2026/27); sede electrónica adımları. Bölge bursları ayrı.</t>
        </is>
      </c>
      <c r="I120" s="29" t="inlineStr">
        <is>
          <t>Evet</t>
        </is>
      </c>
      <c r="J120" s="29" t="inlineStr">
        <is>
          <t>Lisans kanıtları/f35f84d4d2face3d29be98c22cc25fe3ee27e575220bd55611d2ff1ff83cfb9e.html</t>
        </is>
      </c>
      <c r="K120" s="29" t="inlineStr">
        <is>
          <t>f35f84d4d2face3d29be98c22cc25fe3ee27e575220bd55611d2ff1ff83cfb9e</t>
        </is>
      </c>
    </row>
    <row r="121" ht="54" customHeight="1">
      <c r="A121" s="29" t="inlineStr">
        <is>
          <t>marbella:kaynak:114</t>
        </is>
      </c>
      <c r="B121" s="29" t="inlineStr">
        <is>
          <t>marbella</t>
        </is>
      </c>
      <c r="C121" s="29" t="inlineStr">
        <is>
          <t>Renfe ▷ Los mejores precios en Trenes Ave y Larga Distancia</t>
        </is>
      </c>
      <c r="D121" s="29" t="inlineStr">
        <is>
          <t>Renfe Viajeros</t>
        </is>
      </c>
      <c r="E121" s="29" t="inlineStr">
        <is>
          <t>https://www.renfe.com/es/es/viajar/prepara-tu-viaje/billetes-ave-y-largadistancia/todos-los-billetes</t>
        </is>
      </c>
      <c r="F121" s="49" t="n">
        <v>46319</v>
      </c>
      <c r="G121" s="29" t="inlineStr">
        <is>
          <t>marbella:ulasim</t>
        </is>
      </c>
      <c r="H121" s="29" t="inlineStr">
        <is>
          <t>Kart 1: AVE/Larga Distancia tarife türleri (Básico, Elige Estándar/Confort, Prémium), değişiklik/iptal ekstraları, satın almadan sonra 2 saat içinde ücretsiz iptal, kimlik belgesi (Tarjeta de Residencia/Pasaporte). Tarih yok; tablo rakamları JSON içinde, düz metinde yalnız genel kurallar.</t>
        </is>
      </c>
      <c r="I121" s="29" t="inlineStr">
        <is>
          <t>Evet</t>
        </is>
      </c>
      <c r="J121" s="29" t="inlineStr">
        <is>
          <t>Lisans kanıtları/3483268d88f99708f715cb8a2d1f0c2e2f2a94374428c3b2928af01256e96601.html</t>
        </is>
      </c>
      <c r="K121" s="29" t="inlineStr">
        <is>
          <t>3483268d88f99708f715cb8a2d1f0c2e2f2a94374428c3b2928af01256e96601</t>
        </is>
      </c>
    </row>
    <row r="122" ht="54" customHeight="1">
      <c r="A122" s="29" t="inlineStr">
        <is>
          <t>marbella:kaynak:115</t>
        </is>
      </c>
      <c r="B122" s="29" t="inlineStr">
        <is>
          <t>marbella</t>
        </is>
      </c>
      <c r="C122" s="29" t="inlineStr">
        <is>
          <t>Descuentos hasta 30% en tren para jóvenes | Renfe</t>
        </is>
      </c>
      <c r="D122" s="29" t="inlineStr">
        <is>
          <t>Renfe Viajeros</t>
        </is>
      </c>
      <c r="E122" s="29" t="inlineStr">
        <is>
          <t>https://www.renfe.com/es/es/viajar/prepara-tu-viaje/descuentos/Jovenes.html</t>
        </is>
      </c>
      <c r="F122" s="49" t="n">
        <v>46319</v>
      </c>
      <c r="G122" s="29" t="inlineStr">
        <is>
          <t>marbella:ulasim</t>
        </is>
      </c>
      <c r="H122" s="29" t="inlineStr">
        <is>
          <t>Kart 1: Más Renfe Joven (14-25 yaş, 50 EUR, AVE/LD %30, Avant/MD/Cercanías %25), Carné Joven (AVE/LD %5, Avant/MD %20), EYCA/ISIC kartları geçerli.</t>
        </is>
      </c>
      <c r="I122" s="29" t="inlineStr">
        <is>
          <t>Evet</t>
        </is>
      </c>
      <c r="J122" s="29" t="inlineStr">
        <is>
          <t>Lisans kanıtları/61df790960424b9b8568d65fe9205b1ae237310dcb11fcd9cd760975173e8fbc.html</t>
        </is>
      </c>
      <c r="K122" s="29" t="inlineStr">
        <is>
          <t>61df790960424b9b8568d65fe9205b1ae237310dcb11fcd9cd760975173e8fbc</t>
        </is>
      </c>
    </row>
    <row r="123" ht="54" customHeight="1">
      <c r="A123" s="29" t="inlineStr">
        <is>
          <t>marbella:kaynak:116</t>
        </is>
      </c>
      <c r="B123" s="29" t="inlineStr">
        <is>
          <t>marbella</t>
        </is>
      </c>
      <c r="C123" s="29" t="inlineStr">
        <is>
          <t>BOE.es - DOUE-L-2011-80347 Reglamento (UE) nº 181/2011 del Parlamento Europeo y del Consejo, de 16 de febrero de 2011, sobre los derechos de los viajeros de autobús y autocar y por</t>
        </is>
      </c>
      <c r="D123" s="29" t="inlineStr">
        <is>
          <t>BOE (DOUE)</t>
        </is>
      </c>
      <c r="E123" s="29" t="inlineStr">
        <is>
          <t>https://www.boe.es/buscar/doc.php?id=DOUE-L-2011-80347</t>
        </is>
      </c>
      <c r="F123" s="49" t="n">
        <v>46319</v>
      </c>
      <c r="G123" s="29" t="inlineStr">
        <is>
          <t>marbella:ulasim</t>
        </is>
      </c>
      <c r="H123" s="29" t="inlineStr">
        <is>
          <t>Kart 2: otobüs yolcu hakları AB çerçevesi; 250 km ve üzeri düzenli hatlarda tam kapsam, daha kısa hatlarda sınırlı maddeler.</t>
        </is>
      </c>
      <c r="I123" s="29" t="inlineStr">
        <is>
          <t>Evet</t>
        </is>
      </c>
      <c r="J123" s="29" t="inlineStr">
        <is>
          <t>Lisans kanıtları/c897873a91954ea8eaac6c4bcd06298c6afde926e3d9bbb2e95f6bf757aecf79.html</t>
        </is>
      </c>
      <c r="K123" s="29" t="inlineStr">
        <is>
          <t>c897873a91954ea8eaac6c4bcd06298c6afde926e3d9bbb2e95f6bf757aecf79</t>
        </is>
      </c>
    </row>
    <row r="124" ht="54" customHeight="1">
      <c r="A124" s="29" t="inlineStr">
        <is>
          <t>marbella:kaynak:117</t>
        </is>
      </c>
      <c r="B124" s="29" t="inlineStr">
        <is>
          <t>marbella</t>
        </is>
      </c>
      <c r="C124" s="29" t="inlineStr">
        <is>
          <t>Road transport | Centro Europeo del Consumidor en España - Ministerio de Consumo</t>
        </is>
      </c>
      <c r="D124" s="29" t="inlineStr">
        <is>
          <t>Centro Europeo del Consumidor en España (Ministerio de Consumo)</t>
        </is>
      </c>
      <c r="E124" s="29" t="inlineStr">
        <is>
          <t>https://portal-cec.consumo.gob.es/en/informacion-general/viajes/transporte-por-carretera</t>
        </is>
      </c>
      <c r="F124" s="49" t="n">
        <v>46319</v>
      </c>
      <c r="G124" s="29" t="inlineStr">
        <is>
          <t>marbella:ulasim</t>
        </is>
      </c>
      <c r="H124" s="29" t="inlineStr">
        <is>
          <t>Kart 2: otobüs yolcu hakları, İngilizce resmî sayfa (lang en). Alternatif/ikincil.</t>
        </is>
      </c>
      <c r="I124" s="29" t="inlineStr">
        <is>
          <t>Evet</t>
        </is>
      </c>
      <c r="J124" s="29" t="inlineStr">
        <is>
          <t>Lisans kanıtları/b68cd4d4a855259a65e34f65863d15d2dfd5c8cc437ddb5717f08e9fe21c8fb6.html</t>
        </is>
      </c>
      <c r="K124" s="29" t="inlineStr">
        <is>
          <t>b68cd4d4a855259a65e34f65863d15d2dfd5c8cc437ddb5717f08e9fe21c8fb6</t>
        </is>
      </c>
    </row>
    <row r="125" ht="54" customHeight="1">
      <c r="A125" s="29" t="inlineStr">
        <is>
          <t>marbella:kaynak:118</t>
        </is>
      </c>
      <c r="B125" s="29" t="inlineStr">
        <is>
          <t>marbella</t>
        </is>
      </c>
      <c r="C125" s="29" t="inlineStr">
        <is>
          <t>BOE-A-2003-23514 Real Decreto 1428/2003, de 21 de noviembre, por el que se aprueba el Reglamento General de Circulación para la aplicación y desarrollo del texto articulado de la L</t>
        </is>
      </c>
      <c r="D125" s="29" t="inlineStr">
        <is>
          <t>BOE</t>
        </is>
      </c>
      <c r="E125" s="29" t="inlineStr">
        <is>
          <t>https://www.boe.es/buscar/act.php?id=BOE-A-2003-23514</t>
        </is>
      </c>
      <c r="F125" s="49" t="n">
        <v>46319</v>
      </c>
      <c r="G125" s="29" t="inlineStr">
        <is>
          <t>marbella:ulasim</t>
        </is>
      </c>
      <c r="H125" s="29" t="inlineStr">
        <is>
          <t>Kart 3: art.20 alkol (0,5 g/l kan, 0,25 mg/l hava; profesyonel/ağır vasıta 0,3 g/l), art.48 şehir dışı hız (otoyol/otovía turismo 120, konvansiyonel 90), art.50 şehir içi 20/30/50. Konsolide metin; art.50 değişikliği 01/10/2026 yürürlük notu var. Tarih: konsolide.</t>
        </is>
      </c>
      <c r="I125" s="29" t="inlineStr">
        <is>
          <t>Evet</t>
        </is>
      </c>
      <c r="J125" s="29" t="inlineStr">
        <is>
          <t>Lisans kanıtları/58ceead1c94be577495fee9f0a2227cc5c956523e16e93fcba2a2b578f4e3983.html</t>
        </is>
      </c>
      <c r="K125" s="29" t="inlineStr">
        <is>
          <t>58ceead1c94be577495fee9f0a2227cc5c956523e16e93fcba2a2b578f4e3983</t>
        </is>
      </c>
    </row>
    <row r="126" ht="54" customHeight="1">
      <c r="A126" s="29" t="inlineStr">
        <is>
          <t>marbella:kaynak:119</t>
        </is>
      </c>
      <c r="B126" s="29" t="inlineStr">
        <is>
          <t>marbella</t>
        </is>
      </c>
      <c r="C126" s="29" t="inlineStr">
        <is>
          <t>DGT - ¿Cómo funciona el permiso por puntos?</t>
        </is>
      </c>
      <c r="D126" s="29" t="inlineStr">
        <is>
          <t>Dirección General de Tráfico (DGT)</t>
        </is>
      </c>
      <c r="E126" s="29" t="inlineStr">
        <is>
          <t>https://www.dgt.es/nuestros-servicios/permisos-de-conducir/tus-puntos-y-tus-permisos/como-funciona-el-permiso-por-puntos/</t>
        </is>
      </c>
      <c r="F126" s="49" t="n">
        <v>46319</v>
      </c>
      <c r="G126" s="29" t="inlineStr">
        <is>
          <t>marbella:ulasim</t>
        </is>
      </c>
      <c r="H126" s="29" t="inlineStr">
        <is>
          <t>Kart 3: ehliyet puan sistemi: 12 puan başlangıç, acemi/yeniden alan 8, 3 yılda ihlalsiz +2 (en çok 15), puan 0 olunca ehliyet kaybı.</t>
        </is>
      </c>
      <c r="I126" s="29" t="inlineStr">
        <is>
          <t>Evet</t>
        </is>
      </c>
      <c r="J126" s="29" t="inlineStr">
        <is>
          <t>Lisans kanıtları/b9ab11e9193e6cb0ad3d22179169fcb2d2eee9bedc742d2f505485fe2701b8b8.html</t>
        </is>
      </c>
      <c r="K126" s="29" t="inlineStr">
        <is>
          <t>b9ab11e9193e6cb0ad3d22179169fcb2d2eee9bedc742d2f505485fe2701b8b8</t>
        </is>
      </c>
    </row>
    <row r="127" ht="54" customHeight="1">
      <c r="A127" s="29" t="inlineStr">
        <is>
          <t>marbella:kaynak:120</t>
        </is>
      </c>
      <c r="B127" s="29" t="inlineStr">
        <is>
          <t>marbella</t>
        </is>
      </c>
      <c r="C127" s="29" t="inlineStr">
        <is>
          <t>BOE-A-2017-12841 Real Decreto 920/2017, de 23 de octubre, por el que se regula la inspección técnica de vehículos.</t>
        </is>
      </c>
      <c r="D127" s="29" t="inlineStr">
        <is>
          <t>BOE</t>
        </is>
      </c>
      <c r="E127" s="29" t="inlineStr">
        <is>
          <t>https://www.boe.es/buscar/act.php?id=BOE-A-2017-12841</t>
        </is>
      </c>
      <c r="F127" s="49" t="n">
        <v>46319</v>
      </c>
      <c r="G127" s="29" t="inlineStr">
        <is>
          <t>marbella:ulasim</t>
        </is>
      </c>
      <c r="H127" s="29" t="inlineStr">
        <is>
          <t>Kart 4: ITV periyotları (art.6): otomobil (M1) 4 yıla kadar muaf, 4 yıldan sonra 2 yılda bir, 10 yıldan sonra yıllık; motosiklet/ağır vasıta/otobüs farklı. Son güncelleme 18/09/2024 (yürürlük 01/10/2024).</t>
        </is>
      </c>
      <c r="I127" s="29" t="inlineStr">
        <is>
          <t>Evet</t>
        </is>
      </c>
      <c r="J127" s="29" t="inlineStr">
        <is>
          <t>Lisans kanıtları/a214e6a2b5d61c94488ab8eac68290bc4f8c51f9c73d09ab51fe7aeea3de4eae.html</t>
        </is>
      </c>
      <c r="K127" s="29" t="inlineStr">
        <is>
          <t>a214e6a2b5d61c94488ab8eac68290bc4f8c51f9c73d09ab51fe7aeea3de4eae</t>
        </is>
      </c>
    </row>
    <row r="128" ht="54" customHeight="1">
      <c r="A128" s="29" t="inlineStr">
        <is>
          <t>marbella:kaynak:121</t>
        </is>
      </c>
      <c r="B128" s="29" t="inlineStr">
        <is>
          <t>marbella</t>
        </is>
      </c>
      <c r="C128" s="29" t="inlineStr">
        <is>
          <t>Reclamaciones por cancelaciones, retrasos, denegaciones de embarque y PMR en el transporte aéreo para vuelos posteriores al 02/06/2023 incluido (resolución alternativa de litigios)</t>
        </is>
      </c>
      <c r="D128" s="29" t="inlineStr">
        <is>
          <t>AESA - Sede electrónica</t>
        </is>
      </c>
      <c r="E128" s="29" t="inlineStr">
        <is>
          <t>https://sede.seguridadaerea.gob.es/sede-aesa/catalogo-de-procedimientos/reclamaciones-por-cancelaciones-retrasos-denegaciones-de-embarque-y-pmr</t>
        </is>
      </c>
      <c r="F128" s="49" t="n">
        <v>46319</v>
      </c>
      <c r="G128" s="29" t="inlineStr">
        <is>
          <t>marbella:ulasim</t>
        </is>
      </c>
      <c r="H128" s="29" t="inlineStr">
        <is>
          <t>Kart 5: AESA şikayet süreci: önce havayolu (olaydan 5 yıl içinde), 1 ay yanıt yoksa AESA; işlem süreleri gecikmeli uyarısı.</t>
        </is>
      </c>
      <c r="I128" s="29" t="inlineStr">
        <is>
          <t>Evet</t>
        </is>
      </c>
      <c r="J128" s="29" t="inlineStr">
        <is>
          <t>Lisans kanıtları/5c20e1503a5e40bde1ba50647232e19cb64ffc9f4dcc0c40dc34caed9729fe41.html</t>
        </is>
      </c>
      <c r="K128" s="29" t="inlineStr">
        <is>
          <t>5c20e1503a5e40bde1ba50647232e19cb64ffc9f4dcc0c40dc34caed9729fe41</t>
        </is>
      </c>
    </row>
    <row r="129" ht="54" customHeight="1">
      <c r="A129" s="29" t="inlineStr">
        <is>
          <t>marbella:kaynak:122</t>
        </is>
      </c>
      <c r="B129" s="29" t="inlineStr">
        <is>
          <t>marbella</t>
        </is>
      </c>
      <c r="C129" s="29" t="inlineStr">
        <is>
          <t>Preguntas frecuentes sobre derechos de los pasajeros | AESA-Agencia Estatal de Seguridad Aérea - MTMS</t>
        </is>
      </c>
      <c r="D129" s="29" t="inlineStr">
        <is>
          <t>AESA - Agencia Estatal de Seguridad Aérea</t>
        </is>
      </c>
      <c r="E129" s="29" t="inlineStr">
        <is>
          <t>https://www.seguridadaerea.gob.es/es/preguntas-frecuentes-derechos-pasajeros</t>
        </is>
      </c>
      <c r="F129" s="49" t="n">
        <v>46319</v>
      </c>
      <c r="G129" s="29" t="inlineStr">
        <is>
          <t>marbella:ulasim</t>
        </is>
      </c>
      <c r="H129" s="29" t="inlineStr">
        <is>
          <t>Kart 5: uçuş yolcu hakları SSS: 3+ saat gecikme tazminatı 250-600 EUR, olağanüstü durum, iptal/ret.</t>
        </is>
      </c>
      <c r="I129" s="29" t="inlineStr">
        <is>
          <t>Evet</t>
        </is>
      </c>
      <c r="J129" s="29" t="inlineStr">
        <is>
          <t>Lisans kanıtları/a4f6b03dd2edd08bf825d1ce3255894f8452d444f174066a312e88f5ec00c4a4.html</t>
        </is>
      </c>
      <c r="K129" s="29" t="inlineStr">
        <is>
          <t>a4f6b03dd2edd08bf825d1ce3255894f8452d444f174066a312e88f5ec00c4a4</t>
        </is>
      </c>
    </row>
    <row r="130" ht="54" customHeight="1">
      <c r="A130" s="29" t="inlineStr">
        <is>
          <t>marbella:kaynak:123</t>
        </is>
      </c>
      <c r="B130" s="29" t="inlineStr">
        <is>
          <t>marbella</t>
        </is>
      </c>
      <c r="C130" s="29" t="inlineStr">
        <is>
          <t>BOE-A-2018-10651 Real Decreto 949/2018, de 27 de julio, por el que se modifica la cuantía de la subvención al transporte regular, aéreo y marítimo, de los residentes en los territo</t>
        </is>
      </c>
      <c r="D130" s="29" t="inlineStr">
        <is>
          <t>BOE</t>
        </is>
      </c>
      <c r="E130" s="29" t="inlineStr">
        <is>
          <t>https://www.boe.es/buscar/doc.php?id=BOE-A-2018-10651</t>
        </is>
      </c>
      <c r="F130" s="49" t="n">
        <v>46319</v>
      </c>
      <c r="G130" s="29" t="inlineStr">
        <is>
          <t>marbella:ulasim</t>
        </is>
      </c>
      <c r="H130" s="29" t="inlineStr">
        <is>
          <t>Kart 5: yerleşik indirimi %75 (adalar/Ceuta/Melilla - anakara doğrudan hatlar). Yalnız orada ikamet edenler; AB dışı için bkz. Ley 19/1994 art.6 kaynağı.</t>
        </is>
      </c>
      <c r="I130" s="29" t="inlineStr">
        <is>
          <t>Evet</t>
        </is>
      </c>
      <c r="J130" s="29" t="inlineStr">
        <is>
          <t>Lisans kanıtları/6e1cbafe566f8a4650c4b25fcea2fa1d298ea6179b77e535de6fcd1599599789.html</t>
        </is>
      </c>
      <c r="K130" s="29" t="inlineStr">
        <is>
          <t>6e1cbafe566f8a4650c4b25fcea2fa1d298ea6179b77e535de6fcd1599599789</t>
        </is>
      </c>
    </row>
    <row r="131" ht="54" customHeight="1">
      <c r="A131" s="29" t="inlineStr">
        <is>
          <t>marbella:kaynak:124</t>
        </is>
      </c>
      <c r="B131" s="29" t="inlineStr">
        <is>
          <t>marbella</t>
        </is>
      </c>
      <c r="C131" s="29" t="inlineStr">
        <is>
          <t>BOE-A-2012-15651 Ley 17/2012, de 27 de diciembre, de Presupuestos Generales del Estado para el año 2013.</t>
        </is>
      </c>
      <c r="D131" s="29" t="inlineStr">
        <is>
          <t>Boletín Oficial del Estado (BOE)</t>
        </is>
      </c>
      <c r="E131" s="29" t="inlineStr">
        <is>
          <t>https://www.boe.es/buscar/act.php?id=BOE-A-2012-15651</t>
        </is>
      </c>
      <c r="F131" s="49" t="n">
        <v>46319</v>
      </c>
      <c r="G131" s="29" t="inlineStr">
        <is>
          <t>marbella:ulasim</t>
        </is>
      </c>
      <c r="H131" s="29" t="inlineStr">
        <is>
          <t>Ulaşım kart 6 (yerleşik indirimi): DA 13ª dört bölge (Canarias, Illes Balears, Ceuta, Melilla) için hak sahipleri (AB vatandaşının üçüncü ülke aile üyesi, uzun dönem oturumlu üçüncü ülke vatandaşı) ve %75 hava indirimi. G3 denetimi 6.1/6.2.</t>
        </is>
      </c>
      <c r="I131" s="29" t="inlineStr">
        <is>
          <t>Evet</t>
        </is>
      </c>
      <c r="J131" s="29" t="inlineStr">
        <is>
          <t>Lisans kanıtları/440d6b299c37f0d05c34b3a97acb37f5bc781259bb73701b79cb84dbc292b55d.html</t>
        </is>
      </c>
      <c r="K131" s="29" t="inlineStr">
        <is>
          <t>440d6b299c37f0d05c34b3a97acb37f5bc781259bb73701b79cb84dbc292b55d</t>
        </is>
      </c>
    </row>
    <row r="132" ht="54" customHeight="1">
      <c r="A132" s="29" t="inlineStr">
        <is>
          <t>marbella:kaynak:125</t>
        </is>
      </c>
      <c r="B132" s="29" t="inlineStr">
        <is>
          <t>marbella</t>
        </is>
      </c>
      <c r="C132" s="29" t="inlineStr">
        <is>
          <t>BOE-A-2026-21254 Resolución de 8 de octubre de 2026, de la Dirección General de Trabajo, por la que se publica relación de fiestas laborales para el año 2027.</t>
        </is>
      </c>
      <c r="D132" s="29" t="inlineStr">
        <is>
          <t>BOE / Dirección General de Trabajo</t>
        </is>
      </c>
      <c r="E132" s="29" t="inlineStr">
        <is>
          <t>https://www.boe.es/buscar/doc.php?id=BOE-A-2026-21254</t>
        </is>
      </c>
      <c r="F132" s="49" t="n">
        <v>46319</v>
      </c>
      <c r="G132" s="29" t="inlineStr">
        <is>
          <t>marbella:gunluk</t>
        </is>
      </c>
      <c r="H132" s="29" t="inlineStr">
        <is>
          <t>Kart 1: 2027 ulusal + özerk bölge + Ceuta/Melilla tatil listesi (BOE núm. 254, 13/10/2026). Mevcut 2026 kartı (es:kaynak:077, Resolución 17/10/2025) ile çakışmaz; yeni açı = 2027. Madde 37.2 ET/RD 2001/1983: 14 gün tavanı, 12 ulusal/özerk + 2 yerel. Yerel tatiller (2 gün) belediye bazlı, bu sayfada yok. Sayfa doc.php biçiminde okunuyor (diario_boe/txt.php bu ortamda boş döndü).</t>
        </is>
      </c>
      <c r="I132" s="29" t="inlineStr">
        <is>
          <t>Evet</t>
        </is>
      </c>
      <c r="J132" s="29" t="inlineStr">
        <is>
          <t>Lisans kanıtları/89939ca0e21782e0aeba64bffef6da3891c93c5207bbc1c0fa1f06d133403be4.html</t>
        </is>
      </c>
      <c r="K132" s="29" t="inlineStr">
        <is>
          <t>89939ca0e21782e0aeba64bffef6da3891c93c5207bbc1c0fa1f06d133403be4</t>
        </is>
      </c>
    </row>
    <row r="133" ht="54" customHeight="1">
      <c r="A133" s="29" t="inlineStr">
        <is>
          <t>marbella:kaynak:126</t>
        </is>
      </c>
      <c r="B133" s="29" t="inlineStr">
        <is>
          <t>marbella</t>
        </is>
      </c>
      <c r="C133" s="29" t="inlineStr">
        <is>
          <t>BOE-A-2004-21421 Ley 1/2004, de 21 de diciembre, de Horarios Comerciales.</t>
        </is>
      </c>
      <c r="D133" s="29" t="inlineStr">
        <is>
          <t>BOE</t>
        </is>
      </c>
      <c r="E133" s="29" t="inlineStr">
        <is>
          <t>https://www.boe.es/buscar/act.php?id=BOE-A-2004-21421</t>
        </is>
      </c>
      <c r="F133" s="49" t="n">
        <v>46319</v>
      </c>
      <c r="G133" s="29" t="inlineStr">
        <is>
          <t>marbella:gunluk</t>
        </is>
      </c>
      <c r="H133" s="29" t="inlineStr">
        <is>
          <t>Kart 2: ulusal çerçeve. Art. 1 serbest saat, art. 3 küresel saat (bölge en az 90 saat/hafta altına indiremez), art. 4 pazar/tatil (ulusal asgari 16, bölge değiştirebilir, 10'un altına inemez), art. 5 serbest rejim (bakkal-fırın-gazete-akaryakıt, istasyon, turistik bölge, 300 m2 altı küçük mağaza, tiendas de conveniencia). Rakamlar bölgeye göre değişir.</t>
        </is>
      </c>
      <c r="I133" s="29" t="inlineStr">
        <is>
          <t>Evet</t>
        </is>
      </c>
      <c r="J133" s="29" t="inlineStr">
        <is>
          <t>Lisans kanıtları/928585589dce9e7d71d6572fb50fdb5ab0bb3bb5bef77d70cf459cc4c2f89120.html</t>
        </is>
      </c>
      <c r="K133" s="29" t="inlineStr">
        <is>
          <t>928585589dce9e7d71d6572fb50fdb5ab0bb3bb5bef77d70cf459cc4c2f89120</t>
        </is>
      </c>
    </row>
    <row r="134" ht="54" customHeight="1">
      <c r="A134" s="29" t="inlineStr">
        <is>
          <t>marbella:kaynak:127</t>
        </is>
      </c>
      <c r="B134" s="29" t="inlineStr">
        <is>
          <t>marbella</t>
        </is>
      </c>
      <c r="C134" s="29" t="inlineStr">
        <is>
          <t>: Índice - Envíos por un valor de hasta 150 euros</t>
        </is>
      </c>
      <c r="D134" s="29" t="inlineStr">
        <is>
          <t>Agencia Tributaria (AEAT)</t>
        </is>
      </c>
      <c r="E134" s="29" t="inlineStr">
        <is>
          <t>https://sede.agenciatributaria.gob.es/Sede/aduanas/comercio-electronico-pipe-envios-particulares/compras-internet-envios-particulares/envios-valor-hasta-150-euros.html</t>
        </is>
      </c>
      <c r="F134" s="49" t="n">
        <v>46319</v>
      </c>
      <c r="G134" s="29" t="inlineStr">
        <is>
          <t>marbella:gunluk</t>
        </is>
      </c>
      <c r="H134" s="29" t="inlineStr">
        <is>
          <t>Kart 3: AB dışından internet alışverişi: IVA %21 (IOSS ya da taşıyıcı tahsili), 1 Temmuz 2026'dan itibaren 150 euro altı için kategori başına sabit 3 euro gümrük vergisi. Sayfa 2026 değişikliğini içeriyor (güncel).</t>
        </is>
      </c>
      <c r="I134" s="29" t="inlineStr">
        <is>
          <t>Evet</t>
        </is>
      </c>
      <c r="J134" s="29" t="inlineStr">
        <is>
          <t>Lisans kanıtları/e986cc4745c35dd70613ae9781d5170b8adcebac709ada2230668da16ae3a702.html</t>
        </is>
      </c>
      <c r="K134" s="29" t="inlineStr">
        <is>
          <t>e986cc4745c35dd70613ae9781d5170b8adcebac709ada2230668da16ae3a702</t>
        </is>
      </c>
    </row>
    <row r="135" ht="54" customHeight="1">
      <c r="A135" s="29" t="inlineStr">
        <is>
          <t>marbella:kaynak:128</t>
        </is>
      </c>
      <c r="B135" s="29" t="inlineStr">
        <is>
          <t>marbella</t>
        </is>
      </c>
      <c r="C135" s="29" t="inlineStr">
        <is>
          <t>Información de aduanas DUA importación | Correos.es</t>
        </is>
      </c>
      <c r="D135" s="29" t="inlineStr">
        <is>
          <t>Correos (kamu şirketi)</t>
        </is>
      </c>
      <c r="E135" s="29" t="inlineStr">
        <is>
          <t>https://www.correos.es/es/es/atencion-al-cliente/informacion-aduanera</t>
        </is>
      </c>
      <c r="F135" s="49" t="n">
        <v>46319</v>
      </c>
      <c r="G135" s="29" t="inlineStr">
        <is>
          <t>marbella:gunluk</t>
        </is>
      </c>
      <c r="H135" s="29" t="inlineStr">
        <is>
          <t>Kart 3: Correos'ta AB dışı/Canarias/Ceuta/Melilla'dan gelen paketin gümrük kontrolü, alıcı ödemeden paket teslim edilmez. Sayfa tarihi yok.</t>
        </is>
      </c>
      <c r="I135" s="29" t="inlineStr">
        <is>
          <t>Evet</t>
        </is>
      </c>
      <c r="J135" s="29" t="inlineStr">
        <is>
          <t>Lisans kanıtları/b6e24c216f07d28f88cc1fd1fa7b28839e7076ffd78d928db0a211300cf8d138.html</t>
        </is>
      </c>
      <c r="K135" s="29" t="inlineStr">
        <is>
          <t>b6e24c216f07d28f88cc1fd1fa7b28839e7076ffd78d928db0a211300cf8d138</t>
        </is>
      </c>
    </row>
    <row r="136" ht="54" customHeight="1">
      <c r="A136" s="29" t="inlineStr">
        <is>
          <t>marbella:kaynak:129</t>
        </is>
      </c>
      <c r="B136" s="29" t="inlineStr">
        <is>
          <t>marbella</t>
        </is>
      </c>
      <c r="C136" s="29" t="inlineStr">
        <is>
          <t>Accede a líneas telefónicas especializadas para atención, apoyo y protección en casos de violencia de género, LGTBIfobia o discriminación racial - Ministerio de Igualdad %</t>
        </is>
      </c>
      <c r="D136" s="29" t="inlineStr">
        <is>
          <t>Ministerio de Igualdad</t>
        </is>
      </c>
      <c r="E136" s="29" t="inlineStr">
        <is>
          <t>https://www.igualdad.gob.es/accede-a-lineas-telefonicas-especializadas-para-atencion-apoyo-y-proteccion-en-casos-de-violencia-de-genero-lgtbifobia-o-discriminacion-racial/</t>
        </is>
      </c>
      <c r="F136" s="49" t="n">
        <v>46319</v>
      </c>
      <c r="G136" s="29" t="inlineStr">
        <is>
          <t>marbella:gunluk</t>
        </is>
      </c>
      <c r="H136" s="29" t="inlineStr">
        <is>
          <t>Kart 4 (diğer resmî hatlar): 016 (kadına şiddet, 600 000 016 WhatsApp, 24 saat bilgi, hukuki danışmanlık 8-22), 021 (ırkçılık/ayrımcılık), 028 (LGTBI), ATENPRO 900 22 22 92, 900 19 10 10 kadın hakları. Ayrıntılı 016 sayfası alternatif/ek: https://violenciagenero.igualdad.gob.es/informacion-3/recursos/telefono016/ (53 dil telefonda, ücretsiz, gizli; 'Atención en 53 idiomas por teléfono (24 horas)'). Tarih yok.</t>
        </is>
      </c>
      <c r="I136" s="29" t="inlineStr">
        <is>
          <t>Evet</t>
        </is>
      </c>
      <c r="J136" s="29" t="inlineStr">
        <is>
          <t>Lisans kanıtları/43e5d0bbb8ddf982036afc68820b57acadf6ad8404e0af86002e657d33829b6e.html</t>
        </is>
      </c>
      <c r="K136" s="29" t="inlineStr">
        <is>
          <t>43e5d0bbb8ddf982036afc68820b57acadf6ad8404e0af86002e657d33829b6e</t>
        </is>
      </c>
    </row>
    <row r="137" ht="54" customHeight="1">
      <c r="A137" s="29" t="inlineStr">
        <is>
          <t>marbella:kaynak:130</t>
        </is>
      </c>
      <c r="B137" s="29" t="inlineStr">
        <is>
          <t>marbella</t>
        </is>
      </c>
      <c r="C137" s="29" t="inlineStr">
        <is>
          <t>Ministerio de Sanidad - 024. Línea de atención a la conducta suicida</t>
        </is>
      </c>
      <c r="D137" s="29" t="inlineStr">
        <is>
          <t>Ministerio de Sanidad</t>
        </is>
      </c>
      <c r="E137" s="29" t="inlineStr">
        <is>
          <t>https://www.sanidad.gob.es/linea024/home.htm</t>
        </is>
      </c>
      <c r="F137" s="49" t="n">
        <v>46319</v>
      </c>
      <c r="G137" s="29" t="inlineStr">
        <is>
          <t>marbella:gunluk</t>
        </is>
      </c>
      <c r="H137" s="29" t="inlineStr">
        <is>
          <t>Kart 4: 024 intihar önleme hattı; ulusal, ücretsiz, gizli, 7/24; acil durumda 112. Sayfada 2026 aylık raporlar listeli (güncel).</t>
        </is>
      </c>
      <c r="I137" s="29" t="inlineStr">
        <is>
          <t>Evet</t>
        </is>
      </c>
      <c r="J137" s="29" t="inlineStr">
        <is>
          <t>Lisans kanıtları/3cca233cba092e0274f0cb335bb4a1d07a4b6d1853777066d1b5696a80227d3a.html</t>
        </is>
      </c>
      <c r="K137" s="29" t="inlineStr">
        <is>
          <t>3cca233cba092e0274f0cb335bb4a1d07a4b6d1853777066d1b5696a80227d3a</t>
        </is>
      </c>
    </row>
    <row r="138" ht="54" customHeight="1">
      <c r="A138" s="29" t="inlineStr">
        <is>
          <t>marbella:kaynak:131</t>
        </is>
      </c>
      <c r="B138" s="29" t="inlineStr">
        <is>
          <t>marbella</t>
        </is>
      </c>
      <c r="C138" s="29" t="inlineStr">
        <is>
          <t>Moneda en España. Dónde cambiar y formas de pago | spain.info</t>
        </is>
      </c>
      <c r="D138" s="29" t="inlineStr">
        <is>
          <t>spain.info (Turespaña, portal oficial de turismo de España)</t>
        </is>
      </c>
      <c r="E138" s="29" t="inlineStr">
        <is>
          <t>https://www.spain.info/es/consejos-viaje/moneda-billetes/</t>
        </is>
      </c>
      <c r="F138" s="49" t="n">
        <v>46319</v>
      </c>
      <c r="G138" s="29" t="inlineStr">
        <is>
          <t>marbella:gunluk</t>
        </is>
      </c>
      <c r="H138" s="29" t="inlineStr">
        <is>
          <t>Kart 5: bahşiş resmî turizm portalında var: zorunlu değil (servis fiyata dahil), bar/restoran/otel/taksi'de yaygın, %5-%10; kart ödemede ~10 euro asgari tutar olabilir; pazarlık kabul edilmez. Tarih yok. Genel görgü kuralları (selamlaşma, öğün saatleri) için resmî derin sayfa aranmadı.</t>
        </is>
      </c>
      <c r="I138" s="29" t="inlineStr">
        <is>
          <t>Evet</t>
        </is>
      </c>
      <c r="J138" s="29" t="inlineStr">
        <is>
          <t>Lisans kanıtları/65800930545c6f3e37ac9cbfc7a689e31819ceba1861bf422039ed275fe6b232.html</t>
        </is>
      </c>
      <c r="K138" s="29" t="inlineStr">
        <is>
          <t>65800930545c6f3e37ac9cbfc7a689e31819ceba1861bf422039ed275fe6b232</t>
        </is>
      </c>
    </row>
    <row r="139" ht="54" customHeight="1">
      <c r="A139" s="29" t="inlineStr">
        <is>
          <t>marbella:kaynak:132</t>
        </is>
      </c>
      <c r="B139" s="29" t="inlineStr">
        <is>
          <t>marbella</t>
        </is>
      </c>
      <c r="C139" s="29" t="inlineStr">
        <is>
          <t>Tarjeta sanitaria - Junta de Andalucía</t>
        </is>
      </c>
      <c r="D139" s="29" t="inlineStr">
        <is>
          <t>Junta de Andalucía</t>
        </is>
      </c>
      <c r="E139" s="29" t="inlineStr">
        <is>
          <t>https://www.juntadeandalucia.es/temas/salud/servicios/tarjeta.html</t>
        </is>
      </c>
      <c r="F139" s="49" t="n">
        <v>46319</v>
      </c>
      <c r="G139" s="29" t="inlineStr">
        <is>
          <t>marbella:saglik</t>
        </is>
      </c>
      <c r="H139" s="29" t="inlineStr">
        <is>
          <t>Kart 1: ilk tarjeta sanitaria başvurusu merkezde yapılır; belgeler (başvuru formu, kimlik, INSS'ten sigortalı/yararlanıcı belgesi, empadronamiento); çevrim içi yalnız kayıp/hasar/ulaşmama yenilemesi; sanal kart 26.03.2026. Sayfada tarih yok, 2026 içeriği.</t>
        </is>
      </c>
      <c r="I139" s="29" t="inlineStr">
        <is>
          <t>Evet</t>
        </is>
      </c>
      <c r="J139" s="29" t="inlineStr">
        <is>
          <t>Lisans kanıtları/86c350f4dab3a8262f8b8ac2a86fc8c6c08dfa516486c0cfa0b8d9c2553fb151.html</t>
        </is>
      </c>
      <c r="K139" s="29" t="inlineStr">
        <is>
          <t>86c350f4dab3a8262f8b8ac2a86fc8c6c08dfa516486c0cfa0b8d9c2553fb151</t>
        </is>
      </c>
    </row>
    <row r="140" ht="54" customHeight="1">
      <c r="A140" s="29" t="inlineStr">
        <is>
          <t>marbella:kaynak:133</t>
        </is>
      </c>
      <c r="B140" s="29" t="inlineStr">
        <is>
          <t>marbella</t>
        </is>
      </c>
      <c r="C140" s="29" t="inlineStr">
        <is>
          <t>Libertad de elección - Junta de Andalucía</t>
        </is>
      </c>
      <c r="D140" s="29" t="inlineStr">
        <is>
          <t>Junta de Andalucía (Servicio Andaluz de Salud)</t>
        </is>
      </c>
      <c r="E140" s="29" t="inlineStr">
        <is>
          <t>https://www.juntadeandalucia.es/temas/salud/derechos/eleccion.html</t>
        </is>
      </c>
      <c r="F140" s="49" t="n">
        <v>46319</v>
      </c>
      <c r="G140" s="29" t="inlineStr">
        <is>
          <t>marbella:saglik</t>
        </is>
      </c>
      <c r="H140" s="29" t="inlineStr">
        <is>
          <t>Kart 1: aile hekimi/merkez seçimi (ilçe sağlık bölgesi içinde, merkezde başvuru 45 gün, Cl@ve ile çevrim içi); sayfa tarihsiz.</t>
        </is>
      </c>
      <c r="I140" s="29" t="inlineStr">
        <is>
          <t>Evet</t>
        </is>
      </c>
      <c r="J140" s="29" t="inlineStr">
        <is>
          <t>Lisans kanıtları/cd2b4f8f4be159150a5e298afae576da71e8eb902e310b6858b9770fcc921dcb.html</t>
        </is>
      </c>
      <c r="K140" s="29" t="inlineStr">
        <is>
          <t>cd2b4f8f4be159150a5e298afae576da71e8eb902e310b6858b9770fcc921dcb</t>
        </is>
      </c>
    </row>
    <row r="141" ht="54" customHeight="1">
      <c r="A141" s="29" t="inlineStr">
        <is>
          <t>marbella:kaynak:134</t>
        </is>
      </c>
      <c r="B141" s="29" t="inlineStr">
        <is>
          <t>marbella</t>
        </is>
      </c>
      <c r="C141" s="29" t="inlineStr">
        <is>
          <t>BOE-A-2021-17915 Ley 5/2021, de 20 de octubre, de Tributos Cedidos de la Comunidad Autónoma de Andalucía.</t>
        </is>
      </c>
      <c r="D141" s="29" t="inlineStr">
        <is>
          <t>BOE / BOJA</t>
        </is>
      </c>
      <c r="E141" s="29" t="inlineStr">
        <is>
          <t>https://www.boe.es/buscar/act.php?id=BOE-A-2021-17915</t>
        </is>
      </c>
      <c r="F141" s="49" t="n">
        <v>46319</v>
      </c>
      <c r="G141" s="29" t="inlineStr">
        <is>
          <t>marbella:para</t>
        </is>
      </c>
      <c r="H141" s="29" t="inlineStr">
        <is>
          <t>Kart 2: art. 23 Endülüs IRPF bölge dilim cetveli (%9,5/12/15/18,5/22,5; 60.000 euro üstü %22,5), Decreto-ley 7/2022 ile 01.01.2022'den itibaren; art. 23 bis bölge kişisel/aile asgarisi; konsolide metin son güncelleme 31/12/2025.</t>
        </is>
      </c>
      <c r="I141" s="29" t="inlineStr">
        <is>
          <t>Evet</t>
        </is>
      </c>
      <c r="J141" s="29" t="inlineStr">
        <is>
          <t>Lisans kanıtları/ab69026e85b5e47d39abbd605b811a19778b6554e8a8aeb40fd222482b560262.html</t>
        </is>
      </c>
      <c r="K141" s="29" t="inlineStr">
        <is>
          <t>ab69026e85b5e47d39abbd605b811a19778b6554e8a8aeb40fd222482b560262</t>
        </is>
      </c>
    </row>
    <row r="142" ht="54" customHeight="1">
      <c r="A142" s="29" t="inlineStr">
        <is>
          <t>marbella:kaynak:135</t>
        </is>
      </c>
      <c r="B142" s="29" t="inlineStr">
        <is>
          <t>marbella</t>
        </is>
      </c>
      <c r="C142" s="29" t="inlineStr">
        <is>
          <t>Medidas vigentes IRPF 2025 - Junta de Andalucía</t>
        </is>
      </c>
      <c r="D142" s="29" t="inlineStr">
        <is>
          <t>Junta de Andalucía (Consejería de Economía, Hacienda y Fondos Europeos)</t>
        </is>
      </c>
      <c r="E142" s="29" t="inlineStr">
        <is>
          <t>https://www.juntadeandalucia.es/organismos/economiahaciendayfondoseuropeos/areas/tributos-juego/tributos/paginas/medidasautirpf25.html</t>
        </is>
      </c>
      <c r="F142" s="49" t="n">
        <v>46319</v>
      </c>
      <c r="G142" s="29" t="inlineStr">
        <is>
          <t>marbella:para</t>
        </is>
      </c>
      <c r="H142" s="29" t="inlineStr">
        <is>
          <t>Kart 2: 2025 gelir yılı (beyan 8 Nisan - 30 Haziran 2026) Endülüs bölgesel indirimleri listesi (kira, doğum/evlat edinme, aile, büyük aile, eğitim, engelli, ev yardımı, spor, veteriner vb.).</t>
        </is>
      </c>
      <c r="I142" s="29" t="inlineStr">
        <is>
          <t>Evet</t>
        </is>
      </c>
      <c r="J142" s="29" t="inlineStr">
        <is>
          <t>Lisans kanıtları/7107774255aef0d6d4f3d9396b95438c9a465bd67447afb1821d0bdc7af4a755.html</t>
        </is>
      </c>
      <c r="K142" s="29" t="inlineStr">
        <is>
          <t>7107774255aef0d6d4f3d9396b95438c9a465bd67447afb1821d0bdc7af4a755</t>
        </is>
      </c>
    </row>
    <row r="143" ht="54" customHeight="1">
      <c r="A143" s="29" t="inlineStr">
        <is>
          <t>marbella:kaynak:136</t>
        </is>
      </c>
      <c r="B143" s="29" t="inlineStr">
        <is>
          <t>marbella</t>
        </is>
      </c>
      <c r="C143" s="29" t="inlineStr">
        <is>
          <t>Tipo reducido para promover una política social de vivienda - Junta de Andalucía</t>
        </is>
      </c>
      <c r="D143" s="29" t="inlineStr">
        <is>
          <t>Junta de Andalucía (Consejería de Economía, Hacienda y Fondos Europeos)</t>
        </is>
      </c>
      <c r="E143" s="29" t="inlineStr">
        <is>
          <t>https://www.juntadeandalucia.es/organismos/economiahaciendayfondoseuropeos/areas/tributos-juego/tributos/paginas/polit-social.html</t>
        </is>
      </c>
      <c r="F143" s="49" t="n">
        <v>46319</v>
      </c>
      <c r="G143" s="29" t="inlineStr">
        <is>
          <t>marbella:para</t>
        </is>
      </c>
      <c r="H143" s="29" t="inlineStr">
        <is>
          <t>Kart 3: ITP indirimli oranlar (%6 limit 150.000 euro; %3,5 35 yaş altı/engelli/büyük aile/mağdur/nüfus azalan belediye; limitler 150.000-250.000); sayfa tarihsiz, 2026 belediye listesine kadar güncel.</t>
        </is>
      </c>
      <c r="I143" s="29" t="inlineStr">
        <is>
          <t>Evet</t>
        </is>
      </c>
      <c r="J143" s="29" t="inlineStr">
        <is>
          <t>Lisans kanıtları/f5196985c6f78da19f5464917aa4b300475a7cef1f80c8720b2a3e9775ad50dc.html</t>
        </is>
      </c>
      <c r="K143" s="29" t="inlineStr">
        <is>
          <t>f5196985c6f78da19f5464917aa4b300475a7cef1f80c8720b2a3e9775ad50dc</t>
        </is>
      </c>
    </row>
    <row r="144" ht="54" customHeight="1">
      <c r="A144" s="29" t="inlineStr">
        <is>
          <t>marbella:kaynak:137</t>
        </is>
      </c>
      <c r="B144" s="29" t="inlineStr">
        <is>
          <t>marbella</t>
        </is>
      </c>
      <c r="C144" s="29" t="inlineStr">
        <is>
          <t>Novedades en las fianzas de arrendamiento - Junta de Andalucía</t>
        </is>
      </c>
      <c r="D144" s="29" t="inlineStr">
        <is>
          <t>AVRA - Junta de Andalucía</t>
        </is>
      </c>
      <c r="E144" s="29" t="inlineStr">
        <is>
          <t>https://www.juntadeandalucia.es/organismos/avra/areas/fianzas/notas-ley-vivienda-andalucia-2025.html</t>
        </is>
      </c>
      <c r="F144" s="49" t="n">
        <v>46319</v>
      </c>
      <c r="G144" s="29" t="inlineStr">
        <is>
          <t>marbella:ev</t>
        </is>
      </c>
      <c r="H144" s="29" t="inlineStr">
        <is>
          <t>Kart 4: 24.01.2026'dan itibaren yeni kira sözleşmelerinde AVRA'ya depozito yatırma zorunluluğu kaldırıldı (Ley 5/2025 DA 6a); 23.01.2026 dahil öncesi sözleşmelerde zorunluluk sürer; eski depozitoların iadesi için 1 ay. Sayfa tarihsiz, yürürlük 24/01/2026.</t>
        </is>
      </c>
      <c r="I144" s="29" t="inlineStr">
        <is>
          <t>Evet</t>
        </is>
      </c>
      <c r="J144" s="29" t="inlineStr">
        <is>
          <t>Lisans kanıtları/5bb917717d38ec33112d2fa88693f028555498d0e0def283f1aebe1ef47aa70e.html</t>
        </is>
      </c>
      <c r="K144" s="29" t="inlineStr">
        <is>
          <t>5bb917717d38ec33112d2fa88693f028555498d0e0def283f1aebe1ef47aa70e</t>
        </is>
      </c>
    </row>
    <row r="145" ht="54" customHeight="1">
      <c r="A145" s="29" t="inlineStr">
        <is>
          <t>marbella:kaynak:138</t>
        </is>
      </c>
      <c r="B145" s="29" t="inlineStr">
        <is>
          <t>marbella</t>
        </is>
      </c>
      <c r="C145" s="29" t="inlineStr">
        <is>
          <t>Quiero inscribirme como demandante de servicios de empleo | Área de Gestión del SAE</t>
        </is>
      </c>
      <c r="D145" s="29" t="inlineStr">
        <is>
          <t>Servicio Andaluz de Empleo (SAE) - Junta de Andalucía</t>
        </is>
      </c>
      <c r="E145" s="29" t="inlineStr">
        <is>
          <t>https://ws054.juntadeandalucia.es/portalsae/quiero-trabajar/inscribirme-como-demandante-empleo</t>
        </is>
      </c>
      <c r="F145" s="49" t="n">
        <v>46319</v>
      </c>
      <c r="G145" s="29" t="inlineStr">
        <is>
          <t>marbella:is</t>
        </is>
      </c>
      <c r="H145" s="29" t="inlineStr">
        <is>
          <t>Kart 5: SAE ilk kayıt şartları (16 yaş, uyruk/AB dışı için idari izin, Endülüs'te ikamet), formda NIE/pasaport, sertifika/Cl@ve ile anında, yoksa randevu; SEPE işsizlik maaşı için ön şart. Sayfa güncelleme tarihi 06/03/2025.</t>
        </is>
      </c>
      <c r="I145" s="29" t="inlineStr">
        <is>
          <t>Evet</t>
        </is>
      </c>
      <c r="J145" s="29" t="inlineStr">
        <is>
          <t>Lisans kanıtları/1fa8a57f2248a5357e948d780971f11393c683192d474ee1789330e916410d61.html</t>
        </is>
      </c>
      <c r="K145" s="29" t="inlineStr">
        <is>
          <t>1fa8a57f2248a5357e948d780971f11393c683192d474ee1789330e916410d61</t>
        </is>
      </c>
    </row>
    <row r="146" ht="54" customHeight="1">
      <c r="A146" s="29" t="inlineStr">
        <is>
          <t>marbella:kaynak:139</t>
        </is>
      </c>
      <c r="B146" s="29" t="inlineStr">
        <is>
          <t>marbella</t>
        </is>
      </c>
      <c r="C146" s="29" t="inlineStr">
        <is>
          <t>Soy de fuera de la UE y quiero trabajar en Andalucía | Área de Gestión del SAE</t>
        </is>
      </c>
      <c r="D146" s="29" t="inlineStr">
        <is>
          <t>Servicio Andaluz de Empleo (SAE) - Junta de Andalucía</t>
        </is>
      </c>
      <c r="E146" s="29" t="inlineStr">
        <is>
          <t>https://ws054.juntadeandalucia.es/portalsae/quiero-trabajar/trabajar-en-andalucia-extranjero-ue</t>
        </is>
      </c>
      <c r="F146" s="49" t="n">
        <v>46319</v>
      </c>
      <c r="G146" s="29" t="inlineStr">
        <is>
          <t>marbella:is</t>
        </is>
      </c>
      <c r="H146" s="29" t="inlineStr">
        <is>
          <t>Kart 5: AB dışı yabancı için sıra: önce çalışma izni/vize, sonra SAE demanda; elektronik araç yoksa oficina randevusu. Güncelleme tarihi 24/03/2025.</t>
        </is>
      </c>
      <c r="I146" s="29" t="inlineStr">
        <is>
          <t>Evet</t>
        </is>
      </c>
      <c r="J146" s="29" t="inlineStr">
        <is>
          <t>Lisans kanıtları/1897d3a87d9e05310bd4befb851747d62990a4580d5df2be5a00f39fb74002e6.html</t>
        </is>
      </c>
      <c r="K146" s="29" t="inlineStr">
        <is>
          <t>1897d3a87d9e05310bd4befb851747d62990a4580d5df2be5a00f39fb74002e6</t>
        </is>
      </c>
    </row>
    <row r="147" ht="54" customHeight="1">
      <c r="A147" s="29" t="inlineStr">
        <is>
          <t>marbella:kaynak:140</t>
        </is>
      </c>
      <c r="B147" s="29" t="inlineStr">
        <is>
          <t>marbella</t>
        </is>
      </c>
      <c r="C147" s="29" t="inlineStr">
        <is>
          <t>FAQ: Infantil a Bachillerato - Escolarización 2026/2027 - Educación</t>
        </is>
      </c>
      <c r="D147" s="29" t="inlineStr">
        <is>
          <t>Junta de Andalucía - Consejería de Desarrollo Educativo y Formación Profesional</t>
        </is>
      </c>
      <c r="E147" s="29" t="inlineStr">
        <is>
          <t>https://www.juntadeandalucia.es/educacion/portales/web/escolarizacion/infantil-a-bachillerato/preguntas-frecuentes</t>
        </is>
      </c>
      <c r="F147" s="49" t="n">
        <v>46319</v>
      </c>
      <c r="G147" s="29" t="inlineStr">
        <is>
          <t>marbella:aile</t>
        </is>
      </c>
      <c r="H147" s="29" t="inlineStr">
        <is>
          <t>Kart 6: başvuru dönemi (genel kural Mart) ve Secretaría Virtual. Not: 2026/27 için süre uzatıldı (keşif gaps.md).</t>
        </is>
      </c>
      <c r="I147" s="29" t="inlineStr">
        <is>
          <t>Evet</t>
        </is>
      </c>
      <c r="J147" s="29" t="inlineStr">
        <is>
          <t>Lisans kanıtları/a9b5e745cd84b940c39ee7d0f25ee1e1d26973a3d27df2f15ebd1b9c593642a5.html</t>
        </is>
      </c>
      <c r="K147" s="29" t="inlineStr">
        <is>
          <t>a9b5e745cd84b940c39ee7d0f25ee1e1d26973a3d27df2f15ebd1b9c593642a5</t>
        </is>
      </c>
    </row>
    <row r="148" ht="54" customHeight="1">
      <c r="A148" s="29" t="inlineStr">
        <is>
          <t>marbella:kaynak:141</t>
        </is>
      </c>
      <c r="B148" s="29" t="inlineStr">
        <is>
          <t>marbella</t>
        </is>
      </c>
      <c r="C148" s="29" t="inlineStr">
        <is>
          <t>Decreto 21/2020, de 17 de febrero, por el que se regulan los criterios y el procedimiento de admisión del alumnado en los centros docentes públicos y privados concertados para curs</t>
        </is>
      </c>
      <c r="D148" s="29" t="inlineStr">
        <is>
          <t>Boletín Oficial de la Junta de Andalucía (BOJA)</t>
        </is>
      </c>
      <c r="E148" s="29" t="inlineStr">
        <is>
          <t>https://www.juntadeandalucia.es/boja/2020/34/1</t>
        </is>
      </c>
      <c r="F148" s="49" t="n">
        <v>46319</v>
      </c>
      <c r="G148" s="29" t="inlineStr">
        <is>
          <t>marbella:aile</t>
        </is>
      </c>
      <c r="H148" s="29" t="inlineStr">
        <is>
          <t>Kart 6: yıl ortasında gelen (incorporación tardía) öğrencinin kaydı, md. 51 olağanüstü usul. PDF yerine BOJA HTML sürümü.</t>
        </is>
      </c>
      <c r="I148" s="29" t="inlineStr">
        <is>
          <t>Evet</t>
        </is>
      </c>
      <c r="J148" s="29" t="inlineStr">
        <is>
          <t>Lisans kanıtları/1d143b4673410ee320880be54dda1f13e43fcfaccb6646c276c510c0697450f0.html</t>
        </is>
      </c>
      <c r="K148" s="29" t="inlineStr">
        <is>
          <t>1d143b4673410ee320880be54dda1f13e43fcfaccb6646c276c510c0697450f0</t>
        </is>
      </c>
    </row>
    <row r="149" ht="54" customHeight="1">
      <c r="A149" s="29" t="inlineStr">
        <is>
          <t>marbella:kaynak:142</t>
        </is>
      </c>
      <c r="B149" s="29" t="inlineStr">
        <is>
          <t>marbella</t>
        </is>
      </c>
      <c r="C149" s="29" t="inlineStr">
        <is>
          <t>Interoperatividad – Consorcio de Transporte Metropolitano. Área de Granada</t>
        </is>
      </c>
      <c r="D149" s="29" t="inlineStr">
        <is>
          <t>Consorcio de Transporte Metropolitano del Área de Granada (Junta de Andalucía)</t>
        </is>
      </c>
      <c r="E149" s="29" t="inlineStr">
        <is>
          <t>https://ctagr.es/sistema-tarifario/interoperatividad</t>
        </is>
      </c>
      <c r="F149" s="49" t="n">
        <v>46319</v>
      </c>
      <c r="G149" s="29" t="inlineStr">
        <is>
          <t>marbella:ulasim</t>
        </is>
      </c>
      <c r="H149" s="29" t="inlineStr">
        <is>
          <t>Kart 8: tek Consorcio kartının diğer metropol alanlarında (Málaga, Cádiz, Sevilla, Almería, Jaén, Córdoba, Huelva, Campo de Gibraltar) geçerliliği; tarife kuralı (varış sorulur; Granada'da sabit 2 salto), her satış noktasında yükleme (min. 5 euro). Sayfa tarihi yok; Granada konsorsiyumu sitesi.</t>
        </is>
      </c>
      <c r="I149" s="29" t="inlineStr">
        <is>
          <t>Evet</t>
        </is>
      </c>
      <c r="J149" s="29" t="inlineStr">
        <is>
          <t>Lisans kanıtları/5eff10ef48caa6e132fd8dc2afd8e4d01ac4cafe54ab6e3e408086c528e10057.html</t>
        </is>
      </c>
      <c r="K149" s="29" t="inlineStr">
        <is>
          <t>5eff10ef48caa6e132fd8dc2afd8e4d01ac4cafe54ab6e3e408086c528e10057</t>
        </is>
      </c>
    </row>
    <row r="150" ht="54" customHeight="1">
      <c r="A150" s="29" t="inlineStr">
        <is>
          <t>marbella:kaynak:143</t>
        </is>
      </c>
      <c r="B150" s="29" t="inlineStr">
        <is>
          <t>marbella</t>
        </is>
      </c>
      <c r="C150" s="29" t="inlineStr">
        <is>
          <t>Tarjeta de transporte - Consorcio de Transporte Metropolitano del Área de Málaga</t>
        </is>
      </c>
      <c r="D150" s="29" t="inlineStr">
        <is>
          <t>Consorcio de Transporte Metropolitano del Área de Málaga (Junta de Andalucía)</t>
        </is>
      </c>
      <c r="E150" s="29" t="inlineStr">
        <is>
          <t>https://ctmam.es/titulos-de-transporte/tarjeta-de-transporte/</t>
        </is>
      </c>
      <c r="F150" s="49" t="n">
        <v>46319</v>
      </c>
      <c r="G150" s="29" t="inlineStr">
        <is>
          <t>marbella:ulasim</t>
        </is>
      </c>
      <c r="H150" s="29" t="inlineStr">
        <is>
          <t>Kart 8: kart nereden alınır (puntos de venta, 1,50 euro düzenleme ücreti), min. 5 euro yükleme, 500 euro tavan, diğer konsorsiyumlarda interoperabilite. Sayfa 21/04/2026 güncelleme. Fiyat/ücretler Málaga'ya özgü, konsorsiyuma göre değişir.</t>
        </is>
      </c>
      <c r="I150" s="29" t="inlineStr">
        <is>
          <t>Evet</t>
        </is>
      </c>
      <c r="J150" s="29" t="inlineStr">
        <is>
          <t>Lisans kanıtları/bcbd7b8acf02a8bfe5ce3a84e2d111dd5362b93b16bfd39d2fa684b1b4934db3.html</t>
        </is>
      </c>
      <c r="K150" s="29" t="inlineStr">
        <is>
          <t>bcbd7b8acf02a8bfe5ce3a84e2d111dd5362b93b16bfd39d2fa684b1b4934db3</t>
        </is>
      </c>
    </row>
    <row r="151" ht="54" customHeight="1">
      <c r="A151" s="29" t="inlineStr">
        <is>
          <t>marbella:kaynak:144</t>
        </is>
      </c>
      <c r="B151" s="29" t="inlineStr">
        <is>
          <t>marbella</t>
        </is>
      </c>
      <c r="C151" s="29" t="inlineStr">
        <is>
          <t>Decreto 84/2026, de 29 de abril, por el que se determina el calendario de fiestas laborales de la Comunidad Autónoma de Andalucía para el año 2027.</t>
        </is>
      </c>
      <c r="D151" s="29" t="inlineStr">
        <is>
          <t>Boletín Oficial de la Junta de Andalucía (BOJA)</t>
        </is>
      </c>
      <c r="E151" s="29" t="inlineStr">
        <is>
          <t>https://www.juntadeandalucia.es/boja/2026/84/1</t>
        </is>
      </c>
      <c r="F151" s="49" t="n">
        <v>46319</v>
      </c>
      <c r="G151" s="29" t="inlineStr">
        <is>
          <t>marbella:gunluk</t>
        </is>
      </c>
      <c r="H151" s="29" t="inlineStr">
        <is>
          <t>Kart 9: Endülüs 2027 bölge tatilleri; Día de Andalucía 1 Mart'a, 15 Ağustos 16 Ağustos'a kayar; 2 yerel tatil. PDF yerine BOJA HTML.</t>
        </is>
      </c>
      <c r="I151" s="29" t="inlineStr">
        <is>
          <t>Evet</t>
        </is>
      </c>
      <c r="J151" s="29" t="inlineStr">
        <is>
          <t>Lisans kanıtları/9fcdea09e6b69f596bf99b9ec708e56d32c94fcf0d327995ed372775dc213e59.html</t>
        </is>
      </c>
      <c r="K151" s="29" t="inlineStr">
        <is>
          <t>9fcdea09e6b69f596bf99b9ec708e56d32c94fcf0d327995ed372775dc213e59</t>
        </is>
      </c>
    </row>
    <row r="152" ht="54" customHeight="1">
      <c r="A152" s="29" t="inlineStr">
        <is>
          <t>marbella:kaynak:145</t>
        </is>
      </c>
      <c r="B152" s="29" t="inlineStr">
        <is>
          <t>marbella</t>
        </is>
      </c>
      <c r="C152" s="29" t="inlineStr">
        <is>
          <t>Carpeta ciudadana - Junta de Andalucía</t>
        </is>
      </c>
      <c r="D152" s="29" t="inlineStr">
        <is>
          <t>Junta de Andalucía</t>
        </is>
      </c>
      <c r="E152" s="29" t="inlineStr">
        <is>
          <t>https://www.juntadeandalucia.es/servicios/carpeta-ciudadana.html</t>
        </is>
      </c>
      <c r="F152" s="49" t="n">
        <v>46319</v>
      </c>
      <c r="G152" s="29" t="inlineStr">
        <is>
          <t>marbella:resmi</t>
        </is>
      </c>
      <c r="H152" s="29" t="inlineStr">
        <is>
          <t>Kart 10: Carpeta Ciudadana (uygulama/web): belgeler, randevular, bildirimler, kartlar (familia numerosa, carné joven, tarjeta sanitaria), expedientes; Cl@ve veya dijital sertifika ile giriş. Sayfa tarihi yok.</t>
        </is>
      </c>
      <c r="I152" s="29" t="inlineStr">
        <is>
          <t>Evet</t>
        </is>
      </c>
      <c r="J152" s="29" t="inlineStr">
        <is>
          <t>Lisans kanıtları/abf287c64186e76a18335c74ab315db685f0a099991f01e710f555203b42f763.html</t>
        </is>
      </c>
      <c r="K152" s="29" t="inlineStr">
        <is>
          <t>abf287c64186e76a18335c74ab315db685f0a099991f01e710f555203b42f763</t>
        </is>
      </c>
    </row>
    <row r="153" ht="54" customHeight="1">
      <c r="A153" s="29" t="inlineStr">
        <is>
          <t>marbella:kaynak:146</t>
        </is>
      </c>
      <c r="B153" s="29" t="inlineStr">
        <is>
          <t>marbella</t>
        </is>
      </c>
      <c r="C153" s="29" t="inlineStr">
        <is>
          <t>Sede Electrónica DGT - Canje de permisos extranjeros</t>
        </is>
      </c>
      <c r="D153" s="29" t="inlineStr">
        <is>
          <t>Dirección General de Tráfico (DGT) - Sede electrónica</t>
        </is>
      </c>
      <c r="E153" s="29" t="inlineStr">
        <is>
          <t>https://sede.dgt.gob.es/es/permisos-de-conducir/canjes-de-permisos/canjes-de-permisos-extranjeros/</t>
        </is>
      </c>
      <c r="F153" s="49" t="n">
        <v>46319</v>
      </c>
      <c r="G153" s="29" t="inlineStr">
        <is>
          <t>marbella:resmi</t>
        </is>
      </c>
      <c r="H153" s="29" t="inlineStr">
        <is>
          <t>Kart 12: ehliyet değişimi yalnız anlaşmalı ülkeler, 6 ay kuralı</t>
        </is>
      </c>
      <c r="I153" s="29" t="inlineStr">
        <is>
          <t>Evet</t>
        </is>
      </c>
      <c r="J153" s="29" t="inlineStr">
        <is>
          <t>Lisans kanıtları/243acd8f019403a105d0d72472f75ee9d0880f76d1491327aef155e03df925d6.html</t>
        </is>
      </c>
      <c r="K153" s="29" t="inlineStr">
        <is>
          <t>243acd8f019403a105d0d72472f75ee9d0880f76d1491327aef155e03df925d6</t>
        </is>
      </c>
    </row>
    <row r="154" ht="54" customHeight="1">
      <c r="A154" s="29" t="inlineStr">
        <is>
          <t>marbella:kaynak:147</t>
        </is>
      </c>
      <c r="B154" s="29" t="inlineStr">
        <is>
          <t>marbella</t>
        </is>
      </c>
      <c r="C154" s="29" t="inlineStr">
        <is>
          <t>BOE-A-2022-21739 Ley 28/2022, de 21 de diciembre, de fomento del ecosistema de las empresas emergentes.</t>
        </is>
      </c>
      <c r="D154" s="29" t="inlineStr">
        <is>
          <t>Agencia Estatal Boletín Oficial del Estado (BOE)</t>
        </is>
      </c>
      <c r="E154" s="29" t="inlineStr">
        <is>
          <t>https://www.boe.es/buscar/act.php?id=BOE-A-2022-21739</t>
        </is>
      </c>
      <c r="F154" s="49" t="n">
        <v>46319</v>
      </c>
      <c r="G154" s="29" t="inlineStr">
        <is>
          <t>marbella:oturum</t>
        </is>
      </c>
      <c r="H154" s="29" t="inlineStr">
        <is>
          <t>Kart 10: dijital göçebe vizesinin yasal dayanağı, azami 1 yıl vize, art. 74 bis-ter şartları</t>
        </is>
      </c>
      <c r="I154" s="29" t="inlineStr">
        <is>
          <t>Evet</t>
        </is>
      </c>
      <c r="J154" s="29" t="inlineStr">
        <is>
          <t>Lisans kanıtları/2a74c28f28fffb00ff54a2c3e501fe9f4c7eb7871bf8ced7ced2ba69a38d8b07.html</t>
        </is>
      </c>
      <c r="K154" s="29" t="inlineStr">
        <is>
          <t>2a74c28f28fffb00ff54a2c3e501fe9f4c7eb7871bf8ced7ced2ba69a38d8b07</t>
        </is>
      </c>
    </row>
    <row r="155" ht="54" customHeight="1">
      <c r="A155" s="29" t="inlineStr">
        <is>
          <t>marbella:kaynak:148</t>
        </is>
      </c>
      <c r="B155" s="29" t="inlineStr">
        <is>
          <t>marbella</t>
        </is>
      </c>
      <c r="C155" s="29" t="inlineStr">
        <is>
          <t>Hospital Costa del Sol | Servicio Andaluz de Salud</t>
        </is>
      </c>
      <c r="D155" s="29" t="inlineStr">
        <is>
          <t>Servicio Andaluz de Salud</t>
        </is>
      </c>
      <c r="E155" s="29" t="inlineStr">
        <is>
          <t>https://www.sspa.juntadeandalucia.es/servicioandaluzdesalud/el-sas/servicios-y-centros/informacion-por-centros/32094</t>
        </is>
      </c>
      <c r="F155" s="49" t="n">
        <v>46323</v>
      </c>
      <c r="G155" s="29" t="inlineStr">
        <is>
          <t>marbella:saglik</t>
        </is>
      </c>
      <c r="H155" s="29" t="inlineStr">
        <is>
          <t>Hastane adresi, acil telefonu</t>
        </is>
      </c>
      <c r="I155" s="29" t="inlineStr">
        <is>
          <t>Evet</t>
        </is>
      </c>
      <c r="J155" s="29" t="inlineStr">
        <is>
          <t>Lisans kanıtları/5be9c422d987910ff38c87ee8ef58330e25983b97822f25d21de73cf8ab60e6e.html</t>
        </is>
      </c>
      <c r="K155" s="29" t="inlineStr">
        <is>
          <t>5be9c422d987910ff38c87ee8ef58330e25983b97822f25d21de73cf8ab60e6e</t>
        </is>
      </c>
    </row>
    <row r="156" ht="54" customHeight="1">
      <c r="A156" s="29" t="inlineStr">
        <is>
          <t>marbella:kaynak:149</t>
        </is>
      </c>
      <c r="B156" s="29" t="inlineStr">
        <is>
          <t>marbella</t>
        </is>
      </c>
      <c r="C156" s="29" t="inlineStr">
        <is>
          <t>Centro de salud Leganitos | Servicio Andaluz de Salud</t>
        </is>
      </c>
      <c r="D156" s="29" t="inlineStr">
        <is>
          <t>Servicio Andaluz de Salud</t>
        </is>
      </c>
      <c r="E156" s="29" t="inlineStr">
        <is>
          <t>https://www.sspa.juntadeandalucia.es/servicioandaluzdesalud/el-sas/servicios-y-centros/informacion-por-centros/24920</t>
        </is>
      </c>
      <c r="F156" s="49" t="n">
        <v>46323</v>
      </c>
      <c r="G156" s="29" t="inlineStr">
        <is>
          <t>marbella:saglik</t>
        </is>
      </c>
      <c r="H156" s="29" t="inlineStr">
        <is>
          <t>Marbella sağlık merkezi (aile hekimi başvurusu), adres, saat</t>
        </is>
      </c>
      <c r="I156" s="29" t="inlineStr">
        <is>
          <t>Evet</t>
        </is>
      </c>
      <c r="J156" s="29" t="inlineStr">
        <is>
          <t>Lisans kanıtları/76bde77c597a8b14dcb31dfcf9a3d7b6d3b5aa66727861f7e902d2a89a0e3452.html</t>
        </is>
      </c>
      <c r="K156" s="29" t="inlineStr">
        <is>
          <t>76bde77c597a8b14dcb31dfcf9a3d7b6d3b5aa66727861f7e902d2a89a0e3452</t>
        </is>
      </c>
    </row>
    <row r="157" ht="54" customHeight="1">
      <c r="A157" s="29" t="inlineStr">
        <is>
          <t>marbella:kaynak:150</t>
        </is>
      </c>
      <c r="B157" s="29" t="inlineStr">
        <is>
          <t>marbella</t>
        </is>
      </c>
      <c r="C157" s="29" t="inlineStr">
        <is>
          <t>Centro de salud San Pedro de Alcántara | Servicio Andaluz de Salud</t>
        </is>
      </c>
      <c r="D157" s="29" t="inlineStr">
        <is>
          <t>Servicio Andaluz de Salud</t>
        </is>
      </c>
      <c r="E157" s="29" t="inlineStr">
        <is>
          <t>https://www.sspa.juntadeandalucia.es/servicioandaluzdesalud/el-sas/servicios-y-centros/informacion-por-centros/24891</t>
        </is>
      </c>
      <c r="F157" s="49" t="n">
        <v>46323</v>
      </c>
      <c r="G157" s="29" t="inlineStr">
        <is>
          <t>marbella:saglik</t>
        </is>
      </c>
      <c r="H157" s="29" t="inlineStr">
        <is>
          <t>San Pedro Alcántara sağlık merkezi adresi ve telefonu</t>
        </is>
      </c>
      <c r="I157" s="29" t="inlineStr">
        <is>
          <t>Evet</t>
        </is>
      </c>
      <c r="J157" s="29" t="inlineStr">
        <is>
          <t>Lisans kanıtları/a49a610edb1ec422fa5dc5a8f80bf0fd4e0f680bc3a2cfa816c377f589f45230.html</t>
        </is>
      </c>
      <c r="K157" s="29" t="inlineStr">
        <is>
          <t>a49a610edb1ec422fa5dc5a8f80bf0fd4e0f680bc3a2cfa816c377f589f45230</t>
        </is>
      </c>
    </row>
    <row r="158" ht="54" customHeight="1">
      <c r="A158" s="29" t="inlineStr">
        <is>
          <t>marbella:kaynak:151</t>
        </is>
      </c>
      <c r="B158" s="29" t="inlineStr">
        <is>
          <t>marbella</t>
        </is>
      </c>
      <c r="C158" s="29" t="inlineStr">
        <is>
          <t>Centro de salud Ricardo Soriano | Servicio Andaluz de Salud</t>
        </is>
      </c>
      <c r="D158" s="29" t="inlineStr">
        <is>
          <t>Servicio Andaluz de Salud</t>
        </is>
      </c>
      <c r="E158" s="29" t="inlineStr">
        <is>
          <t>https://www.sspa.juntadeandalucia.es/servicioandaluzdesalud/el-sas/servicios-y-centros/informacion-por-centros/32839</t>
        </is>
      </c>
      <c r="F158" s="49" t="n">
        <v>46323</v>
      </c>
      <c r="G158" s="29" t="inlineStr">
        <is>
          <t>marbella:saglik</t>
        </is>
      </c>
      <c r="H158" s="29" t="inlineStr">
        <is>
          <t>Marbella merkez sağlık merkezi adresi ve telefonu</t>
        </is>
      </c>
      <c r="I158" s="29" t="inlineStr">
        <is>
          <t>Evet</t>
        </is>
      </c>
      <c r="J158" s="29" t="inlineStr">
        <is>
          <t>Lisans kanıtları/d88874fbc54a6f59f58a0bac35c78aa190effca4e5be46ba7849d79aa2b88547.html</t>
        </is>
      </c>
      <c r="K158" s="29" t="inlineStr">
        <is>
          <t>d88874fbc54a6f59f58a0bac35c78aa190effca4e5be46ba7849d79aa2b88547</t>
        </is>
      </c>
    </row>
    <row r="159" ht="54" customHeight="1">
      <c r="A159" s="29" t="inlineStr">
        <is>
          <t>marbella:kaynak:152</t>
        </is>
      </c>
      <c r="B159" s="29" t="inlineStr">
        <is>
          <t>marbella</t>
        </is>
      </c>
      <c r="C159" s="29" t="inlineStr">
        <is>
          <t>Centro de salud La Campana (Nueva Andalucía) | Servicio Andaluz de Salud</t>
        </is>
      </c>
      <c r="D159" s="29" t="inlineStr">
        <is>
          <t>Servicio Andaluz de Salud</t>
        </is>
      </c>
      <c r="E159" s="29" t="inlineStr">
        <is>
          <t>https://www.sspa.juntadeandalucia.es/servicioandaluzdesalud/el-sas/servicios-y-centros/informacion-por-centros/24890</t>
        </is>
      </c>
      <c r="F159" s="49" t="n">
        <v>46323</v>
      </c>
      <c r="G159" s="29" t="inlineStr">
        <is>
          <t>marbella:saglik</t>
        </is>
      </c>
      <c r="H159" s="29" t="inlineStr">
        <is>
          <t>Nueva Andalucía sağlık merkezi adresi ve telefonu</t>
        </is>
      </c>
      <c r="I159" s="29" t="inlineStr">
        <is>
          <t>Evet</t>
        </is>
      </c>
      <c r="J159" s="29" t="inlineStr">
        <is>
          <t>Lisans kanıtları/dc171f194d13041859c9f5909d8d23eb345b09446d4ab883388f44c3bea5d323.html</t>
        </is>
      </c>
      <c r="K159" s="29" t="inlineStr">
        <is>
          <t>dc171f194d13041859c9f5909d8d23eb345b09446d4ab883388f44c3bea5d323</t>
        </is>
      </c>
    </row>
    <row r="160" ht="54" customHeight="1">
      <c r="A160" s="29" t="inlineStr">
        <is>
          <t>marbella:kaynak:153</t>
        </is>
      </c>
      <c r="B160" s="29" t="inlineStr">
        <is>
          <t>marbella</t>
        </is>
      </c>
      <c r="C160" s="29" t="inlineStr">
        <is>
          <t>Centro de salud Las Albarizas | Servicio Andaluz de Salud</t>
        </is>
      </c>
      <c r="D160" s="29" t="inlineStr">
        <is>
          <t>Servicio Andaluz de Salud</t>
        </is>
      </c>
      <c r="E160" s="29" t="inlineStr">
        <is>
          <t>https://www.sspa.juntadeandalucia.es/servicioandaluzdesalud/el-sas/servicios-y-centros/informacion-por-centros/24921</t>
        </is>
      </c>
      <c r="F160" s="49" t="n">
        <v>46323</v>
      </c>
      <c r="G160" s="29" t="inlineStr">
        <is>
          <t>marbella:saglik</t>
        </is>
      </c>
      <c r="H160" s="29" t="inlineStr">
        <is>
          <t>Las Albarizas sağlık merkezi adresi ve telefonu</t>
        </is>
      </c>
      <c r="I160" s="29" t="inlineStr">
        <is>
          <t>Evet</t>
        </is>
      </c>
      <c r="J160" s="29" t="inlineStr">
        <is>
          <t>Lisans kanıtları/908cee613e9134b2e5803ca7bf7e8a03d3116e76a6f957bd925737f559d57737.html</t>
        </is>
      </c>
      <c r="K160" s="29" t="inlineStr">
        <is>
          <t>908cee613e9134b2e5803ca7bf7e8a03d3116e76a6f957bd925737f559d57737</t>
        </is>
      </c>
    </row>
    <row r="161" ht="54" customHeight="1">
      <c r="A161" s="29" t="inlineStr">
        <is>
          <t>marbella:kaynak:154</t>
        </is>
      </c>
      <c r="B161" s="29" t="inlineStr">
        <is>
          <t>marbella</t>
        </is>
      </c>
      <c r="C161" s="29" t="inlineStr">
        <is>
          <t>Tarjeta sanitaria de Andalucía | Servicio Andaluz de Salud</t>
        </is>
      </c>
      <c r="D161" s="29" t="inlineStr">
        <is>
          <t>Servicio Andaluz de Salud</t>
        </is>
      </c>
      <c r="E161" s="29" t="inlineStr">
        <is>
          <t>https://www.sspa.juntadeandalucia.es/servicioandaluzdesalud/ciudadania/tarjeta-sanitaria-de-andalucia</t>
        </is>
      </c>
      <c r="F161" s="49" t="n">
        <v>46323</v>
      </c>
      <c r="G161" s="29" t="inlineStr">
        <is>
          <t>marbella:saglik</t>
        </is>
      </c>
      <c r="H161" s="29" t="inlineStr">
        <is>
          <t>Sağlık kartı şartları ve başvuru yeri</t>
        </is>
      </c>
      <c r="I161" s="29" t="inlineStr">
        <is>
          <t>Evet</t>
        </is>
      </c>
      <c r="J161" s="29" t="inlineStr">
        <is>
          <t>Lisans kanıtları/08f947431331a53b5ae0db1b112a2edace78bb617d4547bd032858239c8bd985.html</t>
        </is>
      </c>
      <c r="K161" s="29" t="inlineStr">
        <is>
          <t>08f947431331a53b5ae0db1b112a2edace78bb617d4547bd032858239c8bd985</t>
        </is>
      </c>
    </row>
    <row r="162" ht="54" customHeight="1">
      <c r="A162" s="29" t="inlineStr">
        <is>
          <t>marbella:kaynak:155</t>
        </is>
      </c>
      <c r="B162" s="29" t="inlineStr">
        <is>
          <t>marbella</t>
        </is>
      </c>
      <c r="C162" s="29" t="inlineStr">
        <is>
          <t>App Salud Andalucía | Servicio Andaluz de Salud</t>
        </is>
      </c>
      <c r="D162" s="29" t="inlineStr">
        <is>
          <t>Servicio Andaluz de Salud</t>
        </is>
      </c>
      <c r="E162" s="29" t="inlineStr">
        <is>
          <t>https://www.sspa.juntadeandalucia.es/servicioandaluzdesalud/ciudadania/app-salud-andalucia</t>
        </is>
      </c>
      <c r="F162" s="49" t="n">
        <v>46323</v>
      </c>
      <c r="G162" s="29" t="inlineStr">
        <is>
          <t>marbella:saglik</t>
        </is>
      </c>
      <c r="H162" s="29" t="inlineStr">
        <is>
          <t>Sanal sağlık kartı ve online randevu</t>
        </is>
      </c>
      <c r="I162" s="29" t="inlineStr">
        <is>
          <t>Evet</t>
        </is>
      </c>
      <c r="J162" s="29" t="inlineStr">
        <is>
          <t>Lisans kanıtları/6c68e7e6fc4098686cab815ba753227ce437a76af7dc75548dd8301b885c7981.html</t>
        </is>
      </c>
      <c r="K162" s="29" t="inlineStr">
        <is>
          <t>6c68e7e6fc4098686cab815ba753227ce437a76af7dc75548dd8301b885c7981</t>
        </is>
      </c>
    </row>
    <row r="163" ht="54" customHeight="1">
      <c r="A163" s="29" t="inlineStr">
        <is>
          <t>marbella:kaynak:156</t>
        </is>
      </c>
      <c r="B163" s="29" t="inlineStr">
        <is>
          <t>marbella</t>
        </is>
      </c>
      <c r="C163" s="29" t="inlineStr">
        <is>
          <t>Novedades relevantes del Calendario de Vacunaciones de Andalucía 2026 | Servicio Andaluz de Salud</t>
        </is>
      </c>
      <c r="D163" s="29" t="inlineStr">
        <is>
          <t>Servicio Andaluz de Salud</t>
        </is>
      </c>
      <c r="E163" s="29" t="inlineStr">
        <is>
          <t>https://www.sspa.juntadeandalucia.es/servicioandaluzdesalud/archivo-comunicado/novedades-relevantes-del-calendario-de-vacunaciones-de-andalucia-2026</t>
        </is>
      </c>
      <c r="F163" s="49" t="n">
        <v>46323</v>
      </c>
      <c r="G163" s="29" t="inlineStr">
        <is>
          <t>marbella:saglik</t>
        </is>
      </c>
      <c r="H163" s="29" t="inlineStr">
        <is>
          <t>Endülüs aşı takvimi 2026 değişiklikleri</t>
        </is>
      </c>
      <c r="I163" s="29" t="inlineStr">
        <is>
          <t>Evet</t>
        </is>
      </c>
      <c r="J163" s="29" t="inlineStr">
        <is>
          <t>Lisans kanıtları/cf4e1f77b0d837f9713cf38b125f0128c01021a0d959d874a480c4bf148ebd2e.html</t>
        </is>
      </c>
      <c r="K163" s="29" t="inlineStr">
        <is>
          <t>cf4e1f77b0d837f9713cf38b125f0128c01021a0d959d874a480c4bf148ebd2e</t>
        </is>
      </c>
    </row>
    <row r="164" ht="54" customHeight="1">
      <c r="A164" s="29" t="inlineStr">
        <is>
          <t>marbella:kaynak:157</t>
        </is>
      </c>
      <c r="B164" s="29" t="inlineStr">
        <is>
          <t>marbella</t>
        </is>
      </c>
      <c r="C164" s="29" t="inlineStr">
        <is>
          <t>Sanidad, Consumo y Servicios</t>
        </is>
      </c>
      <c r="D164" s="29" t="inlineStr">
        <is>
          <t>Ayuntamiento de Marbella</t>
        </is>
      </c>
      <c r="E164" s="29" t="inlineStr">
        <is>
          <t>https://www.marbella.es/web/sanidad-consumo-y-servicios/inicio.html</t>
        </is>
      </c>
      <c r="F164" s="49" t="n">
        <v>46323</v>
      </c>
      <c r="G164" s="29" t="inlineStr">
        <is>
          <t>marbella:saglik</t>
        </is>
      </c>
      <c r="H164" s="29" t="inlineStr">
        <is>
          <t>Belediye halk sağlığı hizmetleri</t>
        </is>
      </c>
      <c r="I164" s="29" t="inlineStr">
        <is>
          <t>Evet</t>
        </is>
      </c>
      <c r="J164" s="29" t="inlineStr">
        <is>
          <t>Lisans kanıtları/027ce6b6f98b6f60caa7134674504c8a0677fa5406e2f61b40dadf18eb717f0b.html</t>
        </is>
      </c>
      <c r="K164" s="29" t="inlineStr">
        <is>
          <t>027ce6b6f98b6f60caa7134674504c8a0677fa5406e2f61b40dadf18eb717f0b</t>
        </is>
      </c>
    </row>
    <row r="165" ht="54" customHeight="1">
      <c r="A165" s="29" t="inlineStr">
        <is>
          <t>marbella:kaynak:158</t>
        </is>
      </c>
      <c r="B165" s="29" t="inlineStr">
        <is>
          <t>marbella</t>
        </is>
      </c>
      <c r="C165" s="29" t="inlineStr">
        <is>
          <t>Empleo</t>
        </is>
      </c>
      <c r="D165" s="29" t="inlineStr">
        <is>
          <t>Ayuntamiento de Marbella</t>
        </is>
      </c>
      <c r="E165" s="29" t="inlineStr">
        <is>
          <t>https://www.marbella.es/web/empleo/inicio.html</t>
        </is>
      </c>
      <c r="F165" s="49" t="n">
        <v>46323</v>
      </c>
      <c r="G165" s="29" t="inlineStr">
        <is>
          <t>marbella:is</t>
        </is>
      </c>
      <c r="H165" s="29" t="inlineStr">
        <is>
          <t>Marbella belediye istihdam hizmetleri ve adresi</t>
        </is>
      </c>
      <c r="I165" s="29" t="inlineStr">
        <is>
          <t>Evet</t>
        </is>
      </c>
      <c r="J165" s="29" t="inlineStr">
        <is>
          <t>Lisans kanıtları/e856376d952feb34fa6ed2e2039b4df0b1a79909a8b8d5f358c15863a44c20dc.html</t>
        </is>
      </c>
      <c r="K165" s="29" t="inlineStr">
        <is>
          <t>e856376d952feb34fa6ed2e2039b4df0b1a79909a8b8d5f358c15863a44c20dc</t>
        </is>
      </c>
    </row>
    <row r="166" ht="54" customHeight="1">
      <c r="A166" s="29" t="inlineStr">
        <is>
          <t>marbella:kaynak:159</t>
        </is>
      </c>
      <c r="B166" s="29" t="inlineStr">
        <is>
          <t>marbella</t>
        </is>
      </c>
      <c r="C166" s="29" t="inlineStr">
        <is>
          <t>Agencia Municipal de Colocación</t>
        </is>
      </c>
      <c r="D166" s="29" t="inlineStr">
        <is>
          <t>Ayuntamiento de Marbella</t>
        </is>
      </c>
      <c r="E166" s="29" t="inlineStr">
        <is>
          <t>https://www.marbella.es/web/empleo/amc.html</t>
        </is>
      </c>
      <c r="F166" s="49" t="n">
        <v>46323</v>
      </c>
      <c r="G166" s="29" t="inlineStr">
        <is>
          <t>marbella:is</t>
        </is>
      </c>
      <c r="H166" s="29" t="inlineStr">
        <is>
          <t>Belediye iş bulma ajansı, portal üzerinden başvuru</t>
        </is>
      </c>
      <c r="I166" s="29" t="inlineStr">
        <is>
          <t>Evet</t>
        </is>
      </c>
      <c r="J166" s="29" t="inlineStr">
        <is>
          <t>Lisans kanıtları/441b1ac0884f032252d2956098de7f8862a9dd79fa406f67f8084a194bf6b38c.html</t>
        </is>
      </c>
      <c r="K166" s="29" t="inlineStr">
        <is>
          <t>441b1ac0884f032252d2956098de7f8862a9dd79fa406f67f8084a194bf6b38c</t>
        </is>
      </c>
    </row>
    <row r="167" ht="54" customHeight="1">
      <c r="A167" s="29" t="inlineStr">
        <is>
          <t>marbella:kaynak:160</t>
        </is>
      </c>
      <c r="B167" s="29" t="inlineStr">
        <is>
          <t>marbella</t>
        </is>
      </c>
      <c r="C167" s="29" t="inlineStr">
        <is>
          <t>Plan municipal de Empleabilidad</t>
        </is>
      </c>
      <c r="D167" s="29" t="inlineStr">
        <is>
          <t>Ayuntamiento de Marbella</t>
        </is>
      </c>
      <c r="E167" s="29" t="inlineStr">
        <is>
          <t>https://www.marbella.es/web/empleo/planes-formacion/plan-municipal-de-empleabilidad.html</t>
        </is>
      </c>
      <c r="F167" s="49" t="n">
        <v>46323</v>
      </c>
      <c r="G167" s="29" t="inlineStr">
        <is>
          <t>marbella:is</t>
        </is>
      </c>
      <c r="H167" s="29" t="inlineStr">
        <is>
          <t>Marbella'da iş arayanlar için yerel programlar</t>
        </is>
      </c>
      <c r="I167" s="29" t="inlineStr">
        <is>
          <t>Evet</t>
        </is>
      </c>
      <c r="J167" s="29" t="inlineStr">
        <is>
          <t>Lisans kanıtları/7828c3d1db6f15b1a88640da05cca2581b2240c3593761b9cb6afe6c49e35b5f.html</t>
        </is>
      </c>
      <c r="K167" s="29" t="inlineStr">
        <is>
          <t>7828c3d1db6f15b1a88640da05cca2581b2240c3593761b9cb6afe6c49e35b5f</t>
        </is>
      </c>
    </row>
    <row r="168" ht="54" customHeight="1">
      <c r="A168" s="29" t="inlineStr">
        <is>
          <t>marbella:kaynak:161</t>
        </is>
      </c>
      <c r="B168" s="29" t="inlineStr">
        <is>
          <t>marbella</t>
        </is>
      </c>
      <c r="C168" s="29" t="inlineStr">
        <is>
          <t>Mapa de Recursos | Área de Gestión del SAE</t>
        </is>
      </c>
      <c r="D168" s="29" t="inlineStr">
        <is>
          <t>Junta de Andalucía, SAE</t>
        </is>
      </c>
      <c r="E168" s="29" t="inlineStr">
        <is>
          <t>https://ws054.juntadeandalucia.es/portalsae/mapa-oficinas</t>
        </is>
      </c>
      <c r="F168" s="49" t="n">
        <v>46323</v>
      </c>
      <c r="G168" s="29" t="inlineStr">
        <is>
          <t>marbella:is</t>
        </is>
      </c>
      <c r="H168" s="29" t="inlineStr">
        <is>
          <t>Marbella'ya en yakın SAE ofisini bulma haritası</t>
        </is>
      </c>
      <c r="I168" s="29" t="inlineStr">
        <is>
          <t>Evet</t>
        </is>
      </c>
      <c r="J168" s="29" t="inlineStr">
        <is>
          <t>Lisans kanıtları/d92a34cb14d843186a1a763c5c0d8cbb266c91f1ffcfa5447e757869e74029f0.html</t>
        </is>
      </c>
      <c r="K168" s="29" t="inlineStr">
        <is>
          <t>d92a34cb14d843186a1a763c5c0d8cbb266c91f1ffcfa5447e757869e74029f0</t>
        </is>
      </c>
    </row>
    <row r="169" ht="54" customHeight="1">
      <c r="A169" s="29" t="inlineStr">
        <is>
          <t>marbella:kaynak:162</t>
        </is>
      </c>
      <c r="B169" s="29" t="inlineStr">
        <is>
          <t>marbella</t>
        </is>
      </c>
      <c r="C169" s="29" t="inlineStr">
        <is>
          <t>Search result by province</t>
        </is>
      </c>
      <c r="D169" s="29" t="inlineStr">
        <is>
          <t>SEPE</t>
        </is>
      </c>
      <c r="E169" s="29" t="inlineStr">
        <is>
          <t>https://www.sepe.es/HomeSepe/en/que-es-el-sepe/Red-de-oficinas/ResultadosBusqueda.html?id=da0bd097-5646-4e8c-a6ea-e5c1a1824289&amp;provinciaNombre=Malaga</t>
        </is>
      </c>
      <c r="F169" s="49" t="n">
        <v>46323</v>
      </c>
      <c r="G169" s="29" t="inlineStr">
        <is>
          <t>marbella:is</t>
        </is>
      </c>
      <c r="H169" s="29" t="inlineStr">
        <is>
          <t>Marbella ve San Pedro Alcántara SEPE (paro) ofisleri</t>
        </is>
      </c>
      <c r="I169" s="29" t="inlineStr">
        <is>
          <t>Evet</t>
        </is>
      </c>
      <c r="J169" s="29" t="inlineStr">
        <is>
          <t>Lisans kanıtları/f6e596b880ddecd63d2ff0ecd6c63beb939af4c21a271a90b373b85093536998.html</t>
        </is>
      </c>
      <c r="K169" s="29" t="inlineStr">
        <is>
          <t>f6e596b880ddecd63d2ff0ecd6c63beb939af4c21a271a90b373b85093536998</t>
        </is>
      </c>
    </row>
    <row r="170" ht="54" customHeight="1">
      <c r="A170" s="29" t="inlineStr">
        <is>
          <t>marbella:kaynak:164</t>
        </is>
      </c>
      <c r="B170" s="29" t="inlineStr">
        <is>
          <t>marbella</t>
        </is>
      </c>
      <c r="C170" s="29" t="inlineStr">
        <is>
          <t>Preguntas frecuentes sobre prestaciones por desempleo</t>
        </is>
      </c>
      <c r="D170" s="29" t="inlineStr">
        <is>
          <t>SEPE</t>
        </is>
      </c>
      <c r="E170" s="29" t="inlineStr">
        <is>
          <t>https://www.sepe.es/HomeSepe/en/prestaciones-desempleo/FAQS/solicitud-prestaciones/solicitud-presencial-paro-cita-previa.html</t>
        </is>
      </c>
      <c r="F170" s="49" t="n">
        <v>46323</v>
      </c>
      <c r="G170" s="29" t="inlineStr">
        <is>
          <t>marbella:is</t>
        </is>
      </c>
      <c r="H170" s="29" t="inlineStr">
        <is>
          <t>Paro başvurusu: randevu ve çevrimiçi yol</t>
        </is>
      </c>
      <c r="I170" s="29" t="inlineStr">
        <is>
          <t>Evet</t>
        </is>
      </c>
      <c r="J170" s="29" t="inlineStr">
        <is>
          <t>Lisans kanıtları/9d2e9111d113534b7eda5fca5da6ef05dd9abbae8c7960dabe902e2789a9dfd0.html</t>
        </is>
      </c>
      <c r="K170" s="29" t="inlineStr">
        <is>
          <t>9d2e9111d113534b7eda5fca5da6ef05dd9abbae8c7960dabe902e2789a9dfd0</t>
        </is>
      </c>
    </row>
    <row r="171" ht="54" customHeight="1">
      <c r="A171" s="29" t="inlineStr">
        <is>
          <t>marbella:kaynak:166</t>
        </is>
      </c>
      <c r="B171" s="29" t="inlineStr">
        <is>
          <t>marbella</t>
        </is>
      </c>
      <c r="C171" s="29" t="inlineStr">
        <is>
          <t>CADE Marbella - Andalucía Emprende, Fundación Pública Andaluza</t>
        </is>
      </c>
      <c r="D171" s="29" t="inlineStr">
        <is>
          <t>Andalucía Emprende (Junta de Andalucía)</t>
        </is>
      </c>
      <c r="E171" s="29" t="inlineStr">
        <is>
          <t>https://www.andaluciaemprende.es/CADE/cade-marbella/</t>
        </is>
      </c>
      <c r="F171" s="49" t="n">
        <v>46323</v>
      </c>
      <c r="G171" s="29" t="inlineStr">
        <is>
          <t>marbella:is</t>
        </is>
      </c>
      <c r="H171" s="29" t="inlineStr">
        <is>
          <t>Autónomo / şirket kurma için Marbella danışma merkezi</t>
        </is>
      </c>
      <c r="I171" s="29" t="inlineStr">
        <is>
          <t>Evet</t>
        </is>
      </c>
      <c r="J171" s="29" t="inlineStr">
        <is>
          <t>Lisans kanıtları/f380c6b8ef1c7d3c0c9bebd1ea420fd795802621a293cef545fc6c77a5453a9b.html</t>
        </is>
      </c>
      <c r="K171" s="29" t="inlineStr">
        <is>
          <t>f380c6b8ef1c7d3c0c9bebd1ea420fd795802621a293cef545fc6c77a5453a9b</t>
        </is>
      </c>
    </row>
    <row r="172" ht="54" customHeight="1">
      <c r="A172" s="29" t="inlineStr">
        <is>
          <t>marbella:kaynak:167</t>
        </is>
      </c>
      <c r="B172" s="29" t="inlineStr">
        <is>
          <t>marbella</t>
        </is>
      </c>
      <c r="C172" s="29" t="inlineStr">
        <is>
          <t>Servicios - Andalucía Emprende, Fundación Pública Andaluza</t>
        </is>
      </c>
      <c r="D172" s="29" t="inlineStr">
        <is>
          <t>Andalucía Emprende (Junta de Andalucía)</t>
        </is>
      </c>
      <c r="E172" s="29" t="inlineStr">
        <is>
          <t>https://www.andaluciaemprende.es/servicios/</t>
        </is>
      </c>
      <c r="F172" s="49" t="n">
        <v>46323</v>
      </c>
      <c r="G172" s="29" t="inlineStr">
        <is>
          <t>marbella:is</t>
        </is>
      </c>
      <c r="H172" s="29" t="inlineStr">
        <is>
          <t>Ücretsiz girişimci hizmetleri, çevrimiçi şirket kuruluşu</t>
        </is>
      </c>
      <c r="I172" s="29" t="inlineStr">
        <is>
          <t>Evet</t>
        </is>
      </c>
      <c r="J172" s="29" t="inlineStr">
        <is>
          <t>Lisans kanıtları/590d259f10d5ae84028af99f754ff56d193b635ea2659f671653a8ad0f7adf9c.html</t>
        </is>
      </c>
      <c r="K172" s="29" t="inlineStr">
        <is>
          <t>590d259f10d5ae84028af99f754ff56d193b635ea2659f671653a8ad0f7adf9c</t>
        </is>
      </c>
    </row>
    <row r="173" ht="54" customHeight="1">
      <c r="A173" s="29" t="inlineStr">
        <is>
          <t>marbella:kaynak:168</t>
        </is>
      </c>
      <c r="B173" s="29" t="inlineStr">
        <is>
          <t>marbella</t>
        </is>
      </c>
      <c r="C173" s="29" t="inlineStr">
        <is>
          <t>Seguridad Social: Servicio atención telefónica</t>
        </is>
      </c>
      <c r="D173" s="29" t="inlineStr">
        <is>
          <t>Seguridad Social</t>
        </is>
      </c>
      <c r="E173" s="29" t="inlineStr">
        <is>
          <t>https://www.seg-social.es/wps/portal/wss/internet/ServicioAtencionTelefonica</t>
        </is>
      </c>
      <c r="F173" s="49" t="n">
        <v>46323</v>
      </c>
      <c r="G173" s="29" t="inlineStr">
        <is>
          <t>marbella:is</t>
        </is>
      </c>
      <c r="H173" s="29" t="inlineStr">
        <is>
          <t>SS randevu ve alta/RETA telefon hatları</t>
        </is>
      </c>
      <c r="I173" s="29" t="inlineStr">
        <is>
          <t>Evet</t>
        </is>
      </c>
      <c r="J173" s="29" t="inlineStr">
        <is>
          <t>Lisans kanıtları/3ef9c685157c4272913726119b645d1fc62b4f6af29e14e3a755b45839a405fd.html</t>
        </is>
      </c>
      <c r="K173" s="29" t="inlineStr">
        <is>
          <t>3ef9c685157c4272913726119b645d1fc62b4f6af29e14e3a755b45839a405fd</t>
        </is>
      </c>
    </row>
    <row r="174" ht="54" customHeight="1">
      <c r="A174" s="29" t="inlineStr">
        <is>
          <t>marbella:kaynak:170</t>
        </is>
      </c>
      <c r="B174" s="29" t="inlineStr">
        <is>
          <t>marbella</t>
        </is>
      </c>
      <c r="C174" s="29" t="inlineStr">
        <is>
          <t>Escolarización de Infantil a Bachillerato - Escolarización 2026/2027 - Educación</t>
        </is>
      </c>
      <c r="D174" s="29" t="inlineStr">
        <is>
          <t>Junta de Andalucía, Consejería de Educación</t>
        </is>
      </c>
      <c r="E174" s="29" t="inlineStr">
        <is>
          <t>https://www.juntadeandalucia.es/educacion/portales/web/escolarizacion/infantil-a-bachillerato</t>
        </is>
      </c>
      <c r="F174" s="49" t="n">
        <v>46323</v>
      </c>
      <c r="G174" s="29" t="inlineStr">
        <is>
          <t>marbella:aile</t>
        </is>
      </c>
      <c r="H174" s="29" t="inlineStr">
        <is>
          <t>Okul kaydı: başvuru dönemi (mart), Secretaría Virtual ve bilgi hattı</t>
        </is>
      </c>
      <c r="I174" s="29" t="inlineStr">
        <is>
          <t>Evet</t>
        </is>
      </c>
      <c r="J174" s="29" t="inlineStr">
        <is>
          <t>Lisans kanıtları/0afce5567fa07d5d9b367649eca0717055d2ebc80466e58aa4f42024eb72ab06.html</t>
        </is>
      </c>
      <c r="K174" s="29" t="inlineStr">
        <is>
          <t>0afce5567fa07d5d9b367649eca0717055d2ebc80466e58aa4f42024eb72ab06</t>
        </is>
      </c>
    </row>
    <row r="175" ht="54" customHeight="1">
      <c r="A175" s="29" t="inlineStr">
        <is>
          <t>marbella:kaynak:171</t>
        </is>
      </c>
      <c r="B175" s="29" t="inlineStr">
        <is>
          <t>marbella</t>
        </is>
      </c>
      <c r="C175" s="29" t="inlineStr">
        <is>
          <t>Escolarización de cero a tres años - Escolarización 2026/2027 - Educación</t>
        </is>
      </c>
      <c r="D175" s="29" t="inlineStr">
        <is>
          <t>Junta de Andalucía, Consejería de Educación</t>
        </is>
      </c>
      <c r="E175" s="29" t="inlineStr">
        <is>
          <t>https://www.juntadeandalucia.es/educacion/portales/web/escolarizacion/0-a-3-anos</t>
        </is>
      </c>
      <c r="F175" s="49" t="n">
        <v>46323</v>
      </c>
      <c r="G175" s="29" t="inlineStr">
        <is>
          <t>marbella:aile</t>
        </is>
      </c>
      <c r="H175" s="29" t="inlineStr">
        <is>
          <t>Kreş (0-3 yaş) kayıt takvimi: rezerv ve olağan başvuru</t>
        </is>
      </c>
      <c r="I175" s="29" t="inlineStr">
        <is>
          <t>Evet</t>
        </is>
      </c>
      <c r="J175" s="29" t="inlineStr">
        <is>
          <t>Lisans kanıtları/70e3290eb03ca78393b3f1f86d2eca354c32532555bb5665063b612731cf78ab.html</t>
        </is>
      </c>
      <c r="K175" s="29" t="inlineStr">
        <is>
          <t>70e3290eb03ca78393b3f1f86d2eca354c32532555bb5665063b612731cf78ab</t>
        </is>
      </c>
    </row>
    <row r="176" ht="54" customHeight="1">
      <c r="A176" s="29" t="inlineStr">
        <is>
          <t>marbella:kaynak:172</t>
        </is>
      </c>
      <c r="B176" s="29" t="inlineStr">
        <is>
          <t>marbella</t>
        </is>
      </c>
      <c r="C176" s="29" t="inlineStr">
        <is>
          <t>Programa de ayudas a las familias - Escolarización 2026/2027 - Educación</t>
        </is>
      </c>
      <c r="D176" s="29" t="inlineStr">
        <is>
          <t>Junta de Andalucía, Consejería de Educación</t>
        </is>
      </c>
      <c r="E176" s="29" t="inlineStr">
        <is>
          <t>https://www.juntadeandalucia.es/educacion/portales/web/escolarizacion/0-a-3-anos/programa-de-ayudas-a-las-familias</t>
        </is>
      </c>
      <c r="F176" s="49" t="n">
        <v>46323</v>
      </c>
      <c r="G176" s="29" t="inlineStr">
        <is>
          <t>marbella:aile</t>
        </is>
      </c>
      <c r="H176" s="29" t="inlineStr">
        <is>
          <t>Kreş ücret indirimi / aile desteği</t>
        </is>
      </c>
      <c r="I176" s="29" t="inlineStr">
        <is>
          <t>Evet</t>
        </is>
      </c>
      <c r="J176" s="29" t="inlineStr">
        <is>
          <t>Lisans kanıtları/bcb20d6b6efcb9beff3518122e81d79c4d711f1750047713fd9c898cfd56d588.html</t>
        </is>
      </c>
      <c r="K176" s="29" t="inlineStr">
        <is>
          <t>bcb20d6b6efcb9beff3518122e81d79c4d711f1750047713fd9c898cfd56d588</t>
        </is>
      </c>
    </row>
    <row r="177" ht="54" customHeight="1">
      <c r="A177" s="29" t="inlineStr">
        <is>
          <t>marbella:kaynak:173</t>
        </is>
      </c>
      <c r="B177" s="29" t="inlineStr">
        <is>
          <t>marbella</t>
        </is>
      </c>
      <c r="C177" s="29" t="inlineStr">
        <is>
          <t>Enseñanza de español e integración - Junta de Andalucía</t>
        </is>
      </c>
      <c r="D177" s="29" t="inlineStr">
        <is>
          <t>Junta de Andalucía</t>
        </is>
      </c>
      <c r="E177" s="29" t="inlineStr">
        <is>
          <t>https://www.juntadeandalucia.es/temas/estudiar/primaria-eso/integracion.html</t>
        </is>
      </c>
      <c r="F177" s="49" t="n">
        <v>46323</v>
      </c>
      <c r="G177" s="29" t="inlineStr">
        <is>
          <t>marbella:aile</t>
        </is>
      </c>
      <c r="H177" s="29" t="inlineStr">
        <is>
          <t>ATAL: İspanyolca bilmeyen çocuklara destek</t>
        </is>
      </c>
      <c r="I177" s="29" t="inlineStr">
        <is>
          <t>Evet</t>
        </is>
      </c>
      <c r="J177" s="29" t="inlineStr">
        <is>
          <t>Lisans kanıtları/c6b4a3110fd62d85e65bb0427d74d183ba2c91d89966108a1ee6a24f4eba1378.html</t>
        </is>
      </c>
      <c r="K177" s="29" t="inlineStr">
        <is>
          <t>c6b4a3110fd62d85e65bb0427d74d183ba2c91d89966108a1ee6a24f4eba1378</t>
        </is>
      </c>
    </row>
    <row r="178" ht="54" customHeight="1">
      <c r="A178" s="29" t="inlineStr">
        <is>
          <t>marbella:kaynak:174</t>
        </is>
      </c>
      <c r="B178" s="29" t="inlineStr">
        <is>
          <t>marbella</t>
        </is>
      </c>
      <c r="C178" s="29" t="inlineStr">
        <is>
          <t>Delegación Territorial de Educación en Málaga - Educación - Junta de Andalucía</t>
        </is>
      </c>
      <c r="D178" s="29" t="inlineStr">
        <is>
          <t>Junta de Andalucía, Consejería de Educación</t>
        </is>
      </c>
      <c r="E178" s="29" t="inlineStr">
        <is>
          <t>https://www.juntadeandalucia.es/organismos/educacion/consejeria/delegaciones/malaga.html</t>
        </is>
      </c>
      <c r="F178" s="49" t="n">
        <v>46323</v>
      </c>
      <c r="G178" s="29" t="inlineStr">
        <is>
          <t>marbella:aile</t>
        </is>
      </c>
      <c r="H178" s="29" t="inlineStr">
        <is>
          <t>Málaga ili eğitim delegasyonu adresi ve telefonu</t>
        </is>
      </c>
      <c r="I178" s="29" t="inlineStr">
        <is>
          <t>Evet</t>
        </is>
      </c>
      <c r="J178" s="29" t="inlineStr">
        <is>
          <t>Lisans kanıtları/a0fc5373d2ca4e3e9629f26de39a5f8ef564261d416688ca9571946fb558cfd7.html</t>
        </is>
      </c>
      <c r="K178" s="29" t="inlineStr">
        <is>
          <t>a0fc5373d2ca4e3e9629f26de39a5f8ef564261d416688ca9571946fb558cfd7</t>
        </is>
      </c>
    </row>
    <row r="179" ht="54" customHeight="1">
      <c r="A179" s="29" t="inlineStr">
        <is>
          <t>marbella:kaynak:177</t>
        </is>
      </c>
      <c r="B179" s="29" t="inlineStr">
        <is>
          <t>marbella</t>
        </is>
      </c>
      <c r="C179" s="29" t="inlineStr">
        <is>
          <t>Escuelas Infantiles Municipales - Curso 2026/2027</t>
        </is>
      </c>
      <c r="D179" s="29" t="inlineStr">
        <is>
          <t>Ayuntamiento de Marbella</t>
        </is>
      </c>
      <c r="E179" s="29" t="inlineStr">
        <is>
          <t>https://ayuntamiento.marbella.es/historial-de-comunicados-muncipales/5127-escuelas-infantiles-municipales-26-27.html</t>
        </is>
      </c>
      <c r="F179" s="49" t="n">
        <v>46323</v>
      </c>
      <c r="G179" s="29" t="inlineStr">
        <is>
          <t>marbella:aile</t>
        </is>
      </c>
      <c r="H179" s="29" t="inlineStr">
        <is>
          <t>Marbella belediye kreşleri 2026/27 yerleştirme ve bekleme listeleri</t>
        </is>
      </c>
      <c r="I179" s="29" t="inlineStr">
        <is>
          <t>Evet</t>
        </is>
      </c>
      <c r="J179" s="29" t="inlineStr">
        <is>
          <t>Lisans kanıtları/82abbbf7a31f2c6a5ba39c27bed3dc2a3b0bce3ae9885278215911a9ca236e28.html</t>
        </is>
      </c>
      <c r="K179" s="29" t="inlineStr">
        <is>
          <t>82abbbf7a31f2c6a5ba39c27bed3dc2a3b0bce3ae9885278215911a9ca236e28</t>
        </is>
      </c>
    </row>
    <row r="180" ht="54" customHeight="1">
      <c r="A180" s="29" t="inlineStr">
        <is>
          <t>marbella:kaynak:178</t>
        </is>
      </c>
      <c r="B180" s="29" t="inlineStr">
        <is>
          <t>marbella</t>
        </is>
      </c>
      <c r="C180" s="29" t="inlineStr">
        <is>
          <t>El plazo de solicitudes para las escuelas infantiles municipales estará abierto hasta el 31 de marzo</t>
        </is>
      </c>
      <c r="D180" s="29" t="inlineStr">
        <is>
          <t>Ayuntamiento de Marbella</t>
        </is>
      </c>
      <c r="E180" s="29" t="inlineStr">
        <is>
          <t>https://www.marbella.es/actualidad/noticias/el-plazo-de-solicitudes-para-las-escuelas-infantiles-municipales-estara-abierto-hasta-el-31-de-marzo.html</t>
        </is>
      </c>
      <c r="F180" s="49" t="n">
        <v>46323</v>
      </c>
      <c r="G180" s="29" t="inlineStr">
        <is>
          <t>marbella:aile</t>
        </is>
      </c>
      <c r="H180" s="29" t="inlineStr">
        <is>
          <t>Belediye kreşi şartları: Marbella'da empadronado, resmi form, mart başvurusu</t>
        </is>
      </c>
      <c r="I180" s="29" t="inlineStr">
        <is>
          <t>Evet</t>
        </is>
      </c>
      <c r="J180" s="29" t="inlineStr">
        <is>
          <t>Lisans kanıtları/8325a5bc8be98b29ce2c6dea699869fafc17d42a72fa7c65a6ab59e70521e8a0.html</t>
        </is>
      </c>
      <c r="K180" s="29" t="inlineStr">
        <is>
          <t>8325a5bc8be98b29ce2c6dea699869fafc17d42a72fa7c65a6ab59e70521e8a0</t>
        </is>
      </c>
    </row>
    <row r="181" ht="54" customHeight="1">
      <c r="A181" s="29" t="inlineStr">
        <is>
          <t>marbella:kaynak:179</t>
        </is>
      </c>
      <c r="B181" s="29" t="inlineStr">
        <is>
          <t>marbella</t>
        </is>
      </c>
      <c r="C181" s="29" t="inlineStr">
        <is>
          <t>Oficina Registro Civil</t>
        </is>
      </c>
      <c r="D181" s="29" t="inlineStr">
        <is>
          <t>Ayuntamiento de Marbella</t>
        </is>
      </c>
      <c r="E181" s="29" t="inlineStr">
        <is>
          <t>https://extranjeros.marbella.es/informacion/direcciones-de-interes/oficina-registro-civil</t>
        </is>
      </c>
      <c r="F181" s="49" t="n">
        <v>46323</v>
      </c>
      <c r="G181" s="29" t="inlineStr">
        <is>
          <t>marbella:aile</t>
        </is>
      </c>
      <c r="H181" s="29" t="inlineStr">
        <is>
          <t>Doğan çocuğun kaydı: Marbella Registro Civil adresi ve telefonu</t>
        </is>
      </c>
      <c r="I181" s="29" t="inlineStr">
        <is>
          <t>Evet</t>
        </is>
      </c>
      <c r="J181" s="29" t="inlineStr">
        <is>
          <t>Lisans kanıtları/ca301e0d80f22b522fc91978bbbdaedc1893d93a69c28cf21f60ef399ec4b62e.html</t>
        </is>
      </c>
      <c r="K181" s="29" t="inlineStr">
        <is>
          <t>ca301e0d80f22b522fc91978bbbdaedc1893d93a69c28cf21f60ef399ec4b62e</t>
        </is>
      </c>
    </row>
    <row r="182" ht="54" customHeight="1">
      <c r="A182" s="29" t="inlineStr">
        <is>
          <t>marbella:kaynak:180</t>
        </is>
      </c>
      <c r="B182" s="29" t="inlineStr">
        <is>
          <t>marbella</t>
        </is>
      </c>
      <c r="C182" s="29" t="inlineStr">
        <is>
          <t>Ministerio de Justicia - Direcciones y teléfonos</t>
        </is>
      </c>
      <c r="D182" s="29" t="inlineStr">
        <is>
          <t>Ministerio de Justicia</t>
        </is>
      </c>
      <c r="E182" s="29" t="inlineStr">
        <is>
          <t>https://www.mjusticia.gob.es/BUSCADIR/ServletControlador?apartado=buscadorEnteEspecialidad&amp;ente=2906992700000&amp;partido=29069&amp;municipioDelDetalle=29076&amp;lang=es_es</t>
        </is>
      </c>
      <c r="F182" s="49" t="n">
        <v>46323</v>
      </c>
      <c r="G182" s="29" t="inlineStr">
        <is>
          <t>marbella:aile</t>
        </is>
      </c>
      <c r="H182" s="29" t="inlineStr">
        <is>
          <t>Doğum kaydı için resmî Registro Civil adresi</t>
        </is>
      </c>
      <c r="I182" s="29" t="inlineStr">
        <is>
          <t>Evet</t>
        </is>
      </c>
      <c r="J182" s="29" t="inlineStr">
        <is>
          <t>Lisans kanıtları/1010669965ad4a4faff0622cd75901d07817010816a0c3bcbcad759016461eff.html</t>
        </is>
      </c>
      <c r="K182" s="29" t="inlineStr">
        <is>
          <t>1010669965ad4a4faff0622cd75901d07817010816a0c3bcbcad759016461eff</t>
        </is>
      </c>
    </row>
    <row r="183" ht="54" customHeight="1">
      <c r="A183" s="29" t="inlineStr">
        <is>
          <t>marbella:kaynak:181</t>
        </is>
      </c>
      <c r="B183" s="29" t="inlineStr">
        <is>
          <t>marbella</t>
        </is>
      </c>
      <c r="C183" s="29" t="inlineStr">
        <is>
          <t>Empadronamiento</t>
        </is>
      </c>
      <c r="D183" s="29" t="inlineStr">
        <is>
          <t>Ayuntamiento de Marbella</t>
        </is>
      </c>
      <c r="E183" s="29" t="inlineStr">
        <is>
          <t>https://extranjeros.marbella.es/empadronamiento</t>
        </is>
      </c>
      <c r="F183" s="49" t="n">
        <v>46323</v>
      </c>
      <c r="G183" s="29" t="inlineStr">
        <is>
          <t>marbella:aile</t>
        </is>
      </c>
      <c r="H183" s="29" t="inlineStr">
        <is>
          <t>Çocuğun belediye kaydı (empadronamiento): belgeler ve randevu</t>
        </is>
      </c>
      <c r="I183" s="29" t="inlineStr">
        <is>
          <t>Evet</t>
        </is>
      </c>
      <c r="J183" s="29" t="inlineStr">
        <is>
          <t>Lisans kanıtları/a0deff50e3a225be06fee018dee5b268049b6432534458f588923ed4d2da7ef5.html</t>
        </is>
      </c>
      <c r="K183" s="29" t="inlineStr">
        <is>
          <t>a0deff50e3a225be06fee018dee5b268049b6432534458f588923ed4d2da7ef5</t>
        </is>
      </c>
    </row>
    <row r="184" ht="54" customHeight="1">
      <c r="A184" s="29" t="inlineStr">
        <is>
          <t>marbella:kaynak:182</t>
        </is>
      </c>
      <c r="B184" s="29" t="inlineStr">
        <is>
          <t>marbella</t>
        </is>
      </c>
      <c r="C184" s="29" t="inlineStr">
        <is>
          <t>Por nacimiento, adopción de hijos o acogimiento familiar de menores. - Junta de Andalucía</t>
        </is>
      </c>
      <c r="D184" s="29" t="inlineStr">
        <is>
          <t>Junta de Andalucía, Hacienda</t>
        </is>
      </c>
      <c r="E184" s="29" t="inlineStr">
        <is>
          <t>https://www.juntadeandalucia.es/organismos/economiahaciendayfondoseuropeos/areas/tributos-juego/tributos/paginas/hijosirpf.html</t>
        </is>
      </c>
      <c r="F184" s="49" t="n">
        <v>46323</v>
      </c>
      <c r="G184" s="29" t="inlineStr">
        <is>
          <t>marbella:aile</t>
        </is>
      </c>
      <c r="H184" s="29" t="inlineStr">
        <is>
          <t>Çocuk için Endülüs vergi indirimi (aile destekleri)</t>
        </is>
      </c>
      <c r="I184" s="29" t="inlineStr">
        <is>
          <t>Evet</t>
        </is>
      </c>
      <c r="J184" s="29" t="inlineStr">
        <is>
          <t>Lisans kanıtları/198fab8e2574b6143b67a813cfd0e3120fbbf563c1e66778465146581e7227ed.html</t>
        </is>
      </c>
      <c r="K184" s="29" t="inlineStr">
        <is>
          <t>198fab8e2574b6143b67a813cfd0e3120fbbf563c1e66778465146581e7227ed</t>
        </is>
      </c>
    </row>
    <row r="185" ht="54" customHeight="1">
      <c r="A185" s="29" t="inlineStr">
        <is>
          <t>marbella:kaynak:184</t>
        </is>
      </c>
      <c r="B185" s="29" t="inlineStr">
        <is>
          <t>marbella</t>
        </is>
      </c>
      <c r="C185" s="29" t="inlineStr">
        <is>
          <t>How to get here by bus | Málaga Airport | Aena</t>
        </is>
      </c>
      <c r="D185" s="29" t="inlineStr">
        <is>
          <t>Aena</t>
        </is>
      </c>
      <c r="E185" s="29" t="inlineStr">
        <is>
          <t>https://www.aena.es/en/malaga-costa-del-sol/getting-there/bus.html</t>
        </is>
      </c>
      <c r="F185" s="49" t="n">
        <v>46323</v>
      </c>
      <c r="G185" s="29" t="inlineStr">
        <is>
          <t>marbella:planlama</t>
        </is>
      </c>
      <c r="H185" s="29" t="inlineStr">
        <is>
          <t>Havalimanı-Marbella otobüsü (Avanzabús)</t>
        </is>
      </c>
      <c r="I185" s="29" t="inlineStr">
        <is>
          <t>Evet</t>
        </is>
      </c>
      <c r="J185" s="29" t="inlineStr">
        <is>
          <t>Lisans kanıtları/2ccc013f106b5349ebd4ac7d857f1f25e130702c363f2a5a9803baa78497649e.html</t>
        </is>
      </c>
      <c r="K185" s="29" t="inlineStr">
        <is>
          <t>2ccc013f106b5349ebd4ac7d857f1f25e130702c363f2a5a9803baa78497649e</t>
        </is>
      </c>
    </row>
    <row r="186" ht="54" customHeight="1">
      <c r="A186" s="29" t="inlineStr">
        <is>
          <t>marbella:kaynak:185</t>
        </is>
      </c>
      <c r="B186" s="29" t="inlineStr">
        <is>
          <t>marbella</t>
        </is>
      </c>
      <c r="C186" s="29" t="inlineStr">
        <is>
          <t>Transporte Interurbano</t>
        </is>
      </c>
      <c r="D186" s="29" t="inlineStr">
        <is>
          <t>Ayuntamiento de Marbella</t>
        </is>
      </c>
      <c r="E186" s="29" t="inlineStr">
        <is>
          <t>https://ayuntamiento.marbella.es/gestion-municipal/delegaciones/movilidad/transportes/autobus/535-transporte-interurbano.html</t>
        </is>
      </c>
      <c r="F186" s="49" t="n">
        <v>46323</v>
      </c>
      <c r="G186" s="29" t="inlineStr">
        <is>
          <t>marbella:planlama</t>
        </is>
      </c>
      <c r="H186" s="29" t="inlineStr">
        <is>
          <t>Marbella otogarı adresi; havalimanı ve Málaga otobüsleri</t>
        </is>
      </c>
      <c r="I186" s="29" t="inlineStr">
        <is>
          <t>Evet</t>
        </is>
      </c>
      <c r="J186" s="29" t="inlineStr">
        <is>
          <t>Lisans kanıtları/401d9dfe9bc4651a8ea8f5f8d3b97b71487bb183b7d57a83884309a25e18c462.html</t>
        </is>
      </c>
      <c r="K186" s="29" t="inlineStr">
        <is>
          <t>401d9dfe9bc4651a8ea8f5f8d3b97b71487bb183b7d57a83884309a25e18c462</t>
        </is>
      </c>
    </row>
    <row r="187" ht="54" customHeight="1">
      <c r="A187" s="29" t="inlineStr">
        <is>
          <t>marbella:kaynak:186</t>
        </is>
      </c>
      <c r="B187" s="29" t="inlineStr">
        <is>
          <t>marbella</t>
        </is>
      </c>
      <c r="C187" s="29" t="inlineStr">
        <is>
          <t>Cita previa para las Oficinas de Atención al Ciudadano</t>
        </is>
      </c>
      <c r="D187" s="29" t="inlineStr">
        <is>
          <t>Ayuntamiento de Marbella</t>
        </is>
      </c>
      <c r="E187" s="29" t="inlineStr">
        <is>
          <t>https://ayuntamiento.marbella.es/gobierno-abierto/oficina-de-atencion-al-ciudadano-oac/2591-cita-previa-para-las-oficinas-de-atencion-al-ciudadano-en-marbella-y-san-pedro-alcantara.html</t>
        </is>
      </c>
      <c r="F187" s="49" t="n">
        <v>46323</v>
      </c>
      <c r="G187" s="29" t="inlineStr">
        <is>
          <t>marbella:planlama</t>
        </is>
      </c>
      <c r="H187" s="29" t="inlineStr">
        <is>
          <t>İlk hafta: belediye ofisleri ve randevu</t>
        </is>
      </c>
      <c r="I187" s="29" t="inlineStr">
        <is>
          <t>Evet</t>
        </is>
      </c>
      <c r="J187" s="29" t="inlineStr">
        <is>
          <t>Lisans kanıtları/420983519b4b7c5e69b100a4b9bd89a5f5b023a01f0cd78e8dcf411cb222ccc4.html</t>
        </is>
      </c>
      <c r="K187" s="29" t="inlineStr">
        <is>
          <t>420983519b4b7c5e69b100a4b9bd89a5f5b023a01f0cd78e8dcf411cb222ccc4</t>
        </is>
      </c>
    </row>
    <row r="188" ht="54" customHeight="1">
      <c r="A188" s="29" t="inlineStr">
        <is>
          <t>marbella:kaynak:187</t>
        </is>
      </c>
      <c r="B188" s="29" t="inlineStr">
        <is>
          <t>marbella</t>
        </is>
      </c>
      <c r="C188" s="29" t="inlineStr">
        <is>
          <t>Contacto</t>
        </is>
      </c>
      <c r="D188" s="29" t="inlineStr">
        <is>
          <t>Ayuntamiento de Marbella</t>
        </is>
      </c>
      <c r="E188" s="29" t="inlineStr">
        <is>
          <t>https://extranjeros.marbella.es/contacto</t>
        </is>
      </c>
      <c r="F188" s="49" t="n">
        <v>46323</v>
      </c>
      <c r="G188" s="29" t="inlineStr">
        <is>
          <t>marbella:planlama</t>
        </is>
      </c>
      <c r="H188" s="29" t="inlineStr">
        <is>
          <t>Yeni gelen yabancılara ücretsiz belediye desteği</t>
        </is>
      </c>
      <c r="I188" s="29" t="inlineStr">
        <is>
          <t>Evet</t>
        </is>
      </c>
      <c r="J188" s="29" t="inlineStr">
        <is>
          <t>Lisans kanıtları/735cf3a9a92ca755b7f84c06e63ce8bf73e1ed234c84536df09082762e473bb9.html</t>
        </is>
      </c>
      <c r="K188" s="29" t="inlineStr">
        <is>
          <t>735cf3a9a92ca755b7f84c06e63ce8bf73e1ed234c84536df09082762e473bb9</t>
        </is>
      </c>
    </row>
    <row r="189" ht="54" customHeight="1">
      <c r="A189" s="29" t="inlineStr">
        <is>
          <t>marbella:kaynak:188</t>
        </is>
      </c>
      <c r="B189" s="29" t="inlineStr">
        <is>
          <t>marbella</t>
        </is>
      </c>
      <c r="C189" s="29" t="inlineStr">
        <is>
          <t>Carta de Servicios de la Delegación de Derechos Sociales</t>
        </is>
      </c>
      <c r="D189" s="29" t="inlineStr">
        <is>
          <t>Ayuntamiento de Marbella</t>
        </is>
      </c>
      <c r="E189" s="29" t="inlineStr">
        <is>
          <t>https://ayuntamiento.marbella.es/documentos/cartas-de-servicios-municipales/1062-carta-de-servicios-de-la-delegacion-de-derechos-sociales.html</t>
        </is>
      </c>
      <c r="F189" s="49" t="n">
        <v>46323</v>
      </c>
      <c r="G189" s="29" t="inlineStr">
        <is>
          <t>marbella:planlama</t>
        </is>
      </c>
      <c r="H189" s="29" t="inlineStr">
        <is>
          <t>Yeni gelenlere ücretsiz belediye sosyal destek merkezleri</t>
        </is>
      </c>
      <c r="I189" s="29" t="inlineStr">
        <is>
          <t>Evet</t>
        </is>
      </c>
      <c r="J189" s="29" t="inlineStr">
        <is>
          <t>Lisans kanıtları/6cae0494f66bc5f8b85c700531002e67d59267148d3c66e41fbf51791278e975.html</t>
        </is>
      </c>
      <c r="K189" s="29" t="inlineStr">
        <is>
          <t>6cae0494f66bc5f8b85c700531002e67d59267148d3c66e41fbf51791278e975</t>
        </is>
      </c>
    </row>
    <row r="190" ht="54" customHeight="1">
      <c r="A190" s="29" t="inlineStr">
        <is>
          <t>marbella:kaynak:189</t>
        </is>
      </c>
      <c r="B190" s="29" t="inlineStr">
        <is>
          <t>marbella</t>
        </is>
      </c>
      <c r="C190" s="29" t="inlineStr">
        <is>
          <t>Buscador de dependencias y oficinas. Versión accesible. Sede electrónica de la Policía Nacional España</t>
        </is>
      </c>
      <c r="D190" s="29" t="inlineStr">
        <is>
          <t>Policía Nacional - Sede Electrónica</t>
        </is>
      </c>
      <c r="E190" s="29" t="inlineStr">
        <is>
          <t>https://sede.policia.gob.es/portalCiudadano/_es/dependencias_localizador_accesible.php</t>
        </is>
      </c>
      <c r="F190" s="49" t="n">
        <v>46323</v>
      </c>
      <c r="G190" s="29" t="inlineStr">
        <is>
          <t>marbella:planlama</t>
        </is>
      </c>
      <c r="H190" s="29" t="inlineStr">
        <is>
          <t>İlk hafta: NIE/TIE için Marbella komiserliği</t>
        </is>
      </c>
      <c r="I190" s="29" t="inlineStr">
        <is>
          <t>Evet</t>
        </is>
      </c>
      <c r="J190" s="29" t="inlineStr">
        <is>
          <t>Lisans kanıtları/6cd661f0fa1db3849fb582fa6476214ccc2a5a42483b0059e39371f3304aae2e.html</t>
        </is>
      </c>
      <c r="K190" s="29" t="inlineStr">
        <is>
          <t>6cd661f0fa1db3849fb582fa6476214ccc2a5a42483b0059e39371f3304aae2e</t>
        </is>
      </c>
    </row>
    <row r="191" ht="54" customHeight="1">
      <c r="A191" s="29" t="inlineStr">
        <is>
          <t>marbella:kaynak:190</t>
        </is>
      </c>
      <c r="B191" s="29" t="inlineStr">
        <is>
          <t>marbella</t>
        </is>
      </c>
      <c r="C191" s="29" t="inlineStr">
        <is>
          <t>Viviendas de uso turístico - Junta de Andalucía</t>
        </is>
      </c>
      <c r="D191" s="29" t="inlineStr">
        <is>
          <t>Junta de Andalucía - Turismo</t>
        </is>
      </c>
      <c r="E191" s="29" t="inlineStr">
        <is>
          <t>https://www.juntadeandalucia.es/organismos/turismoyandaluciaexterior/areas/registro-turismo/establecimientos-servicios/paginas/viviendas-turisticas.html</t>
        </is>
      </c>
      <c r="F191" s="49" t="n">
        <v>46323</v>
      </c>
      <c r="G191" s="29" t="inlineStr">
        <is>
          <t>marbella:planlama</t>
        </is>
      </c>
      <c r="H191" s="29" t="inlineStr">
        <is>
          <t>Geçici konaklama: turistik konut kaydı ve resmî danışma hattı</t>
        </is>
      </c>
      <c r="I191" s="29" t="inlineStr">
        <is>
          <t>Evet</t>
        </is>
      </c>
      <c r="J191" s="29" t="inlineStr">
        <is>
          <t>Lisans kanıtları/a862c2d4f04f60e6f47e8ef6db3871eb358b59eff20a9db7bd65fbed101065f2.html</t>
        </is>
      </c>
      <c r="K191" s="29" t="inlineStr">
        <is>
          <t>a862c2d4f04f60e6f47e8ef6db3871eb358b59eff20a9db7bd65fbed101065f2</t>
        </is>
      </c>
    </row>
    <row r="192" ht="54" customHeight="1">
      <c r="A192" s="29" t="inlineStr">
        <is>
          <t>marbella:kaynak:191</t>
        </is>
      </c>
      <c r="B192" s="29" t="inlineStr">
        <is>
          <t>marbella</t>
        </is>
      </c>
      <c r="C192" s="29" t="inlineStr">
        <is>
          <t>Viviendas de uso turístico. Preguntas frecuentes - Junta de Andalucía</t>
        </is>
      </c>
      <c r="D192" s="29" t="inlineStr">
        <is>
          <t>Junta de Andalucía - Turismo</t>
        </is>
      </c>
      <c r="E192" s="29" t="inlineStr">
        <is>
          <t>https://www.juntadeandalucia.es/organismos/turismoyandaluciaexterior/areas/registro-turismo/establecimientos-servicios/paginas/faq-viviendas-turismo.html</t>
        </is>
      </c>
      <c r="F192" s="49" t="n">
        <v>46323</v>
      </c>
      <c r="G192" s="29" t="inlineStr">
        <is>
          <t>marbella:planlama</t>
        </is>
      </c>
      <c r="H192" s="29" t="inlineStr">
        <is>
          <t>Geçici konaklama ararken ilanın yasal kayıt şartları</t>
        </is>
      </c>
      <c r="I192" s="29" t="inlineStr">
        <is>
          <t>Evet</t>
        </is>
      </c>
      <c r="J192" s="29" t="inlineStr">
        <is>
          <t>Lisans kanıtları/5788d9a102d24bde5345bd6051d6db364496d504bdc3acee69f33596b016b57b.html</t>
        </is>
      </c>
      <c r="K192" s="29" t="inlineStr">
        <is>
          <t>5788d9a102d24bde5345bd6051d6db364496d504bdc3acee69f33596b016b57b</t>
        </is>
      </c>
    </row>
    <row r="193" ht="54" customHeight="1">
      <c r="A193" s="29" t="inlineStr">
        <is>
          <t>marbella:kaynak:192</t>
        </is>
      </c>
      <c r="B193" s="29" t="inlineStr">
        <is>
          <t>marbella</t>
        </is>
      </c>
      <c r="C193" s="29" t="inlineStr">
        <is>
          <t>La Junta recomienda extremar la protección ante la ola de calor de estos días - Portavoz del Gobierno Andaluz</t>
        </is>
      </c>
      <c r="D193" s="29" t="inlineStr">
        <is>
          <t>Junta de Andalucía - Portavoz</t>
        </is>
      </c>
      <c r="E193" s="29" t="inlineStr">
        <is>
          <t>https://www.juntadeandalucia.es/presidencia/portavoz/salud/216923/junta/recomienda/extremar/proteccion/ola/calor/dias</t>
        </is>
      </c>
      <c r="F193" s="49" t="n">
        <v>46323</v>
      </c>
      <c r="G193" s="29" t="inlineStr">
        <is>
          <t>marbella:planlama</t>
        </is>
      </c>
      <c r="H193" s="29" t="inlineStr">
        <is>
          <t>Yaz sıcağı: Endülüs sıcak protokolü ve öneriler</t>
        </is>
      </c>
      <c r="I193" s="29" t="inlineStr">
        <is>
          <t>Evet</t>
        </is>
      </c>
      <c r="J193" s="29" t="inlineStr">
        <is>
          <t>Lisans kanıtları/64cc9fdb393cec8746cf16fb1d7d6be83c37248463439c5b0bab13617a8ba64c.html</t>
        </is>
      </c>
      <c r="K193" s="29" t="inlineStr">
        <is>
          <t>64cc9fdb393cec8746cf16fb1d7d6be83c37248463439c5b0bab13617a8ba64c</t>
        </is>
      </c>
    </row>
    <row r="194" ht="54" customHeight="1">
      <c r="A194" s="29" t="inlineStr">
        <is>
          <t>marbella:kaynak:193</t>
        </is>
      </c>
      <c r="B194" s="29" t="inlineStr">
        <is>
          <t>marbella</t>
        </is>
      </c>
      <c r="C194" s="29" t="inlineStr">
        <is>
          <t>Ministerio de Sanidad - Áreas - Sanidad ambiental - Riesgos Ambientales - Calor Extremo</t>
        </is>
      </c>
      <c r="D194" s="29" t="inlineStr">
        <is>
          <t>Ministerio de Sanidad</t>
        </is>
      </c>
      <c r="E194" s="29" t="inlineStr">
        <is>
          <t>https://www.sanidad.gob.es/areas/sanidadAmbiental/riesgosAmbientales/calorExtremo/home.htm</t>
        </is>
      </c>
      <c r="F194" s="49" t="n">
        <v>46323</v>
      </c>
      <c r="G194" s="29" t="inlineStr">
        <is>
          <t>marbella:planlama</t>
        </is>
      </c>
      <c r="H194" s="29" t="inlineStr">
        <is>
          <t>Yaz sıcağı planı dönemi ve sağlık önlemleri</t>
        </is>
      </c>
      <c r="I194" s="29" t="inlineStr">
        <is>
          <t>Evet</t>
        </is>
      </c>
      <c r="J194" s="29" t="inlineStr">
        <is>
          <t>Lisans kanıtları/37c4c89dd962e7209eb506cb4c034778cb163558d6288ed020d29d6f4800581e.html</t>
        </is>
      </c>
      <c r="K194" s="29" t="inlineStr">
        <is>
          <t>37c4c89dd962e7209eb506cb4c034778cb163558d6288ed020d29d6f4800581e</t>
        </is>
      </c>
    </row>
    <row r="195" ht="54" customHeight="1">
      <c r="A195" s="29" t="inlineStr">
        <is>
          <t>marbella:kaynak:194</t>
        </is>
      </c>
      <c r="B195" s="29" t="inlineStr">
        <is>
          <t>marbella</t>
        </is>
      </c>
      <c r="C195" s="29" t="inlineStr">
        <is>
          <t>Oficina de Atención al Ciudadano: Marbella</t>
        </is>
      </c>
      <c r="D195" s="29" t="inlineStr">
        <is>
          <t>Ayuntamiento de Marbella</t>
        </is>
      </c>
      <c r="E195" s="29" t="inlineStr">
        <is>
          <t>https://www.marbella.es/ayto/localizaciones-municipales/directorio-municipal/servicios/oficina-de-atencion-al-ciudadano-marbella.html</t>
        </is>
      </c>
      <c r="F195" s="49" t="n">
        <v>46323</v>
      </c>
      <c r="G195" s="29" t="inlineStr">
        <is>
          <t>marbella:planlama</t>
        </is>
      </c>
      <c r="H195" s="29" t="inlineStr">
        <is>
          <t>İlk hafta: belediye ofisi (padrón) zorunlu randevu</t>
        </is>
      </c>
      <c r="I195" s="29" t="inlineStr">
        <is>
          <t>Evet</t>
        </is>
      </c>
      <c r="J195" s="29" t="inlineStr">
        <is>
          <t>Lisans kanıtları/19f113bc5cb1f90624e262094286a18cee06953ba6adbd45e0e50bcb42be8c32.html</t>
        </is>
      </c>
      <c r="K195" s="29" t="inlineStr">
        <is>
          <t>19f113bc5cb1f90624e262094286a18cee06953ba6adbd45e0e50bcb42be8c32</t>
        </is>
      </c>
    </row>
    <row r="196" ht="54" customHeight="1">
      <c r="A196" s="29" t="inlineStr">
        <is>
          <t>marbella:kaynak:197</t>
        </is>
      </c>
      <c r="B196" s="29" t="inlineStr">
        <is>
          <t>marbella</t>
        </is>
      </c>
      <c r="C196" s="29" t="inlineStr">
        <is>
          <t>Extranjería - Tarjeta inicial o renovación residencia o residencia y trabajo - Sede Electrónica de la Policía Nacional</t>
        </is>
      </c>
      <c r="D196" s="29" t="inlineStr">
        <is>
          <t>Policía Nacional - Sede Electrónica</t>
        </is>
      </c>
      <c r="E196" s="29" t="inlineStr">
        <is>
          <t>https://sede.policia.gob.es/portalCiudadano/_es/tramites_extranjeria_tramite_tarjeta_residencia_residenciaytrabajo.php</t>
        </is>
      </c>
      <c r="F196" s="49" t="n">
        <v>46323</v>
      </c>
      <c r="G196" s="29" t="inlineStr">
        <is>
          <t>marbella:oturum</t>
        </is>
      </c>
      <c r="H196" s="29" t="inlineStr">
        <is>
          <t>TIE başvurusu: EX17 formu, harç 790-012, hangi ofis</t>
        </is>
      </c>
      <c r="I196" s="29" t="inlineStr">
        <is>
          <t>Evet</t>
        </is>
      </c>
      <c r="J196" s="29" t="inlineStr">
        <is>
          <t>Lisans kanıtları/c12ef5b915cc4a8862a55d479eb4089f2c382c29d129f196ea30f3e114b47ce6.html</t>
        </is>
      </c>
      <c r="K196" s="29" t="inlineStr">
        <is>
          <t>c12ef5b915cc4a8862a55d479eb4089f2c382c29d129f196ea30f3e114b47ce6</t>
        </is>
      </c>
    </row>
    <row r="197" ht="54" customHeight="1">
      <c r="A197" s="29" t="inlineStr">
        <is>
          <t>marbella:kaynak:198</t>
        </is>
      </c>
      <c r="B197" s="29" t="inlineStr">
        <is>
          <t>marbella</t>
        </is>
      </c>
      <c r="C197" s="29" t="inlineStr">
        <is>
          <t>T.C. Dışişleri Bakanlığı - Embajada De La República De Türkiye En Madrid - Datos de contacto</t>
        </is>
      </c>
      <c r="D197" s="29" t="inlineStr">
        <is>
          <t>T.C. Dışişleri Bakanlığı (Madrid Büyükelçiliği)</t>
        </is>
      </c>
      <c r="E197" s="29" t="inlineStr">
        <is>
          <t>https://madrid-emb.mfa.gov.tr/Mission/Contact</t>
        </is>
      </c>
      <c r="F197" s="49" t="n">
        <v>46323</v>
      </c>
      <c r="G197" s="29" t="inlineStr">
        <is>
          <t>marbella:oturum</t>
        </is>
      </c>
      <c r="H197" s="29" t="inlineStr">
        <is>
          <t>Türkiye'nin en yakın temsilciliği: Málaga Fahri Başkonsolosluğu ve Madrid Büyükelçiliği iletişimi</t>
        </is>
      </c>
      <c r="I197" s="29" t="inlineStr">
        <is>
          <t>Evet</t>
        </is>
      </c>
      <c r="J197" s="29" t="inlineStr">
        <is>
          <t>Lisans kanıtları/187320611cea0f433af58a873f2f8b8b22a3e6a74cedf61ae17073c9494e63ec.html</t>
        </is>
      </c>
      <c r="K197" s="29" t="inlineStr">
        <is>
          <t>187320611cea0f433af58a873f2f8b8b22a3e6a74cedf61ae17073c9494e63ec</t>
        </is>
      </c>
    </row>
    <row r="198" ht="54" customHeight="1">
      <c r="A198" s="29" t="inlineStr">
        <is>
          <t>marbella:kaynak:199</t>
        </is>
      </c>
      <c r="B198" s="29" t="inlineStr">
        <is>
          <t>marbella</t>
        </is>
      </c>
      <c r="C198" s="29" t="inlineStr">
        <is>
          <t>T.C. Dışişleri Bakanlığı - Madrid Büyükelçiliği - İletişim Bilgileri</t>
        </is>
      </c>
      <c r="D198" s="29" t="inlineStr">
        <is>
          <t>T.C. Dışişleri Bakanlığı</t>
        </is>
      </c>
      <c r="E198" s="29" t="inlineStr">
        <is>
          <t>https://madrid-be.mfa.gov.tr/Mission/Contact</t>
        </is>
      </c>
      <c r="F198" s="49" t="n">
        <v>46323</v>
      </c>
      <c r="G198" s="29" t="inlineStr">
        <is>
          <t>marbella:oturum</t>
        </is>
      </c>
      <c r="H198" s="29" t="inlineStr">
        <is>
          <t>Büyükelçilik adresi, telefon, acil durum hattı</t>
        </is>
      </c>
      <c r="I198" s="29" t="inlineStr">
        <is>
          <t>Evet</t>
        </is>
      </c>
      <c r="J198" s="29" t="inlineStr">
        <is>
          <t>Lisans kanıtları/c95ded28f9f9c1a02434762d9bb1ea9bdcc4fbb2b8f6ec4da649238625bb30bf.html</t>
        </is>
      </c>
      <c r="K198" s="29" t="inlineStr">
        <is>
          <t>c95ded28f9f9c1a02434762d9bb1ea9bdcc4fbb2b8f6ec4da649238625bb30bf</t>
        </is>
      </c>
    </row>
    <row r="199" ht="54" customHeight="1">
      <c r="A199" s="29" t="inlineStr">
        <is>
          <t>marbella:kaynak:200</t>
        </is>
      </c>
      <c r="B199" s="29" t="inlineStr">
        <is>
          <t>marbella</t>
        </is>
      </c>
      <c r="C199" s="29" t="inlineStr">
        <is>
          <t>Centro Social Comunitario: Marbella</t>
        </is>
      </c>
      <c r="D199" s="29" t="inlineStr">
        <is>
          <t>Ayuntamiento de Marbella</t>
        </is>
      </c>
      <c r="E199" s="29" t="inlineStr">
        <is>
          <t>https://www.marbella.es/web/derechos-sociales/instalaciones-ds/centro-social-comunitario-marbella.html</t>
        </is>
      </c>
      <c r="F199" s="49" t="n">
        <v>46323</v>
      </c>
      <c r="G199" s="29" t="inlineStr">
        <is>
          <t>marbella:oturum</t>
        </is>
      </c>
      <c r="H199" s="29" t="inlineStr">
        <is>
          <t>Sosyal hizmet merkezi adresi ve telefonu</t>
        </is>
      </c>
      <c r="I199" s="29" t="inlineStr">
        <is>
          <t>Evet</t>
        </is>
      </c>
      <c r="J199" s="29" t="inlineStr">
        <is>
          <t>Lisans kanıtları/8e8bef89844eb485af604fe6f24850bad73e3d117b8ddbeaf61b839452d0909c.html</t>
        </is>
      </c>
      <c r="K199" s="29" t="inlineStr">
        <is>
          <t>8e8bef89844eb485af604fe6f24850bad73e3d117b8ddbeaf61b839452d0909c</t>
        </is>
      </c>
    </row>
    <row r="200" ht="54" customHeight="1">
      <c r="A200" s="29" t="inlineStr">
        <is>
          <t>marbella:kaynak:201</t>
        </is>
      </c>
      <c r="B200" s="29" t="inlineStr">
        <is>
          <t>marbella</t>
        </is>
      </c>
      <c r="C200" s="29" t="inlineStr">
        <is>
          <t>Cómo se puede solicitar la asistencia jurídica gratuita - Junta de Andalucía</t>
        </is>
      </c>
      <c r="D200" s="29" t="inlineStr">
        <is>
          <t>Junta de Andalucía</t>
        </is>
      </c>
      <c r="E200" s="29" t="inlineStr">
        <is>
          <t>https://www.juntadeandalucia.es/organismos/justiciaadministracionlocalyfuncionpublica/areas/justicia/gratuita/tramitacion-justicia-gratuita.html</t>
        </is>
      </c>
      <c r="F200" s="49" t="n">
        <v>46323</v>
      </c>
      <c r="G200" s="29" t="inlineStr">
        <is>
          <t>marbella:oturum</t>
        </is>
      </c>
      <c r="H200" s="29" t="inlineStr">
        <is>
          <t>Ücretsiz hukuki yönlendirme (SOJ) nasıl işler</t>
        </is>
      </c>
      <c r="I200" s="29" t="inlineStr">
        <is>
          <t>Evet</t>
        </is>
      </c>
      <c r="J200" s="29" t="inlineStr">
        <is>
          <t>Lisans kanıtları/a60d14b0cfca7261cad41611133c5ccd0119261f6a9bda826f81e86f58b0ffdc.html</t>
        </is>
      </c>
      <c r="K200" s="29" t="inlineStr">
        <is>
          <t>a60d14b0cfca7261cad41611133c5ccd0119261f6a9bda826f81e86f58b0ffdc</t>
        </is>
      </c>
    </row>
    <row r="201" ht="54" customHeight="1">
      <c r="A201" s="29" t="inlineStr">
        <is>
          <t>marbella:kaynak:202</t>
        </is>
      </c>
      <c r="B201" s="29" t="inlineStr">
        <is>
          <t>marbella</t>
        </is>
      </c>
      <c r="C201" s="29" t="inlineStr">
        <is>
          <t>Quién tiene derecho a la asistencia jurídica gratuita - Junta de Andalucía</t>
        </is>
      </c>
      <c r="D201" s="29" t="inlineStr">
        <is>
          <t>Junta de Andalucía</t>
        </is>
      </c>
      <c r="E201" s="29" t="inlineStr">
        <is>
          <t>https://www.juntadeandalucia.es/organismos/justiciaadministracionlocalyfuncionpublica/areas/justicia/gratuita/derecho-justicia-gratuita.html</t>
        </is>
      </c>
      <c r="F201" s="49" t="n">
        <v>46323</v>
      </c>
      <c r="G201" s="29" t="inlineStr">
        <is>
          <t>marbella:oturum</t>
        </is>
      </c>
      <c r="H201" s="29" t="inlineStr">
        <is>
          <t>Yabancıların ücretsiz hukuki yardım hakkı</t>
        </is>
      </c>
      <c r="I201" s="29" t="inlineStr">
        <is>
          <t>Evet</t>
        </is>
      </c>
      <c r="J201" s="29" t="inlineStr">
        <is>
          <t>Lisans kanıtları/cc8bcc6c084bd84c672e12f9ac7b168fd746af2b97793c5a884dc29aa8ba17d3.html</t>
        </is>
      </c>
      <c r="K201" s="29" t="inlineStr">
        <is>
          <t>cc8bcc6c084bd84c672e12f9ac7b168fd746af2b97793c5a884dc29aa8ba17d3</t>
        </is>
      </c>
    </row>
    <row r="202" ht="54" customHeight="1">
      <c r="A202" s="29" t="inlineStr">
        <is>
          <t>marbella:kaynak:203</t>
        </is>
      </c>
      <c r="B202" s="29" t="inlineStr">
        <is>
          <t>marbella</t>
        </is>
      </c>
      <c r="C202" s="29" t="inlineStr">
        <is>
          <t>Extranjería</t>
        </is>
      </c>
      <c r="D202" s="29" t="inlineStr">
        <is>
          <t>Ayuntamiento de Marbella</t>
        </is>
      </c>
      <c r="E202" s="29" t="inlineStr">
        <is>
          <t>https://extranjeros.marbella.es/informacion/extranjeria</t>
        </is>
      </c>
      <c r="F202" s="49" t="n">
        <v>46323</v>
      </c>
      <c r="G202" s="29" t="inlineStr">
        <is>
          <t>marbella:oturum</t>
        </is>
      </c>
      <c r="H202" s="29" t="inlineStr">
        <is>
          <t>NIE/TIE randevu yolu: Sede Electrónica'da iki seçenek, belediye desteği</t>
        </is>
      </c>
      <c r="I202" s="29" t="inlineStr">
        <is>
          <t>Evet</t>
        </is>
      </c>
      <c r="J202" s="29" t="inlineStr">
        <is>
          <t>Lisans kanıtları/f3cea12caddc3a7c4c2323f6d64a497658a66f57659272d98d2e3684b2ccfe21.html</t>
        </is>
      </c>
      <c r="K202" s="29" t="inlineStr">
        <is>
          <t>f3cea12caddc3a7c4c2323f6d64a497658a66f57659272d98d2e3684b2ccfe21</t>
        </is>
      </c>
    </row>
    <row r="203" ht="54" customHeight="1">
      <c r="A203" s="29" t="inlineStr">
        <is>
          <t>marbella:kaynak:205</t>
        </is>
      </c>
      <c r="B203" s="29" t="inlineStr">
        <is>
          <t>marbella</t>
        </is>
      </c>
      <c r="C203" s="29" t="inlineStr">
        <is>
          <t>Registro</t>
        </is>
      </c>
      <c r="D203" s="29" t="inlineStr">
        <is>
          <t>Ayuntamiento de Marbella</t>
        </is>
      </c>
      <c r="E203" s="29" t="inlineStr">
        <is>
          <t>https://register.marbella.es/informacion/tramites/registro</t>
        </is>
      </c>
      <c r="F203" s="49" t="n">
        <v>46323</v>
      </c>
      <c r="G203" s="29" t="inlineStr">
        <is>
          <t>marbella:resmi</t>
        </is>
      </c>
      <c r="H203" s="29" t="inlineStr">
        <is>
          <t>FNMT dijital sertifika alma ve OAC'de kimlik doğrulama</t>
        </is>
      </c>
      <c r="I203" s="29" t="inlineStr">
        <is>
          <t>Evet</t>
        </is>
      </c>
      <c r="J203" s="29" t="inlineStr">
        <is>
          <t>Lisans kanıtları/6c085c37371bcf55797994c52ea4175a4edac0ac0a2b28880e8216247cfa4208.html</t>
        </is>
      </c>
      <c r="K203" s="29" t="inlineStr">
        <is>
          <t>6c085c37371bcf55797994c52ea4175a4edac0ac0a2b28880e8216247cfa4208</t>
        </is>
      </c>
    </row>
    <row r="204" ht="54" customHeight="1">
      <c r="A204" s="29" t="inlineStr">
        <is>
          <t>marbella:kaynak:212</t>
        </is>
      </c>
      <c r="B204" s="29" t="inlineStr">
        <is>
          <t>marbella</t>
        </is>
      </c>
      <c r="C204" s="29" t="inlineStr">
        <is>
          <t>Directorios Judiciales</t>
        </is>
      </c>
      <c r="D204" s="29" t="inlineStr">
        <is>
          <t>Junta de Andalucía</t>
        </is>
      </c>
      <c r="E204" s="29" t="inlineStr">
        <is>
          <t>https://www.juntadeandalucia.es/justicia/portal/adriano/buscarpartidosjudiciales?codigoProvincia=7&amp;ckeckTipos=,189,190</t>
        </is>
      </c>
      <c r="F204" s="49" t="n">
        <v>46323</v>
      </c>
      <c r="G204" s="29" t="inlineStr">
        <is>
          <t>marbella:resmi</t>
        </is>
      </c>
      <c r="H204" s="29" t="inlineStr">
        <is>
          <t>Registro Civil Marbella adresi</t>
        </is>
      </c>
      <c r="I204" s="29" t="inlineStr">
        <is>
          <t>Evet</t>
        </is>
      </c>
      <c r="J204" s="29" t="inlineStr">
        <is>
          <t>Lisans kanıtları/924182b19cfc205b1c46ed2162e431f6c1098f80ae16a3c203a23e63a6022fbe.html</t>
        </is>
      </c>
      <c r="K204" s="29" t="inlineStr">
        <is>
          <t>924182b19cfc205b1c46ed2162e431f6c1098f80ae16a3c203a23e63a6022fbe</t>
        </is>
      </c>
    </row>
    <row r="205" ht="54" customHeight="1">
      <c r="A205" s="29" t="inlineStr">
        <is>
          <t>marbella:kaynak:215</t>
        </is>
      </c>
      <c r="B205" s="29" t="inlineStr">
        <is>
          <t>marbella</t>
        </is>
      </c>
      <c r="C205" s="29" t="inlineStr">
        <is>
          <t>Requisitos</t>
        </is>
      </c>
      <c r="D205" s="29" t="inlineStr">
        <is>
          <t>Ayuntamiento de Marbella - Vivienda y Suelo</t>
        </is>
      </c>
      <c r="E205" s="29" t="inlineStr">
        <is>
          <t>https://vivienda.marbella.es/registro-de-demandantes/requisitos.html</t>
        </is>
      </c>
      <c r="F205" s="49" t="n">
        <v>46323</v>
      </c>
      <c r="G205" s="29" t="inlineStr">
        <is>
          <t>marbella:ev</t>
        </is>
      </c>
      <c r="H205" s="29" t="inlineStr">
        <is>
          <t>ev/ilk5-4: Marbella'da düşük gelirliler için korumalı konut şartları ve kura</t>
        </is>
      </c>
      <c r="I205" s="29" t="inlineStr">
        <is>
          <t>Evet</t>
        </is>
      </c>
      <c r="J205" s="29" t="inlineStr">
        <is>
          <t>Lisans kanıtları/ab85bb64227c405d6fcff06965800913cc053e4f74a1325fcb99dacecc171fbb.html</t>
        </is>
      </c>
      <c r="K205" s="29" t="inlineStr">
        <is>
          <t>ab85bb64227c405d6fcff06965800913cc053e4f74a1325fcb99dacecc171fbb</t>
        </is>
      </c>
    </row>
    <row r="206" ht="54" customHeight="1">
      <c r="A206" s="29" t="inlineStr">
        <is>
          <t>marbella:kaynak:216</t>
        </is>
      </c>
      <c r="B206" s="29" t="inlineStr">
        <is>
          <t>marbella</t>
        </is>
      </c>
      <c r="C206" s="29" t="inlineStr">
        <is>
          <t>¿Cómo se realiza el trámite y dónde?</t>
        </is>
      </c>
      <c r="D206" s="29" t="inlineStr">
        <is>
          <t>Ayuntamiento de Marbella - Vivienda y Suelo</t>
        </is>
      </c>
      <c r="E206" s="29" t="inlineStr">
        <is>
          <t>https://vivienda.marbella.es/registro-de-demandantes/como-se-realiza-el-tramite-y-donde.html</t>
        </is>
      </c>
      <c r="F206" s="49" t="n">
        <v>46323</v>
      </c>
      <c r="G206" s="29" t="inlineStr">
        <is>
          <t>marbella:ev</t>
        </is>
      </c>
      <c r="H206" s="29" t="inlineStr">
        <is>
          <t>ev/ilk5-4: talep sicili başvuru yolu ve belgeler</t>
        </is>
      </c>
      <c r="I206" s="29" t="inlineStr">
        <is>
          <t>Evet</t>
        </is>
      </c>
      <c r="J206" s="29" t="inlineStr">
        <is>
          <t>Lisans kanıtları/31636484349710f47a2d6a3ba14f747d1bc50fb8ca854a70f9b098c020ec6f9a.html</t>
        </is>
      </c>
      <c r="K206" s="29" t="inlineStr">
        <is>
          <t>31636484349710f47a2d6a3ba14f747d1bc50fb8ca854a70f9b098c020ec6f9a</t>
        </is>
      </c>
    </row>
    <row r="207" ht="54" customHeight="1">
      <c r="A207" s="29" t="inlineStr">
        <is>
          <t>marbella:kaynak:218</t>
        </is>
      </c>
      <c r="B207" s="29" t="inlineStr">
        <is>
          <t>marbella</t>
        </is>
      </c>
      <c r="C207" s="29" t="inlineStr">
        <is>
          <t>Los interesados en optar a una de las 84 viviendas protegidas promovidas por el Ayuntamiento en San Pedro Alcántara deberán inscribirse en el registro municipal de demandantes ante</t>
        </is>
      </c>
      <c r="D207" s="29" t="inlineStr">
        <is>
          <t>Ayuntamiento de Marbella</t>
        </is>
      </c>
      <c r="E207" s="29" t="inlineStr">
        <is>
          <t>https://www.marbella.es/actualidad/noticias/los-interesados-en-optar-a-una-de-las-84-viviendas-protegidas-promovidas-por-el-ayuntamiento-en-san-pedro-alcantara-deberan-inscribirse-en-el-registro-municipal-antes-del-1-de-octubre.html</t>
        </is>
      </c>
      <c r="F207" s="49" t="n">
        <v>46323</v>
      </c>
      <c r="G207" s="29" t="inlineStr">
        <is>
          <t>marbella:ev</t>
        </is>
      </c>
      <c r="H207" s="29" t="inlineStr">
        <is>
          <t>ev/ilk5-4: Marbella'da korumalı konut şartları (empadronamiento, mülk yok)</t>
        </is>
      </c>
      <c r="I207" s="29" t="inlineStr">
        <is>
          <t>Evet</t>
        </is>
      </c>
      <c r="J207" s="29" t="inlineStr">
        <is>
          <t>Lisans kanıtları/ba2e6e4b6d7512c53e1efd274ca6fceca1d16ecff005be35ba1cd3704e344e2b.html</t>
        </is>
      </c>
      <c r="K207" s="29" t="inlineStr">
        <is>
          <t>ba2e6e4b6d7512c53e1efd274ca6fceca1d16ecff005be35ba1cd3704e344e2b</t>
        </is>
      </c>
    </row>
    <row r="208" ht="54" customHeight="1">
      <c r="A208" s="29" t="inlineStr">
        <is>
          <t>marbella:kaynak:219</t>
        </is>
      </c>
      <c r="B208" s="29" t="inlineStr">
        <is>
          <t>marbella</t>
        </is>
      </c>
      <c r="C208" s="29" t="inlineStr">
        <is>
          <t>El Ayuntamiento y la Junta entregan las llaves de las primeras viviendas de alquiler para jóvenes de Marbella</t>
        </is>
      </c>
      <c r="D208" s="29" t="inlineStr">
        <is>
          <t>Ayuntamiento de Marbella</t>
        </is>
      </c>
      <c r="E208" s="29" t="inlineStr">
        <is>
          <t>https://www.marbella.es/actualidad/noticias/el-ayuntamiento-y-la-junta-entregan-las-llaves-de-las-primeras-viviendas-de-alquiler-para-jovenes-de-marbella.html</t>
        </is>
      </c>
      <c r="F208" s="49" t="n">
        <v>46323</v>
      </c>
      <c r="G208" s="29" t="inlineStr">
        <is>
          <t>marbella:ev</t>
        </is>
      </c>
      <c r="H208" s="29" t="inlineStr">
        <is>
          <t>ev/ilk5-1,4: gençlere belediye kiralık konutları, kira düzeyi</t>
        </is>
      </c>
      <c r="I208" s="29" t="inlineStr">
        <is>
          <t>Evet</t>
        </is>
      </c>
      <c r="J208" s="29" t="inlineStr">
        <is>
          <t>Lisans kanıtları/a1648001779545cc7499f2d274383b2628021e870a0f4ae1ba2f853e9e9eae49.html</t>
        </is>
      </c>
      <c r="K208" s="29" t="inlineStr">
        <is>
          <t>a1648001779545cc7499f2d274383b2628021e870a0f4ae1ba2f853e9e9eae49</t>
        </is>
      </c>
    </row>
    <row r="209" ht="54" customHeight="1">
      <c r="A209" s="29" t="inlineStr">
        <is>
          <t>marbella:kaynak:220</t>
        </is>
      </c>
      <c r="B209" s="29" t="inlineStr">
        <is>
          <t>marbella</t>
        </is>
      </c>
      <c r="C209" s="29" t="inlineStr">
        <is>
          <t>Bono Alquiler Joven</t>
        </is>
      </c>
      <c r="D209" s="29" t="inlineStr">
        <is>
          <t>Ayuntamiento de Marbella - Juventud</t>
        </is>
      </c>
      <c r="E209" s="29" t="inlineStr">
        <is>
          <t>https://www.marbella.es/web/juventud/recursos-juveniles/vivienda/bono-alquiler-joven.html</t>
        </is>
      </c>
      <c r="F209" s="49" t="n">
        <v>46323</v>
      </c>
      <c r="G209" s="29" t="inlineStr">
        <is>
          <t>marbella:ev</t>
        </is>
      </c>
      <c r="H209" s="29" t="inlineStr">
        <is>
          <t>ev/ilk5-4: gençlere kira yardımı, başvuru yolu</t>
        </is>
      </c>
      <c r="I209" s="29" t="inlineStr">
        <is>
          <t>Evet</t>
        </is>
      </c>
      <c r="J209" s="29" t="inlineStr">
        <is>
          <t>Lisans kanıtları/075cd7374ca2e82b019db67b572292b58564fcdb5420b11b950fd24e4300dfde.html</t>
        </is>
      </c>
      <c r="K209" s="29" t="inlineStr">
        <is>
          <t>075cd7374ca2e82b019db67b572292b58564fcdb5420b11b950fd24e4300dfde</t>
        </is>
      </c>
    </row>
    <row r="210" ht="54" customHeight="1">
      <c r="A210" s="29" t="inlineStr">
        <is>
          <t>marbella:kaynak:221</t>
        </is>
      </c>
      <c r="B210" s="29" t="inlineStr">
        <is>
          <t>marbella</t>
        </is>
      </c>
      <c r="C210" s="29" t="inlineStr">
        <is>
          <t>Bono Alquiler Joven en Andalucía 2026 - Junta de Andalucía</t>
        </is>
      </c>
      <c r="D210" s="29" t="inlineStr">
        <is>
          <t>Junta de Andalucía</t>
        </is>
      </c>
      <c r="E210" s="29" t="inlineStr">
        <is>
          <t>https://www.juntadeandalucia.es/organismos/viviendajuventudyordenaciondelterritorio/areas/vivienda-rehabilitacion/fomento-alquiler/bono-alquiler-joven/paginas/convocatoria-2025.html</t>
        </is>
      </c>
      <c r="F210" s="49" t="n">
        <v>46323</v>
      </c>
      <c r="G210" s="29" t="inlineStr">
        <is>
          <t>marbella:ev</t>
        </is>
      </c>
      <c r="H210" s="29" t="inlineStr">
        <is>
          <t>ev/ilk5-4: Bono Alquiler Joven tutarı, gelir sınırı, kapanış durumu</t>
        </is>
      </c>
      <c r="I210" s="29" t="inlineStr">
        <is>
          <t>Evet</t>
        </is>
      </c>
      <c r="J210" s="29" t="inlineStr">
        <is>
          <t>Lisans kanıtları/7f8e22ecbc57c4884325b69feba9cdc30cbf987191c79418034c89a12b3823d4.html</t>
        </is>
      </c>
      <c r="K210" s="29" t="inlineStr">
        <is>
          <t>7f8e22ecbc57c4884325b69feba9cdc30cbf987191c79418034c89a12b3823d4</t>
        </is>
      </c>
    </row>
    <row r="211" ht="54" customHeight="1">
      <c r="A211" s="29" t="inlineStr">
        <is>
          <t>marbella:kaynak:222</t>
        </is>
      </c>
      <c r="B211" s="29" t="inlineStr">
        <is>
          <t>marbella</t>
        </is>
      </c>
      <c r="C211" s="29" t="inlineStr">
        <is>
          <t>Ayudas al pago del alquiler de la vivienda habitual a personas especialmente vulnerables - Junta de Andalucía</t>
        </is>
      </c>
      <c r="D211" s="29" t="inlineStr">
        <is>
          <t>Junta de Andalucía</t>
        </is>
      </c>
      <c r="E211" s="29" t="inlineStr">
        <is>
          <t>https://www.juntadeandalucia.es/organismos/fomentoarticulaciondelterritorioyvivienda/areas/vivienda-rehabilitacion/fomento-alquiler/ayudas-vulnerables-general/paginas/vulnerables-2025.html</t>
        </is>
      </c>
      <c r="F211" s="49" t="n">
        <v>46323</v>
      </c>
      <c r="G211" s="29" t="inlineStr">
        <is>
          <t>marbella:ev</t>
        </is>
      </c>
      <c r="H211" s="29" t="inlineStr">
        <is>
          <t>ev/ilk5-3,4: tahliye/kırılgan kiracılara kira yardımı</t>
        </is>
      </c>
      <c r="I211" s="29" t="inlineStr">
        <is>
          <t>Evet</t>
        </is>
      </c>
      <c r="J211" s="29" t="inlineStr">
        <is>
          <t>Lisans kanıtları/6668a2a6b22b6bfd7ac554a31ecb6b10aadbac5c503056fd1e2692680de38950.html</t>
        </is>
      </c>
      <c r="K211" s="29" t="inlineStr">
        <is>
          <t>6668a2a6b22b6bfd7ac554a31ecb6b10aadbac5c503056fd1e2692680de38950</t>
        </is>
      </c>
    </row>
    <row r="212" ht="54" customHeight="1">
      <c r="A212" s="29" t="inlineStr">
        <is>
          <t>marbella:kaynak:223</t>
        </is>
      </c>
      <c r="B212" s="29" t="inlineStr">
        <is>
          <t>marbella</t>
        </is>
      </c>
      <c r="C212" s="29" t="inlineStr">
        <is>
          <t>Información sobre desahucios - Junta de Andalucía</t>
        </is>
      </c>
      <c r="D212" s="29" t="inlineStr">
        <is>
          <t>Junta de Andalucía</t>
        </is>
      </c>
      <c r="E212" s="29" t="inlineStr">
        <is>
          <t>https://www.juntadeandalucia.es/temas/vivienda-consumo/compra/desahucios.html</t>
        </is>
      </c>
      <c r="F212" s="49" t="n">
        <v>46323</v>
      </c>
      <c r="G212" s="29" t="inlineStr">
        <is>
          <t>marbella:ev</t>
        </is>
      </c>
      <c r="H212" s="29" t="inlineStr">
        <is>
          <t>ev/ilk5-3: kiracı hakları, tahliye riskinde danışmanlık</t>
        </is>
      </c>
      <c r="I212" s="29" t="inlineStr">
        <is>
          <t>Evet</t>
        </is>
      </c>
      <c r="J212" s="29" t="inlineStr">
        <is>
          <t>Lisans kanıtları/282d6ed63fb4d8f2277fa98f10328b230f0ca094ddb2dcc0ec6a384ecac446fe.html</t>
        </is>
      </c>
      <c r="K212" s="29" t="inlineStr">
        <is>
          <t>282d6ed63fb4d8f2277fa98f10328b230f0ca094ddb2dcc0ec6a384ecac446fe</t>
        </is>
      </c>
    </row>
    <row r="213" ht="54" customHeight="1">
      <c r="A213" s="29" t="inlineStr">
        <is>
          <t>marbella:kaynak:224</t>
        </is>
      </c>
      <c r="B213" s="29" t="inlineStr">
        <is>
          <t>marbella</t>
        </is>
      </c>
      <c r="C213" s="29" t="inlineStr">
        <is>
          <t>Marbella contará con un registro municipal de viviendas turísticas y con una nueva normativa que limitará el cambio de uso para esta actividad de los locales comerciales</t>
        </is>
      </c>
      <c r="D213" s="29" t="inlineStr">
        <is>
          <t>Ayuntamiento de Marbella</t>
        </is>
      </c>
      <c r="E213" s="29" t="inlineStr">
        <is>
          <t>https://www.marbella.es/actualidad/noticias/marbella-contara-con-un-registro-municipal-de-viviendas-turisticas-y-con-una-nueva-normativa-que-limitara-el-cambio-de-uso-para-esta-actividad-de-los-locales-comerciales.html</t>
        </is>
      </c>
      <c r="F213" s="49" t="n">
        <v>46323</v>
      </c>
      <c r="G213" s="29" t="inlineStr">
        <is>
          <t>marbella:ev</t>
        </is>
      </c>
      <c r="H213" s="29" t="inlineStr">
        <is>
          <t>ev/ilk5-5: turistik kiralık daire düzenlemesi, Marbella</t>
        </is>
      </c>
      <c r="I213" s="29" t="inlineStr">
        <is>
          <t>Evet</t>
        </is>
      </c>
      <c r="J213" s="29" t="inlineStr">
        <is>
          <t>Lisans kanıtları/4db987d89e8064058f6a1dc17b07831bc490ad6279d900a8b0cc95092ea4bf9a.html</t>
        </is>
      </c>
      <c r="K213" s="29" t="inlineStr">
        <is>
          <t>4db987d89e8064058f6a1dc17b07831bc490ad6279d900a8b0cc95092ea4bf9a</t>
        </is>
      </c>
    </row>
    <row r="214" ht="54" customHeight="1">
      <c r="A214" s="29" t="inlineStr">
        <is>
          <t>marbella:kaynak:226</t>
        </is>
      </c>
      <c r="B214" s="29" t="inlineStr">
        <is>
          <t>marbella</t>
        </is>
      </c>
      <c r="C214" s="29" t="inlineStr">
        <is>
          <t>Oficina Municipal del Consumidor</t>
        </is>
      </c>
      <c r="D214" s="29" t="inlineStr">
        <is>
          <t>Ayuntamiento de Marbella</t>
        </is>
      </c>
      <c r="E214" s="29" t="inlineStr">
        <is>
          <t>https://marbella.es/web/sanidad-consumo-y-servicios/omic.html</t>
        </is>
      </c>
      <c r="F214" s="49" t="n">
        <v>46323</v>
      </c>
      <c r="G214" s="29" t="inlineStr">
        <is>
          <t>marbella:ev</t>
        </is>
      </c>
      <c r="H214" s="29" t="inlineStr">
        <is>
          <t>ev/ilk5-3: kiracı/tüketici sorununda başvuru yeri</t>
        </is>
      </c>
      <c r="I214" s="29" t="inlineStr">
        <is>
          <t>Evet</t>
        </is>
      </c>
      <c r="J214" s="29" t="inlineStr">
        <is>
          <t>Lisans kanıtları/a98273ab7db8d039a2b92fac4d91dff76f562730c1ca000bbcd870d84a7887e9.html</t>
        </is>
      </c>
      <c r="K214" s="29" t="inlineStr">
        <is>
          <t>a98273ab7db8d039a2b92fac4d91dff76f562730c1ca000bbcd870d84a7887e9</t>
        </is>
      </c>
    </row>
    <row r="215" ht="54" customHeight="1">
      <c r="A215" s="29" t="inlineStr">
        <is>
          <t>marbella:kaynak:227</t>
        </is>
      </c>
      <c r="B215" s="29" t="inlineStr">
        <is>
          <t>marbella</t>
        </is>
      </c>
      <c r="C215" s="29" t="inlineStr">
        <is>
          <t>Oficina Virtual - Acosol</t>
        </is>
      </c>
      <c r="D215" s="29" t="inlineStr">
        <is>
          <t>Acosol S.A. (Mancomunidad de la Costa del Sol Occidental)</t>
        </is>
      </c>
      <c r="E215" s="29" t="inlineStr">
        <is>
          <t>https://www.acosol.es/gestiones/zona-de-clientes/oficina-virtual/</t>
        </is>
      </c>
      <c r="F215" s="49" t="n">
        <v>46323</v>
      </c>
      <c r="G215" s="29" t="inlineStr">
        <is>
          <t>marbella:fatura</t>
        </is>
      </c>
      <c r="H215" s="29" t="inlineStr">
        <is>
          <t>fatura/ilk5-1: su aboneliği ve faturayı çevrimiçi yönetme, kayıt için gerekenler</t>
        </is>
      </c>
      <c r="I215" s="29" t="inlineStr">
        <is>
          <t>Evet</t>
        </is>
      </c>
      <c r="J215" s="29" t="inlineStr">
        <is>
          <t>Lisans kanıtları/645bf39d43729336503a6b98fd06c31582bbc8e745ca55410ee66ee2e0d41a25.html</t>
        </is>
      </c>
      <c r="K215" s="29" t="inlineStr">
        <is>
          <t>645bf39d43729336503a6b98fd06c31582bbc8e745ca55410ee66ee2e0d41a25</t>
        </is>
      </c>
    </row>
    <row r="216" ht="54" customHeight="1">
      <c r="A216" s="29" t="inlineStr">
        <is>
          <t>marbella:kaynak:228</t>
        </is>
      </c>
      <c r="B216" s="29" t="inlineStr">
        <is>
          <t>marbella</t>
        </is>
      </c>
      <c r="C216" s="29" t="inlineStr">
        <is>
          <t>Nuestras sedes - Acosol</t>
        </is>
      </c>
      <c r="D216" s="29" t="inlineStr">
        <is>
          <t>Acosol S.A.</t>
        </is>
      </c>
      <c r="E216" s="29" t="inlineStr">
        <is>
          <t>https://www.acosol.es/contactar/nuestras-sedes/</t>
        </is>
      </c>
      <c r="F216" s="49" t="n">
        <v>46323</v>
      </c>
      <c r="G216" s="29" t="inlineStr">
        <is>
          <t>marbella:fatura</t>
        </is>
      </c>
      <c r="H216" s="29" t="inlineStr">
        <is>
          <t>fatura/ilk5-1: Marbella (Elviria) su şirketi ofisi, saat, cita previa</t>
        </is>
      </c>
      <c r="I216" s="29" t="inlineStr">
        <is>
          <t>Evet</t>
        </is>
      </c>
      <c r="J216" s="29" t="inlineStr">
        <is>
          <t>Lisans kanıtları/4caaffcd0fdb265854ded42fa12c36661a60dd9826d7857dc86dd5a224c9fa01.html</t>
        </is>
      </c>
      <c r="K216" s="29" t="inlineStr">
        <is>
          <t>4caaffcd0fdb265854ded42fa12c36661a60dd9826d7857dc86dd5a224c9fa01</t>
        </is>
      </c>
    </row>
    <row r="217" ht="54" customHeight="1">
      <c r="A217" s="29" t="inlineStr">
        <is>
          <t>marbella:kaynak:229</t>
        </is>
      </c>
      <c r="B217" s="29" t="inlineStr">
        <is>
          <t>marbella</t>
        </is>
      </c>
      <c r="C217" s="29" t="inlineStr">
        <is>
          <t>Servicio de Abastecimiento en Baja - Acosol</t>
        </is>
      </c>
      <c r="D217" s="29" t="inlineStr">
        <is>
          <t>Acosol S.A.</t>
        </is>
      </c>
      <c r="E217" s="29" t="inlineStr">
        <is>
          <t>https://www.acosol.es/servicio/servicio-abastecimiento-baja/</t>
        </is>
      </c>
      <c r="F217" s="49" t="n">
        <v>46323</v>
      </c>
      <c r="G217" s="29" t="inlineStr">
        <is>
          <t>marbella:fatura</t>
        </is>
      </c>
      <c r="H217" s="29" t="inlineStr">
        <is>
          <t>fatura/ilk5-1: Marbella'nın bir bölümünde su dağıtımı Acosol'da</t>
        </is>
      </c>
      <c r="I217" s="29" t="inlineStr">
        <is>
          <t>Evet</t>
        </is>
      </c>
      <c r="J217" s="29" t="inlineStr">
        <is>
          <t>Lisans kanıtları/f54ed5565ef7a891588d3ad3808b04d34599359e573351594b547efa527f224d.html</t>
        </is>
      </c>
      <c r="K217" s="29" t="inlineStr">
        <is>
          <t>f54ed5565ef7a891588d3ad3808b04d34599359e573351594b547efa527f224d</t>
        </is>
      </c>
    </row>
    <row r="218" ht="54" customHeight="1">
      <c r="A218" s="29" t="inlineStr">
        <is>
          <t>marbella:kaynak:231</t>
        </is>
      </c>
      <c r="B218" s="29" t="inlineStr">
        <is>
          <t>marbella</t>
        </is>
      </c>
      <c r="C218" s="29" t="inlineStr">
        <is>
          <t>Quejas y sugerencias - Acosol</t>
        </is>
      </c>
      <c r="D218" s="29" t="inlineStr">
        <is>
          <t>Acosol S.A.</t>
        </is>
      </c>
      <c r="E218" s="29" t="inlineStr">
        <is>
          <t>https://www.acosol.es/contactar/quejas-y-sugerencias/</t>
        </is>
      </c>
      <c r="F218" s="49" t="n">
        <v>46323</v>
      </c>
      <c r="G218" s="29" t="inlineStr">
        <is>
          <t>marbella:fatura</t>
        </is>
      </c>
      <c r="H218" s="29" t="inlineStr">
        <is>
          <t>fatura/ilk5-1: su faturası sorun/şikâyet yolu</t>
        </is>
      </c>
      <c r="I218" s="29" t="inlineStr">
        <is>
          <t>Evet</t>
        </is>
      </c>
      <c r="J218" s="29" t="inlineStr">
        <is>
          <t>Lisans kanıtları/f2879f3c34396e61ff894794608e36c88fc95efeb663280ceb6b6fb12332de0e.html</t>
        </is>
      </c>
      <c r="K218" s="29" t="inlineStr">
        <is>
          <t>f2879f3c34396e61ff894794608e36c88fc95efeb663280ceb6b6fb12332de0e</t>
        </is>
      </c>
    </row>
    <row r="219" ht="54" customHeight="1">
      <c r="A219" s="29" t="inlineStr">
        <is>
          <t>marbella:kaynak:232</t>
        </is>
      </c>
      <c r="B219" s="29" t="inlineStr">
        <is>
          <t>marbella</t>
        </is>
      </c>
      <c r="C219" s="29" t="inlineStr">
        <is>
          <t>Residuos ordinarios</t>
        </is>
      </c>
      <c r="D219" s="29" t="inlineStr">
        <is>
          <t>Ayuntamiento de Marbella - Medio Ambiente</t>
        </is>
      </c>
      <c r="E219" s="29" t="inlineStr">
        <is>
          <t>https://www.marbella.es/web/medio-ambiente/area-de-medio-ambiente/residuos/residuos-ordinarios.html</t>
        </is>
      </c>
      <c r="F219" s="49" t="n">
        <v>46323</v>
      </c>
      <c r="G219" s="29" t="inlineStr">
        <is>
          <t>marbella:fatura</t>
        </is>
      </c>
      <c r="H219" s="29" t="inlineStr">
        <is>
          <t>fatura/ilk5-3: Marbella çöp konteyner renkleri</t>
        </is>
      </c>
      <c r="I219" s="29" t="inlineStr">
        <is>
          <t>Evet</t>
        </is>
      </c>
      <c r="J219" s="29" t="inlineStr">
        <is>
          <t>Lisans kanıtları/4b827de7a77b6125bf726aef6146cb26cf6fcbe58a0144b5b981cfb4e3a1a9a4.html</t>
        </is>
      </c>
      <c r="K219" s="29" t="inlineStr">
        <is>
          <t>4b827de7a77b6125bf726aef6146cb26cf6fcbe58a0144b5b981cfb4e3a1a9a4</t>
        </is>
      </c>
    </row>
    <row r="220" ht="54" customHeight="1">
      <c r="A220" s="29" t="inlineStr">
        <is>
          <t>marbella:kaynak:233</t>
        </is>
      </c>
      <c r="B220" s="29" t="inlineStr">
        <is>
          <t>marbella</t>
        </is>
      </c>
      <c r="C220" s="29" t="inlineStr">
        <is>
          <t>El Ayuntamiento habilita un teléfono para que los vecinos informen de incidencias relacionadas con los contenedores de recogida de residuos sólidos urbanos</t>
        </is>
      </c>
      <c r="D220" s="29" t="inlineStr">
        <is>
          <t>Ayuntamiento de Marbella - Limpieza</t>
        </is>
      </c>
      <c r="E220" s="29" t="inlineStr">
        <is>
          <t>https://www.marbella.es/actualidad/noticias/el-ayuntamiento-habilita-un-telefono-para-que-los-vecinos-informen-de-incidencias-relacionadas-con-los-contenedores-de-recogida-de-residuos-solidos-urbanos.html</t>
        </is>
      </c>
      <c r="F220" s="49" t="n">
        <v>46323</v>
      </c>
      <c r="G220" s="29" t="inlineStr">
        <is>
          <t>marbella:fatura</t>
        </is>
      </c>
      <c r="H220" s="29" t="inlineStr">
        <is>
          <t>fatura/ilk5-3: çöp/mobilya toplama başvuru telefonu</t>
        </is>
      </c>
      <c r="I220" s="29" t="inlineStr">
        <is>
          <t>Evet</t>
        </is>
      </c>
      <c r="J220" s="29" t="inlineStr">
        <is>
          <t>Lisans kanıtları/dd74520c6b3104ba099fa73e87b312e1d5eb4b25d5c9038c6631d1b060b75426.html</t>
        </is>
      </c>
      <c r="K220" s="29" t="inlineStr">
        <is>
          <t>dd74520c6b3104ba099fa73e87b312e1d5eb4b25d5c9038c6631d1b060b75426</t>
        </is>
      </c>
    </row>
    <row r="221" ht="54" customHeight="1">
      <c r="A221" s="29" t="inlineStr">
        <is>
          <t>marbella:kaynak:234</t>
        </is>
      </c>
      <c r="B221" s="29" t="inlineStr">
        <is>
          <t>marbella</t>
        </is>
      </c>
      <c r="C221" s="29" t="inlineStr">
        <is>
          <t>Depósito municipal de residuos</t>
        </is>
      </c>
      <c r="D221" s="29" t="inlineStr">
        <is>
          <t>Ayuntamiento de Marbella - Medio Ambiente</t>
        </is>
      </c>
      <c r="E221" s="29" t="inlineStr">
        <is>
          <t>https://www.marbella.es/web/medio-ambiente/area-de-medio-ambiente/residuos/deposito-municipal-de-residuos.html</t>
        </is>
      </c>
      <c r="F221" s="49" t="n">
        <v>46323</v>
      </c>
      <c r="G221" s="29" t="inlineStr">
        <is>
          <t>marbella:fatura</t>
        </is>
      </c>
      <c r="H221" s="29" t="inlineStr">
        <is>
          <t>fatura/ilk5-3: belediye atık deposu adres, saat, kabul edilen atıklar</t>
        </is>
      </c>
      <c r="I221" s="29" t="inlineStr">
        <is>
          <t>Evet</t>
        </is>
      </c>
      <c r="J221" s="29" t="inlineStr">
        <is>
          <t>Lisans kanıtları/919828e2f425608f3d2f582eb36a89bbcb0e00ff282f7a8e60f2ea4b8cea65aa.html</t>
        </is>
      </c>
      <c r="K221" s="29" t="inlineStr">
        <is>
          <t>919828e2f425608f3d2f582eb36a89bbcb0e00ff282f7a8e60f2ea4b8cea65aa</t>
        </is>
      </c>
    </row>
    <row r="222" ht="54" customHeight="1">
      <c r="A222" s="29" t="inlineStr">
        <is>
          <t>marbella:kaynak:236</t>
        </is>
      </c>
      <c r="B222" s="29" t="inlineStr">
        <is>
          <t>marbella</t>
        </is>
      </c>
      <c r="C222" s="29" t="inlineStr">
        <is>
          <t>Ordenanzas fiscales 2026</t>
        </is>
      </c>
      <c r="D222" s="29" t="inlineStr">
        <is>
          <t>Ayuntamiento de Marbella</t>
        </is>
      </c>
      <c r="E222" s="29" t="inlineStr">
        <is>
          <t>https://ayuntamiento.marbella.es/documentos/ordenanzas-fiscales/5086-ordenanzas-fiscales-2026.html</t>
        </is>
      </c>
      <c r="F222" s="49" t="n">
        <v>46323</v>
      </c>
      <c r="G222" s="29" t="inlineStr">
        <is>
          <t>marbella:fatura</t>
        </is>
      </c>
      <c r="H222" s="29" t="inlineStr">
        <is>
          <t>fatura/ilk5-3 + para/ilk5-3: çöp tasası (tasa de basura) ve IBI/IVTM ordenanza dizini</t>
        </is>
      </c>
      <c r="I222" s="29" t="inlineStr">
        <is>
          <t>Evet</t>
        </is>
      </c>
      <c r="J222" s="29" t="inlineStr">
        <is>
          <t>Lisans kanıtları/1951aea74561c315095d8196d3a7429a0e8a08636045f36b434d40f7ee288d1f.html</t>
        </is>
      </c>
      <c r="K222" s="29" t="inlineStr">
        <is>
          <t>1951aea74561c315095d8196d3a7429a0e8a08636045f36b434d40f7ee288d1f</t>
        </is>
      </c>
    </row>
    <row r="223" ht="54" customHeight="1">
      <c r="A223" s="29" t="inlineStr">
        <is>
          <t>marbella:kaynak:237</t>
        </is>
      </c>
      <c r="B223" s="29" t="inlineStr">
        <is>
          <t>marbella</t>
        </is>
      </c>
      <c r="C223" s="29" t="inlineStr">
        <is>
          <t>Direcciones de interés</t>
        </is>
      </c>
      <c r="D223" s="29" t="inlineStr">
        <is>
          <t>Ayuntamiento de Marbella - Extranjeros Residentes</t>
        </is>
      </c>
      <c r="E223" s="29" t="inlineStr">
        <is>
          <t>https://extranjeros.marbella.es/informacion/direcciones-de-interes</t>
        </is>
      </c>
      <c r="F223" s="49" t="n">
        <v>46323</v>
      </c>
      <c r="G223" s="29" t="inlineStr">
        <is>
          <t>marbella:fatura</t>
        </is>
      </c>
      <c r="H223" s="29" t="inlineStr">
        <is>
          <t>fatura/ilk5-3 + para/ilk5-3: vergi/tasa ödeme ofisleri adres ve saatleri</t>
        </is>
      </c>
      <c r="I223" s="29" t="inlineStr">
        <is>
          <t>Evet</t>
        </is>
      </c>
      <c r="J223" s="29" t="inlineStr">
        <is>
          <t>Lisans kanıtları/819e303d92c4f284888360d21dcdf43380e31aa80431313e20716854d0a726e1.html</t>
        </is>
      </c>
      <c r="K223" s="29" t="inlineStr">
        <is>
          <t>819e303d92c4f284888360d21dcdf43380e31aa80431313e20716854d0a726e1</t>
        </is>
      </c>
    </row>
    <row r="224" ht="54" customHeight="1">
      <c r="A224" s="29" t="inlineStr">
        <is>
          <t>marbella:kaynak:238</t>
        </is>
      </c>
      <c r="B224" s="29" t="inlineStr">
        <is>
          <t>marbella</t>
        </is>
      </c>
      <c r="C224" s="29" t="inlineStr">
        <is>
          <t>Reclamaciones - Junta de Andalucía</t>
        </is>
      </c>
      <c r="D224" s="29" t="inlineStr">
        <is>
          <t>Junta de Andalucía</t>
        </is>
      </c>
      <c r="E224" s="29" t="inlineStr">
        <is>
          <t>https://www.juntadeandalucia.es/temas/vivienda-consumo/consumo/reclamaciones.html</t>
        </is>
      </c>
      <c r="F224" s="49" t="n">
        <v>46323</v>
      </c>
      <c r="G224" s="29" t="inlineStr">
        <is>
          <t>marbella:fatura</t>
        </is>
      </c>
      <c r="H224" s="29" t="inlineStr">
        <is>
          <t>fatura/ilk5-1,2,5: hizmet sağlayıcıya karşı şikâyet formu (hoja de reclamaciones)</t>
        </is>
      </c>
      <c r="I224" s="29" t="inlineStr">
        <is>
          <t>Evet</t>
        </is>
      </c>
      <c r="J224" s="29" t="inlineStr">
        <is>
          <t>Lisans kanıtları/0a11ee81349ea0153ef559389f5acce3686d83a63c611f89a7e3033576eb733d.html</t>
        </is>
      </c>
      <c r="K224" s="29" t="inlineStr">
        <is>
          <t>0a11ee81349ea0153ef559389f5acce3686d83a63c611f89a7e3033576eb733d</t>
        </is>
      </c>
    </row>
    <row r="225" ht="54" customHeight="1">
      <c r="A225" s="29" t="inlineStr">
        <is>
          <t>marbella:kaynak:241</t>
        </is>
      </c>
      <c r="B225" s="29" t="inlineStr">
        <is>
          <t>marbella</t>
        </is>
      </c>
      <c r="C225" s="29" t="inlineStr">
        <is>
          <t>¿Cuáles son los trámites para abrir una cuenta? - Cliente Bancario, Banco de España</t>
        </is>
      </c>
      <c r="D225" s="29" t="inlineStr">
        <is>
          <t>Banco de España - Portal del Cliente Bancario</t>
        </is>
      </c>
      <c r="E225" s="29" t="inlineStr">
        <is>
          <t>https://clientebancario.bde.es/pcb/es/blog/cuales-son-los-tramites-para-abrir-una-cuenta-.html</t>
        </is>
      </c>
      <c r="F225" s="49" t="n">
        <v>46323</v>
      </c>
      <c r="G225" s="29" t="inlineStr">
        <is>
          <t>marbella:para</t>
        </is>
      </c>
      <c r="H225" s="29" t="inlineStr">
        <is>
          <t>para/ilk5-1: banka hesabı açmak için gereken kimlik belgeleri</t>
        </is>
      </c>
      <c r="I225" s="29" t="inlineStr">
        <is>
          <t>Evet</t>
        </is>
      </c>
      <c r="J225" s="29" t="inlineStr">
        <is>
          <t>Lisans kanıtları/a745a3dd779f62f6ee1008b5d144bdc4678d2971768a38a2ed1d061255ef0ec5.html</t>
        </is>
      </c>
      <c r="K225" s="29" t="inlineStr">
        <is>
          <t>a745a3dd779f62f6ee1008b5d144bdc4678d2971768a38a2ed1d061255ef0ec5</t>
        </is>
      </c>
    </row>
    <row r="226" ht="54" customHeight="1">
      <c r="A226" s="29" t="inlineStr">
        <is>
          <t>marbella:kaynak:242</t>
        </is>
      </c>
      <c r="B226" s="29" t="inlineStr">
        <is>
          <t>marbella</t>
        </is>
      </c>
      <c r="C226" s="29" t="inlineStr">
        <is>
          <t>Agencia Tributaria: Málaga</t>
        </is>
      </c>
      <c r="D226" s="29" t="inlineStr">
        <is>
          <t>Agencia Tributaria</t>
        </is>
      </c>
      <c r="E226" s="29" t="inlineStr">
        <is>
          <t>https://sede.agenciatributaria.gob.es/Sede/buscador-oficinas/malaga.html</t>
        </is>
      </c>
      <c r="F226" s="49" t="n">
        <v>46323</v>
      </c>
      <c r="G226" s="29" t="inlineStr">
        <is>
          <t>marbella:para</t>
        </is>
      </c>
      <c r="H226" s="29" t="inlineStr">
        <is>
          <t>para/ilk5-2: Marbella'daki AEAT ofisi adres ve saati (Renta)</t>
        </is>
      </c>
      <c r="I226" s="29" t="inlineStr">
        <is>
          <t>Evet</t>
        </is>
      </c>
      <c r="J226" s="29" t="inlineStr">
        <is>
          <t>Lisans kanıtları/a7e82a914ac36fef4ba3fb03e6a4510064594ec923876932391525aecd22f7f3.html</t>
        </is>
      </c>
      <c r="K226" s="29" t="inlineStr">
        <is>
          <t>a7e82a914ac36fef4ba3fb03e6a4510064594ec923876932391525aecd22f7f3</t>
        </is>
      </c>
    </row>
    <row r="227" ht="54" customHeight="1">
      <c r="A227" s="29" t="inlineStr">
        <is>
          <t>marbella:kaynak:244</t>
        </is>
      </c>
      <c r="B227" s="29" t="inlineStr">
        <is>
          <t>marbella</t>
        </is>
      </c>
      <c r="C227" s="29" t="inlineStr">
        <is>
          <t>Procedimiento de Gestión de Prestaciones de Servicios Sociales</t>
        </is>
      </c>
      <c r="D227" s="29" t="inlineStr">
        <is>
          <t>Ayuntamiento de Marbella - Protección de datos</t>
        </is>
      </c>
      <c r="E227" s="29" t="inlineStr">
        <is>
          <t>https://protecciondedatos.marbella.es/registro-de-actividades-de-tratamiento/procedimiento-de-gestion-de-prestaciones-de-servicios-sociales.html</t>
        </is>
      </c>
      <c r="F227" s="49" t="n">
        <v>46323</v>
      </c>
      <c r="G227" s="29" t="inlineStr">
        <is>
          <t>marbella:para</t>
        </is>
      </c>
      <c r="H227" s="29" t="inlineStr">
        <is>
          <t>para/ilk5-4: belediyenin yönettiği sosyal prestasyonlar (RMISA, aile ekonomik yardımları)</t>
        </is>
      </c>
      <c r="I227" s="29" t="inlineStr">
        <is>
          <t>Evet</t>
        </is>
      </c>
      <c r="J227" s="29" t="inlineStr">
        <is>
          <t>Lisans kanıtları/77f0759058cc5daf8105fa5e6574a99b014679e5b9c1a3301d0f8088373fad55.html</t>
        </is>
      </c>
      <c r="K227" s="29" t="inlineStr">
        <is>
          <t>77f0759058cc5daf8105fa5e6574a99b014679e5b9c1a3301d0f8088373fad55</t>
        </is>
      </c>
    </row>
    <row r="228" ht="54" customHeight="1">
      <c r="A228" s="29" t="inlineStr">
        <is>
          <t>marbella:kaynak:245</t>
        </is>
      </c>
      <c r="B228" s="29" t="inlineStr">
        <is>
          <t>marbella</t>
        </is>
      </c>
      <c r="C228" s="29" t="inlineStr">
        <is>
          <t>Renta Mínima de Inserción Social en Andalucía - Junta de Andalucía</t>
        </is>
      </c>
      <c r="D228" s="29" t="inlineStr">
        <is>
          <t>Junta de Andalucía</t>
        </is>
      </c>
      <c r="E228" s="29" t="inlineStr">
        <is>
          <t>https://www.juntadeandalucia.es/organismos/serviciossocialesfamiliaseigualdad/areas/inclusion/rmi.html</t>
        </is>
      </c>
      <c r="F228" s="49" t="n">
        <v>46323</v>
      </c>
      <c r="G228" s="29" t="inlineStr">
        <is>
          <t>marbella:para</t>
        </is>
      </c>
      <c r="H228" s="29" t="inlineStr">
        <is>
          <t>para/ilk5-5: Endülüs asgari gelir desteği (RMISA)</t>
        </is>
      </c>
      <c r="I228" s="29" t="inlineStr">
        <is>
          <t>Evet</t>
        </is>
      </c>
      <c r="J228" s="29" t="inlineStr">
        <is>
          <t>Lisans kanıtları/9621c9aa720741d6441dec92222f612d6bb204851e64620d030633eeca1174bc.html</t>
        </is>
      </c>
      <c r="K228" s="29" t="inlineStr">
        <is>
          <t>9621c9aa720741d6441dec92222f612d6bb204851e64620d030633eeca1174bc</t>
        </is>
      </c>
    </row>
    <row r="229" ht="54" customHeight="1">
      <c r="A229" s="29" t="inlineStr">
        <is>
          <t>marbella:kaynak:246</t>
        </is>
      </c>
      <c r="B229" s="29" t="inlineStr">
        <is>
          <t>marbella</t>
        </is>
      </c>
      <c r="C229" s="29" t="inlineStr">
        <is>
          <t>Seguridad Social: Prestaciones / Pensiones de Trabajadores</t>
        </is>
      </c>
      <c r="D229" s="29" t="inlineStr">
        <is>
          <t>Seguridad Social</t>
        </is>
      </c>
      <c r="E229" s="29" t="inlineStr">
        <is>
          <t>https://www.seg-social.es/wps/portal/wss/internet/Trabajadores/PrestacionesPensionesTrabajadores/65850d68-8d06-4645-bde7-05374ee42ac7/acreditaciondelosrequisitos</t>
        </is>
      </c>
      <c r="F229" s="49" t="n">
        <v>46323</v>
      </c>
      <c r="G229" s="29" t="inlineStr">
        <is>
          <t>marbella:para</t>
        </is>
      </c>
      <c r="H229" s="29" t="inlineStr">
        <is>
          <t>para/ilk5-5: IMV'de ikamet ve padrón şartı (yabancı)</t>
        </is>
      </c>
      <c r="I229" s="29" t="inlineStr">
        <is>
          <t>Evet</t>
        </is>
      </c>
      <c r="J229" s="29" t="inlineStr">
        <is>
          <t>Lisans kanıtları/01cc8eca5eeff729eb4aaba3247c4a66279213d66c5771a063da0839f1988a19.html</t>
        </is>
      </c>
      <c r="K229" s="29" t="inlineStr">
        <is>
          <t>01cc8eca5eeff729eb4aaba3247c4a66279213d66c5771a063da0839f1988a19</t>
        </is>
      </c>
    </row>
    <row r="230" ht="54" customHeight="1">
      <c r="A230" s="29" t="inlineStr">
        <is>
          <t>marbella:kaynak:247</t>
        </is>
      </c>
      <c r="B230" s="29" t="inlineStr">
        <is>
          <t>marbella</t>
        </is>
      </c>
      <c r="C230" s="29" t="inlineStr">
        <is>
          <t>Autobús Urbano</t>
        </is>
      </c>
      <c r="D230" s="29" t="inlineStr">
        <is>
          <t>Ayuntamiento de Marbella</t>
        </is>
      </c>
      <c r="E230" s="29" t="inlineStr">
        <is>
          <t>https://ayuntamiento.marbella.es/gestion-municipal/delegaciones/movilidad/transportes/autobus/534-autobus-urbano.html</t>
        </is>
      </c>
      <c r="F230" s="49" t="n">
        <v>46323</v>
      </c>
      <c r="G230" s="29" t="inlineStr">
        <is>
          <t>marbella:ulasim</t>
        </is>
      </c>
      <c r="H230" s="29" t="inlineStr">
        <is>
          <t>Şehir otobüsü işletmecisi (Avanza); bilet/abonman bilgisi için yönlendirme</t>
        </is>
      </c>
      <c r="I230" s="29" t="inlineStr">
        <is>
          <t>Evet</t>
        </is>
      </c>
      <c r="J230" s="29" t="inlineStr">
        <is>
          <t>Lisans kanıtları/7f0681201b0eec3c1377f724fb7ab38213f6c47c45fd54cb295d43587f0eafa6.html</t>
        </is>
      </c>
      <c r="K230" s="29" t="inlineStr">
        <is>
          <t>7f0681201b0eec3c1377f724fb7ab38213f6c47c45fd54cb295d43587f0eafa6</t>
        </is>
      </c>
    </row>
    <row r="231" ht="54" customHeight="1">
      <c r="A231" s="29" t="inlineStr">
        <is>
          <t>marbella:kaynak:248</t>
        </is>
      </c>
      <c r="B231" s="29" t="inlineStr">
        <is>
          <t>marbella</t>
        </is>
      </c>
      <c r="C231" s="29" t="inlineStr">
        <is>
          <t>Tarifas del Servicio Urbano de Taxi con Taxímetro</t>
        </is>
      </c>
      <c r="D231" s="29" t="inlineStr">
        <is>
          <t>Ayuntamiento de Marbella</t>
        </is>
      </c>
      <c r="E231" s="29" t="inlineStr">
        <is>
          <t>https://ayuntamiento.marbella.es/gestion-municipal/delegaciones/movilidad/transportes/autotaxis/529-tarifas-del-servicio-urbano-de-taxi-con-taximetro.html</t>
        </is>
      </c>
      <c r="F231" s="49" t="n">
        <v>46323</v>
      </c>
      <c r="G231" s="29" t="inlineStr">
        <is>
          <t>marbella:ulasim</t>
        </is>
      </c>
      <c r="H231" s="29" t="inlineStr">
        <is>
          <t>Marbella taksi tarifeleri (alternatif ulaşım)</t>
        </is>
      </c>
      <c r="I231" s="29" t="inlineStr">
        <is>
          <t>Evet</t>
        </is>
      </c>
      <c r="J231" s="29" t="inlineStr">
        <is>
          <t>Lisans kanıtları/8971e0776f3b002aafdd9c2d4a031d28d0611d6e14185bc0db9b488c179f9b00.html</t>
        </is>
      </c>
      <c r="K231" s="29" t="inlineStr">
        <is>
          <t>8971e0776f3b002aafdd9c2d4a031d28d0611d6e14185bc0db9b488c179f9b00</t>
        </is>
      </c>
    </row>
    <row r="232" ht="54" customHeight="1">
      <c r="A232" s="29" t="inlineStr">
        <is>
          <t>marbella:kaynak:249</t>
        </is>
      </c>
      <c r="B232" s="29" t="inlineStr">
        <is>
          <t>marbella</t>
        </is>
      </c>
      <c r="C232" s="29" t="inlineStr">
        <is>
          <t>BANDO - Regulación de la circulación de bicicletas y vehículos de movilidad personal en las vías del término municipal de Marbella</t>
        </is>
      </c>
      <c r="D232" s="29" t="inlineStr">
        <is>
          <t>Ayuntamiento de Marbella</t>
        </is>
      </c>
      <c r="E232" s="29" t="inlineStr">
        <is>
          <t>https://ayuntamiento.marbella.es/historial-de-comunicados-muncipales/4995-bando-regulacion-de-la-circulacion-de-bicicletas-y-vehiculos-de-movilidad-personal-en-las-vias-del-termino-municipal-de-marbella.html</t>
        </is>
      </c>
      <c r="F232" s="49" t="n">
        <v>46323</v>
      </c>
      <c r="G232" s="29" t="inlineStr">
        <is>
          <t>marbella:ulasim</t>
        </is>
      </c>
      <c r="H232" s="29" t="inlineStr">
        <is>
          <t>Bisiklet ve scooter (VMP) kuralları</t>
        </is>
      </c>
      <c r="I232" s="29" t="inlineStr">
        <is>
          <t>Evet</t>
        </is>
      </c>
      <c r="J232" s="29" t="inlineStr">
        <is>
          <t>Lisans kanıtları/bede7e86e8c584aee86f1bc139575dcd9a91e6e97fbbbfa14fd772b0130b2a68.html</t>
        </is>
      </c>
      <c r="K232" s="29" t="inlineStr">
        <is>
          <t>bede7e86e8c584aee86f1bc139575dcd9a91e6e97fbbbfa14fd772b0130b2a68</t>
        </is>
      </c>
    </row>
    <row r="233" ht="54" customHeight="1">
      <c r="A233" s="29" t="inlineStr">
        <is>
          <t>marbella:kaynak:250</t>
        </is>
      </c>
      <c r="B233" s="29" t="inlineStr">
        <is>
          <t>marbella</t>
        </is>
      </c>
      <c r="C233" s="29" t="inlineStr">
        <is>
          <t>Cómo llegar en autobús | Aeropuerto Málaga-Costa del Sol | Aena</t>
        </is>
      </c>
      <c r="D233" s="29" t="inlineStr">
        <is>
          <t>Aena</t>
        </is>
      </c>
      <c r="E233" s="29" t="inlineStr">
        <is>
          <t>https://www.aena.es/es/malaga-costa-del-sol/como-llegar/autobus.html</t>
        </is>
      </c>
      <c r="F233" s="49" t="n">
        <v>46323</v>
      </c>
      <c r="G233" s="29" t="inlineStr">
        <is>
          <t>marbella:ulasim</t>
        </is>
      </c>
      <c r="H233" s="29" t="inlineStr">
        <is>
          <t>Málaga havalimanı - Marbella otobüs hattı (Avanza)</t>
        </is>
      </c>
      <c r="I233" s="29" t="inlineStr">
        <is>
          <t>Evet</t>
        </is>
      </c>
      <c r="J233" s="29" t="inlineStr">
        <is>
          <t>Lisans kanıtları/e79d9adafedf79127673eb5eb4b34eada7c93728878c059229a65814a002c7de.html</t>
        </is>
      </c>
      <c r="K233" s="29" t="inlineStr">
        <is>
          <t>e79d9adafedf79127673eb5eb4b34eada7c93728878c059229a65814a002c7de</t>
        </is>
      </c>
    </row>
    <row r="234" ht="54" customHeight="1">
      <c r="A234" s="29" t="inlineStr">
        <is>
          <t>marbella:kaynak:251</t>
        </is>
      </c>
      <c r="B234" s="29" t="inlineStr">
        <is>
          <t>marbella</t>
        </is>
      </c>
      <c r="C234" s="29" t="inlineStr">
        <is>
          <t>Cómo llegar en tren | Aeropuerto Málaga-Costa del Sol | Aena</t>
        </is>
      </c>
      <c r="D234" s="29" t="inlineStr">
        <is>
          <t>Aena</t>
        </is>
      </c>
      <c r="E234" s="29" t="inlineStr">
        <is>
          <t>https://www.aena.es/es/malaga-costa-del-sol/como-llegar/tren.html</t>
        </is>
      </c>
      <c r="F234" s="49" t="n">
        <v>46323</v>
      </c>
      <c r="G234" s="29" t="inlineStr">
        <is>
          <t>marbella:ulasim</t>
        </is>
      </c>
      <c r="H234" s="29" t="inlineStr">
        <is>
          <t>Havalimanına Cercanías C1 ile ulaşım (Marbella'ya tren yok)</t>
        </is>
      </c>
      <c r="I234" s="29" t="inlineStr">
        <is>
          <t>Evet</t>
        </is>
      </c>
      <c r="J234" s="29" t="inlineStr">
        <is>
          <t>Lisans kanıtları/b500ce8c0429d594e9ab9fb64f7f4dd5e89f1ba7155a274b01974200c477aff6.html</t>
        </is>
      </c>
      <c r="K234" s="29" t="inlineStr">
        <is>
          <t>b500ce8c0429d594e9ab9fb64f7f4dd5e89f1ba7155a274b01974200c477aff6</t>
        </is>
      </c>
    </row>
    <row r="235" ht="54" customHeight="1">
      <c r="A235" s="29" t="inlineStr">
        <is>
          <t>marbella:kaynak:252</t>
        </is>
      </c>
      <c r="B235" s="29" t="inlineStr">
        <is>
          <t>marbella</t>
        </is>
      </c>
      <c r="C235" s="29" t="inlineStr">
        <is>
          <t>Cómo llegar en taxi | Aeropuerto Málaga-Costa del Sol | Aena</t>
        </is>
      </c>
      <c r="D235" s="29" t="inlineStr">
        <is>
          <t>Aena</t>
        </is>
      </c>
      <c r="E235" s="29" t="inlineStr">
        <is>
          <t>https://www.aena.es/es/malaga-costa-del-sol/como-llegar/taxi.html</t>
        </is>
      </c>
      <c r="F235" s="49" t="n">
        <v>46323</v>
      </c>
      <c r="G235" s="29" t="inlineStr">
        <is>
          <t>marbella:ulasim</t>
        </is>
      </c>
      <c r="H235" s="29" t="inlineStr">
        <is>
          <t>Havalimanı taksi tarifeleri</t>
        </is>
      </c>
      <c r="I235" s="29" t="inlineStr">
        <is>
          <t>Evet</t>
        </is>
      </c>
      <c r="J235" s="29" t="inlineStr">
        <is>
          <t>Lisans kanıtları/e77571d4843ed2044d8b7d19c997d060c4117df0b9ea38c5eeb10fae5142a903.html</t>
        </is>
      </c>
      <c r="K235" s="29" t="inlineStr">
        <is>
          <t>e77571d4843ed2044d8b7d19c997d060c4117df0b9ea38c5eeb10fae5142a903</t>
        </is>
      </c>
    </row>
    <row r="236" ht="54" customHeight="1">
      <c r="A236" s="29" t="inlineStr">
        <is>
          <t>marbella:kaynak:253</t>
        </is>
      </c>
      <c r="B236" s="29" t="inlineStr">
        <is>
          <t>marbella</t>
        </is>
      </c>
      <c r="C236" s="29" t="inlineStr">
        <is>
          <t>Tarifas - Consorcio de Transporte Metropolitano del Área de Málaga</t>
        </is>
      </c>
      <c r="D236" s="29" t="inlineStr">
        <is>
          <t>Consorcio de Transporte Metropolitano del Área de Málaga</t>
        </is>
      </c>
      <c r="E236" s="29" t="inlineStr">
        <is>
          <t>https://ctmam.es/tarifas/</t>
        </is>
      </c>
      <c r="F236" s="49" t="n">
        <v>46323</v>
      </c>
      <c r="G236" s="29" t="inlineStr">
        <is>
          <t>marbella:ulasim</t>
        </is>
      </c>
      <c r="H236" s="29" t="inlineStr">
        <is>
          <t>Málaga metropol tarifeleri ve aktarma; Málaga'ya toplu taşıma</t>
        </is>
      </c>
      <c r="I236" s="29" t="inlineStr">
        <is>
          <t>Evet</t>
        </is>
      </c>
      <c r="J236" s="29" t="inlineStr">
        <is>
          <t>Lisans kanıtları/f8d760f9e64175d02708d4898a1298c24faeae4fc9d343f13acfa19d91e24fea.html</t>
        </is>
      </c>
      <c r="K236" s="29" t="inlineStr">
        <is>
          <t>f8d760f9e64175d02708d4898a1298c24faeae4fc9d343f13acfa19d91e24fea</t>
        </is>
      </c>
    </row>
    <row r="237" ht="54" customHeight="1">
      <c r="A237" s="29" t="inlineStr">
        <is>
          <t>marbella:kaynak:254</t>
        </is>
      </c>
      <c r="B237" s="29" t="inlineStr">
        <is>
          <t>marbella</t>
        </is>
      </c>
      <c r="C237" s="29" t="inlineStr">
        <is>
          <t>Renfe Cercanías - Consorcio de Transporte Metropolitano del Área de Málaga</t>
        </is>
      </c>
      <c r="D237" s="29" t="inlineStr">
        <is>
          <t>Consorcio de Transporte Metropolitano del Área de Málaga</t>
        </is>
      </c>
      <c r="E237" s="29" t="inlineStr">
        <is>
          <t>https://ctmam.es/renfe-cercanias/</t>
        </is>
      </c>
      <c r="F237" s="49" t="n">
        <v>46323</v>
      </c>
      <c r="G237" s="29" t="inlineStr">
        <is>
          <t>marbella:ulasim</t>
        </is>
      </c>
      <c r="H237" s="29" t="inlineStr">
        <is>
          <t>Cercanías C-1 Fuengirola hattı ve ödeme (Marbella'dan Málaga yolculuğuna bağlantı)</t>
        </is>
      </c>
      <c r="I237" s="29" t="inlineStr">
        <is>
          <t>Evet</t>
        </is>
      </c>
      <c r="J237" s="29" t="inlineStr">
        <is>
          <t>Lisans kanıtları/accc7afbf4b4eebe32fcf7f568ab8c19efcc3692e61389703b04472d3fd0f111.html</t>
        </is>
      </c>
      <c r="K237" s="29" t="inlineStr">
        <is>
          <t>accc7afbf4b4eebe32fcf7f568ab8c19efcc3692e61389703b04472d3fd0f111</t>
        </is>
      </c>
    </row>
    <row r="238" ht="54" customHeight="1">
      <c r="A238" s="29" t="inlineStr">
        <is>
          <t>marbella:kaynak:255</t>
        </is>
      </c>
      <c r="B238" s="29" t="inlineStr">
        <is>
          <t>marbella</t>
        </is>
      </c>
      <c r="C238" s="29" t="inlineStr">
        <is>
          <t xml:space="preserve">Bonificaciones al transporte público y gratuidad para la población infantil nacida entre el 1 de enero de 2012 y el 31 de diciembre de 2026 - Consorcio de Transporte Metropolitano </t>
        </is>
      </c>
      <c r="D238" s="29" t="inlineStr">
        <is>
          <t>Consorcio de Transporte Metropolitano del Área de Málaga</t>
        </is>
      </c>
      <c r="E238" s="29" t="inlineStr">
        <is>
          <t>https://ctmam.es/bonificaciones-al-transporte-publico-y-gratuidad-para-menores-de-15-anos/</t>
        </is>
      </c>
      <c r="F238" s="49" t="n">
        <v>46323</v>
      </c>
      <c r="G238" s="29" t="inlineStr">
        <is>
          <t>marbella:ulasim</t>
        </is>
      </c>
      <c r="H238" s="29" t="inlineStr">
        <is>
          <t>Abonman indirimleri ve çocuk ücretsiz ulaşım</t>
        </is>
      </c>
      <c r="I238" s="29" t="inlineStr">
        <is>
          <t>Evet</t>
        </is>
      </c>
      <c r="J238" s="29" t="inlineStr">
        <is>
          <t>Lisans kanıtları/f107a5cd36c13175a2ad04c28b0177c1c4b1472a1e57e01255a5bce2a79a2f93.html</t>
        </is>
      </c>
      <c r="K238" s="29" t="inlineStr">
        <is>
          <t>f107a5cd36c13175a2ad04c28b0177c1c4b1472a1e57e01255a5bce2a79a2f93</t>
        </is>
      </c>
    </row>
    <row r="239" ht="54" customHeight="1">
      <c r="A239" s="29" t="inlineStr">
        <is>
          <t>marbella:kaynak:256</t>
        </is>
      </c>
      <c r="B239" s="29" t="inlineStr">
        <is>
          <t>marbella</t>
        </is>
      </c>
      <c r="C239" s="29" t="inlineStr">
        <is>
          <t>Monedero virtual - Consorcio de Transporte Metropolitano del Área de Málaga</t>
        </is>
      </c>
      <c r="D239" s="29" t="inlineStr">
        <is>
          <t>Consorcio de Transporte Metropolitano del Área de Málaga</t>
        </is>
      </c>
      <c r="E239" s="29" t="inlineStr">
        <is>
          <t>https://ctmam.es/titulos-de-transporte/monedero-virtual/</t>
        </is>
      </c>
      <c r="F239" s="49" t="n">
        <v>46323</v>
      </c>
      <c r="G239" s="29" t="inlineStr">
        <is>
          <t>marbella:ulasim</t>
        </is>
      </c>
      <c r="H239" s="29" t="inlineStr">
        <is>
          <t>Mobil uygulamayla bilet/abonman</t>
        </is>
      </c>
      <c r="I239" s="29" t="inlineStr">
        <is>
          <t>Evet</t>
        </is>
      </c>
      <c r="J239" s="29" t="inlineStr">
        <is>
          <t>Lisans kanıtları/805e60f2f5b1ec1d1d506fe130315997f2b2f9fae9014c4639a8aa626883486b.html</t>
        </is>
      </c>
      <c r="K239" s="29" t="inlineStr">
        <is>
          <t>805e60f2f5b1ec1d1d506fe130315997f2b2f9fae9014c4639a8aa626883486b</t>
        </is>
      </c>
    </row>
    <row r="240" ht="54" customHeight="1">
      <c r="A240" s="29" t="inlineStr">
        <is>
          <t>marbella:kaynak:257</t>
        </is>
      </c>
      <c r="B240" s="29" t="inlineStr">
        <is>
          <t>marbella</t>
        </is>
      </c>
      <c r="C240" s="29" t="inlineStr">
        <is>
          <t>Delegación de Policía, Bomberos y Emergencias</t>
        </is>
      </c>
      <c r="D240" s="29" t="inlineStr">
        <is>
          <t>Ayuntamiento de Marbella</t>
        </is>
      </c>
      <c r="E240" s="29" t="inlineStr">
        <is>
          <t>https://ayuntamiento.marbella.es/gestion-municipal/delegaciones/policia-local-extincion-de-incendios-y-emergencias.html</t>
        </is>
      </c>
      <c r="F240" s="49" t="n">
        <v>46323</v>
      </c>
      <c r="G240" s="29" t="inlineStr">
        <is>
          <t>marbella:gunluk</t>
        </is>
      </c>
      <c r="H240" s="29" t="inlineStr">
        <is>
          <t>Marbella acil numaraları ve adresleri</t>
        </is>
      </c>
      <c r="I240" s="29" t="inlineStr">
        <is>
          <t>Evet</t>
        </is>
      </c>
      <c r="J240" s="29" t="inlineStr">
        <is>
          <t>Lisans kanıtları/266c03974eb3a9054f1808ad9373d1f3ea35abe05b13418113e01e4b6a9327fa.html</t>
        </is>
      </c>
      <c r="K240" s="29" t="inlineStr">
        <is>
          <t>266c03974eb3a9054f1808ad9373d1f3ea35abe05b13418113e01e4b6a9327fa</t>
        </is>
      </c>
    </row>
    <row r="241" ht="54" customHeight="1">
      <c r="A241" s="29" t="inlineStr">
        <is>
          <t>marbella:kaynak:259</t>
        </is>
      </c>
      <c r="B241" s="29" t="inlineStr">
        <is>
          <t>marbella</t>
        </is>
      </c>
      <c r="C241" s="29" t="inlineStr">
        <is>
          <t>Recogida de muebles y enseres</t>
        </is>
      </c>
      <c r="D241" s="29" t="inlineStr">
        <is>
          <t>Ayuntamiento de Marbella</t>
        </is>
      </c>
      <c r="E241" s="29" t="inlineStr">
        <is>
          <t>https://www.marbella.es/web/medio-ambiente/area-de-medio-ambiente/residuos/recogida-de-muebles-y-enseres.html</t>
        </is>
      </c>
      <c r="F241" s="49" t="n">
        <v>46323</v>
      </c>
      <c r="G241" s="29" t="inlineStr">
        <is>
          <t>marbella:gunluk</t>
        </is>
      </c>
      <c r="H241" s="29" t="inlineStr">
        <is>
          <t>Büyük eşya nasıl atılır</t>
        </is>
      </c>
      <c r="I241" s="29" t="inlineStr">
        <is>
          <t>Evet</t>
        </is>
      </c>
      <c r="J241" s="29" t="inlineStr">
        <is>
          <t>Lisans kanıtları/612367a64b817baed32187381af68115545e6e0883f33bf6748f0ecc5ca74629.html</t>
        </is>
      </c>
      <c r="K241" s="29" t="inlineStr">
        <is>
          <t>612367a64b817baed32187381af68115545e6e0883f33bf6748f0ecc5ca74629</t>
        </is>
      </c>
    </row>
    <row r="242" ht="54" customHeight="1">
      <c r="A242" s="29" t="inlineStr">
        <is>
          <t>marbella:kaynak:261</t>
        </is>
      </c>
      <c r="B242" s="29" t="inlineStr">
        <is>
          <t>marbella</t>
        </is>
      </c>
      <c r="C242" s="29" t="inlineStr">
        <is>
          <t>Marbella Este</t>
        </is>
      </c>
      <c r="D242" s="29" t="inlineStr">
        <is>
          <t>Ayuntamiento de Marbella</t>
        </is>
      </c>
      <c r="E242" s="29" t="inlineStr">
        <is>
          <t>https://www.marbella.es/ayto/localizaciones-municipales/directorio-municipal/servicios/puntos-limpios/marbella-este.html</t>
        </is>
      </c>
      <c r="F242" s="49" t="n">
        <v>46323</v>
      </c>
      <c r="G242" s="29" t="inlineStr">
        <is>
          <t>marbella:gunluk</t>
        </is>
      </c>
      <c r="H242" s="29" t="inlineStr">
        <is>
          <t>Marbella Este'deki temiz nokta adresleri</t>
        </is>
      </c>
      <c r="I242" s="29" t="inlineStr">
        <is>
          <t>Evet</t>
        </is>
      </c>
      <c r="J242" s="29" t="inlineStr">
        <is>
          <t>Lisans kanıtları/1f1f9619974c4ce5b929718d7e7f0814e3da08394c8d420f66a03d96d26f1fb3.html</t>
        </is>
      </c>
      <c r="K242" s="29" t="inlineStr">
        <is>
          <t>1f1f9619974c4ce5b929718d7e7f0814e3da08394c8d420f66a03d96d26f1fb3</t>
        </is>
      </c>
    </row>
    <row r="243" ht="54" customHeight="1">
      <c r="A243" s="29" t="inlineStr">
        <is>
          <t>marbella:kaynak:262</t>
        </is>
      </c>
      <c r="B243" s="29" t="inlineStr">
        <is>
          <t>marbella</t>
        </is>
      </c>
      <c r="C243" s="29" t="inlineStr">
        <is>
          <t>Marbella limpia</t>
        </is>
      </c>
      <c r="D243" s="29" t="inlineStr">
        <is>
          <t>Ayuntamiento de Marbella</t>
        </is>
      </c>
      <c r="E243" s="29" t="inlineStr">
        <is>
          <t>https://www.marbella.es/apps/marbella-limpia.html</t>
        </is>
      </c>
      <c r="F243" s="49" t="n">
        <v>46323</v>
      </c>
      <c r="G243" s="29" t="inlineStr">
        <is>
          <t>marbella:gunluk</t>
        </is>
      </c>
      <c r="H243" s="29" t="inlineStr">
        <is>
          <t>Temizlik sorunu bildirme uygulaması</t>
        </is>
      </c>
      <c r="I243" s="29" t="inlineStr">
        <is>
          <t>Evet</t>
        </is>
      </c>
      <c r="J243" s="29" t="inlineStr">
        <is>
          <t>Lisans kanıtları/ed52189e76e684e80525a708905d57283a7354e7ff4b5f8015a84cb69e25ca6d.html</t>
        </is>
      </c>
      <c r="K243" s="29" t="inlineStr">
        <is>
          <t>ed52189e76e684e80525a708905d57283a7354e7ff4b5f8015a84cb69e25ca6d</t>
        </is>
      </c>
    </row>
    <row r="244" ht="54" customHeight="1">
      <c r="A244" s="29" t="inlineStr">
        <is>
          <t>marbella:kaynak:263</t>
        </is>
      </c>
      <c r="B244" s="29" t="inlineStr">
        <is>
          <t>marbella</t>
        </is>
      </c>
      <c r="C244" s="29" t="inlineStr">
        <is>
          <t>Playas</t>
        </is>
      </c>
      <c r="D244" s="29" t="inlineStr">
        <is>
          <t>Ayuntamiento de Marbella</t>
        </is>
      </c>
      <c r="E244" s="29" t="inlineStr">
        <is>
          <t>https://www.marbella.es/web/medio-ambiente/area-de-medio-ambiente/planes-y-programas/playas.html</t>
        </is>
      </c>
      <c r="F244" s="49" t="n">
        <v>46323</v>
      </c>
      <c r="G244" s="29" t="inlineStr">
        <is>
          <t>marbella:gunluk</t>
        </is>
      </c>
      <c r="H244" s="29" t="inlineStr">
        <is>
          <t>Plaj hizmetleri ve sezon düzeni</t>
        </is>
      </c>
      <c r="I244" s="29" t="inlineStr">
        <is>
          <t>Evet</t>
        </is>
      </c>
      <c r="J244" s="29" t="inlineStr">
        <is>
          <t>Lisans kanıtları/618a5f03518e36831a57c46c2d8702026f96040fb9f8ba9d8461f8a7c40921c4.html</t>
        </is>
      </c>
      <c r="K244" s="29" t="inlineStr">
        <is>
          <t>618a5f03518e36831a57c46c2d8702026f96040fb9f8ba9d8461f8a7c40921c4</t>
        </is>
      </c>
    </row>
    <row r="245" ht="54" customHeight="1">
      <c r="A245" s="29" t="inlineStr">
        <is>
          <t>marbella:kaynak:264</t>
        </is>
      </c>
      <c r="B245" s="29" t="inlineStr">
        <is>
          <t>marbella</t>
        </is>
      </c>
      <c r="C245" s="29" t="inlineStr">
        <is>
          <t>Marbella activa el servicio de salvamento y socorrismo en sus playas para la temporada 2026, que contara con más de medio centenar de efectivos en temporada alta</t>
        </is>
      </c>
      <c r="D245" s="29" t="inlineStr">
        <is>
          <t>Ayuntamiento de Marbella</t>
        </is>
      </c>
      <c r="E245" s="29" t="inlineStr">
        <is>
          <t>https://www.marbella.es/actualidad/noticias/marbella-activa-el-servicio-de-salvamento-y-socorrismo-en-sus-playas-para-la-temporada-2026-que-contara-con-mas-de-medio-centenar-de-efectivos-en-temporada-alta.html</t>
        </is>
      </c>
      <c r="F245" s="49" t="n">
        <v>46323</v>
      </c>
      <c r="G245" s="29" t="inlineStr">
        <is>
          <t>marbella:gunluk</t>
        </is>
      </c>
      <c r="H245" s="29" t="inlineStr">
        <is>
          <t>Cankurtaran dönemi ve saatleri</t>
        </is>
      </c>
      <c r="I245" s="29" t="inlineStr">
        <is>
          <t>Evet</t>
        </is>
      </c>
      <c r="J245" s="29" t="inlineStr">
        <is>
          <t>Lisans kanıtları/84c710c9575bc8de7a26b1f316724981a54a3ed03d083e3d397371e9d1b5df66.html</t>
        </is>
      </c>
      <c r="K245" s="29" t="inlineStr">
        <is>
          <t>84c710c9575bc8de7a26b1f316724981a54a3ed03d083e3d397371e9d1b5df66</t>
        </is>
      </c>
    </row>
    <row r="246" ht="54" customHeight="1">
      <c r="A246" s="29" t="inlineStr">
        <is>
          <t>marbella:kaynak:265</t>
        </is>
      </c>
      <c r="B246" s="29" t="inlineStr">
        <is>
          <t>marbella</t>
        </is>
      </c>
      <c r="C246" s="29" t="inlineStr">
        <is>
          <t>Español para extranjeros / Spanish for foreigners</t>
        </is>
      </c>
      <c r="D246" s="29" t="inlineStr">
        <is>
          <t>Ayuntamiento de Marbella</t>
        </is>
      </c>
      <c r="E246" s="29" t="inlineStr">
        <is>
          <t>https://www.marbella.es/web/cultura/formacion-cultura/arte-cultura/cursos-en-marbella/espanol-para-extranjeros-spanish-for-foreigners.html</t>
        </is>
      </c>
      <c r="F246" s="49" t="n">
        <v>46323</v>
      </c>
      <c r="G246" s="29" t="inlineStr">
        <is>
          <t>marbella:gunluk</t>
        </is>
      </c>
      <c r="H246" s="29" t="inlineStr">
        <is>
          <t>Belediye İspanyolca kursu, kayıt yolu</t>
        </is>
      </c>
      <c r="I246" s="29" t="inlineStr">
        <is>
          <t>Evet</t>
        </is>
      </c>
      <c r="J246" s="29" t="inlineStr">
        <is>
          <t>Lisans kanıtları/2742b61ab4cecc1d5775c9a46d6565b5fd0c75bb4e6e5e417f09c6cfb7b5d7d7.html</t>
        </is>
      </c>
      <c r="K246" s="29" t="inlineStr">
        <is>
          <t>2742b61ab4cecc1d5775c9a46d6565b5fd0c75bb4e6e5e417f09c6cfb7b5d7d7</t>
        </is>
      </c>
    </row>
    <row r="247" ht="54" customHeight="1">
      <c r="A247" s="29" t="inlineStr">
        <is>
          <t>marbella:kaynak:266</t>
        </is>
      </c>
      <c r="B247" s="29" t="inlineStr">
        <is>
          <t>marbella</t>
        </is>
      </c>
      <c r="C247" s="29" t="inlineStr">
        <is>
          <t>Formación para Inmigrantes</t>
        </is>
      </c>
      <c r="D247" s="29" t="inlineStr">
        <is>
          <t>Ayuntamiento de Marbella</t>
        </is>
      </c>
      <c r="E247" s="29" t="inlineStr">
        <is>
          <t>https://www.marbella.es/web/cultura/formacion-cultura/arte-cultura/cursos-en-marbella/formacion-para-inmigrantes.html</t>
        </is>
      </c>
      <c r="F247" s="49" t="n">
        <v>46323</v>
      </c>
      <c r="G247" s="29" t="inlineStr">
        <is>
          <t>marbella:gunluk</t>
        </is>
      </c>
      <c r="H247" s="29" t="inlineStr">
        <is>
          <t>Ücretsiz İspanyolca dersleri</t>
        </is>
      </c>
      <c r="I247" s="29" t="inlineStr">
        <is>
          <t>Evet</t>
        </is>
      </c>
      <c r="J247" s="29" t="inlineStr">
        <is>
          <t>Lisans kanıtları/07349eab4f1d4fda6ab888908017e2dd604b340834caef1263830fdabc7b7cef.html</t>
        </is>
      </c>
      <c r="K247" s="29" t="inlineStr">
        <is>
          <t>07349eab4f1d4fda6ab888908017e2dd604b340834caef1263830fdabc7b7cef</t>
        </is>
      </c>
    </row>
    <row r="248" ht="54" customHeight="1">
      <c r="A248" s="29" t="inlineStr">
        <is>
          <t>marbella:kaynak:267</t>
        </is>
      </c>
      <c r="B248" s="29" t="inlineStr">
        <is>
          <t>marbella</t>
        </is>
      </c>
      <c r="C248" s="29" t="inlineStr">
        <is>
          <t>Español para Extranjeros</t>
        </is>
      </c>
      <c r="D248" s="29" t="inlineStr">
        <is>
          <t>Ayuntamiento de Marbella</t>
        </is>
      </c>
      <c r="E248" s="29" t="inlineStr">
        <is>
          <t>https://www.marbella.es/web/cultura/formacion-cultura/arte-cultura/cursos-en-san-pedro-alcantara/espanol-para-extranjeros.html</t>
        </is>
      </c>
      <c r="F248" s="49" t="n">
        <v>46323</v>
      </c>
      <c r="G248" s="29" t="inlineStr">
        <is>
          <t>marbella:gunluk</t>
        </is>
      </c>
      <c r="H248" s="29" t="inlineStr">
        <is>
          <t>San Pedro'da İspanyolca kursu</t>
        </is>
      </c>
      <c r="I248" s="29" t="inlineStr">
        <is>
          <t>Evet</t>
        </is>
      </c>
      <c r="J248" s="29" t="inlineStr">
        <is>
          <t>Lisans kanıtları/00d4d5859a27a27a9c5d6a99505310f9e8e6c90ea8a5da61a26291dfdd78fbd5.html</t>
        </is>
      </c>
      <c r="K248" s="29" t="inlineStr">
        <is>
          <t>00d4d5859a27a27a9c5d6a99505310f9e8e6c90ea8a5da61a26291dfdd78fbd5</t>
        </is>
      </c>
    </row>
    <row r="249" ht="54" customHeight="1">
      <c r="A249" s="29" t="inlineStr">
        <is>
          <t>marbella:kaynak:268</t>
        </is>
      </c>
      <c r="B249" s="29" t="inlineStr">
        <is>
          <t>marbella</t>
        </is>
      </c>
      <c r="C249" s="29" t="inlineStr">
        <is>
          <t>Biblioteca Central Fernando Alcalá Marín</t>
        </is>
      </c>
      <c r="D249" s="29" t="inlineStr">
        <is>
          <t>Ayuntamiento de Marbella</t>
        </is>
      </c>
      <c r="E249" s="29" t="inlineStr">
        <is>
          <t>https://www.marbella.es/web/cultura/instalaciones-culturales/biblioteca-central-fernando-alcala-marin.html</t>
        </is>
      </c>
      <c r="F249" s="49" t="n">
        <v>46323</v>
      </c>
      <c r="G249" s="29" t="inlineStr">
        <is>
          <t>marbella:gunluk</t>
        </is>
      </c>
      <c r="H249" s="29" t="inlineStr">
        <is>
          <t>Kütüphane adresi ve saatleri</t>
        </is>
      </c>
      <c r="I249" s="29" t="inlineStr">
        <is>
          <t>Evet</t>
        </is>
      </c>
      <c r="J249" s="29" t="inlineStr">
        <is>
          <t>Lisans kanıtları/24031a3b7ec0279cbe2020612c6c48e268e61b08557b1e6691fba411662b1095.html</t>
        </is>
      </c>
      <c r="K249" s="29" t="inlineStr">
        <is>
          <t>24031a3b7ec0279cbe2020612c6c48e268e61b08557b1e6691fba411662b1095</t>
        </is>
      </c>
    </row>
    <row r="250" ht="54" customHeight="1">
      <c r="A250" s="29" t="inlineStr">
        <is>
          <t>marbella:kaynak:269</t>
        </is>
      </c>
      <c r="B250" s="29" t="inlineStr">
        <is>
          <t>marbella</t>
        </is>
      </c>
      <c r="C250" s="29" t="inlineStr">
        <is>
          <t>Calendario laboral y fiestas locales - Junta de Andalucía</t>
        </is>
      </c>
      <c r="D250" s="29" t="inlineStr">
        <is>
          <t>Junta de Andalucía</t>
        </is>
      </c>
      <c r="E250" s="29" t="inlineStr">
        <is>
          <t>https://www.juntadeandalucia.es/organismos/empleoempresaytrabajoautonomo/areas/relaciones-laborales/calendario-fiestas.html</t>
        </is>
      </c>
      <c r="F250" s="49" t="n">
        <v>46323</v>
      </c>
      <c r="G250" s="29" t="inlineStr">
        <is>
          <t>marbella:gunluk</t>
        </is>
      </c>
      <c r="H250" s="29" t="inlineStr">
        <is>
          <t>Resmî tatiller ve yerel bayram günlerinin nerede yayımlandığı</t>
        </is>
      </c>
      <c r="I250" s="29" t="inlineStr">
        <is>
          <t>Evet</t>
        </is>
      </c>
      <c r="J250" s="29" t="inlineStr">
        <is>
          <t>Lisans kanıtları/d89c5a8b4b097fbd576fa316e32458f638e5435dba7b530225de7d966bf5831b.html</t>
        </is>
      </c>
      <c r="K250" s="29" t="inlineStr">
        <is>
          <t>d89c5a8b4b097fbd576fa316e32458f638e5435dba7b530225de7d966bf5831b</t>
        </is>
      </c>
    </row>
    <row r="251" ht="54" customHeight="1">
      <c r="A251" s="29" t="inlineStr">
        <is>
          <t>marbella:kaynak:270</t>
        </is>
      </c>
      <c r="B251" s="29" t="inlineStr">
        <is>
          <t>marbella</t>
        </is>
      </c>
      <c r="C251" s="29" t="inlineStr">
        <is>
          <t>Castillo de Marbella: Alcazaba y Muralla</t>
        </is>
      </c>
      <c r="D251" s="29" t="inlineStr">
        <is>
          <t>Ayuntamiento de Marbella</t>
        </is>
      </c>
      <c r="E251" s="29" t="inlineStr">
        <is>
          <t>https://www.marbella.es/web/cultura/patrimonio/casco/castillo-de-marbella-alcazaba-y-muralla.html</t>
        </is>
      </c>
      <c r="F251" s="49" t="n">
        <v>46323</v>
      </c>
      <c r="G251" s="29" t="inlineStr">
        <is>
          <t>marbella:kesif</t>
        </is>
      </c>
      <c r="H251" s="29" t="inlineStr">
        <is>
          <t>Casco Antiguo: kale ve surlar</t>
        </is>
      </c>
      <c r="I251" s="29" t="inlineStr">
        <is>
          <t>Evet</t>
        </is>
      </c>
      <c r="J251" s="29" t="inlineStr">
        <is>
          <t>Lisans kanıtları/a1f08da2a146040e9bb9d1552f8780190d47c61d6bccf0b5db7bec32be396f12.html</t>
        </is>
      </c>
      <c r="K251" s="29" t="inlineStr">
        <is>
          <t>a1f08da2a146040e9bb9d1552f8780190d47c61d6bccf0b5db7bec32be396f12</t>
        </is>
      </c>
    </row>
    <row r="252" ht="54" customHeight="1">
      <c r="A252" s="29" t="inlineStr">
        <is>
          <t>marbella:kaynak:271</t>
        </is>
      </c>
      <c r="B252" s="29" t="inlineStr">
        <is>
          <t>marbella</t>
        </is>
      </c>
      <c r="C252" s="29" t="inlineStr">
        <is>
          <t>Plaza de los Naranjos</t>
        </is>
      </c>
      <c r="D252" s="29" t="inlineStr">
        <is>
          <t>Ayuntamiento de Marbella</t>
        </is>
      </c>
      <c r="E252" s="29" t="inlineStr">
        <is>
          <t>https://www.marbella.es/web/cultura/patrimonio/casco/plaza-de-los-naranjos.html</t>
        </is>
      </c>
      <c r="F252" s="49" t="n">
        <v>46323</v>
      </c>
      <c r="G252" s="29" t="inlineStr">
        <is>
          <t>marbella:kesif</t>
        </is>
      </c>
      <c r="H252" s="29" t="inlineStr">
        <is>
          <t>Casco Antiguo'nun ana meydanı</t>
        </is>
      </c>
      <c r="I252" s="29" t="inlineStr">
        <is>
          <t>Evet</t>
        </is>
      </c>
      <c r="J252" s="29" t="inlineStr">
        <is>
          <t>Lisans kanıtları/80fc21c9bb0c2ac10a6d42f23df36d3784f1c88f228c7917cf1e0f760d5fd648.html</t>
        </is>
      </c>
      <c r="K252" s="29" t="inlineStr">
        <is>
          <t>80fc21c9bb0c2ac10a6d42f23df36d3784f1c88f228c7917cf1e0f760d5fd648</t>
        </is>
      </c>
    </row>
    <row r="253" ht="54" customHeight="1">
      <c r="A253" s="29" t="inlineStr">
        <is>
          <t>marbella:kaynak:272</t>
        </is>
      </c>
      <c r="B253" s="29" t="inlineStr">
        <is>
          <t>marbella</t>
        </is>
      </c>
      <c r="C253" s="29" t="inlineStr">
        <is>
          <t>Hospital Real de la Misericordia</t>
        </is>
      </c>
      <c r="D253" s="29" t="inlineStr">
        <is>
          <t>Ayuntamiento de Marbella</t>
        </is>
      </c>
      <c r="E253" s="29" t="inlineStr">
        <is>
          <t>https://www.marbella.es/web/cultura/patrimonio/casco/hospital-real-de-la-misericordia.html</t>
        </is>
      </c>
      <c r="F253" s="49" t="n">
        <v>46323</v>
      </c>
      <c r="G253" s="29" t="inlineStr">
        <is>
          <t>marbella:kesif</t>
        </is>
      </c>
      <c r="H253" s="29" t="inlineStr">
        <is>
          <t>Casco Antiguo anıtı</t>
        </is>
      </c>
      <c r="I253" s="29" t="inlineStr">
        <is>
          <t>Evet</t>
        </is>
      </c>
      <c r="J253" s="29" t="inlineStr">
        <is>
          <t>Lisans kanıtları/53e361ab42489d7cd7ec1ea6def3b906ce7e2d738e03efc8623d3e4586281a81.html</t>
        </is>
      </c>
      <c r="K253" s="29" t="inlineStr">
        <is>
          <t>53e361ab42489d7cd7ec1ea6def3b906ce7e2d738e03efc8623d3e4586281a81</t>
        </is>
      </c>
    </row>
    <row r="254" ht="54" customHeight="1">
      <c r="A254" s="29" t="inlineStr">
        <is>
          <t>marbella:kaynak:273</t>
        </is>
      </c>
      <c r="B254" s="29" t="inlineStr">
        <is>
          <t>marbella</t>
        </is>
      </c>
      <c r="C254" s="29" t="inlineStr">
        <is>
          <t>Iglesia de Ntra. Sra. de la Encarnación</t>
        </is>
      </c>
      <c r="D254" s="29" t="inlineStr">
        <is>
          <t>Ayuntamiento de Marbella</t>
        </is>
      </c>
      <c r="E254" s="29" t="inlineStr">
        <is>
          <t>https://www.marbella.es/web/cultura/patrimonio/casco/iglesia-de-ntra-sra-de-la-encarnacion.html</t>
        </is>
      </c>
      <c r="F254" s="49" t="n">
        <v>46323</v>
      </c>
      <c r="G254" s="29" t="inlineStr">
        <is>
          <t>marbella:kesif</t>
        </is>
      </c>
      <c r="H254" s="29" t="inlineStr">
        <is>
          <t>Casco Antiguo kilisesi</t>
        </is>
      </c>
      <c r="I254" s="29" t="inlineStr">
        <is>
          <t>Evet</t>
        </is>
      </c>
      <c r="J254" s="29" t="inlineStr">
        <is>
          <t>Lisans kanıtları/cd84581741e5da5bc0f1563373d4dc82ee2e0155cae5cd66c3dba0ff78d45fba.html</t>
        </is>
      </c>
      <c r="K254" s="29" t="inlineStr">
        <is>
          <t>cd84581741e5da5bc0f1563373d4dc82ee2e0155cae5cd66c3dba0ff78d45fba</t>
        </is>
      </c>
    </row>
    <row r="255" ht="54" customHeight="1">
      <c r="A255" s="29" t="inlineStr">
        <is>
          <t>marbella:kaynak:274</t>
        </is>
      </c>
      <c r="B255" s="29" t="inlineStr">
        <is>
          <t>marbella</t>
        </is>
      </c>
      <c r="C255" s="29" t="inlineStr">
        <is>
          <t>Cortijo Miraflores</t>
        </is>
      </c>
      <c r="D255" s="29" t="inlineStr">
        <is>
          <t>Ayuntamiento de Marbella</t>
        </is>
      </c>
      <c r="E255" s="29" t="inlineStr">
        <is>
          <t>https://www.marbella.es/web/cultura/patrimonio/casco/cortijo-miraflores.html</t>
        </is>
      </c>
      <c r="F255" s="49" t="n">
        <v>46323</v>
      </c>
      <c r="G255" s="29" t="inlineStr">
        <is>
          <t>marbella:kesif</t>
        </is>
      </c>
      <c r="H255" s="29" t="inlineStr">
        <is>
          <t>Tarihî yapı ve kültür merkezi</t>
        </is>
      </c>
      <c r="I255" s="29" t="inlineStr">
        <is>
          <t>Evet</t>
        </is>
      </c>
      <c r="J255" s="29" t="inlineStr">
        <is>
          <t>Lisans kanıtları/07068739955e3a80cbe88386c046f7c3833bbbefb927d779c6992ae2caf36ceb.html</t>
        </is>
      </c>
      <c r="K255" s="29" t="inlineStr">
        <is>
          <t>07068739955e3a80cbe88386c046f7c3833bbbefb927d779c6992ae2caf36ceb</t>
        </is>
      </c>
    </row>
    <row r="256" ht="54" customHeight="1">
      <c r="A256" s="29" t="inlineStr">
        <is>
          <t>marbella:kaynak:275</t>
        </is>
      </c>
      <c r="B256" s="29" t="inlineStr">
        <is>
          <t>marbella</t>
        </is>
      </c>
      <c r="C256" s="29" t="inlineStr">
        <is>
          <t>Museo del Grabado Español Contemporáneo</t>
        </is>
      </c>
      <c r="D256" s="29" t="inlineStr">
        <is>
          <t>Ayuntamiento de Marbella</t>
        </is>
      </c>
      <c r="E256" s="29" t="inlineStr">
        <is>
          <t>https://www.marbella.es/web/cultura/instalaciones-culturales/museo-del-grabado-espanol-contemporaneo.html</t>
        </is>
      </c>
      <c r="F256" s="49" t="n">
        <v>46323</v>
      </c>
      <c r="G256" s="29" t="inlineStr">
        <is>
          <t>marbella:kesif</t>
        </is>
      </c>
      <c r="H256" s="29" t="inlineStr">
        <is>
          <t>Müze ücreti ve saatleri</t>
        </is>
      </c>
      <c r="I256" s="29" t="inlineStr">
        <is>
          <t>Evet</t>
        </is>
      </c>
      <c r="J256" s="29" t="inlineStr">
        <is>
          <t>Lisans kanıtları/7bc0fccb3f6b593559a41c59bce269ecad39403141255c809d67b7b9265a7e4b.html</t>
        </is>
      </c>
      <c r="K256" s="29" t="inlineStr">
        <is>
          <t>7bc0fccb3f6b593559a41c59bce269ecad39403141255c809d67b7b9265a7e4b</t>
        </is>
      </c>
    </row>
    <row r="257" ht="54" customHeight="1">
      <c r="A257" s="29" t="inlineStr">
        <is>
          <t>marbella:kaynak:276</t>
        </is>
      </c>
      <c r="B257" s="29" t="inlineStr">
        <is>
          <t>marbella</t>
        </is>
      </c>
      <c r="C257" s="29" t="inlineStr">
        <is>
          <t>Villa Romana de Río Verde</t>
        </is>
      </c>
      <c r="D257" s="29" t="inlineStr">
        <is>
          <t>Ayuntamiento de Marbella</t>
        </is>
      </c>
      <c r="E257" s="29" t="inlineStr">
        <is>
          <t>https://www.marbella.es/web/cultura/patrimonio/arqueologia/villa-romana-de-rio-verde.html</t>
        </is>
      </c>
      <c r="F257" s="49" t="n">
        <v>46323</v>
      </c>
      <c r="G257" s="29" t="inlineStr">
        <is>
          <t>marbella:kesif</t>
        </is>
      </c>
      <c r="H257" s="29" t="inlineStr">
        <is>
          <t>Roma dönemi kalıntısı ve mozaikler</t>
        </is>
      </c>
      <c r="I257" s="29" t="inlineStr">
        <is>
          <t>Evet</t>
        </is>
      </c>
      <c r="J257" s="29" t="inlineStr">
        <is>
          <t>Lisans kanıtları/9058661cd7e0774ca9d68d048c13d750280dc8c2dde5d33159a8accbda9f1abc.html</t>
        </is>
      </c>
      <c r="K257" s="29" t="inlineStr">
        <is>
          <t>9058661cd7e0774ca9d68d048c13d750280dc8c2dde5d33159a8accbda9f1abc</t>
        </is>
      </c>
    </row>
    <row r="258" ht="54" customHeight="1">
      <c r="A258" s="29" t="inlineStr">
        <is>
          <t>marbella:kaynak:277</t>
        </is>
      </c>
      <c r="B258" s="29" t="inlineStr">
        <is>
          <t>marbella</t>
        </is>
      </c>
      <c r="C258" s="29" t="inlineStr">
        <is>
          <t>Sala Arqueológica</t>
        </is>
      </c>
      <c r="D258" s="29" t="inlineStr">
        <is>
          <t>Ayuntamiento de Marbella</t>
        </is>
      </c>
      <c r="E258" s="29" t="inlineStr">
        <is>
          <t>https://www.marbella.es/web/cultura/patrimonio/arqueologia/sala-arqueologica.html</t>
        </is>
      </c>
      <c r="F258" s="49" t="n">
        <v>46323</v>
      </c>
      <c r="G258" s="29" t="inlineStr">
        <is>
          <t>marbella:kesif</t>
        </is>
      </c>
      <c r="H258" s="29" t="inlineStr">
        <is>
          <t>Arkeoloji sergisi</t>
        </is>
      </c>
      <c r="I258" s="29" t="inlineStr">
        <is>
          <t>Evet</t>
        </is>
      </c>
      <c r="J258" s="29" t="inlineStr">
        <is>
          <t>Lisans kanıtları/e51cc6b4abed22fc17e41e61654b2fe3c1ace01790333681ceb1693ff63d8486.html</t>
        </is>
      </c>
      <c r="K258" s="29" t="inlineStr">
        <is>
          <t>e51cc6b4abed22fc17e41e61654b2fe3c1ace01790333681ceb1693ff63d8486</t>
        </is>
      </c>
    </row>
    <row r="259" ht="54" customHeight="1">
      <c r="A259" s="29" t="inlineStr">
        <is>
          <t>marbella:kaynak:278</t>
        </is>
      </c>
      <c r="B259" s="29" t="inlineStr">
        <is>
          <t>marbella</t>
        </is>
      </c>
      <c r="C259" s="29" t="inlineStr">
        <is>
          <t>Torre Ancón</t>
        </is>
      </c>
      <c r="D259" s="29" t="inlineStr">
        <is>
          <t>Ayuntamiento de Marbella</t>
        </is>
      </c>
      <c r="E259" s="29" t="inlineStr">
        <is>
          <t>https://www.marbella.es/web/cultura/patrimonio/torres-vigia/torre-ancon.html</t>
        </is>
      </c>
      <c r="F259" s="49" t="n">
        <v>46323</v>
      </c>
      <c r="G259" s="29" t="inlineStr">
        <is>
          <t>marbella:kesif</t>
        </is>
      </c>
      <c r="H259" s="29" t="inlineStr">
        <is>
          <t>Sahil gözetleme kuleleri</t>
        </is>
      </c>
      <c r="I259" s="29" t="inlineStr">
        <is>
          <t>Evet</t>
        </is>
      </c>
      <c r="J259" s="29" t="inlineStr">
        <is>
          <t>Lisans kanıtları/a8ad8ca32ed2407d6b005654b8073d522e14f364acc4d94d0623727526400cd2.html</t>
        </is>
      </c>
      <c r="K259" s="29" t="inlineStr">
        <is>
          <t>a8ad8ca32ed2407d6b005654b8073d522e14f364acc4d94d0623727526400cd2</t>
        </is>
      </c>
    </row>
    <row r="260" ht="54" customHeight="1">
      <c r="A260" s="29" t="inlineStr">
        <is>
          <t>marbella:kaynak:279</t>
        </is>
      </c>
      <c r="B260" s="29" t="inlineStr">
        <is>
          <t>marbella</t>
        </is>
      </c>
      <c r="C260" s="29" t="inlineStr">
        <is>
          <t>Red de senderos de Sierra Blanca</t>
        </is>
      </c>
      <c r="D260" s="29" t="inlineStr">
        <is>
          <t>Ayuntamiento de Marbella</t>
        </is>
      </c>
      <c r="E260" s="29" t="inlineStr">
        <is>
          <t>https://www.marbella.es/web/medio-ambiente/area-de-medio-ambiente/senderos.html</t>
        </is>
      </c>
      <c r="F260" s="49" t="n">
        <v>46323</v>
      </c>
      <c r="G260" s="29" t="inlineStr">
        <is>
          <t>marbella:kesif</t>
        </is>
      </c>
      <c r="H260" s="29" t="inlineStr">
        <is>
          <t>Sierra Blanca yürüyüş ağı</t>
        </is>
      </c>
      <c r="I260" s="29" t="inlineStr">
        <is>
          <t>Evet</t>
        </is>
      </c>
      <c r="J260" s="29" t="inlineStr">
        <is>
          <t>Lisans kanıtları/c6efc2b63d00f8468bb2e3d012c16bc6f36e1e31f060b9419df0fb59bc858fb3.html</t>
        </is>
      </c>
      <c r="K260" s="29" t="inlineStr">
        <is>
          <t>c6efc2b63d00f8468bb2e3d012c16bc6f36e1e31f060b9419df0fb59bc858fb3</t>
        </is>
      </c>
    </row>
    <row r="261" ht="54" customHeight="1">
      <c r="A261" s="29" t="inlineStr">
        <is>
          <t>marbella:kaynak:280</t>
        </is>
      </c>
      <c r="B261" s="29" t="inlineStr">
        <is>
          <t>marbella</t>
        </is>
      </c>
      <c r="C261" s="29" t="inlineStr">
        <is>
          <t>Recomendaciones</t>
        </is>
      </c>
      <c r="D261" s="29" t="inlineStr">
        <is>
          <t>Ayuntamiento de Marbella</t>
        </is>
      </c>
      <c r="E261" s="29" t="inlineStr">
        <is>
          <t>https://www.marbella.es/web/medio-ambiente/area-de-medio-ambiente/senderos/recomendaciones.html</t>
        </is>
      </c>
      <c r="F261" s="49" t="n">
        <v>46323</v>
      </c>
      <c r="G261" s="29" t="inlineStr">
        <is>
          <t>marbella:kesif</t>
        </is>
      </c>
      <c r="H261" s="29" t="inlineStr">
        <is>
          <t>Yürüyüş önerileri</t>
        </is>
      </c>
      <c r="I261" s="29" t="inlineStr">
        <is>
          <t>Evet</t>
        </is>
      </c>
      <c r="J261" s="29" t="inlineStr">
        <is>
          <t>Lisans kanıtları/5563add67acf715df1e0a6dbf1e3c5ab926fe0fdbfef473a708ac4ef07399ff5.html</t>
        </is>
      </c>
      <c r="K261" s="29" t="inlineStr">
        <is>
          <t>5563add67acf715df1e0a6dbf1e3c5ab926fe0fdbfef473a708ac4ef07399ff5</t>
        </is>
      </c>
    </row>
    <row r="262" ht="54" customHeight="1">
      <c r="A262" s="29" t="inlineStr">
        <is>
          <t>marbella:kaynak:281</t>
        </is>
      </c>
      <c r="B262" s="29" t="inlineStr">
        <is>
          <t>marbella</t>
        </is>
      </c>
      <c r="C262" s="29" t="inlineStr">
        <is>
          <t>Sendas de la Biodiversidad</t>
        </is>
      </c>
      <c r="D262" s="29" t="inlineStr">
        <is>
          <t>Ayuntamiento de Marbella</t>
        </is>
      </c>
      <c r="E262" s="29" t="inlineStr">
        <is>
          <t>https://www.marbella.es/web/medio-ambiente/area-de-medio-ambiente/sendas-de-la-biodiversidad.html</t>
        </is>
      </c>
      <c r="F262" s="49" t="n">
        <v>46323</v>
      </c>
      <c r="G262" s="29" t="inlineStr">
        <is>
          <t>marbella:kesif</t>
        </is>
      </c>
      <c r="H262" s="29" t="inlineStr">
        <is>
          <t>Şehir içi doğa yürüyüşleri</t>
        </is>
      </c>
      <c r="I262" s="29" t="inlineStr">
        <is>
          <t>Evet</t>
        </is>
      </c>
      <c r="J262" s="29" t="inlineStr">
        <is>
          <t>Lisans kanıtları/856436560f07752475200842252a36d6dbdb6399739a73beaa873b5d6d433af2.html</t>
        </is>
      </c>
      <c r="K262" s="29" t="inlineStr">
        <is>
          <t>856436560f07752475200842252a36d6dbdb6399739a73beaa873b5d6d433af2</t>
        </is>
      </c>
    </row>
    <row r="263" ht="54" customHeight="1">
      <c r="A263" s="29" t="inlineStr">
        <is>
          <t>marbella:kaynak:282</t>
        </is>
      </c>
      <c r="B263" s="29" t="inlineStr">
        <is>
          <t>marbella</t>
        </is>
      </c>
      <c r="C263" s="29" t="inlineStr">
        <is>
          <t>Venus-Bajadilla</t>
        </is>
      </c>
      <c r="D263" s="29" t="inlineStr">
        <is>
          <t>Ayuntamiento de Marbella</t>
        </is>
      </c>
      <c r="E263" s="29" t="inlineStr">
        <is>
          <t>https://www.marbella.es/web/medio-ambiente/catalogo-de-playas/venus-bajadilla.html</t>
        </is>
      </c>
      <c r="F263" s="49" t="n">
        <v>46323</v>
      </c>
      <c r="G263" s="29" t="inlineStr">
        <is>
          <t>marbella:kesif</t>
        </is>
      </c>
      <c r="H263" s="29" t="inlineStr">
        <is>
          <t>Plaj katalogu: erişilebilir plaj</t>
        </is>
      </c>
      <c r="I263" s="29" t="inlineStr">
        <is>
          <t>Evet</t>
        </is>
      </c>
      <c r="J263" s="29" t="inlineStr">
        <is>
          <t>Lisans kanıtları/b2424f124e6d6a3b8b8127f5e265d2794590115eef3b5f81746859298a921b32.html</t>
        </is>
      </c>
      <c r="K263" s="29" t="inlineStr">
        <is>
          <t>b2424f124e6d6a3b8b8127f5e265d2794590115eef3b5f81746859298a921b32</t>
        </is>
      </c>
    </row>
    <row r="264" ht="54" customHeight="1">
      <c r="A264" s="29" t="inlineStr">
        <is>
          <t>marbella:kaynak:283</t>
        </is>
      </c>
      <c r="B264" s="29" t="inlineStr">
        <is>
          <t>marbella</t>
        </is>
      </c>
      <c r="C264" s="29" t="inlineStr">
        <is>
          <t>Parque del Mediterráneo</t>
        </is>
      </c>
      <c r="D264" s="29" t="inlineStr">
        <is>
          <t>Ayuntamiento de Marbella</t>
        </is>
      </c>
      <c r="E264" s="29" t="inlineStr">
        <is>
          <t>https://www.marbella.es/web/deportes/instalaciones-deportivas/parque-del-mediterraneo.html</t>
        </is>
      </c>
      <c r="F264" s="49" t="n">
        <v>46323</v>
      </c>
      <c r="G264" s="29" t="inlineStr">
        <is>
          <t>marbella:kesif</t>
        </is>
      </c>
      <c r="H264" s="29" t="inlineStr">
        <is>
          <t>Çocuklu park ve spor alanı</t>
        </is>
      </c>
      <c r="I264" s="29" t="inlineStr">
        <is>
          <t>Evet</t>
        </is>
      </c>
      <c r="J264" s="29" t="inlineStr">
        <is>
          <t>Lisans kanıtları/9a92330bf5684860d220d539d9209d316dfaeaba08cc7af283640d0d6230642e.html</t>
        </is>
      </c>
      <c r="K264" s="29" t="inlineStr">
        <is>
          <t>9a92330bf5684860d220d539d9209d316dfaeaba08cc7af283640d0d6230642e</t>
        </is>
      </c>
    </row>
    <row r="265" ht="54" customHeight="1">
      <c r="A265" s="29" t="inlineStr">
        <is>
          <t>marbella:kaynak:284</t>
        </is>
      </c>
      <c r="B265" s="29" t="inlineStr">
        <is>
          <t>marbella</t>
        </is>
      </c>
      <c r="C265" s="29" t="inlineStr">
        <is>
          <t>Marbella Urban Park</t>
        </is>
      </c>
      <c r="D265" s="29" t="inlineStr">
        <is>
          <t>Ayuntamiento de Marbella</t>
        </is>
      </c>
      <c r="E265" s="29" t="inlineStr">
        <is>
          <t>https://www.marbella.es/web/deportes/instalaciones-deportivas/marbella-urban-park.html</t>
        </is>
      </c>
      <c r="F265" s="49" t="n">
        <v>46323</v>
      </c>
      <c r="G265" s="29" t="inlineStr">
        <is>
          <t>marbella:kesif</t>
        </is>
      </c>
      <c r="H265" s="29" t="inlineStr">
        <is>
          <t>Skate parkı, adres ve saat</t>
        </is>
      </c>
      <c r="I265" s="29" t="inlineStr">
        <is>
          <t>Evet</t>
        </is>
      </c>
      <c r="J265" s="29" t="inlineStr">
        <is>
          <t>Lisans kanıtları/727bb84cd2a7f84539078f25f9a9a01f9405e6c3379abec963755288d3cb2bab.html</t>
        </is>
      </c>
      <c r="K265" s="29" t="inlineStr">
        <is>
          <t>727bb84cd2a7f84539078f25f9a9a01f9405e6c3379abec963755288d3cb2bab</t>
        </is>
      </c>
    </row>
    <row r="266" ht="54" customHeight="1">
      <c r="A266" s="29" t="inlineStr">
        <is>
          <t>marbella:kaynak:285</t>
        </is>
      </c>
      <c r="B266" s="29" t="inlineStr">
        <is>
          <t>marbella</t>
        </is>
      </c>
      <c r="C266" s="29" t="inlineStr">
        <is>
          <t>Parque Arroyo de la Represa</t>
        </is>
      </c>
      <c r="D266" s="29" t="inlineStr">
        <is>
          <t>Ayuntamiento de Marbella</t>
        </is>
      </c>
      <c r="E266" s="29" t="inlineStr">
        <is>
          <t>https://www.marbella.es/web/deportes/instalaciones-deportivas/parque-arroyo-de-la-represa.html</t>
        </is>
      </c>
      <c r="F266" s="49" t="n">
        <v>46323</v>
      </c>
      <c r="G266" s="29" t="inlineStr">
        <is>
          <t>marbella:kesif</t>
        </is>
      </c>
      <c r="H266" s="29" t="inlineStr">
        <is>
          <t>Park ve spor tesisi</t>
        </is>
      </c>
      <c r="I266" s="29" t="inlineStr">
        <is>
          <t>Evet</t>
        </is>
      </c>
      <c r="J266" s="29" t="inlineStr">
        <is>
          <t>Lisans kanıtları/69f6fccbb0a9dce51aa4541ce5bd826979eeeacecf75229fb26ca4bfed0ffc74.html</t>
        </is>
      </c>
      <c r="K266" s="29" t="inlineStr">
        <is>
          <t>69f6fccbb0a9dce51aa4541ce5bd826979eeeacecf75229fb26ca4bfed0ffc74</t>
        </is>
      </c>
    </row>
    <row r="267" ht="54" customHeight="1">
      <c r="A267" s="29" t="inlineStr">
        <is>
          <t>marbella:kaynak:286</t>
        </is>
      </c>
      <c r="B267" s="29" t="inlineStr">
        <is>
          <t>marbella</t>
        </is>
      </c>
      <c r="C267" s="29" t="inlineStr">
        <is>
          <t>Instalaciones deportivas</t>
        </is>
      </c>
      <c r="D267" s="29" t="inlineStr">
        <is>
          <t>Ayuntamiento de Marbella</t>
        </is>
      </c>
      <c r="E267" s="29" t="inlineStr">
        <is>
          <t>https://www.marbella.es/web/deportes/instalaciones-deportivas.html</t>
        </is>
      </c>
      <c r="F267" s="49" t="n">
        <v>46323</v>
      </c>
      <c r="G267" s="29" t="inlineStr">
        <is>
          <t>marbella:kesif</t>
        </is>
      </c>
      <c r="H267" s="29" t="inlineStr">
        <is>
          <t>Belediye spor tesisleri listesi</t>
        </is>
      </c>
      <c r="I267" s="29" t="inlineStr">
        <is>
          <t>Evet</t>
        </is>
      </c>
      <c r="J267" s="29" t="inlineStr">
        <is>
          <t>Lisans kanıtları/3b91973a3e906c7f8dcc8a8887e6127bbad2438b93d106d44e8813b14a7e219c.html</t>
        </is>
      </c>
      <c r="K267" s="29" t="inlineStr">
        <is>
          <t>3b91973a3e906c7f8dcc8a8887e6127bbad2438b93d106d44e8813b14a7e219c</t>
        </is>
      </c>
    </row>
    <row r="268" ht="54" customHeight="1">
      <c r="A268" s="29" t="inlineStr">
        <is>
          <t>marbella:kaynak:287</t>
        </is>
      </c>
      <c r="B268" s="29" t="inlineStr">
        <is>
          <t>marbella</t>
        </is>
      </c>
      <c r="C268" s="29" t="inlineStr">
        <is>
          <t>How to get here by taxi | Málaga Aiport | Aena</t>
        </is>
      </c>
      <c r="D268" s="29" t="inlineStr">
        <is>
          <t>Aena</t>
        </is>
      </c>
      <c r="E268" s="29" t="inlineStr">
        <is>
          <t>https://www.aena.es/en/malaga-costa-del-sol/getting-there/taxi.html</t>
        </is>
      </c>
      <c r="F268" s="49" t="n">
        <v>46323</v>
      </c>
      <c r="G268" s="29" t="inlineStr">
        <is>
          <t>marbella:planlama</t>
        </is>
      </c>
      <c r="H268" s="29" t="inlineStr">
        <is>
          <t>Málaga havalimanından çıkan taksi tarifeleri (asgari ücret, km ücreti, ek ücretler) ve havalimanındaki taksi şirketleri.</t>
        </is>
      </c>
      <c r="I268" s="29" t="inlineStr">
        <is>
          <t>Evet</t>
        </is>
      </c>
      <c r="J268" s="29" t="inlineStr">
        <is>
          <t>Lisans kanıtları/497728c3ab85c33f450c3e89a00e230068716965f316c382a448ee0079a86f25.html</t>
        </is>
      </c>
      <c r="K268" s="29" t="inlineStr">
        <is>
          <t>497728c3ab85c33f450c3e89a00e230068716965f316c382a448ee0079a86f25</t>
        </is>
      </c>
    </row>
    <row r="269" ht="54" customHeight="1">
      <c r="A269" s="29" t="inlineStr">
        <is>
          <t>marbella:kaynak:288</t>
        </is>
      </c>
      <c r="B269" s="29" t="inlineStr">
        <is>
          <t>marbella</t>
        </is>
      </c>
      <c r="C269" s="29" t="inlineStr">
        <is>
          <t>Viajes en autobús a Marbella, billetes de bus | Avanza Autobuses</t>
        </is>
      </c>
      <c r="D269" s="29" t="inlineStr">
        <is>
          <t>Avanza (Avanzabus)</t>
        </is>
      </c>
      <c r="E269" s="29" t="inlineStr">
        <is>
          <t>https://www.avanzabus.com/destinos/marbella/</t>
        </is>
      </c>
      <c r="F269" s="49" t="n">
        <v>46323</v>
      </c>
      <c r="G269" s="29" t="inlineStr">
        <is>
          <t>marbella:planlama</t>
        </is>
      </c>
      <c r="H269" s="29" t="inlineStr">
        <is>
          <t>Avanzabus Málaga-Marbella hat sayfası: bilet satın alma ve Marbella otogarında bağlantılar.</t>
        </is>
      </c>
      <c r="I269" s="29" t="inlineStr">
        <is>
          <t>Evet</t>
        </is>
      </c>
      <c r="J269" s="29" t="inlineStr">
        <is>
          <t>Lisans kanıtları/176163418e143385b3ab0dde215cd144aa0234f9888e45c654adb605eff2f832.html</t>
        </is>
      </c>
      <c r="K269" s="29" t="inlineStr">
        <is>
          <t>176163418e143385b3ab0dde215cd144aa0234f9888e45c654adb605eff2f832</t>
        </is>
      </c>
    </row>
    <row r="270" ht="54" customHeight="1">
      <c r="A270" s="29" t="n"/>
      <c r="B270" s="29" t="n"/>
      <c r="C270" s="29" t="n"/>
      <c r="D270" s="29" t="n"/>
      <c r="E270" s="29" t="n"/>
      <c r="F270" s="49" t="n"/>
      <c r="G270" s="29" t="n"/>
      <c r="H270" s="29" t="n"/>
      <c r="I270" s="29" t="n"/>
      <c r="J270" s="29" t="n"/>
      <c r="K270" s="29" t="n"/>
    </row>
    <row r="271" ht="54" customHeight="1">
      <c r="A271" s="29" t="n"/>
      <c r="B271" s="29" t="n"/>
      <c r="C271" s="29" t="n"/>
      <c r="D271" s="29" t="n"/>
      <c r="E271" s="29" t="n"/>
      <c r="F271" s="49" t="n"/>
      <c r="G271" s="29" t="n"/>
      <c r="H271" s="29" t="n"/>
      <c r="I271" s="29" t="n"/>
      <c r="J271" s="29" t="n"/>
      <c r="K271" s="29" t="n"/>
    </row>
    <row r="272" ht="54" customHeight="1">
      <c r="A272" s="29" t="n"/>
      <c r="B272" s="29" t="n"/>
      <c r="C272" s="29" t="n"/>
      <c r="D272" s="29" t="n"/>
      <c r="E272" s="29" t="n"/>
      <c r="F272" s="49" t="n"/>
      <c r="G272" s="29" t="n"/>
      <c r="H272" s="29" t="n"/>
      <c r="I272" s="29" t="n"/>
      <c r="J272" s="29" t="n"/>
      <c r="K272" s="29" t="n"/>
    </row>
    <row r="273" ht="54" customHeight="1">
      <c r="A273" s="29" t="n"/>
      <c r="B273" s="29" t="n"/>
      <c r="C273" s="29" t="n"/>
      <c r="D273" s="29" t="n"/>
      <c r="E273" s="29" t="n"/>
      <c r="F273" s="49" t="n"/>
      <c r="G273" s="29" t="n"/>
      <c r="H273" s="29" t="n"/>
      <c r="I273" s="29" t="n"/>
      <c r="J273" s="29" t="n"/>
      <c r="K273" s="29" t="n"/>
    </row>
    <row r="274" ht="54" customHeight="1">
      <c r="A274" s="29" t="n"/>
      <c r="B274" s="29" t="n"/>
      <c r="C274" s="29" t="n"/>
      <c r="D274" s="29" t="n"/>
      <c r="E274" s="29" t="n"/>
      <c r="F274" s="49" t="n"/>
      <c r="G274" s="29" t="n"/>
      <c r="H274" s="29" t="n"/>
      <c r="I274" s="29" t="n"/>
      <c r="J274" s="29" t="n"/>
      <c r="K274" s="29" t="n"/>
    </row>
    <row r="275" ht="54" customHeight="1">
      <c r="A275" s="29" t="n"/>
      <c r="B275" s="29" t="n"/>
      <c r="C275" s="29" t="n"/>
      <c r="D275" s="29" t="n"/>
      <c r="E275" s="29" t="n"/>
      <c r="F275" s="49" t="n"/>
      <c r="G275" s="29" t="n"/>
      <c r="H275" s="29" t="n"/>
      <c r="I275" s="29" t="n"/>
      <c r="J275" s="29" t="n"/>
      <c r="K275" s="29" t="n"/>
    </row>
    <row r="276" ht="54" customHeight="1">
      <c r="A276" s="29" t="n"/>
      <c r="B276" s="29" t="n"/>
      <c r="C276" s="29" t="n"/>
      <c r="D276" s="29" t="n"/>
      <c r="E276" s="29" t="n"/>
      <c r="F276" s="49" t="n"/>
      <c r="G276" s="29" t="n"/>
      <c r="H276" s="29" t="n"/>
      <c r="I276" s="29" t="n"/>
      <c r="J276" s="29" t="n"/>
      <c r="K276" s="29" t="n"/>
    </row>
    <row r="277" ht="54" customHeight="1">
      <c r="A277" s="29" t="n"/>
      <c r="B277" s="29" t="n"/>
      <c r="C277" s="29" t="n"/>
      <c r="D277" s="29" t="n"/>
      <c r="E277" s="29" t="n"/>
      <c r="F277" s="49" t="n"/>
      <c r="G277" s="29" t="n"/>
      <c r="H277" s="29" t="n"/>
      <c r="I277" s="29" t="n"/>
      <c r="J277" s="29" t="n"/>
      <c r="K277" s="29" t="n"/>
    </row>
    <row r="278" ht="54" customHeight="1">
      <c r="A278" s="29" t="n"/>
      <c r="B278" s="29" t="n"/>
      <c r="C278" s="29" t="n"/>
      <c r="D278" s="29" t="n"/>
      <c r="E278" s="29" t="n"/>
      <c r="F278" s="49" t="n"/>
      <c r="G278" s="29" t="n"/>
      <c r="H278" s="29" t="n"/>
      <c r="I278" s="29" t="n"/>
      <c r="J278" s="29" t="n"/>
      <c r="K278" s="29" t="n"/>
    </row>
    <row r="279" ht="54" customHeight="1">
      <c r="A279" s="29" t="n"/>
      <c r="B279" s="29" t="n"/>
      <c r="C279" s="29" t="n"/>
      <c r="D279" s="29" t="n"/>
      <c r="E279" s="29" t="n"/>
      <c r="F279" s="49" t="n"/>
      <c r="G279" s="29" t="n"/>
      <c r="H279" s="29" t="n"/>
      <c r="I279" s="29" t="n"/>
      <c r="J279" s="29" t="n"/>
      <c r="K279" s="29" t="n"/>
    </row>
    <row r="280" ht="54" customHeight="1">
      <c r="A280" s="29" t="n"/>
      <c r="B280" s="29" t="n"/>
      <c r="C280" s="29" t="n"/>
      <c r="D280" s="29" t="n"/>
      <c r="E280" s="29" t="n"/>
      <c r="F280" s="49" t="n"/>
      <c r="G280" s="29" t="n"/>
      <c r="H280" s="29" t="n"/>
      <c r="I280" s="29" t="n"/>
      <c r="J280" s="29" t="n"/>
      <c r="K280" s="29" t="n"/>
    </row>
    <row r="281" ht="54" customHeight="1">
      <c r="A281" s="29" t="n"/>
      <c r="B281" s="29" t="n"/>
      <c r="C281" s="29" t="n"/>
      <c r="D281" s="29" t="n"/>
      <c r="E281" s="29" t="n"/>
      <c r="F281" s="49" t="n"/>
      <c r="G281" s="29" t="n"/>
      <c r="H281" s="29" t="n"/>
      <c r="I281" s="29" t="n"/>
      <c r="J281" s="29" t="n"/>
      <c r="K281" s="29" t="n"/>
    </row>
    <row r="282" ht="54" customHeight="1">
      <c r="A282" s="29" t="n"/>
      <c r="B282" s="29" t="n"/>
      <c r="C282" s="29" t="n"/>
      <c r="D282" s="29" t="n"/>
      <c r="E282" s="29" t="n"/>
      <c r="F282" s="49" t="n"/>
      <c r="G282" s="29" t="n"/>
      <c r="H282" s="29" t="n"/>
      <c r="I282" s="29" t="n"/>
      <c r="J282" s="29" t="n"/>
      <c r="K282" s="29" t="n"/>
    </row>
    <row r="283" ht="54" customHeight="1">
      <c r="A283" s="29" t="n"/>
      <c r="B283" s="29" t="n"/>
      <c r="C283" s="29" t="n"/>
      <c r="D283" s="29" t="n"/>
      <c r="E283" s="29" t="n"/>
      <c r="F283" s="49" t="n"/>
      <c r="G283" s="29" t="n"/>
      <c r="H283" s="29" t="n"/>
      <c r="I283" s="29" t="n"/>
      <c r="J283" s="29" t="n"/>
      <c r="K283" s="29" t="n"/>
    </row>
    <row r="284" ht="54" customHeight="1">
      <c r="A284" s="29" t="n"/>
      <c r="B284" s="29" t="n"/>
      <c r="C284" s="29" t="n"/>
      <c r="D284" s="29" t="n"/>
      <c r="E284" s="29" t="n"/>
      <c r="F284" s="49" t="n"/>
      <c r="G284" s="29" t="n"/>
      <c r="H284" s="29" t="n"/>
      <c r="I284" s="29" t="n"/>
      <c r="J284" s="29" t="n"/>
      <c r="K284" s="29" t="n"/>
    </row>
    <row r="285" ht="54" customHeight="1">
      <c r="A285" s="29" t="n"/>
      <c r="B285" s="29" t="n"/>
      <c r="C285" s="29" t="n"/>
      <c r="D285" s="29" t="n"/>
      <c r="E285" s="29" t="n"/>
      <c r="F285" s="49" t="n"/>
      <c r="G285" s="29" t="n"/>
      <c r="H285" s="29" t="n"/>
      <c r="I285" s="29" t="n"/>
      <c r="J285" s="29" t="n"/>
      <c r="K285" s="29" t="n"/>
    </row>
    <row r="286" ht="54" customHeight="1">
      <c r="A286" s="29" t="n"/>
      <c r="B286" s="29" t="n"/>
      <c r="C286" s="29" t="n"/>
      <c r="D286" s="29" t="n"/>
      <c r="E286" s="29" t="n"/>
      <c r="F286" s="49" t="n"/>
      <c r="G286" s="29" t="n"/>
      <c r="H286" s="29" t="n"/>
      <c r="I286" s="29" t="n"/>
      <c r="J286" s="29" t="n"/>
      <c r="K286" s="29" t="n"/>
    </row>
    <row r="287" ht="54" customHeight="1">
      <c r="A287" s="29" t="n"/>
      <c r="B287" s="29" t="n"/>
      <c r="C287" s="29" t="n"/>
      <c r="D287" s="29" t="n"/>
      <c r="E287" s="29" t="n"/>
      <c r="F287" s="49" t="n"/>
      <c r="G287" s="29" t="n"/>
      <c r="H287" s="29" t="n"/>
      <c r="I287" s="29" t="n"/>
      <c r="J287" s="29" t="n"/>
      <c r="K287" s="29" t="n"/>
    </row>
    <row r="288" ht="54" customHeight="1">
      <c r="A288" s="29" t="n"/>
      <c r="B288" s="29" t="n"/>
      <c r="C288" s="29" t="n"/>
      <c r="D288" s="29" t="n"/>
      <c r="E288" s="29" t="n"/>
      <c r="F288" s="49" t="n"/>
      <c r="G288" s="29" t="n"/>
      <c r="H288" s="29" t="n"/>
      <c r="I288" s="29" t="n"/>
      <c r="J288" s="29" t="n"/>
      <c r="K288" s="29" t="n"/>
    </row>
    <row r="289" ht="54" customHeight="1">
      <c r="A289" s="29" t="n"/>
      <c r="B289" s="29" t="n"/>
      <c r="C289" s="29" t="n"/>
      <c r="D289" s="29" t="n"/>
      <c r="E289" s="29" t="n"/>
      <c r="F289" s="49" t="n"/>
      <c r="G289" s="29" t="n"/>
      <c r="H289" s="29" t="n"/>
      <c r="I289" s="29" t="n"/>
      <c r="J289" s="29" t="n"/>
      <c r="K289" s="29" t="n"/>
    </row>
    <row r="290" ht="54" customHeight="1">
      <c r="A290" s="29" t="n"/>
      <c r="B290" s="29" t="n"/>
      <c r="C290" s="29" t="n"/>
      <c r="D290" s="29" t="n"/>
      <c r="E290" s="29" t="n"/>
      <c r="F290" s="49" t="n"/>
      <c r="G290" s="29" t="n"/>
      <c r="H290" s="29" t="n"/>
      <c r="I290" s="29" t="n"/>
      <c r="J290" s="29" t="n"/>
      <c r="K290" s="29" t="n"/>
    </row>
    <row r="291" ht="54" customHeight="1">
      <c r="A291" s="29" t="n"/>
      <c r="B291" s="29" t="n"/>
      <c r="C291" s="29" t="n"/>
      <c r="D291" s="29" t="n"/>
      <c r="E291" s="29" t="n"/>
      <c r="F291" s="49" t="n"/>
      <c r="G291" s="29" t="n"/>
      <c r="H291" s="29" t="n"/>
      <c r="I291" s="29" t="n"/>
      <c r="J291" s="29" t="n"/>
      <c r="K291" s="29" t="n"/>
    </row>
    <row r="292" ht="54" customHeight="1">
      <c r="A292" s="29" t="n"/>
      <c r="B292" s="29" t="n"/>
      <c r="C292" s="29" t="n"/>
      <c r="D292" s="29" t="n"/>
      <c r="E292" s="29" t="n"/>
      <c r="F292" s="49" t="n"/>
      <c r="G292" s="29" t="n"/>
      <c r="H292" s="29" t="n"/>
      <c r="I292" s="29" t="n"/>
      <c r="J292" s="29" t="n"/>
      <c r="K292" s="29" t="n"/>
    </row>
    <row r="293" ht="54" customHeight="1">
      <c r="A293" s="29" t="n"/>
      <c r="B293" s="29" t="n"/>
      <c r="C293" s="29" t="n"/>
      <c r="D293" s="29" t="n"/>
      <c r="E293" s="29" t="n"/>
      <c r="F293" s="49" t="n"/>
      <c r="G293" s="29" t="n"/>
      <c r="H293" s="29" t="n"/>
      <c r="I293" s="29" t="n"/>
      <c r="J293" s="29" t="n"/>
      <c r="K293" s="29" t="n"/>
    </row>
    <row r="294" ht="54" customHeight="1">
      <c r="A294" s="29" t="n"/>
      <c r="B294" s="29" t="n"/>
      <c r="C294" s="29" t="n"/>
      <c r="D294" s="29" t="n"/>
      <c r="E294" s="29" t="n"/>
      <c r="F294" s="49" t="n"/>
      <c r="G294" s="29" t="n"/>
      <c r="H294" s="29" t="n"/>
      <c r="I294" s="29" t="n"/>
      <c r="J294" s="29" t="n"/>
      <c r="K294" s="29" t="n"/>
    </row>
    <row r="295" ht="54" customHeight="1">
      <c r="A295" s="29" t="n"/>
      <c r="B295" s="29" t="n"/>
      <c r="C295" s="29" t="n"/>
      <c r="D295" s="29" t="n"/>
      <c r="E295" s="29" t="n"/>
      <c r="F295" s="49" t="n"/>
      <c r="G295" s="29" t="n"/>
      <c r="H295" s="29" t="n"/>
      <c r="I295" s="29" t="n"/>
      <c r="J295" s="29" t="n"/>
      <c r="K295" s="29" t="n"/>
    </row>
    <row r="296" ht="54" customHeight="1">
      <c r="A296" s="29" t="n"/>
      <c r="B296" s="29" t="n"/>
      <c r="C296" s="29" t="n"/>
      <c r="D296" s="29" t="n"/>
      <c r="E296" s="29" t="n"/>
      <c r="F296" s="49" t="n"/>
      <c r="G296" s="29" t="n"/>
      <c r="H296" s="29" t="n"/>
      <c r="I296" s="29" t="n"/>
      <c r="J296" s="29" t="n"/>
      <c r="K296" s="29" t="n"/>
    </row>
    <row r="297" ht="54" customHeight="1">
      <c r="A297" s="29" t="n"/>
      <c r="B297" s="29" t="n"/>
      <c r="C297" s="29" t="n"/>
      <c r="D297" s="29" t="n"/>
      <c r="E297" s="29" t="n"/>
      <c r="F297" s="49" t="n"/>
      <c r="G297" s="29" t="n"/>
      <c r="H297" s="29" t="n"/>
      <c r="I297" s="29" t="n"/>
      <c r="J297" s="29" t="n"/>
      <c r="K297" s="29" t="n"/>
    </row>
    <row r="298" ht="54" customHeight="1">
      <c r="A298" s="29" t="n"/>
      <c r="B298" s="29" t="n"/>
      <c r="C298" s="29" t="n"/>
      <c r="D298" s="29" t="n"/>
      <c r="E298" s="29" t="n"/>
      <c r="F298" s="49" t="n"/>
      <c r="G298" s="29" t="n"/>
      <c r="H298" s="29" t="n"/>
      <c r="I298" s="29" t="n"/>
      <c r="J298" s="29" t="n"/>
      <c r="K298" s="29" t="n"/>
    </row>
    <row r="299" ht="54" customHeight="1">
      <c r="A299" s="29" t="n"/>
      <c r="B299" s="29" t="n"/>
      <c r="C299" s="29" t="n"/>
      <c r="D299" s="29" t="n"/>
      <c r="E299" s="29" t="n"/>
      <c r="F299" s="49" t="n"/>
      <c r="G299" s="29" t="n"/>
      <c r="H299" s="29" t="n"/>
      <c r="I299" s="29" t="n"/>
      <c r="J299" s="29" t="n"/>
      <c r="K299" s="29" t="n"/>
    </row>
    <row r="300" ht="54" customHeight="1">
      <c r="A300" s="29" t="n"/>
      <c r="B300" s="29" t="n"/>
      <c r="C300" s="29" t="n"/>
      <c r="D300" s="29" t="n"/>
      <c r="E300" s="29" t="n"/>
      <c r="F300" s="49" t="n"/>
      <c r="G300" s="29" t="n"/>
      <c r="H300" s="29" t="n"/>
      <c r="I300" s="29" t="n"/>
      <c r="J300" s="29" t="n"/>
      <c r="K300" s="29" t="n"/>
    </row>
    <row r="301" ht="54" customHeight="1">
      <c r="A301" s="29" t="n"/>
      <c r="B301" s="29" t="n"/>
      <c r="C301" s="29" t="n"/>
      <c r="D301" s="29" t="n"/>
      <c r="E301" s="29" t="n"/>
      <c r="F301" s="49" t="n"/>
      <c r="G301" s="29" t="n"/>
      <c r="H301" s="29" t="n"/>
      <c r="I301" s="29" t="n"/>
      <c r="J301" s="29" t="n"/>
      <c r="K301" s="29" t="n"/>
    </row>
    <row r="302" ht="54" customHeight="1">
      <c r="A302" s="29" t="n"/>
      <c r="B302" s="29" t="n"/>
      <c r="C302" s="29" t="n"/>
      <c r="D302" s="29" t="n"/>
      <c r="E302" s="29" t="n"/>
      <c r="F302" s="49" t="n"/>
      <c r="G302" s="29" t="n"/>
      <c r="H302" s="29" t="n"/>
      <c r="I302" s="29" t="n"/>
      <c r="J302" s="29" t="n"/>
      <c r="K302" s="29" t="n"/>
    </row>
    <row r="303" ht="54" customHeight="1">
      <c r="A303" s="29" t="n"/>
      <c r="B303" s="29" t="n"/>
      <c r="C303" s="29" t="n"/>
      <c r="D303" s="29" t="n"/>
      <c r="E303" s="29" t="n"/>
      <c r="F303" s="49" t="n"/>
      <c r="G303" s="29" t="n"/>
      <c r="H303" s="29" t="n"/>
      <c r="I303" s="29" t="n"/>
      <c r="J303" s="29" t="n"/>
      <c r="K303" s="29" t="n"/>
    </row>
    <row r="304" ht="54" customHeight="1">
      <c r="A304" s="29" t="n"/>
      <c r="B304" s="29" t="n"/>
      <c r="C304" s="29" t="n"/>
      <c r="D304" s="29" t="n"/>
      <c r="E304" s="29" t="n"/>
      <c r="F304" s="49" t="n"/>
      <c r="G304" s="29" t="n"/>
      <c r="H304" s="29" t="n"/>
      <c r="I304" s="29" t="n"/>
      <c r="J304" s="29" t="n"/>
      <c r="K304" s="29" t="n"/>
    </row>
    <row r="305" ht="54" customHeight="1">
      <c r="A305" s="29" t="n"/>
      <c r="B305" s="29" t="n"/>
      <c r="C305" s="29" t="n"/>
      <c r="D305" s="29" t="n"/>
      <c r="E305" s="29" t="n"/>
      <c r="F305" s="49" t="n"/>
      <c r="G305" s="29" t="n"/>
      <c r="H305" s="29" t="n"/>
      <c r="I305" s="29" t="n"/>
      <c r="J305" s="29" t="n"/>
      <c r="K305" s="29" t="n"/>
    </row>
    <row r="306" ht="54" customHeight="1">
      <c r="A306" s="29" t="n"/>
      <c r="B306" s="29" t="n"/>
      <c r="C306" s="29" t="n"/>
      <c r="D306" s="29" t="n"/>
      <c r="E306" s="29" t="n"/>
      <c r="F306" s="49" t="n"/>
      <c r="G306" s="29" t="n"/>
      <c r="H306" s="29" t="n"/>
      <c r="I306" s="29" t="n"/>
      <c r="J306" s="29" t="n"/>
      <c r="K306" s="29" t="n"/>
    </row>
    <row r="307" ht="54" customHeight="1">
      <c r="A307" s="29" t="n"/>
      <c r="B307" s="29" t="n"/>
      <c r="C307" s="29" t="n"/>
      <c r="D307" s="29" t="n"/>
      <c r="E307" s="29" t="n"/>
      <c r="F307" s="49" t="n"/>
      <c r="G307" s="29" t="n"/>
      <c r="H307" s="29" t="n"/>
      <c r="I307" s="29" t="n"/>
      <c r="J307" s="29" t="n"/>
      <c r="K307" s="29" t="n"/>
    </row>
    <row r="308" ht="54" customHeight="1">
      <c r="A308" s="29" t="n"/>
      <c r="B308" s="29" t="n"/>
      <c r="C308" s="29" t="n"/>
      <c r="D308" s="29" t="n"/>
      <c r="E308" s="29" t="n"/>
      <c r="F308" s="49" t="n"/>
      <c r="G308" s="29" t="n"/>
      <c r="H308" s="29" t="n"/>
      <c r="I308" s="29" t="n"/>
      <c r="J308" s="29" t="n"/>
      <c r="K308" s="29" t="n"/>
    </row>
    <row r="309" ht="54" customHeight="1">
      <c r="A309" s="29" t="n"/>
      <c r="B309" s="29" t="n"/>
      <c r="C309" s="29" t="n"/>
      <c r="D309" s="29" t="n"/>
      <c r="E309" s="29" t="n"/>
      <c r="F309" s="49" t="n"/>
      <c r="G309" s="29" t="n"/>
      <c r="H309" s="29" t="n"/>
      <c r="I309" s="29" t="n"/>
      <c r="J309" s="29" t="n"/>
      <c r="K309" s="29" t="n"/>
    </row>
    <row r="310" ht="54" customHeight="1">
      <c r="A310" s="29" t="n"/>
      <c r="B310" s="29" t="n"/>
      <c r="C310" s="29" t="n"/>
      <c r="D310" s="29" t="n"/>
      <c r="E310" s="29" t="n"/>
      <c r="F310" s="49" t="n"/>
      <c r="G310" s="29" t="n"/>
      <c r="H310" s="29" t="n"/>
      <c r="I310" s="29" t="n"/>
      <c r="J310" s="29" t="n"/>
      <c r="K310" s="29" t="n"/>
    </row>
    <row r="311" ht="54" customHeight="1">
      <c r="A311" s="29" t="n"/>
      <c r="B311" s="29" t="n"/>
      <c r="C311" s="29" t="n"/>
      <c r="D311" s="29" t="n"/>
      <c r="E311" s="29" t="n"/>
      <c r="F311" s="49" t="n"/>
      <c r="G311" s="29" t="n"/>
      <c r="H311" s="29" t="n"/>
      <c r="I311" s="29" t="n"/>
      <c r="J311" s="29" t="n"/>
      <c r="K311" s="29" t="n"/>
    </row>
    <row r="312" ht="54" customHeight="1">
      <c r="A312" s="29" t="n"/>
      <c r="B312" s="29" t="n"/>
      <c r="C312" s="29" t="n"/>
      <c r="D312" s="29" t="n"/>
      <c r="E312" s="29" t="n"/>
      <c r="F312" s="49" t="n"/>
      <c r="G312" s="29" t="n"/>
      <c r="H312" s="29" t="n"/>
      <c r="I312" s="29" t="n"/>
      <c r="J312" s="29" t="n"/>
      <c r="K312" s="29" t="n"/>
    </row>
    <row r="313" ht="54" customHeight="1">
      <c r="A313" s="29" t="n"/>
      <c r="B313" s="29" t="n"/>
      <c r="C313" s="29" t="n"/>
      <c r="D313" s="29" t="n"/>
      <c r="E313" s="29" t="n"/>
      <c r="F313" s="49" t="n"/>
      <c r="G313" s="29" t="n"/>
      <c r="H313" s="29" t="n"/>
      <c r="I313" s="29" t="n"/>
      <c r="J313" s="29" t="n"/>
      <c r="K313" s="29" t="n"/>
    </row>
    <row r="314" ht="54" customHeight="1">
      <c r="A314" s="29" t="n"/>
      <c r="B314" s="29" t="n"/>
      <c r="C314" s="29" t="n"/>
      <c r="D314" s="29" t="n"/>
      <c r="E314" s="29" t="n"/>
      <c r="F314" s="49" t="n"/>
      <c r="G314" s="29" t="n"/>
      <c r="H314" s="29" t="n"/>
      <c r="I314" s="29" t="n"/>
      <c r="J314" s="29" t="n"/>
      <c r="K314" s="29" t="n"/>
    </row>
    <row r="315" ht="54" customHeight="1">
      <c r="A315" s="29" t="n"/>
      <c r="B315" s="29" t="n"/>
      <c r="C315" s="29" t="n"/>
      <c r="D315" s="29" t="n"/>
      <c r="E315" s="29" t="n"/>
      <c r="F315" s="49" t="n"/>
      <c r="G315" s="29" t="n"/>
      <c r="H315" s="29" t="n"/>
      <c r="I315" s="29" t="n"/>
      <c r="J315" s="29" t="n"/>
      <c r="K315" s="29" t="n"/>
    </row>
    <row r="316" ht="54" customHeight="1">
      <c r="A316" s="29" t="n"/>
      <c r="B316" s="29" t="n"/>
      <c r="C316" s="29" t="n"/>
      <c r="D316" s="29" t="n"/>
      <c r="E316" s="29" t="n"/>
      <c r="F316" s="49" t="n"/>
      <c r="G316" s="29" t="n"/>
      <c r="H316" s="29" t="n"/>
      <c r="I316" s="29" t="n"/>
      <c r="J316" s="29" t="n"/>
      <c r="K316" s="29" t="n"/>
    </row>
    <row r="317" ht="54" customHeight="1">
      <c r="A317" s="29" t="n"/>
      <c r="B317" s="29" t="n"/>
      <c r="C317" s="29" t="n"/>
      <c r="D317" s="29" t="n"/>
      <c r="E317" s="29" t="n"/>
      <c r="F317" s="49" t="n"/>
      <c r="G317" s="29" t="n"/>
      <c r="H317" s="29" t="n"/>
      <c r="I317" s="29" t="n"/>
      <c r="J317" s="29" t="n"/>
      <c r="K317" s="29" t="n"/>
    </row>
    <row r="318" ht="54" customHeight="1">
      <c r="A318" s="29" t="n"/>
      <c r="B318" s="29" t="n"/>
      <c r="C318" s="29" t="n"/>
      <c r="D318" s="29" t="n"/>
      <c r="E318" s="29" t="n"/>
      <c r="F318" s="49" t="n"/>
      <c r="G318" s="29" t="n"/>
      <c r="H318" s="29" t="n"/>
      <c r="I318" s="29" t="n"/>
      <c r="J318" s="29" t="n"/>
      <c r="K318" s="29" t="n"/>
    </row>
    <row r="319" ht="54" customHeight="1">
      <c r="A319" s="29" t="n"/>
      <c r="B319" s="29" t="n"/>
      <c r="C319" s="29" t="n"/>
      <c r="D319" s="29" t="n"/>
      <c r="E319" s="29" t="n"/>
      <c r="F319" s="49" t="n"/>
      <c r="G319" s="29" t="n"/>
      <c r="H319" s="29" t="n"/>
      <c r="I319" s="29" t="n"/>
      <c r="J319" s="29" t="n"/>
      <c r="K319" s="29" t="n"/>
    </row>
    <row r="320" ht="54" customHeight="1">
      <c r="A320" s="29" t="n"/>
      <c r="B320" s="29" t="n"/>
      <c r="C320" s="29" t="n"/>
      <c r="D320" s="29" t="n"/>
      <c r="E320" s="29" t="n"/>
      <c r="F320" s="49" t="n"/>
      <c r="G320" s="29" t="n"/>
      <c r="H320" s="29" t="n"/>
      <c r="I320" s="29" t="n"/>
      <c r="J320" s="29" t="n"/>
      <c r="K320" s="29" t="n"/>
    </row>
    <row r="321" ht="54" customHeight="1">
      <c r="A321" s="29" t="n"/>
      <c r="B321" s="29" t="n"/>
      <c r="C321" s="29" t="n"/>
      <c r="D321" s="29" t="n"/>
      <c r="E321" s="29" t="n"/>
      <c r="F321" s="49" t="n"/>
      <c r="G321" s="29" t="n"/>
      <c r="H321" s="29" t="n"/>
      <c r="I321" s="29" t="n"/>
      <c r="J321" s="29" t="n"/>
      <c r="K321" s="29" t="n"/>
    </row>
    <row r="322" ht="54" customHeight="1">
      <c r="A322" s="29" t="n"/>
      <c r="B322" s="29" t="n"/>
      <c r="C322" s="29" t="n"/>
      <c r="D322" s="29" t="n"/>
      <c r="E322" s="29" t="n"/>
      <c r="F322" s="49" t="n"/>
      <c r="G322" s="29" t="n"/>
      <c r="H322" s="29" t="n"/>
      <c r="I322" s="29" t="n"/>
      <c r="J322" s="29" t="n"/>
      <c r="K322" s="29" t="n"/>
    </row>
    <row r="323" ht="54" customHeight="1">
      <c r="A323" s="29" t="n"/>
      <c r="B323" s="29" t="n"/>
      <c r="C323" s="29" t="n"/>
      <c r="D323" s="29" t="n"/>
      <c r="E323" s="29" t="n"/>
      <c r="F323" s="49" t="n"/>
      <c r="G323" s="29" t="n"/>
      <c r="H323" s="29" t="n"/>
      <c r="I323" s="29" t="n"/>
      <c r="J323" s="29" t="n"/>
      <c r="K323" s="29" t="n"/>
    </row>
    <row r="324" ht="54" customHeight="1">
      <c r="A324" s="29" t="n"/>
      <c r="B324" s="29" t="n"/>
      <c r="C324" s="29" t="n"/>
      <c r="D324" s="29" t="n"/>
      <c r="E324" s="29" t="n"/>
      <c r="F324" s="49" t="n"/>
      <c r="G324" s="29" t="n"/>
      <c r="H324" s="29" t="n"/>
      <c r="I324" s="29" t="n"/>
      <c r="J324" s="29" t="n"/>
      <c r="K324" s="29" t="n"/>
    </row>
    <row r="325" ht="54" customHeight="1">
      <c r="A325" s="29" t="n"/>
      <c r="B325" s="29" t="n"/>
      <c r="C325" s="29" t="n"/>
      <c r="D325" s="29" t="n"/>
      <c r="E325" s="29" t="n"/>
      <c r="F325" s="49" t="n"/>
      <c r="G325" s="29" t="n"/>
      <c r="H325" s="29" t="n"/>
      <c r="I325" s="29" t="n"/>
      <c r="J325" s="29" t="n"/>
      <c r="K325" s="29" t="n"/>
    </row>
    <row r="326" ht="54" customHeight="1">
      <c r="A326" s="29" t="n"/>
      <c r="B326" s="29" t="n"/>
      <c r="C326" s="29" t="n"/>
      <c r="D326" s="29" t="n"/>
      <c r="E326" s="29" t="n"/>
      <c r="F326" s="49" t="n"/>
      <c r="G326" s="29" t="n"/>
      <c r="H326" s="29" t="n"/>
      <c r="I326" s="29" t="n"/>
      <c r="J326" s="29" t="n"/>
      <c r="K326" s="29" t="n"/>
    </row>
    <row r="327" ht="54" customHeight="1">
      <c r="A327" s="29" t="n"/>
      <c r="B327" s="29" t="n"/>
      <c r="C327" s="29" t="n"/>
      <c r="D327" s="29" t="n"/>
      <c r="E327" s="29" t="n"/>
      <c r="F327" s="49" t="n"/>
      <c r="G327" s="29" t="n"/>
      <c r="H327" s="29" t="n"/>
      <c r="I327" s="29" t="n"/>
      <c r="J327" s="29" t="n"/>
      <c r="K327" s="29" t="n"/>
    </row>
    <row r="328" ht="54" customHeight="1">
      <c r="A328" s="29" t="n"/>
      <c r="B328" s="29" t="n"/>
      <c r="C328" s="29" t="n"/>
      <c r="D328" s="29" t="n"/>
      <c r="E328" s="29" t="n"/>
      <c r="F328" s="49" t="n"/>
      <c r="G328" s="29" t="n"/>
      <c r="H328" s="29" t="n"/>
      <c r="I328" s="29" t="n"/>
      <c r="J328" s="29" t="n"/>
      <c r="K328" s="29" t="n"/>
    </row>
    <row r="329" ht="54" customHeight="1">
      <c r="A329" s="29" t="n"/>
      <c r="B329" s="29" t="n"/>
      <c r="C329" s="29" t="n"/>
      <c r="D329" s="29" t="n"/>
      <c r="E329" s="29" t="n"/>
      <c r="F329" s="49" t="n"/>
      <c r="G329" s="29" t="n"/>
      <c r="H329" s="29" t="n"/>
      <c r="I329" s="29" t="n"/>
      <c r="J329" s="29" t="n"/>
      <c r="K329" s="29" t="n"/>
    </row>
    <row r="330" ht="54" customHeight="1">
      <c r="A330" s="29" t="n"/>
      <c r="B330" s="29" t="n"/>
      <c r="C330" s="29" t="n"/>
      <c r="D330" s="29" t="n"/>
      <c r="E330" s="29" t="n"/>
      <c r="F330" s="49" t="n"/>
      <c r="G330" s="29" t="n"/>
      <c r="H330" s="29" t="n"/>
      <c r="I330" s="29" t="n"/>
      <c r="J330" s="29" t="n"/>
      <c r="K330" s="29" t="n"/>
    </row>
    <row r="331" ht="54" customHeight="1">
      <c r="A331" s="29" t="n"/>
      <c r="B331" s="29" t="n"/>
      <c r="C331" s="29" t="n"/>
      <c r="D331" s="29" t="n"/>
      <c r="E331" s="29" t="n"/>
      <c r="F331" s="49" t="n"/>
      <c r="G331" s="29" t="n"/>
      <c r="H331" s="29" t="n"/>
      <c r="I331" s="29" t="n"/>
      <c r="J331" s="29" t="n"/>
      <c r="K331" s="29" t="n"/>
    </row>
    <row r="332" ht="54" customHeight="1">
      <c r="A332" s="29" t="n"/>
      <c r="B332" s="29" t="n"/>
      <c r="C332" s="29" t="n"/>
      <c r="D332" s="29" t="n"/>
      <c r="E332" s="29" t="n"/>
      <c r="F332" s="49" t="n"/>
      <c r="G332" s="29" t="n"/>
      <c r="H332" s="29" t="n"/>
      <c r="I332" s="29" t="n"/>
      <c r="J332" s="29" t="n"/>
      <c r="K332" s="29" t="n"/>
    </row>
    <row r="333" ht="54" customHeight="1">
      <c r="A333" s="29" t="n"/>
      <c r="B333" s="29" t="n"/>
      <c r="C333" s="29" t="n"/>
      <c r="D333" s="29" t="n"/>
      <c r="E333" s="29" t="n"/>
      <c r="F333" s="49" t="n"/>
      <c r="G333" s="29" t="n"/>
      <c r="H333" s="29" t="n"/>
      <c r="I333" s="29" t="n"/>
      <c r="J333" s="29" t="n"/>
      <c r="K333" s="29" t="n"/>
    </row>
    <row r="334" ht="54" customHeight="1">
      <c r="A334" s="29" t="n"/>
      <c r="B334" s="29" t="n"/>
      <c r="C334" s="29" t="n"/>
      <c r="D334" s="29" t="n"/>
      <c r="E334" s="29" t="n"/>
      <c r="F334" s="49" t="n"/>
      <c r="G334" s="29" t="n"/>
      <c r="H334" s="29" t="n"/>
      <c r="I334" s="29" t="n"/>
      <c r="J334" s="29" t="n"/>
      <c r="K334" s="29" t="n"/>
    </row>
    <row r="335" ht="54" customHeight="1">
      <c r="A335" s="29" t="n"/>
      <c r="B335" s="29" t="n"/>
      <c r="C335" s="29" t="n"/>
      <c r="D335" s="29" t="n"/>
      <c r="E335" s="29" t="n"/>
      <c r="F335" s="49" t="n"/>
      <c r="G335" s="29" t="n"/>
      <c r="H335" s="29" t="n"/>
      <c r="I335" s="29" t="n"/>
      <c r="J335" s="29" t="n"/>
      <c r="K335" s="29" t="n"/>
    </row>
    <row r="336" ht="54" customHeight="1">
      <c r="A336" s="29" t="n"/>
      <c r="B336" s="29" t="n"/>
      <c r="C336" s="29" t="n"/>
      <c r="D336" s="29" t="n"/>
      <c r="E336" s="29" t="n"/>
      <c r="F336" s="49" t="n"/>
      <c r="G336" s="29" t="n"/>
      <c r="H336" s="29" t="n"/>
      <c r="I336" s="29" t="n"/>
      <c r="J336" s="29" t="n"/>
      <c r="K336" s="29" t="n"/>
    </row>
    <row r="337" ht="54" customHeight="1">
      <c r="A337" s="29" t="n"/>
      <c r="B337" s="29" t="n"/>
      <c r="C337" s="29" t="n"/>
      <c r="D337" s="29" t="n"/>
      <c r="E337" s="29" t="n"/>
      <c r="F337" s="49" t="n"/>
      <c r="G337" s="29" t="n"/>
      <c r="H337" s="29" t="n"/>
      <c r="I337" s="29" t="n"/>
      <c r="J337" s="29" t="n"/>
      <c r="K337" s="29" t="n"/>
    </row>
    <row r="338" ht="54" customHeight="1">
      <c r="A338" s="29" t="n"/>
      <c r="B338" s="29" t="n"/>
      <c r="C338" s="29" t="n"/>
      <c r="D338" s="29" t="n"/>
      <c r="E338" s="29" t="n"/>
      <c r="F338" s="49" t="n"/>
      <c r="G338" s="29" t="n"/>
      <c r="H338" s="29" t="n"/>
      <c r="I338" s="29" t="n"/>
      <c r="J338" s="29" t="n"/>
      <c r="K338" s="29" t="n"/>
    </row>
    <row r="339" ht="54" customHeight="1">
      <c r="A339" s="29" t="n"/>
      <c r="B339" s="29" t="n"/>
      <c r="C339" s="29" t="n"/>
      <c r="D339" s="29" t="n"/>
      <c r="E339" s="29" t="n"/>
      <c r="F339" s="49" t="n"/>
      <c r="G339" s="29" t="n"/>
      <c r="H339" s="29" t="n"/>
      <c r="I339" s="29" t="n"/>
      <c r="J339" s="29" t="n"/>
      <c r="K339" s="29" t="n"/>
    </row>
    <row r="340" ht="54" customHeight="1">
      <c r="A340" s="29" t="n"/>
      <c r="B340" s="29" t="n"/>
      <c r="C340" s="29" t="n"/>
      <c r="D340" s="29" t="n"/>
      <c r="E340" s="29" t="n"/>
      <c r="F340" s="49" t="n"/>
      <c r="G340" s="29" t="n"/>
      <c r="H340" s="29" t="n"/>
      <c r="I340" s="29" t="n"/>
      <c r="J340" s="29" t="n"/>
      <c r="K340" s="29" t="n"/>
    </row>
    <row r="341" ht="54" customHeight="1">
      <c r="A341" s="29" t="n"/>
      <c r="B341" s="29" t="n"/>
      <c r="C341" s="29" t="n"/>
      <c r="D341" s="29" t="n"/>
      <c r="E341" s="29" t="n"/>
      <c r="F341" s="49" t="n"/>
      <c r="G341" s="29" t="n"/>
      <c r="H341" s="29" t="n"/>
      <c r="I341" s="29" t="n"/>
      <c r="J341" s="29" t="n"/>
      <c r="K341" s="29" t="n"/>
    </row>
    <row r="342" ht="54" customHeight="1">
      <c r="A342" s="29" t="n"/>
      <c r="B342" s="29" t="n"/>
      <c r="C342" s="29" t="n"/>
      <c r="D342" s="29" t="n"/>
      <c r="E342" s="29" t="n"/>
      <c r="F342" s="49" t="n"/>
      <c r="G342" s="29" t="n"/>
      <c r="H342" s="29" t="n"/>
      <c r="I342" s="29" t="n"/>
      <c r="J342" s="29" t="n"/>
      <c r="K342" s="29" t="n"/>
    </row>
    <row r="343" ht="54" customHeight="1">
      <c r="A343" s="29" t="n"/>
      <c r="B343" s="29" t="n"/>
      <c r="C343" s="29" t="n"/>
      <c r="D343" s="29" t="n"/>
      <c r="E343" s="29" t="n"/>
      <c r="F343" s="49" t="n"/>
      <c r="G343" s="29" t="n"/>
      <c r="H343" s="29" t="n"/>
      <c r="I343" s="29" t="n"/>
      <c r="J343" s="29" t="n"/>
      <c r="K343" s="29" t="n"/>
    </row>
    <row r="344" ht="54" customHeight="1">
      <c r="A344" s="29" t="n"/>
      <c r="B344" s="29" t="n"/>
      <c r="C344" s="29" t="n"/>
      <c r="D344" s="29" t="n"/>
      <c r="E344" s="29" t="n"/>
      <c r="F344" s="49" t="n"/>
      <c r="G344" s="29" t="n"/>
      <c r="H344" s="29" t="n"/>
      <c r="I344" s="29" t="n"/>
      <c r="J344" s="29" t="n"/>
      <c r="K344" s="29" t="n"/>
    </row>
    <row r="345" ht="54" customHeight="1">
      <c r="A345" s="29" t="n"/>
      <c r="B345" s="29" t="n"/>
      <c r="C345" s="29" t="n"/>
      <c r="D345" s="29" t="n"/>
      <c r="E345" s="29" t="n"/>
      <c r="F345" s="49" t="n"/>
      <c r="G345" s="29" t="n"/>
      <c r="H345" s="29" t="n"/>
      <c r="I345" s="29" t="n"/>
      <c r="J345" s="29" t="n"/>
      <c r="K345" s="29" t="n"/>
    </row>
    <row r="346" ht="54" customHeight="1">
      <c r="A346" s="29" t="n"/>
      <c r="B346" s="29" t="n"/>
      <c r="C346" s="29" t="n"/>
      <c r="D346" s="29" t="n"/>
      <c r="E346" s="29" t="n"/>
      <c r="F346" s="49" t="n"/>
      <c r="G346" s="29" t="n"/>
      <c r="H346" s="29" t="n"/>
      <c r="I346" s="29" t="n"/>
      <c r="J346" s="29" t="n"/>
      <c r="K346" s="29" t="n"/>
    </row>
    <row r="347" ht="54" customHeight="1">
      <c r="A347" s="29" t="n"/>
      <c r="B347" s="29" t="n"/>
      <c r="C347" s="29" t="n"/>
      <c r="D347" s="29" t="n"/>
      <c r="E347" s="29" t="n"/>
      <c r="F347" s="49" t="n"/>
      <c r="G347" s="29" t="n"/>
      <c r="H347" s="29" t="n"/>
      <c r="I347" s="29" t="n"/>
      <c r="J347" s="29" t="n"/>
      <c r="K347" s="29" t="n"/>
    </row>
    <row r="348" ht="54" customHeight="1">
      <c r="A348" s="29" t="n"/>
      <c r="B348" s="29" t="n"/>
      <c r="C348" s="29" t="n"/>
      <c r="D348" s="29" t="n"/>
      <c r="E348" s="29" t="n"/>
      <c r="F348" s="49" t="n"/>
      <c r="G348" s="29" t="n"/>
      <c r="H348" s="29" t="n"/>
      <c r="I348" s="29" t="n"/>
      <c r="J348" s="29" t="n"/>
      <c r="K348" s="29" t="n"/>
    </row>
    <row r="349" ht="54" customHeight="1">
      <c r="A349" s="29" t="n"/>
      <c r="B349" s="29" t="n"/>
      <c r="C349" s="29" t="n"/>
      <c r="D349" s="29" t="n"/>
      <c r="E349" s="29" t="n"/>
      <c r="F349" s="49" t="n"/>
      <c r="G349" s="29" t="n"/>
      <c r="H349" s="29" t="n"/>
      <c r="I349" s="29" t="n"/>
      <c r="J349" s="29" t="n"/>
      <c r="K349" s="29" t="n"/>
    </row>
    <row r="350" ht="54" customHeight="1">
      <c r="A350" s="29" t="n"/>
      <c r="B350" s="29" t="n"/>
      <c r="C350" s="29" t="n"/>
      <c r="D350" s="29" t="n"/>
      <c r="E350" s="29" t="n"/>
      <c r="F350" s="49" t="n"/>
      <c r="G350" s="29" t="n"/>
      <c r="H350" s="29" t="n"/>
      <c r="I350" s="29" t="n"/>
      <c r="J350" s="29" t="n"/>
      <c r="K350" s="29" t="n"/>
    </row>
    <row r="351" ht="54" customHeight="1">
      <c r="A351" s="29" t="n"/>
      <c r="B351" s="29" t="n"/>
      <c r="C351" s="29" t="n"/>
      <c r="D351" s="29" t="n"/>
      <c r="E351" s="29" t="n"/>
      <c r="F351" s="49" t="n"/>
      <c r="G351" s="29" t="n"/>
      <c r="H351" s="29" t="n"/>
      <c r="I351" s="29" t="n"/>
      <c r="J351" s="29" t="n"/>
      <c r="K351" s="29" t="n"/>
    </row>
    <row r="352" ht="54" customHeight="1">
      <c r="A352" s="29" t="n"/>
      <c r="B352" s="29" t="n"/>
      <c r="C352" s="29" t="n"/>
      <c r="D352" s="29" t="n"/>
      <c r="E352" s="29" t="n"/>
      <c r="F352" s="49" t="n"/>
      <c r="G352" s="29" t="n"/>
      <c r="H352" s="29" t="n"/>
      <c r="I352" s="29" t="n"/>
      <c r="J352" s="29" t="n"/>
      <c r="K352" s="29" t="n"/>
    </row>
    <row r="353" ht="54" customHeight="1">
      <c r="A353" s="29" t="n"/>
      <c r="B353" s="29" t="n"/>
      <c r="C353" s="29" t="n"/>
      <c r="D353" s="29" t="n"/>
      <c r="E353" s="29" t="n"/>
      <c r="F353" s="49" t="n"/>
      <c r="G353" s="29" t="n"/>
      <c r="H353" s="29" t="n"/>
      <c r="I353" s="29" t="n"/>
      <c r="J353" s="29" t="n"/>
      <c r="K353" s="29" t="n"/>
    </row>
    <row r="354" ht="54" customHeight="1">
      <c r="A354" s="29" t="n"/>
      <c r="B354" s="29" t="n"/>
      <c r="C354" s="29" t="n"/>
      <c r="D354" s="29" t="n"/>
      <c r="E354" s="29" t="n"/>
      <c r="F354" s="49" t="n"/>
      <c r="G354" s="29" t="n"/>
      <c r="H354" s="29" t="n"/>
      <c r="I354" s="29" t="n"/>
      <c r="J354" s="29" t="n"/>
      <c r="K354" s="29" t="n"/>
    </row>
    <row r="355" ht="54" customHeight="1">
      <c r="A355" s="29" t="n"/>
      <c r="B355" s="29" t="n"/>
      <c r="C355" s="29" t="n"/>
      <c r="D355" s="29" t="n"/>
      <c r="E355" s="29" t="n"/>
      <c r="F355" s="49" t="n"/>
      <c r="G355" s="29" t="n"/>
      <c r="H355" s="29" t="n"/>
      <c r="I355" s="29" t="n"/>
      <c r="J355" s="29" t="n"/>
      <c r="K355" s="29" t="n"/>
    </row>
    <row r="356" ht="54" customHeight="1">
      <c r="A356" s="29" t="n"/>
      <c r="B356" s="29" t="n"/>
      <c r="C356" s="29" t="n"/>
      <c r="D356" s="29" t="n"/>
      <c r="E356" s="29" t="n"/>
      <c r="F356" s="49" t="n"/>
      <c r="G356" s="29" t="n"/>
      <c r="H356" s="29" t="n"/>
      <c r="I356" s="29" t="n"/>
      <c r="J356" s="29" t="n"/>
      <c r="K356" s="29" t="n"/>
    </row>
    <row r="357" ht="54" customHeight="1">
      <c r="A357" s="29" t="n"/>
      <c r="B357" s="29" t="n"/>
      <c r="C357" s="29" t="n"/>
      <c r="D357" s="29" t="n"/>
      <c r="E357" s="29" t="n"/>
      <c r="F357" s="49" t="n"/>
      <c r="G357" s="29" t="n"/>
      <c r="H357" s="29" t="n"/>
      <c r="I357" s="29" t="n"/>
      <c r="J357" s="29" t="n"/>
      <c r="K357" s="29" t="n"/>
    </row>
    <row r="358" ht="54" customHeight="1">
      <c r="A358" s="29" t="n"/>
      <c r="B358" s="29" t="n"/>
      <c r="C358" s="29" t="n"/>
      <c r="D358" s="29" t="n"/>
      <c r="E358" s="29" t="n"/>
      <c r="F358" s="49" t="n"/>
      <c r="G358" s="29" t="n"/>
      <c r="H358" s="29" t="n"/>
      <c r="I358" s="29" t="n"/>
      <c r="J358" s="29" t="n"/>
      <c r="K358" s="29" t="n"/>
    </row>
    <row r="359" ht="54" customHeight="1">
      <c r="A359" s="29" t="n"/>
      <c r="B359" s="29" t="n"/>
      <c r="C359" s="29" t="n"/>
      <c r="D359" s="29" t="n"/>
      <c r="E359" s="29" t="n"/>
      <c r="F359" s="49" t="n"/>
      <c r="G359" s="29" t="n"/>
      <c r="H359" s="29" t="n"/>
      <c r="I359" s="29" t="n"/>
      <c r="J359" s="29" t="n"/>
      <c r="K359" s="29" t="n"/>
    </row>
    <row r="360" ht="54" customHeight="1">
      <c r="A360" s="29" t="n"/>
      <c r="B360" s="29" t="n"/>
      <c r="C360" s="29" t="n"/>
      <c r="D360" s="29" t="n"/>
      <c r="E360" s="29" t="n"/>
      <c r="F360" s="49" t="n"/>
      <c r="G360" s="29" t="n"/>
      <c r="H360" s="29" t="n"/>
      <c r="I360" s="29" t="n"/>
      <c r="J360" s="29" t="n"/>
      <c r="K360" s="29" t="n"/>
    </row>
    <row r="361" ht="54" customHeight="1">
      <c r="A361" s="29" t="n"/>
      <c r="B361" s="29" t="n"/>
      <c r="C361" s="29" t="n"/>
      <c r="D361" s="29" t="n"/>
      <c r="E361" s="29" t="n"/>
      <c r="F361" s="49" t="n"/>
      <c r="G361" s="29" t="n"/>
      <c r="H361" s="29" t="n"/>
      <c r="I361" s="29" t="n"/>
      <c r="J361" s="29" t="n"/>
      <c r="K361" s="29" t="n"/>
    </row>
    <row r="362" ht="54" customHeight="1">
      <c r="A362" s="29" t="n"/>
      <c r="B362" s="29" t="n"/>
      <c r="C362" s="29" t="n"/>
      <c r="D362" s="29" t="n"/>
      <c r="E362" s="29" t="n"/>
      <c r="F362" s="49" t="n"/>
      <c r="G362" s="29" t="n"/>
      <c r="H362" s="29" t="n"/>
      <c r="I362" s="29" t="n"/>
      <c r="J362" s="29" t="n"/>
      <c r="K362" s="29" t="n"/>
    </row>
    <row r="363" ht="54" customHeight="1">
      <c r="A363" s="29" t="n"/>
      <c r="B363" s="29" t="n"/>
      <c r="C363" s="29" t="n"/>
      <c r="D363" s="29" t="n"/>
      <c r="E363" s="29" t="n"/>
      <c r="F363" s="49" t="n"/>
      <c r="G363" s="29" t="n"/>
      <c r="H363" s="29" t="n"/>
      <c r="I363" s="29" t="n"/>
      <c r="J363" s="29" t="n"/>
      <c r="K363" s="29" t="n"/>
    </row>
    <row r="364" ht="54" customHeight="1">
      <c r="A364" s="29" t="n"/>
      <c r="B364" s="29" t="n"/>
      <c r="C364" s="29" t="n"/>
      <c r="D364" s="29" t="n"/>
      <c r="E364" s="29" t="n"/>
      <c r="F364" s="49" t="n"/>
      <c r="G364" s="29" t="n"/>
      <c r="H364" s="29" t="n"/>
      <c r="I364" s="29" t="n"/>
      <c r="J364" s="29" t="n"/>
      <c r="K364" s="29" t="n"/>
    </row>
    <row r="365" ht="54" customHeight="1">
      <c r="A365" s="29" t="n"/>
      <c r="B365" s="29" t="n"/>
      <c r="C365" s="29" t="n"/>
      <c r="D365" s="29" t="n"/>
      <c r="E365" s="29" t="n"/>
      <c r="F365" s="49" t="n"/>
      <c r="G365" s="29" t="n"/>
      <c r="H365" s="29" t="n"/>
      <c r="I365" s="29" t="n"/>
      <c r="J365" s="29" t="n"/>
      <c r="K365" s="29" t="n"/>
    </row>
    <row r="366" ht="54" customHeight="1">
      <c r="A366" s="29" t="n"/>
      <c r="B366" s="29" t="n"/>
      <c r="C366" s="29" t="n"/>
      <c r="D366" s="29" t="n"/>
      <c r="E366" s="29" t="n"/>
      <c r="F366" s="49" t="n"/>
      <c r="G366" s="29" t="n"/>
      <c r="H366" s="29" t="n"/>
      <c r="I366" s="29" t="n"/>
      <c r="J366" s="29" t="n"/>
      <c r="K366" s="29" t="n"/>
    </row>
    <row r="367" ht="54" customHeight="1">
      <c r="A367" s="29" t="n"/>
      <c r="B367" s="29" t="n"/>
      <c r="C367" s="29" t="n"/>
      <c r="D367" s="29" t="n"/>
      <c r="E367" s="29" t="n"/>
      <c r="F367" s="49" t="n"/>
      <c r="G367" s="29" t="n"/>
      <c r="H367" s="29" t="n"/>
      <c r="I367" s="29" t="n"/>
      <c r="J367" s="29" t="n"/>
      <c r="K367" s="29" t="n"/>
    </row>
    <row r="368" ht="54" customHeight="1">
      <c r="A368" s="29" t="n"/>
      <c r="B368" s="29" t="n"/>
      <c r="C368" s="29" t="n"/>
      <c r="D368" s="29" t="n"/>
      <c r="E368" s="29" t="n"/>
      <c r="F368" s="49" t="n"/>
      <c r="G368" s="29" t="n"/>
      <c r="H368" s="29" t="n"/>
      <c r="I368" s="29" t="n"/>
      <c r="J368" s="29" t="n"/>
      <c r="K368" s="29" t="n"/>
    </row>
    <row r="369" ht="54" customHeight="1">
      <c r="A369" s="29" t="n"/>
      <c r="B369" s="29" t="n"/>
      <c r="C369" s="29" t="n"/>
      <c r="D369" s="29" t="n"/>
      <c r="E369" s="29" t="n"/>
      <c r="F369" s="49" t="n"/>
      <c r="G369" s="29" t="n"/>
      <c r="H369" s="29" t="n"/>
      <c r="I369" s="29" t="n"/>
      <c r="J369" s="29" t="n"/>
      <c r="K369" s="29" t="n"/>
    </row>
    <row r="370" ht="54" customHeight="1">
      <c r="A370" s="29" t="n"/>
      <c r="B370" s="29" t="n"/>
      <c r="C370" s="29" t="n"/>
      <c r="D370" s="29" t="n"/>
      <c r="E370" s="29" t="n"/>
      <c r="F370" s="49" t="n"/>
      <c r="G370" s="29" t="n"/>
      <c r="H370" s="29" t="n"/>
      <c r="I370" s="29" t="n"/>
      <c r="J370" s="29" t="n"/>
      <c r="K370" s="29" t="n"/>
    </row>
    <row r="371" ht="54" customHeight="1">
      <c r="A371" s="29" t="n"/>
      <c r="B371" s="29" t="n"/>
      <c r="C371" s="29" t="n"/>
      <c r="D371" s="29" t="n"/>
      <c r="E371" s="29" t="n"/>
      <c r="F371" s="49" t="n"/>
      <c r="G371" s="29" t="n"/>
      <c r="H371" s="29" t="n"/>
      <c r="I371" s="29" t="n"/>
      <c r="J371" s="29" t="n"/>
      <c r="K371" s="29" t="n"/>
    </row>
    <row r="372" ht="54" customHeight="1">
      <c r="A372" s="29" t="n"/>
      <c r="B372" s="29" t="n"/>
      <c r="C372" s="29" t="n"/>
      <c r="D372" s="29" t="n"/>
      <c r="E372" s="29" t="n"/>
      <c r="F372" s="49" t="n"/>
      <c r="G372" s="29" t="n"/>
      <c r="H372" s="29" t="n"/>
      <c r="I372" s="29" t="n"/>
      <c r="J372" s="29" t="n"/>
      <c r="K372" s="29" t="n"/>
    </row>
    <row r="373" ht="54" customHeight="1">
      <c r="A373" s="29" t="n"/>
      <c r="B373" s="29" t="n"/>
      <c r="C373" s="29" t="n"/>
      <c r="D373" s="29" t="n"/>
      <c r="E373" s="29" t="n"/>
      <c r="F373" s="49" t="n"/>
      <c r="G373" s="29" t="n"/>
      <c r="H373" s="29" t="n"/>
      <c r="I373" s="29" t="n"/>
      <c r="J373" s="29" t="n"/>
      <c r="K373" s="29" t="n"/>
    </row>
    <row r="374" ht="54" customHeight="1">
      <c r="A374" s="29" t="n"/>
      <c r="B374" s="29" t="n"/>
      <c r="C374" s="29" t="n"/>
      <c r="D374" s="29" t="n"/>
      <c r="E374" s="29" t="n"/>
      <c r="F374" s="49" t="n"/>
      <c r="G374" s="29" t="n"/>
      <c r="H374" s="29" t="n"/>
      <c r="I374" s="29" t="n"/>
      <c r="J374" s="29" t="n"/>
      <c r="K374" s="29" t="n"/>
    </row>
    <row r="375" ht="54" customHeight="1">
      <c r="A375" s="29" t="n"/>
      <c r="B375" s="29" t="n"/>
      <c r="C375" s="29" t="n"/>
      <c r="D375" s="29" t="n"/>
      <c r="E375" s="29" t="n"/>
      <c r="F375" s="49" t="n"/>
      <c r="G375" s="29" t="n"/>
      <c r="H375" s="29" t="n"/>
      <c r="I375" s="29" t="n"/>
      <c r="J375" s="29" t="n"/>
      <c r="K375" s="29" t="n"/>
    </row>
    <row r="376" ht="54" customHeight="1">
      <c r="A376" s="29" t="n"/>
      <c r="B376" s="29" t="n"/>
      <c r="C376" s="29" t="n"/>
      <c r="D376" s="29" t="n"/>
      <c r="E376" s="29" t="n"/>
      <c r="F376" s="49" t="n"/>
      <c r="G376" s="29" t="n"/>
      <c r="H376" s="29" t="n"/>
      <c r="I376" s="29" t="n"/>
      <c r="J376" s="29" t="n"/>
      <c r="K376" s="29" t="n"/>
    </row>
    <row r="377" ht="54" customHeight="1">
      <c r="A377" s="29" t="n"/>
      <c r="B377" s="29" t="n"/>
      <c r="C377" s="29" t="n"/>
      <c r="D377" s="29" t="n"/>
      <c r="E377" s="29" t="n"/>
      <c r="F377" s="49" t="n"/>
      <c r="G377" s="29" t="n"/>
      <c r="H377" s="29" t="n"/>
      <c r="I377" s="29" t="n"/>
      <c r="J377" s="29" t="n"/>
      <c r="K377" s="29" t="n"/>
    </row>
    <row r="378" ht="54" customHeight="1">
      <c r="A378" s="29" t="n"/>
      <c r="B378" s="29" t="n"/>
      <c r="C378" s="29" t="n"/>
      <c r="D378" s="29" t="n"/>
      <c r="E378" s="29" t="n"/>
      <c r="F378" s="49" t="n"/>
      <c r="G378" s="29" t="n"/>
      <c r="H378" s="29" t="n"/>
      <c r="I378" s="29" t="n"/>
      <c r="J378" s="29" t="n"/>
      <c r="K378" s="29" t="n"/>
    </row>
    <row r="379" ht="54" customHeight="1">
      <c r="A379" s="29" t="n"/>
      <c r="B379" s="29" t="n"/>
      <c r="C379" s="29" t="n"/>
      <c r="D379" s="29" t="n"/>
      <c r="E379" s="29" t="n"/>
      <c r="F379" s="49" t="n"/>
      <c r="G379" s="29" t="n"/>
      <c r="H379" s="29" t="n"/>
      <c r="I379" s="29" t="n"/>
      <c r="J379" s="29" t="n"/>
      <c r="K379" s="29" t="n"/>
    </row>
    <row r="380" ht="54" customHeight="1">
      <c r="A380" s="29" t="n"/>
      <c r="B380" s="29" t="n"/>
      <c r="C380" s="29" t="n"/>
      <c r="D380" s="29" t="n"/>
      <c r="E380" s="29" t="n"/>
      <c r="F380" s="49" t="n"/>
      <c r="G380" s="29" t="n"/>
      <c r="H380" s="29" t="n"/>
      <c r="I380" s="29" t="n"/>
      <c r="J380" s="29" t="n"/>
      <c r="K380" s="29" t="n"/>
    </row>
    <row r="381" ht="54" customHeight="1">
      <c r="A381" s="29" t="n"/>
      <c r="B381" s="29" t="n"/>
      <c r="C381" s="29" t="n"/>
      <c r="D381" s="29" t="n"/>
      <c r="E381" s="29" t="n"/>
      <c r="F381" s="49" t="n"/>
      <c r="G381" s="29" t="n"/>
      <c r="H381" s="29" t="n"/>
      <c r="I381" s="29" t="n"/>
      <c r="J381" s="29" t="n"/>
      <c r="K381" s="29" t="n"/>
    </row>
    <row r="382" ht="54" customHeight="1">
      <c r="A382" s="29" t="n"/>
      <c r="B382" s="29" t="n"/>
      <c r="C382" s="29" t="n"/>
      <c r="D382" s="29" t="n"/>
      <c r="E382" s="29" t="n"/>
      <c r="F382" s="49" t="n"/>
      <c r="G382" s="29" t="n"/>
      <c r="H382" s="29" t="n"/>
      <c r="I382" s="29" t="n"/>
      <c r="J382" s="29" t="n"/>
      <c r="K382" s="29" t="n"/>
    </row>
    <row r="383" ht="54" customHeight="1">
      <c r="A383" s="29" t="n"/>
      <c r="B383" s="29" t="n"/>
      <c r="C383" s="29" t="n"/>
      <c r="D383" s="29" t="n"/>
      <c r="E383" s="29" t="n"/>
      <c r="F383" s="49" t="n"/>
      <c r="G383" s="29" t="n"/>
      <c r="H383" s="29" t="n"/>
      <c r="I383" s="29" t="n"/>
      <c r="J383" s="29" t="n"/>
      <c r="K383" s="29" t="n"/>
    </row>
    <row r="384" ht="54" customHeight="1">
      <c r="A384" s="29" t="n"/>
      <c r="B384" s="29" t="n"/>
      <c r="C384" s="29" t="n"/>
      <c r="D384" s="29" t="n"/>
      <c r="E384" s="29" t="n"/>
      <c r="F384" s="49" t="n"/>
      <c r="G384" s="29" t="n"/>
      <c r="H384" s="29" t="n"/>
      <c r="I384" s="29" t="n"/>
      <c r="J384" s="29" t="n"/>
      <c r="K384" s="29" t="n"/>
    </row>
    <row r="385" ht="54" customHeight="1">
      <c r="A385" s="29" t="n"/>
      <c r="B385" s="29" t="n"/>
      <c r="C385" s="29" t="n"/>
      <c r="D385" s="29" t="n"/>
      <c r="E385" s="29" t="n"/>
      <c r="F385" s="49" t="n"/>
      <c r="G385" s="29" t="n"/>
      <c r="H385" s="29" t="n"/>
      <c r="I385" s="29" t="n"/>
      <c r="J385" s="29" t="n"/>
      <c r="K385" s="29" t="n"/>
    </row>
    <row r="386" ht="54" customHeight="1">
      <c r="A386" s="29" t="n"/>
      <c r="B386" s="29" t="n"/>
      <c r="C386" s="29" t="n"/>
      <c r="D386" s="29" t="n"/>
      <c r="E386" s="29" t="n"/>
      <c r="F386" s="49" t="n"/>
      <c r="G386" s="29" t="n"/>
      <c r="H386" s="29" t="n"/>
      <c r="I386" s="29" t="n"/>
      <c r="J386" s="29" t="n"/>
      <c r="K386" s="29" t="n"/>
    </row>
    <row r="387" ht="54" customHeight="1">
      <c r="A387" s="29" t="n"/>
      <c r="B387" s="29" t="n"/>
      <c r="C387" s="29" t="n"/>
      <c r="D387" s="29" t="n"/>
      <c r="E387" s="29" t="n"/>
      <c r="F387" s="49" t="n"/>
      <c r="G387" s="29" t="n"/>
      <c r="H387" s="29" t="n"/>
      <c r="I387" s="29" t="n"/>
      <c r="J387" s="29" t="n"/>
      <c r="K387" s="29" t="n"/>
    </row>
    <row r="388" ht="54" customHeight="1">
      <c r="A388" s="29" t="n"/>
      <c r="B388" s="29" t="n"/>
      <c r="C388" s="29" t="n"/>
      <c r="D388" s="29" t="n"/>
      <c r="E388" s="29" t="n"/>
      <c r="F388" s="49" t="n"/>
      <c r="G388" s="29" t="n"/>
      <c r="H388" s="29" t="n"/>
      <c r="I388" s="29" t="n"/>
      <c r="J388" s="29" t="n"/>
      <c r="K388" s="29" t="n"/>
    </row>
    <row r="389" ht="54" customHeight="1">
      <c r="A389" s="29" t="n"/>
      <c r="B389" s="29" t="n"/>
      <c r="C389" s="29" t="n"/>
      <c r="D389" s="29" t="n"/>
      <c r="E389" s="29" t="n"/>
      <c r="F389" s="49" t="n"/>
      <c r="G389" s="29" t="n"/>
      <c r="H389" s="29" t="n"/>
      <c r="I389" s="29" t="n"/>
      <c r="J389" s="29" t="n"/>
      <c r="K389" s="29" t="n"/>
    </row>
    <row r="390" ht="54" customHeight="1">
      <c r="A390" s="29" t="n"/>
      <c r="B390" s="29" t="n"/>
      <c r="C390" s="29" t="n"/>
      <c r="D390" s="29" t="n"/>
      <c r="E390" s="29" t="n"/>
      <c r="F390" s="49" t="n"/>
      <c r="G390" s="29" t="n"/>
      <c r="H390" s="29" t="n"/>
      <c r="I390" s="29" t="n"/>
      <c r="J390" s="29" t="n"/>
      <c r="K390" s="29" t="n"/>
    </row>
    <row r="391" ht="54" customHeight="1">
      <c r="A391" s="29" t="n"/>
      <c r="B391" s="29" t="n"/>
      <c r="C391" s="29" t="n"/>
      <c r="D391" s="29" t="n"/>
      <c r="E391" s="29" t="n"/>
      <c r="F391" s="49" t="n"/>
      <c r="G391" s="29" t="n"/>
      <c r="H391" s="29" t="n"/>
      <c r="I391" s="29" t="n"/>
      <c r="J391" s="29" t="n"/>
      <c r="K391" s="29" t="n"/>
    </row>
    <row r="392" ht="54" customHeight="1">
      <c r="A392" s="29" t="n"/>
      <c r="B392" s="29" t="n"/>
      <c r="C392" s="29" t="n"/>
      <c r="D392" s="29" t="n"/>
      <c r="E392" s="29" t="n"/>
      <c r="F392" s="49" t="n"/>
      <c r="G392" s="29" t="n"/>
      <c r="H392" s="29" t="n"/>
      <c r="I392" s="29" t="n"/>
      <c r="J392" s="29" t="n"/>
      <c r="K392" s="29" t="n"/>
    </row>
    <row r="393" ht="54" customHeight="1">
      <c r="A393" s="29" t="n"/>
      <c r="B393" s="29" t="n"/>
      <c r="C393" s="29" t="n"/>
      <c r="D393" s="29" t="n"/>
      <c r="E393" s="29" t="n"/>
      <c r="F393" s="49" t="n"/>
      <c r="G393" s="29" t="n"/>
      <c r="H393" s="29" t="n"/>
      <c r="I393" s="29" t="n"/>
      <c r="J393" s="29" t="n"/>
      <c r="K393" s="29" t="n"/>
    </row>
    <row r="394" ht="54" customHeight="1">
      <c r="A394" s="29" t="n"/>
      <c r="B394" s="29" t="n"/>
      <c r="C394" s="29" t="n"/>
      <c r="D394" s="29" t="n"/>
      <c r="E394" s="29" t="n"/>
      <c r="F394" s="49" t="n"/>
      <c r="G394" s="29" t="n"/>
      <c r="H394" s="29" t="n"/>
      <c r="I394" s="29" t="n"/>
      <c r="J394" s="29" t="n"/>
      <c r="K394" s="29" t="n"/>
    </row>
    <row r="395" ht="54" customHeight="1">
      <c r="A395" s="29" t="n"/>
      <c r="B395" s="29" t="n"/>
      <c r="C395" s="29" t="n"/>
      <c r="D395" s="29" t="n"/>
      <c r="E395" s="29" t="n"/>
      <c r="F395" s="49" t="n"/>
      <c r="G395" s="29" t="n"/>
      <c r="H395" s="29" t="n"/>
      <c r="I395" s="29" t="n"/>
      <c r="J395" s="29" t="n"/>
      <c r="K395" s="29" t="n"/>
    </row>
    <row r="396" ht="54" customHeight="1">
      <c r="A396" s="29" t="n"/>
      <c r="B396" s="29" t="n"/>
      <c r="C396" s="29" t="n"/>
      <c r="D396" s="29" t="n"/>
      <c r="E396" s="29" t="n"/>
      <c r="F396" s="49" t="n"/>
      <c r="G396" s="29" t="n"/>
      <c r="H396" s="29" t="n"/>
      <c r="I396" s="29" t="n"/>
      <c r="J396" s="29" t="n"/>
      <c r="K396" s="29" t="n"/>
    </row>
    <row r="397" ht="54" customHeight="1">
      <c r="A397" s="29" t="n"/>
      <c r="B397" s="29" t="n"/>
      <c r="C397" s="29" t="n"/>
      <c r="D397" s="29" t="n"/>
      <c r="E397" s="29" t="n"/>
      <c r="F397" s="49" t="n"/>
      <c r="G397" s="29" t="n"/>
      <c r="H397" s="29" t="n"/>
      <c r="I397" s="29" t="n"/>
      <c r="J397" s="29" t="n"/>
      <c r="K397" s="29" t="n"/>
    </row>
    <row r="398" ht="54" customHeight="1">
      <c r="A398" s="29" t="n"/>
      <c r="B398" s="29" t="n"/>
      <c r="C398" s="29" t="n"/>
      <c r="D398" s="29" t="n"/>
      <c r="E398" s="29" t="n"/>
      <c r="F398" s="49" t="n"/>
      <c r="G398" s="29" t="n"/>
      <c r="H398" s="29" t="n"/>
      <c r="I398" s="29" t="n"/>
      <c r="J398" s="29" t="n"/>
      <c r="K398" s="29" t="n"/>
    </row>
    <row r="399" ht="54" customHeight="1">
      <c r="A399" s="29" t="n"/>
      <c r="B399" s="29" t="n"/>
      <c r="C399" s="29" t="n"/>
      <c r="D399" s="29" t="n"/>
      <c r="E399" s="29" t="n"/>
      <c r="F399" s="49" t="n"/>
      <c r="G399" s="29" t="n"/>
      <c r="H399" s="29" t="n"/>
      <c r="I399" s="29" t="n"/>
      <c r="J399" s="29" t="n"/>
      <c r="K399" s="29" t="n"/>
    </row>
    <row r="400" ht="54" customHeight="1">
      <c r="A400" s="29" t="n"/>
      <c r="B400" s="29" t="n"/>
      <c r="C400" s="29" t="n"/>
      <c r="D400" s="29" t="n"/>
      <c r="E400" s="29" t="n"/>
      <c r="F400" s="49" t="n"/>
      <c r="G400" s="29" t="n"/>
      <c r="H400" s="29" t="n"/>
      <c r="I400" s="29" t="n"/>
      <c r="J400" s="29" t="n"/>
      <c r="K400" s="29" t="n"/>
    </row>
    <row r="401" ht="54" customHeight="1">
      <c r="A401" s="29" t="n"/>
      <c r="B401" s="29" t="n"/>
      <c r="C401" s="29" t="n"/>
      <c r="D401" s="29" t="n"/>
      <c r="E401" s="29" t="n"/>
      <c r="F401" s="49" t="n"/>
      <c r="G401" s="29" t="n"/>
      <c r="H401" s="29" t="n"/>
      <c r="I401" s="29" t="n"/>
      <c r="J401" s="29" t="n"/>
      <c r="K401" s="29" t="n"/>
    </row>
    <row r="402" ht="54" customHeight="1">
      <c r="A402" s="29" t="n"/>
      <c r="B402" s="29" t="n"/>
      <c r="C402" s="29" t="n"/>
      <c r="D402" s="29" t="n"/>
      <c r="E402" s="29" t="n"/>
      <c r="F402" s="49" t="n"/>
      <c r="G402" s="29" t="n"/>
      <c r="H402" s="29" t="n"/>
      <c r="I402" s="29" t="n"/>
      <c r="J402" s="29" t="n"/>
      <c r="K402" s="29" t="n"/>
    </row>
    <row r="403" ht="54" customHeight="1">
      <c r="A403" s="29" t="n"/>
      <c r="B403" s="29" t="n"/>
      <c r="C403" s="29" t="n"/>
      <c r="D403" s="29" t="n"/>
      <c r="E403" s="29" t="n"/>
      <c r="F403" s="49" t="n"/>
      <c r="G403" s="29" t="n"/>
      <c r="H403" s="29" t="n"/>
      <c r="I403" s="29" t="n"/>
      <c r="J403" s="29" t="n"/>
      <c r="K403" s="29" t="n"/>
    </row>
    <row r="404" ht="54" customHeight="1">
      <c r="A404" s="29" t="n"/>
      <c r="B404" s="29" t="n"/>
      <c r="C404" s="29" t="n"/>
      <c r="D404" s="29" t="n"/>
      <c r="E404" s="29" t="n"/>
      <c r="F404" s="49" t="n"/>
      <c r="G404" s="29" t="n"/>
      <c r="H404" s="29" t="n"/>
      <c r="I404" s="29" t="n"/>
      <c r="J404" s="29" t="n"/>
      <c r="K404" s="29" t="n"/>
    </row>
    <row r="405" ht="54" customHeight="1">
      <c r="A405" s="29" t="n"/>
      <c r="B405" s="29" t="n"/>
      <c r="C405" s="29" t="n"/>
      <c r="D405" s="29" t="n"/>
      <c r="E405" s="29" t="n"/>
      <c r="F405" s="49" t="n"/>
      <c r="G405" s="29" t="n"/>
      <c r="H405" s="29" t="n"/>
      <c r="I405" s="29" t="n"/>
      <c r="J405" s="29" t="n"/>
      <c r="K405" s="29" t="n"/>
    </row>
    <row r="406" ht="54" customHeight="1">
      <c r="A406" s="29" t="n"/>
      <c r="B406" s="29" t="n"/>
      <c r="C406" s="29" t="n"/>
      <c r="D406" s="29" t="n"/>
      <c r="E406" s="29" t="n"/>
      <c r="F406" s="49" t="n"/>
      <c r="G406" s="29" t="n"/>
      <c r="H406" s="29" t="n"/>
      <c r="I406" s="29" t="n"/>
      <c r="J406" s="29" t="n"/>
      <c r="K406" s="29" t="n"/>
    </row>
    <row r="407" ht="54" customHeight="1">
      <c r="A407" s="29" t="n"/>
      <c r="B407" s="29" t="n"/>
      <c r="C407" s="29" t="n"/>
      <c r="D407" s="29" t="n"/>
      <c r="E407" s="29" t="n"/>
      <c r="F407" s="49" t="n"/>
      <c r="G407" s="29" t="n"/>
      <c r="H407" s="29" t="n"/>
      <c r="I407" s="29" t="n"/>
      <c r="J407" s="29" t="n"/>
      <c r="K407" s="29" t="n"/>
    </row>
    <row r="408" ht="54" customHeight="1">
      <c r="A408" s="29" t="n"/>
      <c r="B408" s="29" t="n"/>
      <c r="C408" s="29" t="n"/>
      <c r="D408" s="29" t="n"/>
      <c r="E408" s="29" t="n"/>
      <c r="F408" s="49" t="n"/>
      <c r="G408" s="29" t="n"/>
      <c r="H408" s="29" t="n"/>
      <c r="I408" s="29" t="n"/>
      <c r="J408" s="29" t="n"/>
      <c r="K408" s="29" t="n"/>
    </row>
    <row r="409" ht="54" customHeight="1">
      <c r="A409" s="29" t="n"/>
      <c r="B409" s="29" t="n"/>
      <c r="C409" s="29" t="n"/>
      <c r="D409" s="29" t="n"/>
      <c r="E409" s="29" t="n"/>
      <c r="F409" s="49" t="n"/>
      <c r="G409" s="29" t="n"/>
      <c r="H409" s="29" t="n"/>
      <c r="I409" s="29" t="n"/>
      <c r="J409" s="29" t="n"/>
      <c r="K409" s="29" t="n"/>
    </row>
    <row r="410" ht="54" customHeight="1">
      <c r="A410" s="29" t="n"/>
      <c r="B410" s="29" t="n"/>
      <c r="C410" s="29" t="n"/>
      <c r="D410" s="29" t="n"/>
      <c r="E410" s="29" t="n"/>
      <c r="F410" s="49" t="n"/>
      <c r="G410" s="29" t="n"/>
      <c r="H410" s="29" t="n"/>
      <c r="I410" s="29" t="n"/>
      <c r="J410" s="29" t="n"/>
      <c r="K410" s="29" t="n"/>
    </row>
    <row r="411" ht="54" customHeight="1">
      <c r="A411" s="29" t="n"/>
      <c r="B411" s="29" t="n"/>
      <c r="C411" s="29" t="n"/>
      <c r="D411" s="29" t="n"/>
      <c r="E411" s="29" t="n"/>
      <c r="F411" s="49" t="n"/>
      <c r="G411" s="29" t="n"/>
      <c r="H411" s="29" t="n"/>
      <c r="I411" s="29" t="n"/>
      <c r="J411" s="29" t="n"/>
      <c r="K411" s="29" t="n"/>
    </row>
    <row r="412" ht="54" customHeight="1">
      <c r="A412" s="29" t="n"/>
      <c r="B412" s="29" t="n"/>
      <c r="C412" s="29" t="n"/>
      <c r="D412" s="29" t="n"/>
      <c r="E412" s="29" t="n"/>
      <c r="F412" s="49" t="n"/>
      <c r="G412" s="29" t="n"/>
      <c r="H412" s="29" t="n"/>
      <c r="I412" s="29" t="n"/>
      <c r="J412" s="29" t="n"/>
      <c r="K412" s="29" t="n"/>
    </row>
    <row r="413" ht="54" customHeight="1">
      <c r="A413" s="29" t="n"/>
      <c r="B413" s="29" t="n"/>
      <c r="C413" s="29" t="n"/>
      <c r="D413" s="29" t="n"/>
      <c r="E413" s="29" t="n"/>
      <c r="F413" s="49" t="n"/>
      <c r="G413" s="29" t="n"/>
      <c r="H413" s="29" t="n"/>
      <c r="I413" s="29" t="n"/>
      <c r="J413" s="29" t="n"/>
      <c r="K413" s="29" t="n"/>
    </row>
    <row r="414" ht="54" customHeight="1">
      <c r="A414" s="29" t="n"/>
      <c r="B414" s="29" t="n"/>
      <c r="C414" s="29" t="n"/>
      <c r="D414" s="29" t="n"/>
      <c r="E414" s="29" t="n"/>
      <c r="F414" s="49" t="n"/>
      <c r="G414" s="29" t="n"/>
      <c r="H414" s="29" t="n"/>
      <c r="I414" s="29" t="n"/>
      <c r="J414" s="29" t="n"/>
      <c r="K414" s="29" t="n"/>
    </row>
    <row r="415" ht="54" customHeight="1">
      <c r="A415" s="29" t="n"/>
      <c r="B415" s="29" t="n"/>
      <c r="C415" s="29" t="n"/>
      <c r="D415" s="29" t="n"/>
      <c r="E415" s="29" t="n"/>
      <c r="F415" s="49" t="n"/>
      <c r="G415" s="29" t="n"/>
      <c r="H415" s="29" t="n"/>
      <c r="I415" s="29" t="n"/>
      <c r="J415" s="29" t="n"/>
      <c r="K415" s="29" t="n"/>
    </row>
    <row r="416" ht="54" customHeight="1">
      <c r="A416" s="29" t="n"/>
      <c r="B416" s="29" t="n"/>
      <c r="C416" s="29" t="n"/>
      <c r="D416" s="29" t="n"/>
      <c r="E416" s="29" t="n"/>
      <c r="F416" s="49" t="n"/>
      <c r="G416" s="29" t="n"/>
      <c r="H416" s="29" t="n"/>
      <c r="I416" s="29" t="n"/>
      <c r="J416" s="29" t="n"/>
      <c r="K416" s="29" t="n"/>
    </row>
    <row r="417" ht="54" customHeight="1">
      <c r="A417" s="29" t="n"/>
      <c r="B417" s="29" t="n"/>
      <c r="C417" s="29" t="n"/>
      <c r="D417" s="29" t="n"/>
      <c r="E417" s="29" t="n"/>
      <c r="F417" s="49" t="n"/>
      <c r="G417" s="29" t="n"/>
      <c r="H417" s="29" t="n"/>
      <c r="I417" s="29" t="n"/>
      <c r="J417" s="29" t="n"/>
      <c r="K417" s="29" t="n"/>
    </row>
    <row r="418" ht="54" customHeight="1">
      <c r="A418" s="29" t="n"/>
      <c r="B418" s="29" t="n"/>
      <c r="C418" s="29" t="n"/>
      <c r="D418" s="29" t="n"/>
      <c r="E418" s="29" t="n"/>
      <c r="F418" s="49" t="n"/>
      <c r="G418" s="29" t="n"/>
      <c r="H418" s="29" t="n"/>
      <c r="I418" s="29" t="n"/>
      <c r="J418" s="29" t="n"/>
      <c r="K418" s="29" t="n"/>
    </row>
    <row r="419" ht="54" customHeight="1">
      <c r="A419" s="29" t="n"/>
      <c r="B419" s="29" t="n"/>
      <c r="C419" s="29" t="n"/>
      <c r="D419" s="29" t="n"/>
      <c r="E419" s="29" t="n"/>
      <c r="F419" s="49" t="n"/>
      <c r="G419" s="29" t="n"/>
      <c r="H419" s="29" t="n"/>
      <c r="I419" s="29" t="n"/>
      <c r="J419" s="29" t="n"/>
      <c r="K419" s="29" t="n"/>
    </row>
    <row r="420" ht="54" customHeight="1">
      <c r="A420" s="29" t="n"/>
      <c r="B420" s="29" t="n"/>
      <c r="C420" s="29" t="n"/>
      <c r="D420" s="29" t="n"/>
      <c r="E420" s="29" t="n"/>
      <c r="F420" s="49" t="n"/>
      <c r="G420" s="29" t="n"/>
      <c r="H420" s="29" t="n"/>
      <c r="I420" s="29" t="n"/>
      <c r="J420" s="29" t="n"/>
      <c r="K420" s="29" t="n"/>
    </row>
    <row r="421" ht="54" customHeight="1">
      <c r="A421" s="29" t="n"/>
      <c r="B421" s="29" t="n"/>
      <c r="C421" s="29" t="n"/>
      <c r="D421" s="29" t="n"/>
      <c r="E421" s="29" t="n"/>
      <c r="F421" s="49" t="n"/>
      <c r="G421" s="29" t="n"/>
      <c r="H421" s="29" t="n"/>
      <c r="I421" s="29" t="n"/>
      <c r="J421" s="29" t="n"/>
      <c r="K421" s="29" t="n"/>
    </row>
    <row r="422" ht="54" customHeight="1">
      <c r="A422" s="29" t="n"/>
      <c r="B422" s="29" t="n"/>
      <c r="C422" s="29" t="n"/>
      <c r="D422" s="29" t="n"/>
      <c r="E422" s="29" t="n"/>
      <c r="F422" s="49" t="n"/>
      <c r="G422" s="29" t="n"/>
      <c r="H422" s="29" t="n"/>
      <c r="I422" s="29" t="n"/>
      <c r="J422" s="29" t="n"/>
      <c r="K422" s="29" t="n"/>
    </row>
    <row r="423" ht="54" customHeight="1">
      <c r="A423" s="29" t="n"/>
      <c r="B423" s="29" t="n"/>
      <c r="C423" s="29" t="n"/>
      <c r="D423" s="29" t="n"/>
      <c r="E423" s="29" t="n"/>
      <c r="F423" s="49" t="n"/>
      <c r="G423" s="29" t="n"/>
      <c r="H423" s="29" t="n"/>
      <c r="I423" s="29" t="n"/>
      <c r="J423" s="29" t="n"/>
      <c r="K423" s="29" t="n"/>
    </row>
    <row r="424" ht="54" customHeight="1">
      <c r="A424" s="29" t="n"/>
      <c r="B424" s="29" t="n"/>
      <c r="C424" s="29" t="n"/>
      <c r="D424" s="29" t="n"/>
      <c r="E424" s="29" t="n"/>
      <c r="F424" s="49" t="n"/>
      <c r="G424" s="29" t="n"/>
      <c r="H424" s="29" t="n"/>
      <c r="I424" s="29" t="n"/>
      <c r="J424" s="29" t="n"/>
      <c r="K424" s="29" t="n"/>
    </row>
    <row r="425" ht="54" customHeight="1">
      <c r="A425" s="29" t="n"/>
      <c r="B425" s="29" t="n"/>
      <c r="C425" s="29" t="n"/>
      <c r="D425" s="29" t="n"/>
      <c r="E425" s="29" t="n"/>
      <c r="F425" s="49" t="n"/>
      <c r="G425" s="29" t="n"/>
      <c r="H425" s="29" t="n"/>
      <c r="I425" s="29" t="n"/>
      <c r="J425" s="29" t="n"/>
      <c r="K425" s="29" t="n"/>
    </row>
    <row r="426" ht="54" customHeight="1">
      <c r="A426" s="29" t="n"/>
      <c r="B426" s="29" t="n"/>
      <c r="C426" s="29" t="n"/>
      <c r="D426" s="29" t="n"/>
      <c r="E426" s="29" t="n"/>
      <c r="F426" s="49" t="n"/>
      <c r="G426" s="29" t="n"/>
      <c r="H426" s="29" t="n"/>
      <c r="I426" s="29" t="n"/>
      <c r="J426" s="29" t="n"/>
      <c r="K426" s="29" t="n"/>
    </row>
    <row r="427" ht="54" customHeight="1">
      <c r="A427" s="29" t="n"/>
      <c r="B427" s="29" t="n"/>
      <c r="C427" s="29" t="n"/>
      <c r="D427" s="29" t="n"/>
      <c r="E427" s="29" t="n"/>
      <c r="F427" s="49" t="n"/>
      <c r="G427" s="29" t="n"/>
      <c r="H427" s="29" t="n"/>
      <c r="I427" s="29" t="n"/>
      <c r="J427" s="29" t="n"/>
      <c r="K427" s="29" t="n"/>
    </row>
    <row r="428" ht="54" customHeight="1">
      <c r="A428" s="29" t="n"/>
      <c r="B428" s="29" t="n"/>
      <c r="C428" s="29" t="n"/>
      <c r="D428" s="29" t="n"/>
      <c r="E428" s="29" t="n"/>
      <c r="F428" s="49" t="n"/>
      <c r="G428" s="29" t="n"/>
      <c r="H428" s="29" t="n"/>
      <c r="I428" s="29" t="n"/>
      <c r="J428" s="29" t="n"/>
      <c r="K428" s="29" t="n"/>
    </row>
    <row r="429" ht="54" customHeight="1">
      <c r="A429" s="29" t="n"/>
      <c r="B429" s="29" t="n"/>
      <c r="C429" s="29" t="n"/>
      <c r="D429" s="29" t="n"/>
      <c r="E429" s="29" t="n"/>
      <c r="F429" s="49" t="n"/>
      <c r="G429" s="29" t="n"/>
      <c r="H429" s="29" t="n"/>
      <c r="I429" s="29" t="n"/>
      <c r="J429" s="29" t="n"/>
      <c r="K429" s="29" t="n"/>
    </row>
    <row r="430" ht="54" customHeight="1">
      <c r="A430" s="29" t="n"/>
      <c r="B430" s="29" t="n"/>
      <c r="C430" s="29" t="n"/>
      <c r="D430" s="29" t="n"/>
      <c r="E430" s="29" t="n"/>
      <c r="F430" s="49" t="n"/>
      <c r="G430" s="29" t="n"/>
      <c r="H430" s="29" t="n"/>
      <c r="I430" s="29" t="n"/>
      <c r="J430" s="29" t="n"/>
      <c r="K430" s="29" t="n"/>
    </row>
    <row r="431" ht="54" customHeight="1">
      <c r="A431" s="29" t="n"/>
      <c r="B431" s="29" t="n"/>
      <c r="C431" s="29" t="n"/>
      <c r="D431" s="29" t="n"/>
      <c r="E431" s="29" t="n"/>
      <c r="F431" s="49" t="n"/>
      <c r="G431" s="29" t="n"/>
      <c r="H431" s="29" t="n"/>
      <c r="I431" s="29" t="n"/>
      <c r="J431" s="29" t="n"/>
      <c r="K431" s="29" t="n"/>
    </row>
    <row r="432" ht="54" customHeight="1">
      <c r="A432" s="29" t="n"/>
      <c r="B432" s="29" t="n"/>
      <c r="C432" s="29" t="n"/>
      <c r="D432" s="29" t="n"/>
      <c r="E432" s="29" t="n"/>
      <c r="F432" s="49" t="n"/>
      <c r="G432" s="29" t="n"/>
      <c r="H432" s="29" t="n"/>
      <c r="I432" s="29" t="n"/>
      <c r="J432" s="29" t="n"/>
      <c r="K432" s="29" t="n"/>
    </row>
    <row r="433" ht="54" customHeight="1">
      <c r="A433" s="29" t="n"/>
      <c r="B433" s="29" t="n"/>
      <c r="C433" s="29" t="n"/>
      <c r="D433" s="29" t="n"/>
      <c r="E433" s="29" t="n"/>
      <c r="F433" s="49" t="n"/>
      <c r="G433" s="29" t="n"/>
      <c r="H433" s="29" t="n"/>
      <c r="I433" s="29" t="n"/>
      <c r="J433" s="29" t="n"/>
      <c r="K433" s="29" t="n"/>
    </row>
    <row r="434" ht="54" customHeight="1">
      <c r="A434" s="29" t="n"/>
      <c r="B434" s="29" t="n"/>
      <c r="C434" s="29" t="n"/>
      <c r="D434" s="29" t="n"/>
      <c r="E434" s="29" t="n"/>
      <c r="F434" s="49" t="n"/>
      <c r="G434" s="29" t="n"/>
      <c r="H434" s="29" t="n"/>
      <c r="I434" s="29" t="n"/>
      <c r="J434" s="29" t="n"/>
      <c r="K434" s="29" t="n"/>
    </row>
    <row r="435" ht="54" customHeight="1">
      <c r="A435" s="29" t="n"/>
      <c r="B435" s="29" t="n"/>
      <c r="C435" s="29" t="n"/>
      <c r="D435" s="29" t="n"/>
      <c r="E435" s="29" t="n"/>
      <c r="F435" s="49" t="n"/>
      <c r="G435" s="29" t="n"/>
      <c r="H435" s="29" t="n"/>
      <c r="I435" s="29" t="n"/>
      <c r="J435" s="29" t="n"/>
      <c r="K435" s="29" t="n"/>
    </row>
    <row r="436" ht="54" customHeight="1">
      <c r="A436" s="29" t="n"/>
      <c r="B436" s="29" t="n"/>
      <c r="C436" s="29" t="n"/>
      <c r="D436" s="29" t="n"/>
      <c r="E436" s="29" t="n"/>
      <c r="F436" s="49" t="n"/>
      <c r="G436" s="29" t="n"/>
      <c r="H436" s="29" t="n"/>
      <c r="I436" s="29" t="n"/>
      <c r="J436" s="29" t="n"/>
      <c r="K436" s="29" t="n"/>
    </row>
    <row r="437" ht="54" customHeight="1">
      <c r="A437" s="29" t="n"/>
      <c r="B437" s="29" t="n"/>
      <c r="C437" s="29" t="n"/>
      <c r="D437" s="29" t="n"/>
      <c r="E437" s="29" t="n"/>
      <c r="F437" s="49" t="n"/>
      <c r="G437" s="29" t="n"/>
      <c r="H437" s="29" t="n"/>
      <c r="I437" s="29" t="n"/>
      <c r="J437" s="29" t="n"/>
      <c r="K437" s="29" t="n"/>
    </row>
    <row r="438" ht="54" customHeight="1">
      <c r="A438" s="29" t="n"/>
      <c r="B438" s="29" t="n"/>
      <c r="C438" s="29" t="n"/>
      <c r="D438" s="29" t="n"/>
      <c r="E438" s="29" t="n"/>
      <c r="F438" s="49" t="n"/>
      <c r="G438" s="29" t="n"/>
      <c r="H438" s="29" t="n"/>
      <c r="I438" s="29" t="n"/>
      <c r="J438" s="29" t="n"/>
      <c r="K438" s="29" t="n"/>
    </row>
    <row r="439" ht="54" customHeight="1">
      <c r="A439" s="29" t="n"/>
      <c r="B439" s="29" t="n"/>
      <c r="C439" s="29" t="n"/>
      <c r="D439" s="29" t="n"/>
      <c r="E439" s="29" t="n"/>
      <c r="F439" s="49" t="n"/>
      <c r="G439" s="29" t="n"/>
      <c r="H439" s="29" t="n"/>
      <c r="I439" s="29" t="n"/>
      <c r="J439" s="29" t="n"/>
      <c r="K439" s="29" t="n"/>
    </row>
    <row r="440" ht="54" customHeight="1">
      <c r="A440" s="29" t="n"/>
      <c r="B440" s="29" t="n"/>
      <c r="C440" s="29" t="n"/>
      <c r="D440" s="29" t="n"/>
      <c r="E440" s="29" t="n"/>
      <c r="F440" s="49" t="n"/>
      <c r="G440" s="29" t="n"/>
      <c r="H440" s="29" t="n"/>
      <c r="I440" s="29" t="n"/>
      <c r="J440" s="29" t="n"/>
      <c r="K440" s="29" t="n"/>
    </row>
    <row r="441" ht="54" customHeight="1">
      <c r="A441" s="29" t="n"/>
      <c r="B441" s="29" t="n"/>
      <c r="C441" s="29" t="n"/>
      <c r="D441" s="29" t="n"/>
      <c r="E441" s="29" t="n"/>
      <c r="F441" s="49" t="n"/>
      <c r="G441" s="29" t="n"/>
      <c r="H441" s="29" t="n"/>
      <c r="I441" s="29" t="n"/>
      <c r="J441" s="29" t="n"/>
      <c r="K441" s="29" t="n"/>
    </row>
    <row r="442" ht="54" customHeight="1">
      <c r="A442" s="29" t="n"/>
      <c r="B442" s="29" t="n"/>
      <c r="C442" s="29" t="n"/>
      <c r="D442" s="29" t="n"/>
      <c r="E442" s="29" t="n"/>
      <c r="F442" s="49" t="n"/>
      <c r="G442" s="29" t="n"/>
      <c r="H442" s="29" t="n"/>
      <c r="I442" s="29" t="n"/>
      <c r="J442" s="29" t="n"/>
      <c r="K442" s="29" t="n"/>
    </row>
    <row r="443" ht="54" customHeight="1">
      <c r="A443" s="29" t="n"/>
      <c r="B443" s="29" t="n"/>
      <c r="C443" s="29" t="n"/>
      <c r="D443" s="29" t="n"/>
      <c r="E443" s="29" t="n"/>
      <c r="F443" s="49" t="n"/>
      <c r="G443" s="29" t="n"/>
      <c r="H443" s="29" t="n"/>
      <c r="I443" s="29" t="n"/>
      <c r="J443" s="29" t="n"/>
      <c r="K443" s="29" t="n"/>
    </row>
    <row r="444" ht="54" customHeight="1">
      <c r="A444" s="29" t="n"/>
      <c r="B444" s="29" t="n"/>
      <c r="C444" s="29" t="n"/>
      <c r="D444" s="29" t="n"/>
      <c r="E444" s="29" t="n"/>
      <c r="F444" s="49" t="n"/>
      <c r="G444" s="29" t="n"/>
      <c r="H444" s="29" t="n"/>
      <c r="I444" s="29" t="n"/>
      <c r="J444" s="29" t="n"/>
      <c r="K444" s="29" t="n"/>
    </row>
    <row r="445" ht="54" customHeight="1">
      <c r="A445" s="29" t="n"/>
      <c r="B445" s="29" t="n"/>
      <c r="C445" s="29" t="n"/>
      <c r="D445" s="29" t="n"/>
      <c r="E445" s="29" t="n"/>
      <c r="F445" s="49" t="n"/>
      <c r="G445" s="29" t="n"/>
      <c r="H445" s="29" t="n"/>
      <c r="I445" s="29" t="n"/>
      <c r="J445" s="29" t="n"/>
      <c r="K445" s="29" t="n"/>
    </row>
    <row r="446" ht="54" customHeight="1">
      <c r="A446" s="29" t="n"/>
      <c r="B446" s="29" t="n"/>
      <c r="C446" s="29" t="n"/>
      <c r="D446" s="29" t="n"/>
      <c r="E446" s="29" t="n"/>
      <c r="F446" s="49" t="n"/>
      <c r="G446" s="29" t="n"/>
      <c r="H446" s="29" t="n"/>
      <c r="I446" s="29" t="n"/>
      <c r="J446" s="29" t="n"/>
      <c r="K446" s="29" t="n"/>
    </row>
    <row r="447" ht="54" customHeight="1">
      <c r="A447" s="29" t="n"/>
      <c r="B447" s="29" t="n"/>
      <c r="C447" s="29" t="n"/>
      <c r="D447" s="29" t="n"/>
      <c r="E447" s="29" t="n"/>
      <c r="F447" s="49" t="n"/>
      <c r="G447" s="29" t="n"/>
      <c r="H447" s="29" t="n"/>
      <c r="I447" s="29" t="n"/>
      <c r="J447" s="29" t="n"/>
      <c r="K447" s="29" t="n"/>
    </row>
    <row r="448" ht="54" customHeight="1">
      <c r="A448" s="29" t="n"/>
      <c r="B448" s="29" t="n"/>
      <c r="C448" s="29" t="n"/>
      <c r="D448" s="29" t="n"/>
      <c r="E448" s="29" t="n"/>
      <c r="F448" s="49" t="n"/>
      <c r="G448" s="29" t="n"/>
      <c r="H448" s="29" t="n"/>
      <c r="I448" s="29" t="n"/>
      <c r="J448" s="29" t="n"/>
      <c r="K448" s="29" t="n"/>
    </row>
    <row r="449" ht="54" customHeight="1">
      <c r="A449" s="29" t="n"/>
      <c r="B449" s="29" t="n"/>
      <c r="C449" s="29" t="n"/>
      <c r="D449" s="29" t="n"/>
      <c r="E449" s="29" t="n"/>
      <c r="F449" s="49" t="n"/>
      <c r="G449" s="29" t="n"/>
      <c r="H449" s="29" t="n"/>
      <c r="I449" s="29" t="n"/>
      <c r="J449" s="29" t="n"/>
      <c r="K449" s="29" t="n"/>
    </row>
    <row r="450" ht="54" customHeight="1">
      <c r="A450" s="29" t="n"/>
      <c r="B450" s="29" t="n"/>
      <c r="C450" s="29" t="n"/>
      <c r="D450" s="29" t="n"/>
      <c r="E450" s="29" t="n"/>
      <c r="F450" s="49" t="n"/>
      <c r="G450" s="29" t="n"/>
      <c r="H450" s="29" t="n"/>
      <c r="I450" s="29" t="n"/>
      <c r="J450" s="29" t="n"/>
      <c r="K450" s="29" t="n"/>
    </row>
    <row r="451" ht="54" customHeight="1">
      <c r="A451" s="29" t="n"/>
      <c r="B451" s="29" t="n"/>
      <c r="C451" s="29" t="n"/>
      <c r="D451" s="29" t="n"/>
      <c r="E451" s="29" t="n"/>
      <c r="F451" s="49" t="n"/>
      <c r="G451" s="29" t="n"/>
      <c r="H451" s="29" t="n"/>
      <c r="I451" s="29" t="n"/>
      <c r="J451" s="29" t="n"/>
      <c r="K451" s="29" t="n"/>
    </row>
    <row r="452" ht="54" customHeight="1">
      <c r="A452" s="29" t="n"/>
      <c r="B452" s="29" t="n"/>
      <c r="C452" s="29" t="n"/>
      <c r="D452" s="29" t="n"/>
      <c r="E452" s="29" t="n"/>
      <c r="F452" s="49" t="n"/>
      <c r="G452" s="29" t="n"/>
      <c r="H452" s="29" t="n"/>
      <c r="I452" s="29" t="n"/>
      <c r="J452" s="29" t="n"/>
      <c r="K452" s="29" t="n"/>
    </row>
    <row r="453" ht="54" customHeight="1">
      <c r="A453" s="29" t="n"/>
      <c r="B453" s="29" t="n"/>
      <c r="C453" s="29" t="n"/>
      <c r="D453" s="29" t="n"/>
      <c r="E453" s="29" t="n"/>
      <c r="F453" s="49" t="n"/>
      <c r="G453" s="29" t="n"/>
      <c r="H453" s="29" t="n"/>
      <c r="I453" s="29" t="n"/>
      <c r="J453" s="29" t="n"/>
      <c r="K453" s="29" t="n"/>
    </row>
    <row r="454" ht="54" customHeight="1">
      <c r="A454" s="29" t="n"/>
      <c r="B454" s="29" t="n"/>
      <c r="C454" s="29" t="n"/>
      <c r="D454" s="29" t="n"/>
      <c r="E454" s="29" t="n"/>
      <c r="F454" s="49" t="n"/>
      <c r="G454" s="29" t="n"/>
      <c r="H454" s="29" t="n"/>
      <c r="I454" s="29" t="n"/>
      <c r="J454" s="29" t="n"/>
      <c r="K454" s="29" t="n"/>
    </row>
    <row r="455" ht="54" customHeight="1">
      <c r="A455" s="29" t="n"/>
      <c r="B455" s="29" t="n"/>
      <c r="C455" s="29" t="n"/>
      <c r="D455" s="29" t="n"/>
      <c r="E455" s="29" t="n"/>
      <c r="F455" s="49" t="n"/>
      <c r="G455" s="29" t="n"/>
      <c r="H455" s="29" t="n"/>
      <c r="I455" s="29" t="n"/>
      <c r="J455" s="29" t="n"/>
      <c r="K455" s="29" t="n"/>
    </row>
    <row r="456" ht="54" customHeight="1">
      <c r="A456" s="29" t="n"/>
      <c r="B456" s="29" t="n"/>
      <c r="C456" s="29" t="n"/>
      <c r="D456" s="29" t="n"/>
      <c r="E456" s="29" t="n"/>
      <c r="F456" s="49" t="n"/>
      <c r="G456" s="29" t="n"/>
      <c r="H456" s="29" t="n"/>
      <c r="I456" s="29" t="n"/>
      <c r="J456" s="29" t="n"/>
      <c r="K456" s="29" t="n"/>
    </row>
    <row r="457" ht="54" customHeight="1">
      <c r="A457" s="29" t="n"/>
      <c r="B457" s="29" t="n"/>
      <c r="C457" s="29" t="n"/>
      <c r="D457" s="29" t="n"/>
      <c r="E457" s="29" t="n"/>
      <c r="F457" s="49" t="n"/>
      <c r="G457" s="29" t="n"/>
      <c r="H457" s="29" t="n"/>
      <c r="I457" s="29" t="n"/>
      <c r="J457" s="29" t="n"/>
      <c r="K457" s="29" t="n"/>
    </row>
    <row r="458" ht="54" customHeight="1">
      <c r="A458" s="29" t="n"/>
      <c r="B458" s="29" t="n"/>
      <c r="C458" s="29" t="n"/>
      <c r="D458" s="29" t="n"/>
      <c r="E458" s="29" t="n"/>
      <c r="F458" s="49" t="n"/>
      <c r="G458" s="29" t="n"/>
      <c r="H458" s="29" t="n"/>
      <c r="I458" s="29" t="n"/>
      <c r="J458" s="29" t="n"/>
      <c r="K458" s="29" t="n"/>
    </row>
    <row r="459" ht="54" customHeight="1">
      <c r="A459" s="29" t="n"/>
      <c r="B459" s="29" t="n"/>
      <c r="C459" s="29" t="n"/>
      <c r="D459" s="29" t="n"/>
      <c r="E459" s="29" t="n"/>
      <c r="F459" s="49" t="n"/>
      <c r="G459" s="29" t="n"/>
      <c r="H459" s="29" t="n"/>
      <c r="I459" s="29" t="n"/>
      <c r="J459" s="29" t="n"/>
      <c r="K459" s="29" t="n"/>
    </row>
    <row r="460" ht="54" customHeight="1">
      <c r="A460" s="29" t="n"/>
      <c r="B460" s="29" t="n"/>
      <c r="C460" s="29" t="n"/>
      <c r="D460" s="29" t="n"/>
      <c r="E460" s="29" t="n"/>
      <c r="F460" s="49" t="n"/>
      <c r="G460" s="29" t="n"/>
      <c r="H460" s="29" t="n"/>
      <c r="I460" s="29" t="n"/>
      <c r="J460" s="29" t="n"/>
      <c r="K460" s="29" t="n"/>
    </row>
    <row r="461" ht="54" customHeight="1">
      <c r="A461" s="29" t="n"/>
      <c r="B461" s="29" t="n"/>
      <c r="C461" s="29" t="n"/>
      <c r="D461" s="29" t="n"/>
      <c r="E461" s="29" t="n"/>
      <c r="F461" s="49" t="n"/>
      <c r="G461" s="29" t="n"/>
      <c r="H461" s="29" t="n"/>
      <c r="I461" s="29" t="n"/>
      <c r="J461" s="29" t="n"/>
      <c r="K461" s="29" t="n"/>
    </row>
    <row r="462" ht="54" customHeight="1">
      <c r="A462" s="29" t="n"/>
      <c r="B462" s="29" t="n"/>
      <c r="C462" s="29" t="n"/>
      <c r="D462" s="29" t="n"/>
      <c r="E462" s="29" t="n"/>
      <c r="F462" s="49" t="n"/>
      <c r="G462" s="29" t="n"/>
      <c r="H462" s="29" t="n"/>
      <c r="I462" s="29" t="n"/>
      <c r="J462" s="29" t="n"/>
      <c r="K462" s="29" t="n"/>
    </row>
    <row r="463" ht="54" customHeight="1">
      <c r="A463" s="29" t="n"/>
      <c r="B463" s="29" t="n"/>
      <c r="C463" s="29" t="n"/>
      <c r="D463" s="29" t="n"/>
      <c r="E463" s="29" t="n"/>
      <c r="F463" s="49" t="n"/>
      <c r="G463" s="29" t="n"/>
      <c r="H463" s="29" t="n"/>
      <c r="I463" s="29" t="n"/>
      <c r="J463" s="29" t="n"/>
      <c r="K463" s="29" t="n"/>
    </row>
    <row r="464" ht="54" customHeight="1">
      <c r="A464" s="29" t="n"/>
      <c r="B464" s="29" t="n"/>
      <c r="C464" s="29" t="n"/>
      <c r="D464" s="29" t="n"/>
      <c r="E464" s="29" t="n"/>
      <c r="F464" s="49" t="n"/>
      <c r="G464" s="29" t="n"/>
      <c r="H464" s="29" t="n"/>
      <c r="I464" s="29" t="n"/>
      <c r="J464" s="29" t="n"/>
      <c r="K464" s="29" t="n"/>
    </row>
    <row r="465" ht="54" customHeight="1">
      <c r="A465" s="29" t="n"/>
      <c r="B465" s="29" t="n"/>
      <c r="C465" s="29" t="n"/>
      <c r="D465" s="29" t="n"/>
      <c r="E465" s="29" t="n"/>
      <c r="F465" s="49" t="n"/>
      <c r="G465" s="29" t="n"/>
      <c r="H465" s="29" t="n"/>
      <c r="I465" s="29" t="n"/>
      <c r="J465" s="29" t="n"/>
      <c r="K465" s="29" t="n"/>
    </row>
    <row r="466" ht="54" customHeight="1">
      <c r="A466" s="29" t="n"/>
      <c r="B466" s="29" t="n"/>
      <c r="C466" s="29" t="n"/>
      <c r="D466" s="29" t="n"/>
      <c r="E466" s="29" t="n"/>
      <c r="F466" s="49" t="n"/>
      <c r="G466" s="29" t="n"/>
      <c r="H466" s="29" t="n"/>
      <c r="I466" s="29" t="n"/>
      <c r="J466" s="29" t="n"/>
      <c r="K466" s="29" t="n"/>
    </row>
    <row r="467" ht="54" customHeight="1">
      <c r="A467" s="29" t="n"/>
      <c r="B467" s="29" t="n"/>
      <c r="C467" s="29" t="n"/>
      <c r="D467" s="29" t="n"/>
      <c r="E467" s="29" t="n"/>
      <c r="F467" s="49" t="n"/>
      <c r="G467" s="29" t="n"/>
      <c r="H467" s="29" t="n"/>
      <c r="I467" s="29" t="n"/>
      <c r="J467" s="29" t="n"/>
      <c r="K467" s="29" t="n"/>
    </row>
    <row r="468" ht="54" customHeight="1">
      <c r="A468" s="29" t="n"/>
      <c r="B468" s="29" t="n"/>
      <c r="C468" s="29" t="n"/>
      <c r="D468" s="29" t="n"/>
      <c r="E468" s="29" t="n"/>
      <c r="F468" s="49" t="n"/>
      <c r="G468" s="29" t="n"/>
      <c r="H468" s="29" t="n"/>
      <c r="I468" s="29" t="n"/>
      <c r="J468" s="29" t="n"/>
      <c r="K468" s="29" t="n"/>
    </row>
    <row r="469" ht="54" customHeight="1">
      <c r="A469" s="29" t="n"/>
      <c r="B469" s="29" t="n"/>
      <c r="C469" s="29" t="n"/>
      <c r="D469" s="29" t="n"/>
      <c r="E469" s="29" t="n"/>
      <c r="F469" s="49" t="n"/>
      <c r="G469" s="29" t="n"/>
      <c r="H469" s="29" t="n"/>
      <c r="I469" s="29" t="n"/>
      <c r="J469" s="29" t="n"/>
      <c r="K469" s="29" t="n"/>
    </row>
    <row r="470" ht="54" customHeight="1">
      <c r="A470" s="29" t="n"/>
      <c r="B470" s="29" t="n"/>
      <c r="C470" s="29" t="n"/>
      <c r="D470" s="29" t="n"/>
      <c r="E470" s="29" t="n"/>
      <c r="F470" s="49" t="n"/>
      <c r="G470" s="29" t="n"/>
      <c r="H470" s="29" t="n"/>
      <c r="I470" s="29" t="n"/>
      <c r="J470" s="29" t="n"/>
      <c r="K470" s="29" t="n"/>
    </row>
    <row r="471" ht="54" customHeight="1">
      <c r="A471" s="29" t="n"/>
      <c r="B471" s="29" t="n"/>
      <c r="C471" s="29" t="n"/>
      <c r="D471" s="29" t="n"/>
      <c r="E471" s="29" t="n"/>
      <c r="F471" s="49" t="n"/>
      <c r="G471" s="29" t="n"/>
      <c r="H471" s="29" t="n"/>
      <c r="I471" s="29" t="n"/>
      <c r="J471" s="29" t="n"/>
      <c r="K471" s="29" t="n"/>
    </row>
    <row r="472" ht="54" customHeight="1">
      <c r="A472" s="29" t="n"/>
      <c r="B472" s="29" t="n"/>
      <c r="C472" s="29" t="n"/>
      <c r="D472" s="29" t="n"/>
      <c r="E472" s="29" t="n"/>
      <c r="F472" s="49" t="n"/>
      <c r="G472" s="29" t="n"/>
      <c r="H472" s="29" t="n"/>
      <c r="I472" s="29" t="n"/>
      <c r="J472" s="29" t="n"/>
      <c r="K472" s="29" t="n"/>
    </row>
    <row r="473" ht="54" customHeight="1">
      <c r="A473" s="29" t="n"/>
      <c r="B473" s="29" t="n"/>
      <c r="C473" s="29" t="n"/>
      <c r="D473" s="29" t="n"/>
      <c r="E473" s="29" t="n"/>
      <c r="F473" s="49" t="n"/>
      <c r="G473" s="29" t="n"/>
      <c r="H473" s="29" t="n"/>
      <c r="I473" s="29" t="n"/>
      <c r="J473" s="29" t="n"/>
      <c r="K473" s="29" t="n"/>
    </row>
    <row r="474" ht="54" customHeight="1">
      <c r="A474" s="29" t="n"/>
      <c r="B474" s="29" t="n"/>
      <c r="C474" s="29" t="n"/>
      <c r="D474" s="29" t="n"/>
      <c r="E474" s="29" t="n"/>
      <c r="F474" s="49" t="n"/>
      <c r="G474" s="29" t="n"/>
      <c r="H474" s="29" t="n"/>
      <c r="I474" s="29" t="n"/>
      <c r="J474" s="29" t="n"/>
      <c r="K474" s="29" t="n"/>
    </row>
    <row r="475" ht="54" customHeight="1">
      <c r="A475" s="29" t="n"/>
      <c r="B475" s="29" t="n"/>
      <c r="C475" s="29" t="n"/>
      <c r="D475" s="29" t="n"/>
      <c r="E475" s="29" t="n"/>
      <c r="F475" s="49" t="n"/>
      <c r="G475" s="29" t="n"/>
      <c r="H475" s="29" t="n"/>
      <c r="I475" s="29" t="n"/>
      <c r="J475" s="29" t="n"/>
      <c r="K475" s="29" t="n"/>
    </row>
    <row r="476" ht="54" customHeight="1">
      <c r="A476" s="29" t="n"/>
      <c r="B476" s="29" t="n"/>
      <c r="C476" s="29" t="n"/>
      <c r="D476" s="29" t="n"/>
      <c r="E476" s="29" t="n"/>
      <c r="F476" s="49" t="n"/>
      <c r="G476" s="29" t="n"/>
      <c r="H476" s="29" t="n"/>
      <c r="I476" s="29" t="n"/>
      <c r="J476" s="29" t="n"/>
      <c r="K476" s="29" t="n"/>
    </row>
    <row r="477" ht="54" customHeight="1">
      <c r="A477" s="29" t="n"/>
      <c r="B477" s="29" t="n"/>
      <c r="C477" s="29" t="n"/>
      <c r="D477" s="29" t="n"/>
      <c r="E477" s="29" t="n"/>
      <c r="F477" s="49" t="n"/>
      <c r="G477" s="29" t="n"/>
      <c r="H477" s="29" t="n"/>
      <c r="I477" s="29" t="n"/>
      <c r="J477" s="29" t="n"/>
      <c r="K477" s="29" t="n"/>
    </row>
    <row r="478" ht="54" customHeight="1">
      <c r="A478" s="29" t="n"/>
      <c r="B478" s="29" t="n"/>
      <c r="C478" s="29" t="n"/>
      <c r="D478" s="29" t="n"/>
      <c r="E478" s="29" t="n"/>
      <c r="F478" s="49" t="n"/>
      <c r="G478" s="29" t="n"/>
      <c r="H478" s="29" t="n"/>
      <c r="I478" s="29" t="n"/>
      <c r="J478" s="29" t="n"/>
      <c r="K478" s="29" t="n"/>
    </row>
    <row r="479" ht="54" customHeight="1">
      <c r="A479" s="29" t="n"/>
      <c r="B479" s="29" t="n"/>
      <c r="C479" s="29" t="n"/>
      <c r="D479" s="29" t="n"/>
      <c r="E479" s="29" t="n"/>
      <c r="F479" s="49" t="n"/>
      <c r="G479" s="29" t="n"/>
      <c r="H479" s="29" t="n"/>
      <c r="I479" s="29" t="n"/>
      <c r="J479" s="29" t="n"/>
      <c r="K479" s="29" t="n"/>
    </row>
    <row r="480" ht="54" customHeight="1">
      <c r="A480" s="29" t="n"/>
      <c r="B480" s="29" t="n"/>
      <c r="C480" s="29" t="n"/>
      <c r="D480" s="29" t="n"/>
      <c r="E480" s="29" t="n"/>
      <c r="F480" s="49" t="n"/>
      <c r="G480" s="29" t="n"/>
      <c r="H480" s="29" t="n"/>
      <c r="I480" s="29" t="n"/>
      <c r="J480" s="29" t="n"/>
      <c r="K480" s="29" t="n"/>
    </row>
    <row r="481" ht="54" customHeight="1">
      <c r="A481" s="29" t="n"/>
      <c r="B481" s="29" t="n"/>
      <c r="C481" s="29" t="n"/>
      <c r="D481" s="29" t="n"/>
      <c r="E481" s="29" t="n"/>
      <c r="F481" s="49" t="n"/>
      <c r="G481" s="29" t="n"/>
      <c r="H481" s="29" t="n"/>
      <c r="I481" s="29" t="n"/>
      <c r="J481" s="29" t="n"/>
      <c r="K481" s="29" t="n"/>
    </row>
    <row r="482" ht="54" customHeight="1">
      <c r="A482" s="29" t="n"/>
      <c r="B482" s="29" t="n"/>
      <c r="C482" s="29" t="n"/>
      <c r="D482" s="29" t="n"/>
      <c r="E482" s="29" t="n"/>
      <c r="F482" s="49" t="n"/>
      <c r="G482" s="29" t="n"/>
      <c r="H482" s="29" t="n"/>
      <c r="I482" s="29" t="n"/>
      <c r="J482" s="29" t="n"/>
      <c r="K482" s="29" t="n"/>
    </row>
    <row r="483" ht="54" customHeight="1">
      <c r="A483" s="29" t="n"/>
      <c r="B483" s="29" t="n"/>
      <c r="C483" s="29" t="n"/>
      <c r="D483" s="29" t="n"/>
      <c r="E483" s="29" t="n"/>
      <c r="F483" s="49" t="n"/>
      <c r="G483" s="29" t="n"/>
      <c r="H483" s="29" t="n"/>
      <c r="I483" s="29" t="n"/>
      <c r="J483" s="29" t="n"/>
      <c r="K483" s="29" t="n"/>
    </row>
    <row r="484" ht="54" customHeight="1">
      <c r="A484" s="29" t="n"/>
      <c r="B484" s="29" t="n"/>
      <c r="C484" s="29" t="n"/>
      <c r="D484" s="29" t="n"/>
      <c r="E484" s="29" t="n"/>
      <c r="F484" s="49" t="n"/>
      <c r="G484" s="29" t="n"/>
      <c r="H484" s="29" t="n"/>
      <c r="I484" s="29" t="n"/>
      <c r="J484" s="29" t="n"/>
      <c r="K484" s="29" t="n"/>
    </row>
    <row r="485" ht="54" customHeight="1">
      <c r="A485" s="29" t="n"/>
      <c r="B485" s="29" t="n"/>
      <c r="C485" s="29" t="n"/>
      <c r="D485" s="29" t="n"/>
      <c r="E485" s="29" t="n"/>
      <c r="F485" s="49" t="n"/>
      <c r="G485" s="29" t="n"/>
      <c r="H485" s="29" t="n"/>
      <c r="I485" s="29" t="n"/>
      <c r="J485" s="29" t="n"/>
      <c r="K485" s="29" t="n"/>
    </row>
    <row r="486" ht="54" customHeight="1">
      <c r="A486" s="29" t="n"/>
      <c r="B486" s="29" t="n"/>
      <c r="C486" s="29" t="n"/>
      <c r="D486" s="29" t="n"/>
      <c r="E486" s="29" t="n"/>
      <c r="F486" s="49" t="n"/>
      <c r="G486" s="29" t="n"/>
      <c r="H486" s="29" t="n"/>
      <c r="I486" s="29" t="n"/>
      <c r="J486" s="29" t="n"/>
      <c r="K486" s="29" t="n"/>
    </row>
    <row r="487" ht="54" customHeight="1">
      <c r="A487" s="29" t="n"/>
      <c r="B487" s="29" t="n"/>
      <c r="C487" s="29" t="n"/>
      <c r="D487" s="29" t="n"/>
      <c r="E487" s="29" t="n"/>
      <c r="F487" s="49" t="n"/>
      <c r="G487" s="29" t="n"/>
      <c r="H487" s="29" t="n"/>
      <c r="I487" s="29" t="n"/>
      <c r="J487" s="29" t="n"/>
      <c r="K487" s="29" t="n"/>
    </row>
    <row r="488" ht="54" customHeight="1">
      <c r="A488" s="29" t="n"/>
      <c r="B488" s="29" t="n"/>
      <c r="C488" s="29" t="n"/>
      <c r="D488" s="29" t="n"/>
      <c r="E488" s="29" t="n"/>
      <c r="F488" s="49" t="n"/>
      <c r="G488" s="29" t="n"/>
      <c r="H488" s="29" t="n"/>
      <c r="I488" s="29" t="n"/>
      <c r="J488" s="29" t="n"/>
      <c r="K488" s="29" t="n"/>
    </row>
    <row r="489" ht="54" customHeight="1">
      <c r="A489" s="29" t="n"/>
      <c r="B489" s="29" t="n"/>
      <c r="C489" s="29" t="n"/>
      <c r="D489" s="29" t="n"/>
      <c r="E489" s="29" t="n"/>
      <c r="F489" s="49" t="n"/>
      <c r="G489" s="29" t="n"/>
      <c r="H489" s="29" t="n"/>
      <c r="I489" s="29" t="n"/>
      <c r="J489" s="29" t="n"/>
      <c r="K489" s="29" t="n"/>
    </row>
    <row r="490" ht="54" customHeight="1">
      <c r="A490" s="29" t="n"/>
      <c r="B490" s="29" t="n"/>
      <c r="C490" s="29" t="n"/>
      <c r="D490" s="29" t="n"/>
      <c r="E490" s="29" t="n"/>
      <c r="F490" s="49" t="n"/>
      <c r="G490" s="29" t="n"/>
      <c r="H490" s="29" t="n"/>
      <c r="I490" s="29" t="n"/>
      <c r="J490" s="29" t="n"/>
      <c r="K490" s="29" t="n"/>
    </row>
    <row r="491" ht="54" customHeight="1">
      <c r="A491" s="29" t="n"/>
      <c r="B491" s="29" t="n"/>
      <c r="C491" s="29" t="n"/>
      <c r="D491" s="29" t="n"/>
      <c r="E491" s="29" t="n"/>
      <c r="F491" s="49" t="n"/>
      <c r="G491" s="29" t="n"/>
      <c r="H491" s="29" t="n"/>
      <c r="I491" s="29" t="n"/>
      <c r="J491" s="29" t="n"/>
      <c r="K491" s="29" t="n"/>
    </row>
    <row r="492" ht="54" customHeight="1">
      <c r="A492" s="29" t="n"/>
      <c r="B492" s="29" t="n"/>
      <c r="C492" s="29" t="n"/>
      <c r="D492" s="29" t="n"/>
      <c r="E492" s="29" t="n"/>
      <c r="F492" s="49" t="n"/>
      <c r="G492" s="29" t="n"/>
      <c r="H492" s="29" t="n"/>
      <c r="I492" s="29" t="n"/>
      <c r="J492" s="29" t="n"/>
      <c r="K492" s="29" t="n"/>
    </row>
    <row r="493" ht="54" customHeight="1">
      <c r="A493" s="29" t="n"/>
      <c r="B493" s="29" t="n"/>
      <c r="C493" s="29" t="n"/>
      <c r="D493" s="29" t="n"/>
      <c r="E493" s="29" t="n"/>
      <c r="F493" s="49" t="n"/>
      <c r="G493" s="29" t="n"/>
      <c r="H493" s="29" t="n"/>
      <c r="I493" s="29" t="n"/>
      <c r="J493" s="29" t="n"/>
      <c r="K493" s="29" t="n"/>
    </row>
    <row r="494" ht="54" customHeight="1">
      <c r="A494" s="29" t="n"/>
      <c r="B494" s="29" t="n"/>
      <c r="C494" s="29" t="n"/>
      <c r="D494" s="29" t="n"/>
      <c r="E494" s="29" t="n"/>
      <c r="F494" s="49" t="n"/>
      <c r="G494" s="29" t="n"/>
      <c r="H494" s="29" t="n"/>
      <c r="I494" s="29" t="n"/>
      <c r="J494" s="29" t="n"/>
      <c r="K494" s="29" t="n"/>
    </row>
    <row r="495" ht="54" customHeight="1">
      <c r="A495" s="29" t="n"/>
      <c r="B495" s="29" t="n"/>
      <c r="C495" s="29" t="n"/>
      <c r="D495" s="29" t="n"/>
      <c r="E495" s="29" t="n"/>
      <c r="F495" s="49" t="n"/>
      <c r="G495" s="29" t="n"/>
      <c r="H495" s="29" t="n"/>
      <c r="I495" s="29" t="n"/>
      <c r="J495" s="29" t="n"/>
      <c r="K495" s="29" t="n"/>
    </row>
    <row r="496" ht="54" customHeight="1">
      <c r="A496" s="29" t="n"/>
      <c r="B496" s="29" t="n"/>
      <c r="C496" s="29" t="n"/>
      <c r="D496" s="29" t="n"/>
      <c r="E496" s="29" t="n"/>
      <c r="F496" s="49" t="n"/>
      <c r="G496" s="29" t="n"/>
      <c r="H496" s="29" t="n"/>
      <c r="I496" s="29" t="n"/>
      <c r="J496" s="29" t="n"/>
      <c r="K496" s="29" t="n"/>
    </row>
    <row r="497" ht="54" customHeight="1">
      <c r="A497" s="29" t="n"/>
      <c r="B497" s="29" t="n"/>
      <c r="C497" s="29" t="n"/>
      <c r="D497" s="29" t="n"/>
      <c r="E497" s="29" t="n"/>
      <c r="F497" s="49" t="n"/>
      <c r="G497" s="29" t="n"/>
      <c r="H497" s="29" t="n"/>
      <c r="I497" s="29" t="n"/>
      <c r="J497" s="29" t="n"/>
      <c r="K497" s="29" t="n"/>
    </row>
    <row r="498" ht="54" customHeight="1">
      <c r="A498" s="29" t="n"/>
      <c r="B498" s="29" t="n"/>
      <c r="C498" s="29" t="n"/>
      <c r="D498" s="29" t="n"/>
      <c r="E498" s="29" t="n"/>
      <c r="F498" s="49" t="n"/>
      <c r="G498" s="29" t="n"/>
      <c r="H498" s="29" t="n"/>
      <c r="I498" s="29" t="n"/>
      <c r="J498" s="29" t="n"/>
      <c r="K498" s="29" t="n"/>
    </row>
    <row r="499" ht="54" customHeight="1">
      <c r="A499" s="29" t="n"/>
      <c r="B499" s="29" t="n"/>
      <c r="C499" s="29" t="n"/>
      <c r="D499" s="29" t="n"/>
      <c r="E499" s="29" t="n"/>
      <c r="F499" s="49" t="n"/>
      <c r="G499" s="29" t="n"/>
      <c r="H499" s="29" t="n"/>
      <c r="I499" s="29" t="n"/>
      <c r="J499" s="29" t="n"/>
      <c r="K499" s="29" t="n"/>
    </row>
    <row r="500" ht="54" customHeight="1">
      <c r="A500" s="29" t="n"/>
      <c r="B500" s="29" t="n"/>
      <c r="C500" s="29" t="n"/>
      <c r="D500" s="29" t="n"/>
      <c r="E500" s="29" t="n"/>
      <c r="F500" s="49" t="n"/>
      <c r="G500" s="29" t="n"/>
      <c r="H500" s="29" t="n"/>
      <c r="I500" s="29" t="n"/>
      <c r="J500" s="29" t="n"/>
      <c r="K500" s="29" t="n"/>
    </row>
    <row r="501" ht="54" customHeight="1">
      <c r="A501" s="29" t="n"/>
      <c r="B501" s="29" t="n"/>
      <c r="C501" s="29" t="n"/>
      <c r="D501" s="29" t="n"/>
      <c r="E501" s="29" t="n"/>
      <c r="F501" s="49" t="n"/>
      <c r="G501" s="29" t="n"/>
      <c r="H501" s="29" t="n"/>
      <c r="I501" s="29" t="n"/>
      <c r="J501" s="29" t="n"/>
      <c r="K501" s="29" t="n"/>
    </row>
    <row r="502" ht="54" customHeight="1">
      <c r="A502" s="29" t="n"/>
      <c r="B502" s="29" t="n"/>
      <c r="C502" s="29" t="n"/>
      <c r="D502" s="29" t="n"/>
      <c r="E502" s="29" t="n"/>
      <c r="F502" s="49" t="n"/>
      <c r="G502" s="29" t="n"/>
      <c r="H502" s="29" t="n"/>
      <c r="I502" s="29" t="n"/>
      <c r="J502" s="29" t="n"/>
      <c r="K502" s="29" t="n"/>
    </row>
    <row r="503" ht="54" customHeight="1">
      <c r="A503" s="29" t="n"/>
      <c r="B503" s="29" t="n"/>
      <c r="C503" s="29" t="n"/>
      <c r="D503" s="29" t="n"/>
      <c r="E503" s="29" t="n"/>
      <c r="F503" s="49" t="n"/>
      <c r="G503" s="29" t="n"/>
      <c r="H503" s="29" t="n"/>
      <c r="I503" s="29" t="n"/>
      <c r="J503" s="29" t="n"/>
      <c r="K503" s="29" t="n"/>
    </row>
    <row r="504" ht="54" customHeight="1">
      <c r="A504" s="29" t="n"/>
      <c r="B504" s="29" t="n"/>
      <c r="C504" s="29" t="n"/>
      <c r="D504" s="29" t="n"/>
      <c r="E504" s="29" t="n"/>
      <c r="F504" s="49" t="n"/>
      <c r="G504" s="29" t="n"/>
      <c r="H504" s="29" t="n"/>
      <c r="I504" s="29" t="n"/>
      <c r="J504" s="29" t="n"/>
      <c r="K504" s="29" t="n"/>
    </row>
    <row r="505" ht="54" customHeight="1">
      <c r="A505" s="29" t="n"/>
      <c r="B505" s="29" t="n"/>
      <c r="C505" s="29" t="n"/>
      <c r="D505" s="29" t="n"/>
      <c r="E505" s="29" t="n"/>
      <c r="F505" s="49" t="n"/>
      <c r="G505" s="29" t="n"/>
      <c r="H505" s="29" t="n"/>
      <c r="I505" s="29" t="n"/>
      <c r="J505" s="29" t="n"/>
      <c r="K505" s="29" t="n"/>
    </row>
    <row r="506" ht="54" customHeight="1">
      <c r="A506" s="29" t="n"/>
      <c r="B506" s="29" t="n"/>
      <c r="C506" s="29" t="n"/>
      <c r="D506" s="29" t="n"/>
      <c r="E506" s="29" t="n"/>
      <c r="F506" s="49" t="n"/>
      <c r="G506" s="29" t="n"/>
      <c r="H506" s="29" t="n"/>
      <c r="I506" s="29" t="n"/>
      <c r="J506" s="29" t="n"/>
      <c r="K506" s="29" t="n"/>
    </row>
    <row r="507" ht="54" customHeight="1">
      <c r="A507" s="29" t="n"/>
      <c r="B507" s="29" t="n"/>
      <c r="C507" s="29" t="n"/>
      <c r="D507" s="29" t="n"/>
      <c r="E507" s="29" t="n"/>
      <c r="F507" s="49" t="n"/>
      <c r="G507" s="29" t="n"/>
      <c r="H507" s="29" t="n"/>
      <c r="I507" s="29" t="n"/>
      <c r="J507" s="29" t="n"/>
      <c r="K507" s="29" t="n"/>
    </row>
  </sheetData>
  <mergeCells count="1">
    <mergeCell ref="A3:H3"/>
  </mergeCells>
  <conditionalFormatting sqref="A8:A507">
    <cfRule type="expression" priority="1" dxfId="1">
      <formula>AND($A8&lt;&gt;"",ISBLANK(A8))</formula>
    </cfRule>
  </conditionalFormatting>
  <conditionalFormatting sqref="B8:B507">
    <cfRule type="expression" priority="2" dxfId="1">
      <formula>AND($A8&lt;&gt;"",ISBLANK(B8))</formula>
    </cfRule>
  </conditionalFormatting>
  <conditionalFormatting sqref="C8:C507">
    <cfRule type="expression" priority="3" dxfId="1">
      <formula>AND($A8&lt;&gt;"",ISBLANK(C8))</formula>
    </cfRule>
  </conditionalFormatting>
  <conditionalFormatting sqref="D8:D507">
    <cfRule type="expression" priority="4" dxfId="1">
      <formula>AND($A8&lt;&gt;"",ISBLANK(D8))</formula>
    </cfRule>
  </conditionalFormatting>
  <conditionalFormatting sqref="E8:E507">
    <cfRule type="expression" priority="5" dxfId="1">
      <formula>AND($A8&lt;&gt;"",ISBLANK(E8))</formula>
    </cfRule>
  </conditionalFormatting>
  <conditionalFormatting sqref="F8:F507">
    <cfRule type="expression" priority="6" dxfId="1">
      <formula>AND($A8&lt;&gt;"",ISBLANK(F8))</formula>
    </cfRule>
  </conditionalFormatting>
  <conditionalFormatting sqref="I8:I507">
    <cfRule type="expression" priority="7" dxfId="1">
      <formula>AND($A8&lt;&gt;"",ISBLANK(I8))</formula>
    </cfRule>
  </conditionalFormatting>
  <dataValidations count="1">
    <dataValidation sqref="I8:I50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T6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32" customWidth="1" min="4" max="4"/>
    <col width="28" customWidth="1" min="5" max="5"/>
    <col width="32" customWidth="1" min="6" max="6"/>
    <col width="28" customWidth="1" min="7" max="7"/>
    <col width="28" customWidth="1" min="8" max="8"/>
    <col width="28" customWidth="1" min="9" max="9"/>
    <col width="48" customWidth="1" min="10" max="10"/>
    <col width="48" customWidth="1" min="11" max="11"/>
    <col width="20" customWidth="1" min="12" max="12"/>
    <col width="20" customWidth="1" min="13" max="13"/>
    <col width="58" customWidth="1" min="14" max="14"/>
    <col width="32" customWidth="1" min="15" max="15"/>
    <col width="28" customWidth="1" min="16" max="16"/>
    <col width="28" customWidth="1" min="17" max="17"/>
    <col width="28" customWidth="1" min="18" max="18"/>
    <col width="26" customWidth="1" min="19" max="19"/>
    <col width="26"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Gerçek fotoğraf teslimi</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İsteğe bağlı</t>
        </is>
      </c>
      <c r="E5" s="22" t="inlineStr">
        <is>
          <t>Zorunlu</t>
        </is>
      </c>
      <c r="F5" s="22" t="inlineStr">
        <is>
          <t>Zorunlu</t>
        </is>
      </c>
      <c r="G5" s="22" t="inlineStr">
        <is>
          <t>Zorunlu</t>
        </is>
      </c>
      <c r="H5" s="22" t="inlineStr">
        <is>
          <t>Zorunlu</t>
        </is>
      </c>
      <c r="I5" s="22" t="inlineStr">
        <is>
          <t>Zorunlu</t>
        </is>
      </c>
      <c r="J5" s="22" t="inlineStr">
        <is>
          <t>Zorunlu</t>
        </is>
      </c>
      <c r="K5" s="22" t="inlineStr">
        <is>
          <t>Zorunlu</t>
        </is>
      </c>
      <c r="L5" s="22" t="inlineStr">
        <is>
          <t>İsteğe bağlı · tarih</t>
        </is>
      </c>
      <c r="M5" s="22" t="inlineStr">
        <is>
          <t>Zorunlu · tarih</t>
        </is>
      </c>
      <c r="N5" s="22" t="inlineStr">
        <is>
          <t>Zorunlu</t>
        </is>
      </c>
      <c r="O5" s="22" t="inlineStr">
        <is>
          <t>Zorunlu</t>
        </is>
      </c>
      <c r="P5" s="22" t="inlineStr">
        <is>
          <t>Zorunlu</t>
        </is>
      </c>
      <c r="Q5" s="22" t="inlineStr">
        <is>
          <t>Zorunlu</t>
        </is>
      </c>
      <c r="R5" s="22" t="inlineStr">
        <is>
          <t>Zorunlu</t>
        </is>
      </c>
      <c r="S5" s="22" t="inlineStr">
        <is>
          <t>Hesap · değiştirmeyin</t>
        </is>
      </c>
      <c r="T5" s="22" t="inlineStr">
        <is>
          <t>Hesap · değiştirmeyin</t>
        </is>
      </c>
    </row>
    <row r="6" ht="44" customHeight="1">
      <c r="A6" s="25" t="inlineStr">
        <is>
          <t>Fotoğraf kimliği</t>
        </is>
      </c>
      <c r="B6" s="25" t="inlineStr">
        <is>
          <t>Şehir kimliği</t>
        </is>
      </c>
      <c r="C6" s="25" t="inlineStr">
        <is>
          <t>Kullanım</t>
        </is>
      </c>
      <c r="D6" s="25" t="inlineStr">
        <is>
          <t>Mekân / mahalle kimliği</t>
        </is>
      </c>
      <c r="E6" s="25" t="inlineStr">
        <is>
          <t>Görsel dosyası</t>
        </is>
      </c>
      <c r="F6" s="25" t="inlineStr">
        <is>
          <t>Görsel SHA-256</t>
        </is>
      </c>
      <c r="G6" s="25" t="inlineStr">
        <is>
          <t>Türkçe açıklama</t>
        </is>
      </c>
      <c r="H6" s="25" t="inlineStr">
        <is>
          <t>Fotoğrafçı / atıf</t>
        </is>
      </c>
      <c r="I6" s="25" t="inlineStr">
        <is>
          <t>Ücretsiz ticari lisans</t>
        </is>
      </c>
      <c r="J6" s="25" t="inlineStr">
        <is>
          <t>Lisans bağlantısı</t>
        </is>
      </c>
      <c r="K6" s="25" t="inlineStr">
        <is>
          <t>Fotoğraf kaynak sayfası</t>
        </is>
      </c>
      <c r="L6" s="25" t="inlineStr">
        <is>
          <t>Varsa çekim tarihi</t>
        </is>
      </c>
      <c r="M6" s="25" t="inlineStr">
        <is>
          <t>Hak / kaynak kontrol tarihi</t>
        </is>
      </c>
      <c r="N6" s="25" t="inlineStr">
        <is>
          <t>Yapılan değişiklikler</t>
        </is>
      </c>
      <c r="O6" s="25" t="inlineStr">
        <is>
          <t>Kanıt kimliği</t>
        </is>
      </c>
      <c r="P6" s="25" t="inlineStr">
        <is>
          <t>Sayımda kullanılabilir</t>
        </is>
      </c>
      <c r="Q6" s="25" t="inlineStr">
        <is>
          <t>Galeri sırası</t>
        </is>
      </c>
      <c r="R6" s="25" t="inlineStr">
        <is>
          <t>Editör durumu</t>
        </is>
      </c>
      <c r="S6" s="25" t="inlineStr">
        <is>
          <t>Farklı mekân fotoğrafı (hesap)</t>
        </is>
      </c>
      <c r="T6" s="25" t="inlineStr">
        <is>
          <t>Farklı kapak fotoğrafı (hesap)</t>
        </is>
      </c>
    </row>
    <row r="7" ht="32" customHeight="1">
      <c r="A7" s="28" t="inlineStr">
        <is>
          <t>photo_id</t>
        </is>
      </c>
      <c r="B7" s="28" t="inlineStr">
        <is>
          <t>city_id</t>
        </is>
      </c>
      <c r="C7" s="28" t="inlineStr">
        <is>
          <t>role</t>
        </is>
      </c>
      <c r="D7" s="28" t="inlineStr">
        <is>
          <t>entry_id</t>
        </is>
      </c>
      <c r="E7" s="28" t="inlineStr">
        <is>
          <t>file</t>
        </is>
      </c>
      <c r="F7" s="28" t="inlineStr">
        <is>
          <t>sha256</t>
        </is>
      </c>
      <c r="G7" s="28" t="inlineStr">
        <is>
          <t>caption</t>
        </is>
      </c>
      <c r="H7" s="28" t="inlineStr">
        <is>
          <t>author</t>
        </is>
      </c>
      <c r="I7" s="28" t="inlineStr">
        <is>
          <t>license</t>
        </is>
      </c>
      <c r="J7" s="28" t="inlineStr">
        <is>
          <t>license_url</t>
        </is>
      </c>
      <c r="K7" s="28" t="inlineStr">
        <is>
          <t>source_url</t>
        </is>
      </c>
      <c r="L7" s="28" t="inlineStr">
        <is>
          <t>capture_date</t>
        </is>
      </c>
      <c r="M7" s="28" t="inlineStr">
        <is>
          <t>source_checked_on</t>
        </is>
      </c>
      <c r="N7" s="28" t="inlineStr">
        <is>
          <t>modifications</t>
        </is>
      </c>
      <c r="O7" s="28" t="inlineStr">
        <is>
          <t>evidence_id</t>
        </is>
      </c>
      <c r="P7" s="28" t="inlineStr">
        <is>
          <t>completion_credit</t>
        </is>
      </c>
      <c r="Q7" s="28" t="inlineStr">
        <is>
          <t>order</t>
        </is>
      </c>
      <c r="R7" s="28" t="inlineStr">
        <is>
          <t>editorial_status</t>
        </is>
      </c>
      <c r="S7" s="28" t="inlineStr">
        <is>
          <t>unique_venue_count</t>
        </is>
      </c>
      <c r="T7" s="28" t="inlineStr">
        <is>
          <t>unique_hero_count</t>
        </is>
      </c>
    </row>
    <row r="8" ht="54" customHeight="1">
      <c r="A8" s="29" t="n"/>
      <c r="B8" s="29" t="n"/>
      <c r="C8" s="29" t="n"/>
      <c r="D8" s="29" t="n"/>
      <c r="E8" s="29" t="n"/>
      <c r="F8" s="29" t="n"/>
      <c r="G8" s="29" t="n"/>
      <c r="H8" s="29" t="n"/>
      <c r="I8" s="29" t="n"/>
      <c r="J8" s="29" t="n"/>
      <c r="K8" s="29" t="n"/>
      <c r="L8" s="49" t="n"/>
      <c r="M8" s="49" t="n"/>
      <c r="N8" s="29" t="n"/>
      <c r="O8" s="29" t="n"/>
      <c r="P8" s="29" t="n"/>
      <c r="Q8" s="51" t="n"/>
      <c r="R8" s="29" t="n"/>
      <c r="S8" s="52">
        <f>IF(OR(A8="",F8="",C8&lt;&gt;"Mekân"),0,IF(COUNTIFS($F$8:F8,F8,$C$8:C8,"Mekân")=1,1,0))</f>
        <v/>
      </c>
      <c r="T8" s="52">
        <f>IF(OR(A8="",F8="",C8&lt;&gt;"Kapak"),0,IF(COUNTIFS($F$8:F8,F8,$C$8:C8,"Kapak")=1,1,0))</f>
        <v/>
      </c>
    </row>
    <row r="9" ht="54" customHeight="1">
      <c r="A9" s="29" t="n"/>
      <c r="B9" s="29" t="n"/>
      <c r="C9" s="29" t="n"/>
      <c r="D9" s="29" t="n"/>
      <c r="E9" s="29" t="n"/>
      <c r="F9" s="29" t="n"/>
      <c r="G9" s="29" t="n"/>
      <c r="H9" s="29" t="n"/>
      <c r="I9" s="29" t="n"/>
      <c r="J9" s="29" t="n"/>
      <c r="K9" s="29" t="n"/>
      <c r="L9" s="49" t="n"/>
      <c r="M9" s="49" t="n"/>
      <c r="N9" s="29" t="n"/>
      <c r="O9" s="29" t="n"/>
      <c r="P9" s="29" t="n"/>
      <c r="Q9" s="51" t="n"/>
      <c r="R9" s="29" t="n"/>
      <c r="S9" s="52">
        <f>IF(OR(A9="",F9="",C9&lt;&gt;"Mekân"),0,IF(COUNTIFS($F$8:F9,F9,$C$8:C9,"Mekân")=1,1,0))</f>
        <v/>
      </c>
      <c r="T9" s="52">
        <f>IF(OR(A9="",F9="",C9&lt;&gt;"Kapak"),0,IF(COUNTIFS($F$8:F9,F9,$C$8:C9,"Kapak")=1,1,0))</f>
        <v/>
      </c>
    </row>
    <row r="10" ht="54" customHeight="1">
      <c r="A10" s="29" t="n"/>
      <c r="B10" s="29" t="n"/>
      <c r="C10" s="29" t="n"/>
      <c r="D10" s="29" t="n"/>
      <c r="E10" s="29" t="n"/>
      <c r="F10" s="29" t="n"/>
      <c r="G10" s="29" t="n"/>
      <c r="H10" s="29" t="n"/>
      <c r="I10" s="29" t="n"/>
      <c r="J10" s="29" t="n"/>
      <c r="K10" s="29" t="n"/>
      <c r="L10" s="49" t="n"/>
      <c r="M10" s="49" t="n"/>
      <c r="N10" s="29" t="n"/>
      <c r="O10" s="29" t="n"/>
      <c r="P10" s="29" t="n"/>
      <c r="Q10" s="51" t="n"/>
      <c r="R10" s="29" t="n"/>
      <c r="S10" s="52">
        <f>IF(OR(A10="",F10="",C10&lt;&gt;"Mekân"),0,IF(COUNTIFS($F$8:F10,F10,$C$8:C10,"Mekân")=1,1,0))</f>
        <v/>
      </c>
      <c r="T10" s="52">
        <f>IF(OR(A10="",F10="",C10&lt;&gt;"Kapak"),0,IF(COUNTIFS($F$8:F10,F10,$C$8:C10,"Kapak")=1,1,0))</f>
        <v/>
      </c>
    </row>
    <row r="11" ht="54" customHeight="1">
      <c r="A11" s="29" t="n"/>
      <c r="B11" s="29" t="n"/>
      <c r="C11" s="29" t="n"/>
      <c r="D11" s="29" t="n"/>
      <c r="E11" s="29" t="n"/>
      <c r="F11" s="29" t="n"/>
      <c r="G11" s="29" t="n"/>
      <c r="H11" s="29" t="n"/>
      <c r="I11" s="29" t="n"/>
      <c r="J11" s="29" t="n"/>
      <c r="K11" s="29" t="n"/>
      <c r="L11" s="49" t="n"/>
      <c r="M11" s="49" t="n"/>
      <c r="N11" s="29" t="n"/>
      <c r="O11" s="29" t="n"/>
      <c r="P11" s="29" t="n"/>
      <c r="Q11" s="51" t="n"/>
      <c r="R11" s="29" t="n"/>
      <c r="S11" s="52">
        <f>IF(OR(A11="",F11="",C11&lt;&gt;"Mekân"),0,IF(COUNTIFS($F$8:F11,F11,$C$8:C11,"Mekân")=1,1,0))</f>
        <v/>
      </c>
      <c r="T11" s="52">
        <f>IF(OR(A11="",F11="",C11&lt;&gt;"Kapak"),0,IF(COUNTIFS($F$8:F11,F11,$C$8:C11,"Kapak")=1,1,0))</f>
        <v/>
      </c>
    </row>
    <row r="12" ht="54" customHeight="1">
      <c r="A12" s="29" t="n"/>
      <c r="B12" s="29" t="n"/>
      <c r="C12" s="29" t="n"/>
      <c r="D12" s="29" t="n"/>
      <c r="E12" s="29" t="n"/>
      <c r="F12" s="29" t="n"/>
      <c r="G12" s="29" t="n"/>
      <c r="H12" s="29" t="n"/>
      <c r="I12" s="29" t="n"/>
      <c r="J12" s="29" t="n"/>
      <c r="K12" s="29" t="n"/>
      <c r="L12" s="49" t="n"/>
      <c r="M12" s="49" t="n"/>
      <c r="N12" s="29" t="n"/>
      <c r="O12" s="29" t="n"/>
      <c r="P12" s="29" t="n"/>
      <c r="Q12" s="51" t="n"/>
      <c r="R12" s="29" t="n"/>
      <c r="S12" s="52">
        <f>IF(OR(A12="",F12="",C12&lt;&gt;"Mekân"),0,IF(COUNTIFS($F$8:F12,F12,$C$8:C12,"Mekân")=1,1,0))</f>
        <v/>
      </c>
      <c r="T12" s="52">
        <f>IF(OR(A12="",F12="",C12&lt;&gt;"Kapak"),0,IF(COUNTIFS($F$8:F12,F12,$C$8:C12,"Kapak")=1,1,0))</f>
        <v/>
      </c>
    </row>
    <row r="13" ht="54" customHeight="1">
      <c r="A13" s="29" t="n"/>
      <c r="B13" s="29" t="n"/>
      <c r="C13" s="29" t="n"/>
      <c r="D13" s="29" t="n"/>
      <c r="E13" s="29" t="n"/>
      <c r="F13" s="29" t="n"/>
      <c r="G13" s="29" t="n"/>
      <c r="H13" s="29" t="n"/>
      <c r="I13" s="29" t="n"/>
      <c r="J13" s="29" t="n"/>
      <c r="K13" s="29" t="n"/>
      <c r="L13" s="49" t="n"/>
      <c r="M13" s="49" t="n"/>
      <c r="N13" s="29" t="n"/>
      <c r="O13" s="29" t="n"/>
      <c r="P13" s="29" t="n"/>
      <c r="Q13" s="51" t="n"/>
      <c r="R13" s="29" t="n"/>
      <c r="S13" s="52">
        <f>IF(OR(A13="",F13="",C13&lt;&gt;"Mekân"),0,IF(COUNTIFS($F$8:F13,F13,$C$8:C13,"Mekân")=1,1,0))</f>
        <v/>
      </c>
      <c r="T13" s="52">
        <f>IF(OR(A13="",F13="",C13&lt;&gt;"Kapak"),0,IF(COUNTIFS($F$8:F13,F13,$C$8:C13,"Kapak")=1,1,0))</f>
        <v/>
      </c>
    </row>
    <row r="14" ht="54" customHeight="1">
      <c r="A14" s="29" t="n"/>
      <c r="B14" s="29" t="n"/>
      <c r="C14" s="29" t="n"/>
      <c r="D14" s="29" t="n"/>
      <c r="E14" s="29" t="n"/>
      <c r="F14" s="29" t="n"/>
      <c r="G14" s="29" t="n"/>
      <c r="H14" s="29" t="n"/>
      <c r="I14" s="29" t="n"/>
      <c r="J14" s="29" t="n"/>
      <c r="K14" s="29" t="n"/>
      <c r="L14" s="49" t="n"/>
      <c r="M14" s="49" t="n"/>
      <c r="N14" s="29" t="n"/>
      <c r="O14" s="29" t="n"/>
      <c r="P14" s="29" t="n"/>
      <c r="Q14" s="51" t="n"/>
      <c r="R14" s="29" t="n"/>
      <c r="S14" s="52">
        <f>IF(OR(A14="",F14="",C14&lt;&gt;"Mekân"),0,IF(COUNTIFS($F$8:F14,F14,$C$8:C14,"Mekân")=1,1,0))</f>
        <v/>
      </c>
      <c r="T14" s="52">
        <f>IF(OR(A14="",F14="",C14&lt;&gt;"Kapak"),0,IF(COUNTIFS($F$8:F14,F14,$C$8:C14,"Kapak")=1,1,0))</f>
        <v/>
      </c>
    </row>
    <row r="15" ht="54" customHeight="1">
      <c r="A15" s="29" t="n"/>
      <c r="B15" s="29" t="n"/>
      <c r="C15" s="29" t="n"/>
      <c r="D15" s="29" t="n"/>
      <c r="E15" s="29" t="n"/>
      <c r="F15" s="29" t="n"/>
      <c r="G15" s="29" t="n"/>
      <c r="H15" s="29" t="n"/>
      <c r="I15" s="29" t="n"/>
      <c r="J15" s="29" t="n"/>
      <c r="K15" s="29" t="n"/>
      <c r="L15" s="49" t="n"/>
      <c r="M15" s="49" t="n"/>
      <c r="N15" s="29" t="n"/>
      <c r="O15" s="29" t="n"/>
      <c r="P15" s="29" t="n"/>
      <c r="Q15" s="51" t="n"/>
      <c r="R15" s="29" t="n"/>
      <c r="S15" s="52">
        <f>IF(OR(A15="",F15="",C15&lt;&gt;"Mekân"),0,IF(COUNTIFS($F$8:F15,F15,$C$8:C15,"Mekân")=1,1,0))</f>
        <v/>
      </c>
      <c r="T15" s="52">
        <f>IF(OR(A15="",F15="",C15&lt;&gt;"Kapak"),0,IF(COUNTIFS($F$8:F15,F15,$C$8:C15,"Kapak")=1,1,0))</f>
        <v/>
      </c>
    </row>
    <row r="16" ht="54" customHeight="1">
      <c r="A16" s="29" t="n"/>
      <c r="B16" s="29" t="n"/>
      <c r="C16" s="29" t="n"/>
      <c r="D16" s="29" t="n"/>
      <c r="E16" s="29" t="n"/>
      <c r="F16" s="29" t="n"/>
      <c r="G16" s="29" t="n"/>
      <c r="H16" s="29" t="n"/>
      <c r="I16" s="29" t="n"/>
      <c r="J16" s="29" t="n"/>
      <c r="K16" s="29" t="n"/>
      <c r="L16" s="49" t="n"/>
      <c r="M16" s="49" t="n"/>
      <c r="N16" s="29" t="n"/>
      <c r="O16" s="29" t="n"/>
      <c r="P16" s="29" t="n"/>
      <c r="Q16" s="51" t="n"/>
      <c r="R16" s="29" t="n"/>
      <c r="S16" s="52">
        <f>IF(OR(A16="",F16="",C16&lt;&gt;"Mekân"),0,IF(COUNTIFS($F$8:F16,F16,$C$8:C16,"Mekân")=1,1,0))</f>
        <v/>
      </c>
      <c r="T16" s="52">
        <f>IF(OR(A16="",F16="",C16&lt;&gt;"Kapak"),0,IF(COUNTIFS($F$8:F16,F16,$C$8:C16,"Kapak")=1,1,0))</f>
        <v/>
      </c>
    </row>
    <row r="17" ht="54" customHeight="1">
      <c r="A17" s="29" t="n"/>
      <c r="B17" s="29" t="n"/>
      <c r="C17" s="29" t="n"/>
      <c r="D17" s="29" t="n"/>
      <c r="E17" s="29" t="n"/>
      <c r="F17" s="29" t="n"/>
      <c r="G17" s="29" t="n"/>
      <c r="H17" s="29" t="n"/>
      <c r="I17" s="29" t="n"/>
      <c r="J17" s="29" t="n"/>
      <c r="K17" s="29" t="n"/>
      <c r="L17" s="49" t="n"/>
      <c r="M17" s="49" t="n"/>
      <c r="N17" s="29" t="n"/>
      <c r="O17" s="29" t="n"/>
      <c r="P17" s="29" t="n"/>
      <c r="Q17" s="51" t="n"/>
      <c r="R17" s="29" t="n"/>
      <c r="S17" s="52">
        <f>IF(OR(A17="",F17="",C17&lt;&gt;"Mekân"),0,IF(COUNTIFS($F$8:F17,F17,$C$8:C17,"Mekân")=1,1,0))</f>
        <v/>
      </c>
      <c r="T17" s="52">
        <f>IF(OR(A17="",F17="",C17&lt;&gt;"Kapak"),0,IF(COUNTIFS($F$8:F17,F17,$C$8:C17,"Kapak")=1,1,0))</f>
        <v/>
      </c>
    </row>
    <row r="18" ht="54" customHeight="1">
      <c r="A18" s="29" t="n"/>
      <c r="B18" s="29" t="n"/>
      <c r="C18" s="29" t="n"/>
      <c r="D18" s="29" t="n"/>
      <c r="E18" s="29" t="n"/>
      <c r="F18" s="29" t="n"/>
      <c r="G18" s="29" t="n"/>
      <c r="H18" s="29" t="n"/>
      <c r="I18" s="29" t="n"/>
      <c r="J18" s="29" t="n"/>
      <c r="K18" s="29" t="n"/>
      <c r="L18" s="49" t="n"/>
      <c r="M18" s="49" t="n"/>
      <c r="N18" s="29" t="n"/>
      <c r="O18" s="29" t="n"/>
      <c r="P18" s="29" t="n"/>
      <c r="Q18" s="51" t="n"/>
      <c r="R18" s="29" t="n"/>
      <c r="S18" s="52">
        <f>IF(OR(A18="",F18="",C18&lt;&gt;"Mekân"),0,IF(COUNTIFS($F$8:F18,F18,$C$8:C18,"Mekân")=1,1,0))</f>
        <v/>
      </c>
      <c r="T18" s="52">
        <f>IF(OR(A18="",F18="",C18&lt;&gt;"Kapak"),0,IF(COUNTIFS($F$8:F18,F18,$C$8:C18,"Kapak")=1,1,0))</f>
        <v/>
      </c>
    </row>
    <row r="19" ht="54" customHeight="1">
      <c r="A19" s="29" t="n"/>
      <c r="B19" s="29" t="n"/>
      <c r="C19" s="29" t="n"/>
      <c r="D19" s="29" t="n"/>
      <c r="E19" s="29" t="n"/>
      <c r="F19" s="29" t="n"/>
      <c r="G19" s="29" t="n"/>
      <c r="H19" s="29" t="n"/>
      <c r="I19" s="29" t="n"/>
      <c r="J19" s="29" t="n"/>
      <c r="K19" s="29" t="n"/>
      <c r="L19" s="49" t="n"/>
      <c r="M19" s="49" t="n"/>
      <c r="N19" s="29" t="n"/>
      <c r="O19" s="29" t="n"/>
      <c r="P19" s="29" t="n"/>
      <c r="Q19" s="51" t="n"/>
      <c r="R19" s="29" t="n"/>
      <c r="S19" s="52">
        <f>IF(OR(A19="",F19="",C19&lt;&gt;"Mekân"),0,IF(COUNTIFS($F$8:F19,F19,$C$8:C19,"Mekân")=1,1,0))</f>
        <v/>
      </c>
      <c r="T19" s="52">
        <f>IF(OR(A19="",F19="",C19&lt;&gt;"Kapak"),0,IF(COUNTIFS($F$8:F19,F19,$C$8:C19,"Kapak")=1,1,0))</f>
        <v/>
      </c>
    </row>
    <row r="20" ht="54" customHeight="1">
      <c r="A20" s="29" t="n"/>
      <c r="B20" s="29" t="n"/>
      <c r="C20" s="29" t="n"/>
      <c r="D20" s="29" t="n"/>
      <c r="E20" s="29" t="n"/>
      <c r="F20" s="29" t="n"/>
      <c r="G20" s="29" t="n"/>
      <c r="H20" s="29" t="n"/>
      <c r="I20" s="29" t="n"/>
      <c r="J20" s="29" t="n"/>
      <c r="K20" s="29" t="n"/>
      <c r="L20" s="49" t="n"/>
      <c r="M20" s="49" t="n"/>
      <c r="N20" s="29" t="n"/>
      <c r="O20" s="29" t="n"/>
      <c r="P20" s="29" t="n"/>
      <c r="Q20" s="51" t="n"/>
      <c r="R20" s="29" t="n"/>
      <c r="S20" s="52">
        <f>IF(OR(A20="",F20="",C20&lt;&gt;"Mekân"),0,IF(COUNTIFS($F$8:F20,F20,$C$8:C20,"Mekân")=1,1,0))</f>
        <v/>
      </c>
      <c r="T20" s="52">
        <f>IF(OR(A20="",F20="",C20&lt;&gt;"Kapak"),0,IF(COUNTIFS($F$8:F20,F20,$C$8:C20,"Kapak")=1,1,0))</f>
        <v/>
      </c>
    </row>
    <row r="21" ht="54" customHeight="1">
      <c r="A21" s="29" t="n"/>
      <c r="B21" s="29" t="n"/>
      <c r="C21" s="29" t="n"/>
      <c r="D21" s="29" t="n"/>
      <c r="E21" s="29" t="n"/>
      <c r="F21" s="29" t="n"/>
      <c r="G21" s="29" t="n"/>
      <c r="H21" s="29" t="n"/>
      <c r="I21" s="29" t="n"/>
      <c r="J21" s="29" t="n"/>
      <c r="K21" s="29" t="n"/>
      <c r="L21" s="49" t="n"/>
      <c r="M21" s="49" t="n"/>
      <c r="N21" s="29" t="n"/>
      <c r="O21" s="29" t="n"/>
      <c r="P21" s="29" t="n"/>
      <c r="Q21" s="51" t="n"/>
      <c r="R21" s="29" t="n"/>
      <c r="S21" s="52">
        <f>IF(OR(A21="",F21="",C21&lt;&gt;"Mekân"),0,IF(COUNTIFS($F$8:F21,F21,$C$8:C21,"Mekân")=1,1,0))</f>
        <v/>
      </c>
      <c r="T21" s="52">
        <f>IF(OR(A21="",F21="",C21&lt;&gt;"Kapak"),0,IF(COUNTIFS($F$8:F21,F21,$C$8:C21,"Kapak")=1,1,0))</f>
        <v/>
      </c>
    </row>
    <row r="22" ht="54" customHeight="1">
      <c r="A22" s="29" t="n"/>
      <c r="B22" s="29" t="n"/>
      <c r="C22" s="29" t="n"/>
      <c r="D22" s="29" t="n"/>
      <c r="E22" s="29" t="n"/>
      <c r="F22" s="29" t="n"/>
      <c r="G22" s="29" t="n"/>
      <c r="H22" s="29" t="n"/>
      <c r="I22" s="29" t="n"/>
      <c r="J22" s="29" t="n"/>
      <c r="K22" s="29" t="n"/>
      <c r="L22" s="49" t="n"/>
      <c r="M22" s="49" t="n"/>
      <c r="N22" s="29" t="n"/>
      <c r="O22" s="29" t="n"/>
      <c r="P22" s="29" t="n"/>
      <c r="Q22" s="51" t="n"/>
      <c r="R22" s="29" t="n"/>
      <c r="S22" s="52">
        <f>IF(OR(A22="",F22="",C22&lt;&gt;"Mekân"),0,IF(COUNTIFS($F$8:F22,F22,$C$8:C22,"Mekân")=1,1,0))</f>
        <v/>
      </c>
      <c r="T22" s="52">
        <f>IF(OR(A22="",F22="",C22&lt;&gt;"Kapak"),0,IF(COUNTIFS($F$8:F22,F22,$C$8:C22,"Kapak")=1,1,0))</f>
        <v/>
      </c>
    </row>
    <row r="23" ht="54" customHeight="1">
      <c r="A23" s="29" t="n"/>
      <c r="B23" s="29" t="n"/>
      <c r="C23" s="29" t="n"/>
      <c r="D23" s="29" t="n"/>
      <c r="E23" s="29" t="n"/>
      <c r="F23" s="29" t="n"/>
      <c r="G23" s="29" t="n"/>
      <c r="H23" s="29" t="n"/>
      <c r="I23" s="29" t="n"/>
      <c r="J23" s="29" t="n"/>
      <c r="K23" s="29" t="n"/>
      <c r="L23" s="49" t="n"/>
      <c r="M23" s="49" t="n"/>
      <c r="N23" s="29" t="n"/>
      <c r="O23" s="29" t="n"/>
      <c r="P23" s="29" t="n"/>
      <c r="Q23" s="51" t="n"/>
      <c r="R23" s="29" t="n"/>
      <c r="S23" s="52">
        <f>IF(OR(A23="",F23="",C23&lt;&gt;"Mekân"),0,IF(COUNTIFS($F$8:F23,F23,$C$8:C23,"Mekân")=1,1,0))</f>
        <v/>
      </c>
      <c r="T23" s="52">
        <f>IF(OR(A23="",F23="",C23&lt;&gt;"Kapak"),0,IF(COUNTIFS($F$8:F23,F23,$C$8:C23,"Kapak")=1,1,0))</f>
        <v/>
      </c>
    </row>
    <row r="24" ht="54" customHeight="1">
      <c r="A24" s="29" t="n"/>
      <c r="B24" s="29" t="n"/>
      <c r="C24" s="29" t="n"/>
      <c r="D24" s="29" t="n"/>
      <c r="E24" s="29" t="n"/>
      <c r="F24" s="29" t="n"/>
      <c r="G24" s="29" t="n"/>
      <c r="H24" s="29" t="n"/>
      <c r="I24" s="29" t="n"/>
      <c r="J24" s="29" t="n"/>
      <c r="K24" s="29" t="n"/>
      <c r="L24" s="49" t="n"/>
      <c r="M24" s="49" t="n"/>
      <c r="N24" s="29" t="n"/>
      <c r="O24" s="29" t="n"/>
      <c r="P24" s="29" t="n"/>
      <c r="Q24" s="51" t="n"/>
      <c r="R24" s="29" t="n"/>
      <c r="S24" s="52">
        <f>IF(OR(A24="",F24="",C24&lt;&gt;"Mekân"),0,IF(COUNTIFS($F$8:F24,F24,$C$8:C24,"Mekân")=1,1,0))</f>
        <v/>
      </c>
      <c r="T24" s="52">
        <f>IF(OR(A24="",F24="",C24&lt;&gt;"Kapak"),0,IF(COUNTIFS($F$8:F24,F24,$C$8:C24,"Kapak")=1,1,0))</f>
        <v/>
      </c>
    </row>
    <row r="25" ht="54" customHeight="1">
      <c r="A25" s="29" t="n"/>
      <c r="B25" s="29" t="n"/>
      <c r="C25" s="29" t="n"/>
      <c r="D25" s="29" t="n"/>
      <c r="E25" s="29" t="n"/>
      <c r="F25" s="29" t="n"/>
      <c r="G25" s="29" t="n"/>
      <c r="H25" s="29" t="n"/>
      <c r="I25" s="29" t="n"/>
      <c r="J25" s="29" t="n"/>
      <c r="K25" s="29" t="n"/>
      <c r="L25" s="49" t="n"/>
      <c r="M25" s="49" t="n"/>
      <c r="N25" s="29" t="n"/>
      <c r="O25" s="29" t="n"/>
      <c r="P25" s="29" t="n"/>
      <c r="Q25" s="51" t="n"/>
      <c r="R25" s="29" t="n"/>
      <c r="S25" s="52">
        <f>IF(OR(A25="",F25="",C25&lt;&gt;"Mekân"),0,IF(COUNTIFS($F$8:F25,F25,$C$8:C25,"Mekân")=1,1,0))</f>
        <v/>
      </c>
      <c r="T25" s="52">
        <f>IF(OR(A25="",F25="",C25&lt;&gt;"Kapak"),0,IF(COUNTIFS($F$8:F25,F25,$C$8:C25,"Kapak")=1,1,0))</f>
        <v/>
      </c>
    </row>
    <row r="26" ht="54" customHeight="1">
      <c r="A26" s="29" t="n"/>
      <c r="B26" s="29" t="n"/>
      <c r="C26" s="29" t="n"/>
      <c r="D26" s="29" t="n"/>
      <c r="E26" s="29" t="n"/>
      <c r="F26" s="29" t="n"/>
      <c r="G26" s="29" t="n"/>
      <c r="H26" s="29" t="n"/>
      <c r="I26" s="29" t="n"/>
      <c r="J26" s="29" t="n"/>
      <c r="K26" s="29" t="n"/>
      <c r="L26" s="49" t="n"/>
      <c r="M26" s="49" t="n"/>
      <c r="N26" s="29" t="n"/>
      <c r="O26" s="29" t="n"/>
      <c r="P26" s="29" t="n"/>
      <c r="Q26" s="51" t="n"/>
      <c r="R26" s="29" t="n"/>
      <c r="S26" s="52">
        <f>IF(OR(A26="",F26="",C26&lt;&gt;"Mekân"),0,IF(COUNTIFS($F$8:F26,F26,$C$8:C26,"Mekân")=1,1,0))</f>
        <v/>
      </c>
      <c r="T26" s="52">
        <f>IF(OR(A26="",F26="",C26&lt;&gt;"Kapak"),0,IF(COUNTIFS($F$8:F26,F26,$C$8:C26,"Kapak")=1,1,0))</f>
        <v/>
      </c>
    </row>
    <row r="27" ht="54" customHeight="1">
      <c r="A27" s="29" t="n"/>
      <c r="B27" s="29" t="n"/>
      <c r="C27" s="29" t="n"/>
      <c r="D27" s="29" t="n"/>
      <c r="E27" s="29" t="n"/>
      <c r="F27" s="29" t="n"/>
      <c r="G27" s="29" t="n"/>
      <c r="H27" s="29" t="n"/>
      <c r="I27" s="29" t="n"/>
      <c r="J27" s="29" t="n"/>
      <c r="K27" s="29" t="n"/>
      <c r="L27" s="49" t="n"/>
      <c r="M27" s="49" t="n"/>
      <c r="N27" s="29" t="n"/>
      <c r="O27" s="29" t="n"/>
      <c r="P27" s="29" t="n"/>
      <c r="Q27" s="51" t="n"/>
      <c r="R27" s="29" t="n"/>
      <c r="S27" s="52">
        <f>IF(OR(A27="",F27="",C27&lt;&gt;"Mekân"),0,IF(COUNTIFS($F$8:F27,F27,$C$8:C27,"Mekân")=1,1,0))</f>
        <v/>
      </c>
      <c r="T27" s="52">
        <f>IF(OR(A27="",F27="",C27&lt;&gt;"Kapak"),0,IF(COUNTIFS($F$8:F27,F27,$C$8:C27,"Kapak")=1,1,0))</f>
        <v/>
      </c>
    </row>
    <row r="28" ht="54" customHeight="1">
      <c r="A28" s="29" t="n"/>
      <c r="B28" s="29" t="n"/>
      <c r="C28" s="29" t="n"/>
      <c r="D28" s="29" t="n"/>
      <c r="E28" s="29" t="n"/>
      <c r="F28" s="29" t="n"/>
      <c r="G28" s="29" t="n"/>
      <c r="H28" s="29" t="n"/>
      <c r="I28" s="29" t="n"/>
      <c r="J28" s="29" t="n"/>
      <c r="K28" s="29" t="n"/>
      <c r="L28" s="49" t="n"/>
      <c r="M28" s="49" t="n"/>
      <c r="N28" s="29" t="n"/>
      <c r="O28" s="29" t="n"/>
      <c r="P28" s="29" t="n"/>
      <c r="Q28" s="51" t="n"/>
      <c r="R28" s="29" t="n"/>
      <c r="S28" s="52">
        <f>IF(OR(A28="",F28="",C28&lt;&gt;"Mekân"),0,IF(COUNTIFS($F$8:F28,F28,$C$8:C28,"Mekân")=1,1,0))</f>
        <v/>
      </c>
      <c r="T28" s="52">
        <f>IF(OR(A28="",F28="",C28&lt;&gt;"Kapak"),0,IF(COUNTIFS($F$8:F28,F28,$C$8:C28,"Kapak")=1,1,0))</f>
        <v/>
      </c>
    </row>
    <row r="29" ht="54" customHeight="1">
      <c r="A29" s="29" t="n"/>
      <c r="B29" s="29" t="n"/>
      <c r="C29" s="29" t="n"/>
      <c r="D29" s="29" t="n"/>
      <c r="E29" s="29" t="n"/>
      <c r="F29" s="29" t="n"/>
      <c r="G29" s="29" t="n"/>
      <c r="H29" s="29" t="n"/>
      <c r="I29" s="29" t="n"/>
      <c r="J29" s="29" t="n"/>
      <c r="K29" s="29" t="n"/>
      <c r="L29" s="49" t="n"/>
      <c r="M29" s="49" t="n"/>
      <c r="N29" s="29" t="n"/>
      <c r="O29" s="29" t="n"/>
      <c r="P29" s="29" t="n"/>
      <c r="Q29" s="51" t="n"/>
      <c r="R29" s="29" t="n"/>
      <c r="S29" s="52">
        <f>IF(OR(A29="",F29="",C29&lt;&gt;"Mekân"),0,IF(COUNTIFS($F$8:F29,F29,$C$8:C29,"Mekân")=1,1,0))</f>
        <v/>
      </c>
      <c r="T29" s="52">
        <f>IF(OR(A29="",F29="",C29&lt;&gt;"Kapak"),0,IF(COUNTIFS($F$8:F29,F29,$C$8:C29,"Kapak")=1,1,0))</f>
        <v/>
      </c>
    </row>
    <row r="30" ht="54" customHeight="1">
      <c r="A30" s="29" t="n"/>
      <c r="B30" s="29" t="n"/>
      <c r="C30" s="29" t="n"/>
      <c r="D30" s="29" t="n"/>
      <c r="E30" s="29" t="n"/>
      <c r="F30" s="29" t="n"/>
      <c r="G30" s="29" t="n"/>
      <c r="H30" s="29" t="n"/>
      <c r="I30" s="29" t="n"/>
      <c r="J30" s="29" t="n"/>
      <c r="K30" s="29" t="n"/>
      <c r="L30" s="49" t="n"/>
      <c r="M30" s="49" t="n"/>
      <c r="N30" s="29" t="n"/>
      <c r="O30" s="29" t="n"/>
      <c r="P30" s="29" t="n"/>
      <c r="Q30" s="51" t="n"/>
      <c r="R30" s="29" t="n"/>
      <c r="S30" s="52">
        <f>IF(OR(A30="",F30="",C30&lt;&gt;"Mekân"),0,IF(COUNTIFS($F$8:F30,F30,$C$8:C30,"Mekân")=1,1,0))</f>
        <v/>
      </c>
      <c r="T30" s="52">
        <f>IF(OR(A30="",F30="",C30&lt;&gt;"Kapak"),0,IF(COUNTIFS($F$8:F30,F30,$C$8:C30,"Kapak")=1,1,0))</f>
        <v/>
      </c>
    </row>
    <row r="31" ht="54" customHeight="1">
      <c r="A31" s="29" t="n"/>
      <c r="B31" s="29" t="n"/>
      <c r="C31" s="29" t="n"/>
      <c r="D31" s="29" t="n"/>
      <c r="E31" s="29" t="n"/>
      <c r="F31" s="29" t="n"/>
      <c r="G31" s="29" t="n"/>
      <c r="H31" s="29" t="n"/>
      <c r="I31" s="29" t="n"/>
      <c r="J31" s="29" t="n"/>
      <c r="K31" s="29" t="n"/>
      <c r="L31" s="49" t="n"/>
      <c r="M31" s="49" t="n"/>
      <c r="N31" s="29" t="n"/>
      <c r="O31" s="29" t="n"/>
      <c r="P31" s="29" t="n"/>
      <c r="Q31" s="51" t="n"/>
      <c r="R31" s="29" t="n"/>
      <c r="S31" s="52">
        <f>IF(OR(A31="",F31="",C31&lt;&gt;"Mekân"),0,IF(COUNTIFS($F$8:F31,F31,$C$8:C31,"Mekân")=1,1,0))</f>
        <v/>
      </c>
      <c r="T31" s="52">
        <f>IF(OR(A31="",F31="",C31&lt;&gt;"Kapak"),0,IF(COUNTIFS($F$8:F31,F31,$C$8:C31,"Kapak")=1,1,0))</f>
        <v/>
      </c>
    </row>
    <row r="32" ht="54" customHeight="1">
      <c r="A32" s="29" t="n"/>
      <c r="B32" s="29" t="n"/>
      <c r="C32" s="29" t="n"/>
      <c r="D32" s="29" t="n"/>
      <c r="E32" s="29" t="n"/>
      <c r="F32" s="29" t="n"/>
      <c r="G32" s="29" t="n"/>
      <c r="H32" s="29" t="n"/>
      <c r="I32" s="29" t="n"/>
      <c r="J32" s="29" t="n"/>
      <c r="K32" s="29" t="n"/>
      <c r="L32" s="49" t="n"/>
      <c r="M32" s="49" t="n"/>
      <c r="N32" s="29" t="n"/>
      <c r="O32" s="29" t="n"/>
      <c r="P32" s="29" t="n"/>
      <c r="Q32" s="51" t="n"/>
      <c r="R32" s="29" t="n"/>
      <c r="S32" s="52">
        <f>IF(OR(A32="",F32="",C32&lt;&gt;"Mekân"),0,IF(COUNTIFS($F$8:F32,F32,$C$8:C32,"Mekân")=1,1,0))</f>
        <v/>
      </c>
      <c r="T32" s="52">
        <f>IF(OR(A32="",F32="",C32&lt;&gt;"Kapak"),0,IF(COUNTIFS($F$8:F32,F32,$C$8:C32,"Kapak")=1,1,0))</f>
        <v/>
      </c>
    </row>
    <row r="33" ht="54" customHeight="1">
      <c r="A33" s="29" t="n"/>
      <c r="B33" s="29" t="n"/>
      <c r="C33" s="29" t="n"/>
      <c r="D33" s="29" t="n"/>
      <c r="E33" s="29" t="n"/>
      <c r="F33" s="29" t="n"/>
      <c r="G33" s="29" t="n"/>
      <c r="H33" s="29" t="n"/>
      <c r="I33" s="29" t="n"/>
      <c r="J33" s="29" t="n"/>
      <c r="K33" s="29" t="n"/>
      <c r="L33" s="49" t="n"/>
      <c r="M33" s="49" t="n"/>
      <c r="N33" s="29" t="n"/>
      <c r="O33" s="29" t="n"/>
      <c r="P33" s="29" t="n"/>
      <c r="Q33" s="51" t="n"/>
      <c r="R33" s="29" t="n"/>
      <c r="S33" s="52">
        <f>IF(OR(A33="",F33="",C33&lt;&gt;"Mekân"),0,IF(COUNTIFS($F$8:F33,F33,$C$8:C33,"Mekân")=1,1,0))</f>
        <v/>
      </c>
      <c r="T33" s="52">
        <f>IF(OR(A33="",F33="",C33&lt;&gt;"Kapak"),0,IF(COUNTIFS($F$8:F33,F33,$C$8:C33,"Kapak")=1,1,0))</f>
        <v/>
      </c>
    </row>
    <row r="34" ht="54" customHeight="1">
      <c r="A34" s="29" t="n"/>
      <c r="B34" s="29" t="n"/>
      <c r="C34" s="29" t="n"/>
      <c r="D34" s="29" t="n"/>
      <c r="E34" s="29" t="n"/>
      <c r="F34" s="29" t="n"/>
      <c r="G34" s="29" t="n"/>
      <c r="H34" s="29" t="n"/>
      <c r="I34" s="29" t="n"/>
      <c r="J34" s="29" t="n"/>
      <c r="K34" s="29" t="n"/>
      <c r="L34" s="49" t="n"/>
      <c r="M34" s="49" t="n"/>
      <c r="N34" s="29" t="n"/>
      <c r="O34" s="29" t="n"/>
      <c r="P34" s="29" t="n"/>
      <c r="Q34" s="51" t="n"/>
      <c r="R34" s="29" t="n"/>
      <c r="S34" s="52">
        <f>IF(OR(A34="",F34="",C34&lt;&gt;"Mekân"),0,IF(COUNTIFS($F$8:F34,F34,$C$8:C34,"Mekân")=1,1,0))</f>
        <v/>
      </c>
      <c r="T34" s="52">
        <f>IF(OR(A34="",F34="",C34&lt;&gt;"Kapak"),0,IF(COUNTIFS($F$8:F34,F34,$C$8:C34,"Kapak")=1,1,0))</f>
        <v/>
      </c>
    </row>
    <row r="35" ht="54" customHeight="1">
      <c r="A35" s="29" t="n"/>
      <c r="B35" s="29" t="n"/>
      <c r="C35" s="29" t="n"/>
      <c r="D35" s="29" t="n"/>
      <c r="E35" s="29" t="n"/>
      <c r="F35" s="29" t="n"/>
      <c r="G35" s="29" t="n"/>
      <c r="H35" s="29" t="n"/>
      <c r="I35" s="29" t="n"/>
      <c r="J35" s="29" t="n"/>
      <c r="K35" s="29" t="n"/>
      <c r="L35" s="49" t="n"/>
      <c r="M35" s="49" t="n"/>
      <c r="N35" s="29" t="n"/>
      <c r="O35" s="29" t="n"/>
      <c r="P35" s="29" t="n"/>
      <c r="Q35" s="51" t="n"/>
      <c r="R35" s="29" t="n"/>
      <c r="S35" s="52">
        <f>IF(OR(A35="",F35="",C35&lt;&gt;"Mekân"),0,IF(COUNTIFS($F$8:F35,F35,$C$8:C35,"Mekân")=1,1,0))</f>
        <v/>
      </c>
      <c r="T35" s="52">
        <f>IF(OR(A35="",F35="",C35&lt;&gt;"Kapak"),0,IF(COUNTIFS($F$8:F35,F35,$C$8:C35,"Kapak")=1,1,0))</f>
        <v/>
      </c>
    </row>
    <row r="36" ht="54" customHeight="1">
      <c r="A36" s="29" t="n"/>
      <c r="B36" s="29" t="n"/>
      <c r="C36" s="29" t="n"/>
      <c r="D36" s="29" t="n"/>
      <c r="E36" s="29" t="n"/>
      <c r="F36" s="29" t="n"/>
      <c r="G36" s="29" t="n"/>
      <c r="H36" s="29" t="n"/>
      <c r="I36" s="29" t="n"/>
      <c r="J36" s="29" t="n"/>
      <c r="K36" s="29" t="n"/>
      <c r="L36" s="49" t="n"/>
      <c r="M36" s="49" t="n"/>
      <c r="N36" s="29" t="n"/>
      <c r="O36" s="29" t="n"/>
      <c r="P36" s="29" t="n"/>
      <c r="Q36" s="51" t="n"/>
      <c r="R36" s="29" t="n"/>
      <c r="S36" s="52">
        <f>IF(OR(A36="",F36="",C36&lt;&gt;"Mekân"),0,IF(COUNTIFS($F$8:F36,F36,$C$8:C36,"Mekân")=1,1,0))</f>
        <v/>
      </c>
      <c r="T36" s="52">
        <f>IF(OR(A36="",F36="",C36&lt;&gt;"Kapak"),0,IF(COUNTIFS($F$8:F36,F36,$C$8:C36,"Kapak")=1,1,0))</f>
        <v/>
      </c>
    </row>
    <row r="37" ht="54" customHeight="1">
      <c r="A37" s="29" t="n"/>
      <c r="B37" s="29" t="n"/>
      <c r="C37" s="29" t="n"/>
      <c r="D37" s="29" t="n"/>
      <c r="E37" s="29" t="n"/>
      <c r="F37" s="29" t="n"/>
      <c r="G37" s="29" t="n"/>
      <c r="H37" s="29" t="n"/>
      <c r="I37" s="29" t="n"/>
      <c r="J37" s="29" t="n"/>
      <c r="K37" s="29" t="n"/>
      <c r="L37" s="49" t="n"/>
      <c r="M37" s="49" t="n"/>
      <c r="N37" s="29" t="n"/>
      <c r="O37" s="29" t="n"/>
      <c r="P37" s="29" t="n"/>
      <c r="Q37" s="51" t="n"/>
      <c r="R37" s="29" t="n"/>
      <c r="S37" s="52">
        <f>IF(OR(A37="",F37="",C37&lt;&gt;"Mekân"),0,IF(COUNTIFS($F$8:F37,F37,$C$8:C37,"Mekân")=1,1,0))</f>
        <v/>
      </c>
      <c r="T37" s="52">
        <f>IF(OR(A37="",F37="",C37&lt;&gt;"Kapak"),0,IF(COUNTIFS($F$8:F37,F37,$C$8:C37,"Kapak")=1,1,0))</f>
        <v/>
      </c>
    </row>
    <row r="38" ht="54" customHeight="1">
      <c r="A38" s="29" t="n"/>
      <c r="B38" s="29" t="n"/>
      <c r="C38" s="29" t="n"/>
      <c r="D38" s="29" t="n"/>
      <c r="E38" s="29" t="n"/>
      <c r="F38" s="29" t="n"/>
      <c r="G38" s="29" t="n"/>
      <c r="H38" s="29" t="n"/>
      <c r="I38" s="29" t="n"/>
      <c r="J38" s="29" t="n"/>
      <c r="K38" s="29" t="n"/>
      <c r="L38" s="49" t="n"/>
      <c r="M38" s="49" t="n"/>
      <c r="N38" s="29" t="n"/>
      <c r="O38" s="29" t="n"/>
      <c r="P38" s="29" t="n"/>
      <c r="Q38" s="51" t="n"/>
      <c r="R38" s="29" t="n"/>
      <c r="S38" s="52">
        <f>IF(OR(A38="",F38="",C38&lt;&gt;"Mekân"),0,IF(COUNTIFS($F$8:F38,F38,$C$8:C38,"Mekân")=1,1,0))</f>
        <v/>
      </c>
      <c r="T38" s="52">
        <f>IF(OR(A38="",F38="",C38&lt;&gt;"Kapak"),0,IF(COUNTIFS($F$8:F38,F38,$C$8:C38,"Kapak")=1,1,0))</f>
        <v/>
      </c>
    </row>
    <row r="39" ht="54" customHeight="1">
      <c r="A39" s="29" t="n"/>
      <c r="B39" s="29" t="n"/>
      <c r="C39" s="29" t="n"/>
      <c r="D39" s="29" t="n"/>
      <c r="E39" s="29" t="n"/>
      <c r="F39" s="29" t="n"/>
      <c r="G39" s="29" t="n"/>
      <c r="H39" s="29" t="n"/>
      <c r="I39" s="29" t="n"/>
      <c r="J39" s="29" t="n"/>
      <c r="K39" s="29" t="n"/>
      <c r="L39" s="49" t="n"/>
      <c r="M39" s="49" t="n"/>
      <c r="N39" s="29" t="n"/>
      <c r="O39" s="29" t="n"/>
      <c r="P39" s="29" t="n"/>
      <c r="Q39" s="51" t="n"/>
      <c r="R39" s="29" t="n"/>
      <c r="S39" s="52">
        <f>IF(OR(A39="",F39="",C39&lt;&gt;"Mekân"),0,IF(COUNTIFS($F$8:F39,F39,$C$8:C39,"Mekân")=1,1,0))</f>
        <v/>
      </c>
      <c r="T39" s="52">
        <f>IF(OR(A39="",F39="",C39&lt;&gt;"Kapak"),0,IF(COUNTIFS($F$8:F39,F39,$C$8:C39,"Kapak")=1,1,0))</f>
        <v/>
      </c>
    </row>
    <row r="40" ht="54" customHeight="1">
      <c r="A40" s="29" t="n"/>
      <c r="B40" s="29" t="n"/>
      <c r="C40" s="29" t="n"/>
      <c r="D40" s="29" t="n"/>
      <c r="E40" s="29" t="n"/>
      <c r="F40" s="29" t="n"/>
      <c r="G40" s="29" t="n"/>
      <c r="H40" s="29" t="n"/>
      <c r="I40" s="29" t="n"/>
      <c r="J40" s="29" t="n"/>
      <c r="K40" s="29" t="n"/>
      <c r="L40" s="49" t="n"/>
      <c r="M40" s="49" t="n"/>
      <c r="N40" s="29" t="n"/>
      <c r="O40" s="29" t="n"/>
      <c r="P40" s="29" t="n"/>
      <c r="Q40" s="51" t="n"/>
      <c r="R40" s="29" t="n"/>
      <c r="S40" s="52">
        <f>IF(OR(A40="",F40="",C40&lt;&gt;"Mekân"),0,IF(COUNTIFS($F$8:F40,F40,$C$8:C40,"Mekân")=1,1,0))</f>
        <v/>
      </c>
      <c r="T40" s="52">
        <f>IF(OR(A40="",F40="",C40&lt;&gt;"Kapak"),0,IF(COUNTIFS($F$8:F40,F40,$C$8:C40,"Kapak")=1,1,0))</f>
        <v/>
      </c>
    </row>
    <row r="41" ht="54" customHeight="1">
      <c r="A41" s="29" t="n"/>
      <c r="B41" s="29" t="n"/>
      <c r="C41" s="29" t="n"/>
      <c r="D41" s="29" t="n"/>
      <c r="E41" s="29" t="n"/>
      <c r="F41" s="29" t="n"/>
      <c r="G41" s="29" t="n"/>
      <c r="H41" s="29" t="n"/>
      <c r="I41" s="29" t="n"/>
      <c r="J41" s="29" t="n"/>
      <c r="K41" s="29" t="n"/>
      <c r="L41" s="49" t="n"/>
      <c r="M41" s="49" t="n"/>
      <c r="N41" s="29" t="n"/>
      <c r="O41" s="29" t="n"/>
      <c r="P41" s="29" t="n"/>
      <c r="Q41" s="51" t="n"/>
      <c r="R41" s="29" t="n"/>
      <c r="S41" s="52">
        <f>IF(OR(A41="",F41="",C41&lt;&gt;"Mekân"),0,IF(COUNTIFS($F$8:F41,F41,$C$8:C41,"Mekân")=1,1,0))</f>
        <v/>
      </c>
      <c r="T41" s="52">
        <f>IF(OR(A41="",F41="",C41&lt;&gt;"Kapak"),0,IF(COUNTIFS($F$8:F41,F41,$C$8:C41,"Kapak")=1,1,0))</f>
        <v/>
      </c>
    </row>
    <row r="42" ht="54" customHeight="1">
      <c r="A42" s="29" t="n"/>
      <c r="B42" s="29" t="n"/>
      <c r="C42" s="29" t="n"/>
      <c r="D42" s="29" t="n"/>
      <c r="E42" s="29" t="n"/>
      <c r="F42" s="29" t="n"/>
      <c r="G42" s="29" t="n"/>
      <c r="H42" s="29" t="n"/>
      <c r="I42" s="29" t="n"/>
      <c r="J42" s="29" t="n"/>
      <c r="K42" s="29" t="n"/>
      <c r="L42" s="49" t="n"/>
      <c r="M42" s="49" t="n"/>
      <c r="N42" s="29" t="n"/>
      <c r="O42" s="29" t="n"/>
      <c r="P42" s="29" t="n"/>
      <c r="Q42" s="51" t="n"/>
      <c r="R42" s="29" t="n"/>
      <c r="S42" s="52">
        <f>IF(OR(A42="",F42="",C42&lt;&gt;"Mekân"),0,IF(COUNTIFS($F$8:F42,F42,$C$8:C42,"Mekân")=1,1,0))</f>
        <v/>
      </c>
      <c r="T42" s="52">
        <f>IF(OR(A42="",F42="",C42&lt;&gt;"Kapak"),0,IF(COUNTIFS($F$8:F42,F42,$C$8:C42,"Kapak")=1,1,0))</f>
        <v/>
      </c>
    </row>
    <row r="43" ht="54" customHeight="1">
      <c r="A43" s="29" t="n"/>
      <c r="B43" s="29" t="n"/>
      <c r="C43" s="29" t="n"/>
      <c r="D43" s="29" t="n"/>
      <c r="E43" s="29" t="n"/>
      <c r="F43" s="29" t="n"/>
      <c r="G43" s="29" t="n"/>
      <c r="H43" s="29" t="n"/>
      <c r="I43" s="29" t="n"/>
      <c r="J43" s="29" t="n"/>
      <c r="K43" s="29" t="n"/>
      <c r="L43" s="49" t="n"/>
      <c r="M43" s="49" t="n"/>
      <c r="N43" s="29" t="n"/>
      <c r="O43" s="29" t="n"/>
      <c r="P43" s="29" t="n"/>
      <c r="Q43" s="51" t="n"/>
      <c r="R43" s="29" t="n"/>
      <c r="S43" s="52">
        <f>IF(OR(A43="",F43="",C43&lt;&gt;"Mekân"),0,IF(COUNTIFS($F$8:F43,F43,$C$8:C43,"Mekân")=1,1,0))</f>
        <v/>
      </c>
      <c r="T43" s="52">
        <f>IF(OR(A43="",F43="",C43&lt;&gt;"Kapak"),0,IF(COUNTIFS($F$8:F43,F43,$C$8:C43,"Kapak")=1,1,0))</f>
        <v/>
      </c>
    </row>
    <row r="44" ht="54" customHeight="1">
      <c r="A44" s="29" t="n"/>
      <c r="B44" s="29" t="n"/>
      <c r="C44" s="29" t="n"/>
      <c r="D44" s="29" t="n"/>
      <c r="E44" s="29" t="n"/>
      <c r="F44" s="29" t="n"/>
      <c r="G44" s="29" t="n"/>
      <c r="H44" s="29" t="n"/>
      <c r="I44" s="29" t="n"/>
      <c r="J44" s="29" t="n"/>
      <c r="K44" s="29" t="n"/>
      <c r="L44" s="49" t="n"/>
      <c r="M44" s="49" t="n"/>
      <c r="N44" s="29" t="n"/>
      <c r="O44" s="29" t="n"/>
      <c r="P44" s="29" t="n"/>
      <c r="Q44" s="51" t="n"/>
      <c r="R44" s="29" t="n"/>
      <c r="S44" s="52">
        <f>IF(OR(A44="",F44="",C44&lt;&gt;"Mekân"),0,IF(COUNTIFS($F$8:F44,F44,$C$8:C44,"Mekân")=1,1,0))</f>
        <v/>
      </c>
      <c r="T44" s="52">
        <f>IF(OR(A44="",F44="",C44&lt;&gt;"Kapak"),0,IF(COUNTIFS($F$8:F44,F44,$C$8:C44,"Kapak")=1,1,0))</f>
        <v/>
      </c>
    </row>
    <row r="45" ht="54" customHeight="1">
      <c r="A45" s="29" t="n"/>
      <c r="B45" s="29" t="n"/>
      <c r="C45" s="29" t="n"/>
      <c r="D45" s="29" t="n"/>
      <c r="E45" s="29" t="n"/>
      <c r="F45" s="29" t="n"/>
      <c r="G45" s="29" t="n"/>
      <c r="H45" s="29" t="n"/>
      <c r="I45" s="29" t="n"/>
      <c r="J45" s="29" t="n"/>
      <c r="K45" s="29" t="n"/>
      <c r="L45" s="49" t="n"/>
      <c r="M45" s="49" t="n"/>
      <c r="N45" s="29" t="n"/>
      <c r="O45" s="29" t="n"/>
      <c r="P45" s="29" t="n"/>
      <c r="Q45" s="51" t="n"/>
      <c r="R45" s="29" t="n"/>
      <c r="S45" s="52">
        <f>IF(OR(A45="",F45="",C45&lt;&gt;"Mekân"),0,IF(COUNTIFS($F$8:F45,F45,$C$8:C45,"Mekân")=1,1,0))</f>
        <v/>
      </c>
      <c r="T45" s="52">
        <f>IF(OR(A45="",F45="",C45&lt;&gt;"Kapak"),0,IF(COUNTIFS($F$8:F45,F45,$C$8:C45,"Kapak")=1,1,0))</f>
        <v/>
      </c>
    </row>
    <row r="46" ht="54" customHeight="1">
      <c r="A46" s="29" t="n"/>
      <c r="B46" s="29" t="n"/>
      <c r="C46" s="29" t="n"/>
      <c r="D46" s="29" t="n"/>
      <c r="E46" s="29" t="n"/>
      <c r="F46" s="29" t="n"/>
      <c r="G46" s="29" t="n"/>
      <c r="H46" s="29" t="n"/>
      <c r="I46" s="29" t="n"/>
      <c r="J46" s="29" t="n"/>
      <c r="K46" s="29" t="n"/>
      <c r="L46" s="49" t="n"/>
      <c r="M46" s="49" t="n"/>
      <c r="N46" s="29" t="n"/>
      <c r="O46" s="29" t="n"/>
      <c r="P46" s="29" t="n"/>
      <c r="Q46" s="51" t="n"/>
      <c r="R46" s="29" t="n"/>
      <c r="S46" s="52">
        <f>IF(OR(A46="",F46="",C46&lt;&gt;"Mekân"),0,IF(COUNTIFS($F$8:F46,F46,$C$8:C46,"Mekân")=1,1,0))</f>
        <v/>
      </c>
      <c r="T46" s="52">
        <f>IF(OR(A46="",F46="",C46&lt;&gt;"Kapak"),0,IF(COUNTIFS($F$8:F46,F46,$C$8:C46,"Kapak")=1,1,0))</f>
        <v/>
      </c>
    </row>
    <row r="47" ht="54" customHeight="1">
      <c r="A47" s="29" t="n"/>
      <c r="B47" s="29" t="n"/>
      <c r="C47" s="29" t="n"/>
      <c r="D47" s="29" t="n"/>
      <c r="E47" s="29" t="n"/>
      <c r="F47" s="29" t="n"/>
      <c r="G47" s="29" t="n"/>
      <c r="H47" s="29" t="n"/>
      <c r="I47" s="29" t="n"/>
      <c r="J47" s="29" t="n"/>
      <c r="K47" s="29" t="n"/>
      <c r="L47" s="49" t="n"/>
      <c r="M47" s="49" t="n"/>
      <c r="N47" s="29" t="n"/>
      <c r="O47" s="29" t="n"/>
      <c r="P47" s="29" t="n"/>
      <c r="Q47" s="51" t="n"/>
      <c r="R47" s="29" t="n"/>
      <c r="S47" s="52">
        <f>IF(OR(A47="",F47="",C47&lt;&gt;"Mekân"),0,IF(COUNTIFS($F$8:F47,F47,$C$8:C47,"Mekân")=1,1,0))</f>
        <v/>
      </c>
      <c r="T47" s="52">
        <f>IF(OR(A47="",F47="",C47&lt;&gt;"Kapak"),0,IF(COUNTIFS($F$8:F47,F47,$C$8:C47,"Kapak")=1,1,0))</f>
        <v/>
      </c>
    </row>
    <row r="48" ht="54" customHeight="1">
      <c r="A48" s="29" t="n"/>
      <c r="B48" s="29" t="n"/>
      <c r="C48" s="29" t="n"/>
      <c r="D48" s="29" t="n"/>
      <c r="E48" s="29" t="n"/>
      <c r="F48" s="29" t="n"/>
      <c r="G48" s="29" t="n"/>
      <c r="H48" s="29" t="n"/>
      <c r="I48" s="29" t="n"/>
      <c r="J48" s="29" t="n"/>
      <c r="K48" s="29" t="n"/>
      <c r="L48" s="49" t="n"/>
      <c r="M48" s="49" t="n"/>
      <c r="N48" s="29" t="n"/>
      <c r="O48" s="29" t="n"/>
      <c r="P48" s="29" t="n"/>
      <c r="Q48" s="51" t="n"/>
      <c r="R48" s="29" t="n"/>
      <c r="S48" s="52">
        <f>IF(OR(A48="",F48="",C48&lt;&gt;"Mekân"),0,IF(COUNTIFS($F$8:F48,F48,$C$8:C48,"Mekân")=1,1,0))</f>
        <v/>
      </c>
      <c r="T48" s="52">
        <f>IF(OR(A48="",F48="",C48&lt;&gt;"Kapak"),0,IF(COUNTIFS($F$8:F48,F48,$C$8:C48,"Kapak")=1,1,0))</f>
        <v/>
      </c>
    </row>
    <row r="49" ht="54" customHeight="1">
      <c r="A49" s="29" t="n"/>
      <c r="B49" s="29" t="n"/>
      <c r="C49" s="29" t="n"/>
      <c r="D49" s="29" t="n"/>
      <c r="E49" s="29" t="n"/>
      <c r="F49" s="29" t="n"/>
      <c r="G49" s="29" t="n"/>
      <c r="H49" s="29" t="n"/>
      <c r="I49" s="29" t="n"/>
      <c r="J49" s="29" t="n"/>
      <c r="K49" s="29" t="n"/>
      <c r="L49" s="49" t="n"/>
      <c r="M49" s="49" t="n"/>
      <c r="N49" s="29" t="n"/>
      <c r="O49" s="29" t="n"/>
      <c r="P49" s="29" t="n"/>
      <c r="Q49" s="51" t="n"/>
      <c r="R49" s="29" t="n"/>
      <c r="S49" s="52">
        <f>IF(OR(A49="",F49="",C49&lt;&gt;"Mekân"),0,IF(COUNTIFS($F$8:F49,F49,$C$8:C49,"Mekân")=1,1,0))</f>
        <v/>
      </c>
      <c r="T49" s="52">
        <f>IF(OR(A49="",F49="",C49&lt;&gt;"Kapak"),0,IF(COUNTIFS($F$8:F49,F49,$C$8:C49,"Kapak")=1,1,0))</f>
        <v/>
      </c>
    </row>
    <row r="50" ht="54" customHeight="1">
      <c r="A50" s="29" t="n"/>
      <c r="B50" s="29" t="n"/>
      <c r="C50" s="29" t="n"/>
      <c r="D50" s="29" t="n"/>
      <c r="E50" s="29" t="n"/>
      <c r="F50" s="29" t="n"/>
      <c r="G50" s="29" t="n"/>
      <c r="H50" s="29" t="n"/>
      <c r="I50" s="29" t="n"/>
      <c r="J50" s="29" t="n"/>
      <c r="K50" s="29" t="n"/>
      <c r="L50" s="49" t="n"/>
      <c r="M50" s="49" t="n"/>
      <c r="N50" s="29" t="n"/>
      <c r="O50" s="29" t="n"/>
      <c r="P50" s="29" t="n"/>
      <c r="Q50" s="51" t="n"/>
      <c r="R50" s="29" t="n"/>
      <c r="S50" s="52">
        <f>IF(OR(A50="",F50="",C50&lt;&gt;"Mekân"),0,IF(COUNTIFS($F$8:F50,F50,$C$8:C50,"Mekân")=1,1,0))</f>
        <v/>
      </c>
      <c r="T50" s="52">
        <f>IF(OR(A50="",F50="",C50&lt;&gt;"Kapak"),0,IF(COUNTIFS($F$8:F50,F50,$C$8:C50,"Kapak")=1,1,0))</f>
        <v/>
      </c>
    </row>
    <row r="51" ht="54" customHeight="1">
      <c r="A51" s="29" t="n"/>
      <c r="B51" s="29" t="n"/>
      <c r="C51" s="29" t="n"/>
      <c r="D51" s="29" t="n"/>
      <c r="E51" s="29" t="n"/>
      <c r="F51" s="29" t="n"/>
      <c r="G51" s="29" t="n"/>
      <c r="H51" s="29" t="n"/>
      <c r="I51" s="29" t="n"/>
      <c r="J51" s="29" t="n"/>
      <c r="K51" s="29" t="n"/>
      <c r="L51" s="49" t="n"/>
      <c r="M51" s="49" t="n"/>
      <c r="N51" s="29" t="n"/>
      <c r="O51" s="29" t="n"/>
      <c r="P51" s="29" t="n"/>
      <c r="Q51" s="51" t="n"/>
      <c r="R51" s="29" t="n"/>
      <c r="S51" s="52">
        <f>IF(OR(A51="",F51="",C51&lt;&gt;"Mekân"),0,IF(COUNTIFS($F$8:F51,F51,$C$8:C51,"Mekân")=1,1,0))</f>
        <v/>
      </c>
      <c r="T51" s="52">
        <f>IF(OR(A51="",F51="",C51&lt;&gt;"Kapak"),0,IF(COUNTIFS($F$8:F51,F51,$C$8:C51,"Kapak")=1,1,0))</f>
        <v/>
      </c>
    </row>
    <row r="52" ht="54" customHeight="1">
      <c r="A52" s="29" t="n"/>
      <c r="B52" s="29" t="n"/>
      <c r="C52" s="29" t="n"/>
      <c r="D52" s="29" t="n"/>
      <c r="E52" s="29" t="n"/>
      <c r="F52" s="29" t="n"/>
      <c r="G52" s="29" t="n"/>
      <c r="H52" s="29" t="n"/>
      <c r="I52" s="29" t="n"/>
      <c r="J52" s="29" t="n"/>
      <c r="K52" s="29" t="n"/>
      <c r="L52" s="49" t="n"/>
      <c r="M52" s="49" t="n"/>
      <c r="N52" s="29" t="n"/>
      <c r="O52" s="29" t="n"/>
      <c r="P52" s="29" t="n"/>
      <c r="Q52" s="51" t="n"/>
      <c r="R52" s="29" t="n"/>
      <c r="S52" s="52">
        <f>IF(OR(A52="",F52="",C52&lt;&gt;"Mekân"),0,IF(COUNTIFS($F$8:F52,F52,$C$8:C52,"Mekân")=1,1,0))</f>
        <v/>
      </c>
      <c r="T52" s="52">
        <f>IF(OR(A52="",F52="",C52&lt;&gt;"Kapak"),0,IF(COUNTIFS($F$8:F52,F52,$C$8:C52,"Kapak")=1,1,0))</f>
        <v/>
      </c>
    </row>
    <row r="53" ht="54" customHeight="1">
      <c r="A53" s="29" t="n"/>
      <c r="B53" s="29" t="n"/>
      <c r="C53" s="29" t="n"/>
      <c r="D53" s="29" t="n"/>
      <c r="E53" s="29" t="n"/>
      <c r="F53" s="29" t="n"/>
      <c r="G53" s="29" t="n"/>
      <c r="H53" s="29" t="n"/>
      <c r="I53" s="29" t="n"/>
      <c r="J53" s="29" t="n"/>
      <c r="K53" s="29" t="n"/>
      <c r="L53" s="49" t="n"/>
      <c r="M53" s="49" t="n"/>
      <c r="N53" s="29" t="n"/>
      <c r="O53" s="29" t="n"/>
      <c r="P53" s="29" t="n"/>
      <c r="Q53" s="51" t="n"/>
      <c r="R53" s="29" t="n"/>
      <c r="S53" s="52">
        <f>IF(OR(A53="",F53="",C53&lt;&gt;"Mekân"),0,IF(COUNTIFS($F$8:F53,F53,$C$8:C53,"Mekân")=1,1,0))</f>
        <v/>
      </c>
      <c r="T53" s="52">
        <f>IF(OR(A53="",F53="",C53&lt;&gt;"Kapak"),0,IF(COUNTIFS($F$8:F53,F53,$C$8:C53,"Kapak")=1,1,0))</f>
        <v/>
      </c>
    </row>
    <row r="54" ht="54" customHeight="1">
      <c r="A54" s="29" t="n"/>
      <c r="B54" s="29" t="n"/>
      <c r="C54" s="29" t="n"/>
      <c r="D54" s="29" t="n"/>
      <c r="E54" s="29" t="n"/>
      <c r="F54" s="29" t="n"/>
      <c r="G54" s="29" t="n"/>
      <c r="H54" s="29" t="n"/>
      <c r="I54" s="29" t="n"/>
      <c r="J54" s="29" t="n"/>
      <c r="K54" s="29" t="n"/>
      <c r="L54" s="49" t="n"/>
      <c r="M54" s="49" t="n"/>
      <c r="N54" s="29" t="n"/>
      <c r="O54" s="29" t="n"/>
      <c r="P54" s="29" t="n"/>
      <c r="Q54" s="51" t="n"/>
      <c r="R54" s="29" t="n"/>
      <c r="S54" s="52">
        <f>IF(OR(A54="",F54="",C54&lt;&gt;"Mekân"),0,IF(COUNTIFS($F$8:F54,F54,$C$8:C54,"Mekân")=1,1,0))</f>
        <v/>
      </c>
      <c r="T54" s="52">
        <f>IF(OR(A54="",F54="",C54&lt;&gt;"Kapak"),0,IF(COUNTIFS($F$8:F54,F54,$C$8:C54,"Kapak")=1,1,0))</f>
        <v/>
      </c>
    </row>
    <row r="55" ht="54" customHeight="1">
      <c r="A55" s="29" t="n"/>
      <c r="B55" s="29" t="n"/>
      <c r="C55" s="29" t="n"/>
      <c r="D55" s="29" t="n"/>
      <c r="E55" s="29" t="n"/>
      <c r="F55" s="29" t="n"/>
      <c r="G55" s="29" t="n"/>
      <c r="H55" s="29" t="n"/>
      <c r="I55" s="29" t="n"/>
      <c r="J55" s="29" t="n"/>
      <c r="K55" s="29" t="n"/>
      <c r="L55" s="49" t="n"/>
      <c r="M55" s="49" t="n"/>
      <c r="N55" s="29" t="n"/>
      <c r="O55" s="29" t="n"/>
      <c r="P55" s="29" t="n"/>
      <c r="Q55" s="51" t="n"/>
      <c r="R55" s="29" t="n"/>
      <c r="S55" s="52">
        <f>IF(OR(A55="",F55="",C55&lt;&gt;"Mekân"),0,IF(COUNTIFS($F$8:F55,F55,$C$8:C55,"Mekân")=1,1,0))</f>
        <v/>
      </c>
      <c r="T55" s="52">
        <f>IF(OR(A55="",F55="",C55&lt;&gt;"Kapak"),0,IF(COUNTIFS($F$8:F55,F55,$C$8:C55,"Kapak")=1,1,0))</f>
        <v/>
      </c>
    </row>
    <row r="56" ht="54" customHeight="1">
      <c r="A56" s="29" t="n"/>
      <c r="B56" s="29" t="n"/>
      <c r="C56" s="29" t="n"/>
      <c r="D56" s="29" t="n"/>
      <c r="E56" s="29" t="n"/>
      <c r="F56" s="29" t="n"/>
      <c r="G56" s="29" t="n"/>
      <c r="H56" s="29" t="n"/>
      <c r="I56" s="29" t="n"/>
      <c r="J56" s="29" t="n"/>
      <c r="K56" s="29" t="n"/>
      <c r="L56" s="49" t="n"/>
      <c r="M56" s="49" t="n"/>
      <c r="N56" s="29" t="n"/>
      <c r="O56" s="29" t="n"/>
      <c r="P56" s="29" t="n"/>
      <c r="Q56" s="51" t="n"/>
      <c r="R56" s="29" t="n"/>
      <c r="S56" s="52">
        <f>IF(OR(A56="",F56="",C56&lt;&gt;"Mekân"),0,IF(COUNTIFS($F$8:F56,F56,$C$8:C56,"Mekân")=1,1,0))</f>
        <v/>
      </c>
      <c r="T56" s="52">
        <f>IF(OR(A56="",F56="",C56&lt;&gt;"Kapak"),0,IF(COUNTIFS($F$8:F56,F56,$C$8:C56,"Kapak")=1,1,0))</f>
        <v/>
      </c>
    </row>
    <row r="57" ht="54" customHeight="1">
      <c r="A57" s="29" t="n"/>
      <c r="B57" s="29" t="n"/>
      <c r="C57" s="29" t="n"/>
      <c r="D57" s="29" t="n"/>
      <c r="E57" s="29" t="n"/>
      <c r="F57" s="29" t="n"/>
      <c r="G57" s="29" t="n"/>
      <c r="H57" s="29" t="n"/>
      <c r="I57" s="29" t="n"/>
      <c r="J57" s="29" t="n"/>
      <c r="K57" s="29" t="n"/>
      <c r="L57" s="49" t="n"/>
      <c r="M57" s="49" t="n"/>
      <c r="N57" s="29" t="n"/>
      <c r="O57" s="29" t="n"/>
      <c r="P57" s="29" t="n"/>
      <c r="Q57" s="51" t="n"/>
      <c r="R57" s="29" t="n"/>
      <c r="S57" s="52">
        <f>IF(OR(A57="",F57="",C57&lt;&gt;"Mekân"),0,IF(COUNTIFS($F$8:F57,F57,$C$8:C57,"Mekân")=1,1,0))</f>
        <v/>
      </c>
      <c r="T57" s="52">
        <f>IF(OR(A57="",F57="",C57&lt;&gt;"Kapak"),0,IF(COUNTIFS($F$8:F57,F57,$C$8:C57,"Kapak")=1,1,0))</f>
        <v/>
      </c>
    </row>
    <row r="58" ht="54" customHeight="1">
      <c r="A58" s="29" t="n"/>
      <c r="B58" s="29" t="n"/>
      <c r="C58" s="29" t="n"/>
      <c r="D58" s="29" t="n"/>
      <c r="E58" s="29" t="n"/>
      <c r="F58" s="29" t="n"/>
      <c r="G58" s="29" t="n"/>
      <c r="H58" s="29" t="n"/>
      <c r="I58" s="29" t="n"/>
      <c r="J58" s="29" t="n"/>
      <c r="K58" s="29" t="n"/>
      <c r="L58" s="49" t="n"/>
      <c r="M58" s="49" t="n"/>
      <c r="N58" s="29" t="n"/>
      <c r="O58" s="29" t="n"/>
      <c r="P58" s="29" t="n"/>
      <c r="Q58" s="51" t="n"/>
      <c r="R58" s="29" t="n"/>
      <c r="S58" s="52">
        <f>IF(OR(A58="",F58="",C58&lt;&gt;"Mekân"),0,IF(COUNTIFS($F$8:F58,F58,$C$8:C58,"Mekân")=1,1,0))</f>
        <v/>
      </c>
      <c r="T58" s="52">
        <f>IF(OR(A58="",F58="",C58&lt;&gt;"Kapak"),0,IF(COUNTIFS($F$8:F58,F58,$C$8:C58,"Kapak")=1,1,0))</f>
        <v/>
      </c>
    </row>
    <row r="59" ht="54" customHeight="1">
      <c r="A59" s="29" t="n"/>
      <c r="B59" s="29" t="n"/>
      <c r="C59" s="29" t="n"/>
      <c r="D59" s="29" t="n"/>
      <c r="E59" s="29" t="n"/>
      <c r="F59" s="29" t="n"/>
      <c r="G59" s="29" t="n"/>
      <c r="H59" s="29" t="n"/>
      <c r="I59" s="29" t="n"/>
      <c r="J59" s="29" t="n"/>
      <c r="K59" s="29" t="n"/>
      <c r="L59" s="49" t="n"/>
      <c r="M59" s="49" t="n"/>
      <c r="N59" s="29" t="n"/>
      <c r="O59" s="29" t="n"/>
      <c r="P59" s="29" t="n"/>
      <c r="Q59" s="51" t="n"/>
      <c r="R59" s="29" t="n"/>
      <c r="S59" s="52">
        <f>IF(OR(A59="",F59="",C59&lt;&gt;"Mekân"),0,IF(COUNTIFS($F$8:F59,F59,$C$8:C59,"Mekân")=1,1,0))</f>
        <v/>
      </c>
      <c r="T59" s="52">
        <f>IF(OR(A59="",F59="",C59&lt;&gt;"Kapak"),0,IF(COUNTIFS($F$8:F59,F59,$C$8:C59,"Kapak")=1,1,0))</f>
        <v/>
      </c>
    </row>
    <row r="60" ht="54" customHeight="1">
      <c r="A60" s="29" t="n"/>
      <c r="B60" s="29" t="n"/>
      <c r="C60" s="29" t="n"/>
      <c r="D60" s="29" t="n"/>
      <c r="E60" s="29" t="n"/>
      <c r="F60" s="29" t="n"/>
      <c r="G60" s="29" t="n"/>
      <c r="H60" s="29" t="n"/>
      <c r="I60" s="29" t="n"/>
      <c r="J60" s="29" t="n"/>
      <c r="K60" s="29" t="n"/>
      <c r="L60" s="49" t="n"/>
      <c r="M60" s="49" t="n"/>
      <c r="N60" s="29" t="n"/>
      <c r="O60" s="29" t="n"/>
      <c r="P60" s="29" t="n"/>
      <c r="Q60" s="51" t="n"/>
      <c r="R60" s="29" t="n"/>
      <c r="S60" s="52">
        <f>IF(OR(A60="",F60="",C60&lt;&gt;"Mekân"),0,IF(COUNTIFS($F$8:F60,F60,$C$8:C60,"Mekân")=1,1,0))</f>
        <v/>
      </c>
      <c r="T60" s="52">
        <f>IF(OR(A60="",F60="",C60&lt;&gt;"Kapak"),0,IF(COUNTIFS($F$8:F60,F60,$C$8:C60,"Kapak")=1,1,0))</f>
        <v/>
      </c>
    </row>
    <row r="61" ht="54" customHeight="1">
      <c r="A61" s="29" t="n"/>
      <c r="B61" s="29" t="n"/>
      <c r="C61" s="29" t="n"/>
      <c r="D61" s="29" t="n"/>
      <c r="E61" s="29" t="n"/>
      <c r="F61" s="29" t="n"/>
      <c r="G61" s="29" t="n"/>
      <c r="H61" s="29" t="n"/>
      <c r="I61" s="29" t="n"/>
      <c r="J61" s="29" t="n"/>
      <c r="K61" s="29" t="n"/>
      <c r="L61" s="49" t="n"/>
      <c r="M61" s="49" t="n"/>
      <c r="N61" s="29" t="n"/>
      <c r="O61" s="29" t="n"/>
      <c r="P61" s="29" t="n"/>
      <c r="Q61" s="51" t="n"/>
      <c r="R61" s="29" t="n"/>
      <c r="S61" s="52">
        <f>IF(OR(A61="",F61="",C61&lt;&gt;"Mekân"),0,IF(COUNTIFS($F$8:F61,F61,$C$8:C61,"Mekân")=1,1,0))</f>
        <v/>
      </c>
      <c r="T61" s="52">
        <f>IF(OR(A61="",F61="",C61&lt;&gt;"Kapak"),0,IF(COUNTIFS($F$8:F61,F61,$C$8:C61,"Kapak")=1,1,0))</f>
        <v/>
      </c>
    </row>
    <row r="62" ht="54" customHeight="1">
      <c r="A62" s="29" t="n"/>
      <c r="B62" s="29" t="n"/>
      <c r="C62" s="29" t="n"/>
      <c r="D62" s="29" t="n"/>
      <c r="E62" s="29" t="n"/>
      <c r="F62" s="29" t="n"/>
      <c r="G62" s="29" t="n"/>
      <c r="H62" s="29" t="n"/>
      <c r="I62" s="29" t="n"/>
      <c r="J62" s="29" t="n"/>
      <c r="K62" s="29" t="n"/>
      <c r="L62" s="49" t="n"/>
      <c r="M62" s="49" t="n"/>
      <c r="N62" s="29" t="n"/>
      <c r="O62" s="29" t="n"/>
      <c r="P62" s="29" t="n"/>
      <c r="Q62" s="51" t="n"/>
      <c r="R62" s="29" t="n"/>
      <c r="S62" s="52">
        <f>IF(OR(A62="",F62="",C62&lt;&gt;"Mekân"),0,IF(COUNTIFS($F$8:F62,F62,$C$8:C62,"Mekân")=1,1,0))</f>
        <v/>
      </c>
      <c r="T62" s="52">
        <f>IF(OR(A62="",F62="",C62&lt;&gt;"Kapak"),0,IF(COUNTIFS($F$8:F62,F62,$C$8:C62,"Kapak")=1,1,0))</f>
        <v/>
      </c>
    </row>
    <row r="63" ht="54" customHeight="1">
      <c r="A63" s="29" t="n"/>
      <c r="B63" s="29" t="n"/>
      <c r="C63" s="29" t="n"/>
      <c r="D63" s="29" t="n"/>
      <c r="E63" s="29" t="n"/>
      <c r="F63" s="29" t="n"/>
      <c r="G63" s="29" t="n"/>
      <c r="H63" s="29" t="n"/>
      <c r="I63" s="29" t="n"/>
      <c r="J63" s="29" t="n"/>
      <c r="K63" s="29" t="n"/>
      <c r="L63" s="49" t="n"/>
      <c r="M63" s="49" t="n"/>
      <c r="N63" s="29" t="n"/>
      <c r="O63" s="29" t="n"/>
      <c r="P63" s="29" t="n"/>
      <c r="Q63" s="51" t="n"/>
      <c r="R63" s="29" t="n"/>
      <c r="S63" s="52">
        <f>IF(OR(A63="",F63="",C63&lt;&gt;"Mekân"),0,IF(COUNTIFS($F$8:F63,F63,$C$8:C63,"Mekân")=1,1,0))</f>
        <v/>
      </c>
      <c r="T63" s="52">
        <f>IF(OR(A63="",F63="",C63&lt;&gt;"Kapak"),0,IF(COUNTIFS($F$8:F63,F63,$C$8:C63,"Kapak")=1,1,0))</f>
        <v/>
      </c>
    </row>
    <row r="64" ht="54" customHeight="1">
      <c r="A64" s="29" t="n"/>
      <c r="B64" s="29" t="n"/>
      <c r="C64" s="29" t="n"/>
      <c r="D64" s="29" t="n"/>
      <c r="E64" s="29" t="n"/>
      <c r="F64" s="29" t="n"/>
      <c r="G64" s="29" t="n"/>
      <c r="H64" s="29" t="n"/>
      <c r="I64" s="29" t="n"/>
      <c r="J64" s="29" t="n"/>
      <c r="K64" s="29" t="n"/>
      <c r="L64" s="49" t="n"/>
      <c r="M64" s="49" t="n"/>
      <c r="N64" s="29" t="n"/>
      <c r="O64" s="29" t="n"/>
      <c r="P64" s="29" t="n"/>
      <c r="Q64" s="51" t="n"/>
      <c r="R64" s="29" t="n"/>
      <c r="S64" s="52">
        <f>IF(OR(A64="",F64="",C64&lt;&gt;"Mekân"),0,IF(COUNTIFS($F$8:F64,F64,$C$8:C64,"Mekân")=1,1,0))</f>
        <v/>
      </c>
      <c r="T64" s="52">
        <f>IF(OR(A64="",F64="",C64&lt;&gt;"Kapak"),0,IF(COUNTIFS($F$8:F64,F64,$C$8:C64,"Kapak")=1,1,0))</f>
        <v/>
      </c>
    </row>
    <row r="65" ht="54" customHeight="1">
      <c r="A65" s="29" t="n"/>
      <c r="B65" s="29" t="n"/>
      <c r="C65" s="29" t="n"/>
      <c r="D65" s="29" t="n"/>
      <c r="E65" s="29" t="n"/>
      <c r="F65" s="29" t="n"/>
      <c r="G65" s="29" t="n"/>
      <c r="H65" s="29" t="n"/>
      <c r="I65" s="29" t="n"/>
      <c r="J65" s="29" t="n"/>
      <c r="K65" s="29" t="n"/>
      <c r="L65" s="49" t="n"/>
      <c r="M65" s="49" t="n"/>
      <c r="N65" s="29" t="n"/>
      <c r="O65" s="29" t="n"/>
      <c r="P65" s="29" t="n"/>
      <c r="Q65" s="51" t="n"/>
      <c r="R65" s="29" t="n"/>
      <c r="S65" s="52">
        <f>IF(OR(A65="",F65="",C65&lt;&gt;"Mekân"),0,IF(COUNTIFS($F$8:F65,F65,$C$8:C65,"Mekân")=1,1,0))</f>
        <v/>
      </c>
      <c r="T65" s="52">
        <f>IF(OR(A65="",F65="",C65&lt;&gt;"Kapak"),0,IF(COUNTIFS($F$8:F65,F65,$C$8:C65,"Kapak")=1,1,0))</f>
        <v/>
      </c>
    </row>
    <row r="66" ht="54" customHeight="1">
      <c r="A66" s="29" t="n"/>
      <c r="B66" s="29" t="n"/>
      <c r="C66" s="29" t="n"/>
      <c r="D66" s="29" t="n"/>
      <c r="E66" s="29" t="n"/>
      <c r="F66" s="29" t="n"/>
      <c r="G66" s="29" t="n"/>
      <c r="H66" s="29" t="n"/>
      <c r="I66" s="29" t="n"/>
      <c r="J66" s="29" t="n"/>
      <c r="K66" s="29" t="n"/>
      <c r="L66" s="49" t="n"/>
      <c r="M66" s="49" t="n"/>
      <c r="N66" s="29" t="n"/>
      <c r="O66" s="29" t="n"/>
      <c r="P66" s="29" t="n"/>
      <c r="Q66" s="51" t="n"/>
      <c r="R66" s="29" t="n"/>
      <c r="S66" s="52">
        <f>IF(OR(A66="",F66="",C66&lt;&gt;"Mekân"),0,IF(COUNTIFS($F$8:F66,F66,$C$8:C66,"Mekân")=1,1,0))</f>
        <v/>
      </c>
      <c r="T66" s="52">
        <f>IF(OR(A66="",F66="",C66&lt;&gt;"Kapak"),0,IF(COUNTIFS($F$8:F66,F66,$C$8:C66,"Kapak")=1,1,0))</f>
        <v/>
      </c>
    </row>
    <row r="67" ht="54" customHeight="1">
      <c r="A67" s="29" t="n"/>
      <c r="B67" s="29" t="n"/>
      <c r="C67" s="29" t="n"/>
      <c r="D67" s="29" t="n"/>
      <c r="E67" s="29" t="n"/>
      <c r="F67" s="29" t="n"/>
      <c r="G67" s="29" t="n"/>
      <c r="H67" s="29" t="n"/>
      <c r="I67" s="29" t="n"/>
      <c r="J67" s="29" t="n"/>
      <c r="K67" s="29" t="n"/>
      <c r="L67" s="49" t="n"/>
      <c r="M67" s="49" t="n"/>
      <c r="N67" s="29" t="n"/>
      <c r="O67" s="29" t="n"/>
      <c r="P67" s="29" t="n"/>
      <c r="Q67" s="51" t="n"/>
      <c r="R67" s="29" t="n"/>
      <c r="S67" s="52">
        <f>IF(OR(A67="",F67="",C67&lt;&gt;"Mekân"),0,IF(COUNTIFS($F$8:F67,F67,$C$8:C67,"Mekân")=1,1,0))</f>
        <v/>
      </c>
      <c r="T67" s="52">
        <f>IF(OR(A67="",F67="",C67&lt;&gt;"Kapak"),0,IF(COUNTIFS($F$8:F67,F67,$C$8:C67,"Kapak")=1,1,0))</f>
        <v/>
      </c>
    </row>
    <row r="68" ht="54" customHeight="1">
      <c r="A68" s="29" t="n"/>
      <c r="B68" s="29" t="n"/>
      <c r="C68" s="29" t="n"/>
      <c r="D68" s="29" t="n"/>
      <c r="E68" s="29" t="n"/>
      <c r="F68" s="29" t="n"/>
      <c r="G68" s="29" t="n"/>
      <c r="H68" s="29" t="n"/>
      <c r="I68" s="29" t="n"/>
      <c r="J68" s="29" t="n"/>
      <c r="K68" s="29" t="n"/>
      <c r="L68" s="49" t="n"/>
      <c r="M68" s="49" t="n"/>
      <c r="N68" s="29" t="n"/>
      <c r="O68" s="29" t="n"/>
      <c r="P68" s="29" t="n"/>
      <c r="Q68" s="51" t="n"/>
      <c r="R68" s="29" t="n"/>
      <c r="S68" s="52">
        <f>IF(OR(A68="",F68="",C68&lt;&gt;"Mekân"),0,IF(COUNTIFS($F$8:F68,F68,$C$8:C68,"Mekân")=1,1,0))</f>
        <v/>
      </c>
      <c r="T68" s="52">
        <f>IF(OR(A68="",F68="",C68&lt;&gt;"Kapak"),0,IF(COUNTIFS($F$8:F68,F68,$C$8:C68,"Kapak")=1,1,0))</f>
        <v/>
      </c>
    </row>
    <row r="69" ht="54" customHeight="1">
      <c r="A69" s="29" t="n"/>
      <c r="B69" s="29" t="n"/>
      <c r="C69" s="29" t="n"/>
      <c r="D69" s="29" t="n"/>
      <c r="E69" s="29" t="n"/>
      <c r="F69" s="29" t="n"/>
      <c r="G69" s="29" t="n"/>
      <c r="H69" s="29" t="n"/>
      <c r="I69" s="29" t="n"/>
      <c r="J69" s="29" t="n"/>
      <c r="K69" s="29" t="n"/>
      <c r="L69" s="49" t="n"/>
      <c r="M69" s="49" t="n"/>
      <c r="N69" s="29" t="n"/>
      <c r="O69" s="29" t="n"/>
      <c r="P69" s="29" t="n"/>
      <c r="Q69" s="51" t="n"/>
      <c r="R69" s="29" t="n"/>
      <c r="S69" s="52">
        <f>IF(OR(A69="",F69="",C69&lt;&gt;"Mekân"),0,IF(COUNTIFS($F$8:F69,F69,$C$8:C69,"Mekân")=1,1,0))</f>
        <v/>
      </c>
      <c r="T69" s="52">
        <f>IF(OR(A69="",F69="",C69&lt;&gt;"Kapak"),0,IF(COUNTIFS($F$8:F69,F69,$C$8:C69,"Kapak")=1,1,0))</f>
        <v/>
      </c>
    </row>
    <row r="70" ht="54" customHeight="1">
      <c r="A70" s="29" t="n"/>
      <c r="B70" s="29" t="n"/>
      <c r="C70" s="29" t="n"/>
      <c r="D70" s="29" t="n"/>
      <c r="E70" s="29" t="n"/>
      <c r="F70" s="29" t="n"/>
      <c r="G70" s="29" t="n"/>
      <c r="H70" s="29" t="n"/>
      <c r="I70" s="29" t="n"/>
      <c r="J70" s="29" t="n"/>
      <c r="K70" s="29" t="n"/>
      <c r="L70" s="49" t="n"/>
      <c r="M70" s="49" t="n"/>
      <c r="N70" s="29" t="n"/>
      <c r="O70" s="29" t="n"/>
      <c r="P70" s="29" t="n"/>
      <c r="Q70" s="51" t="n"/>
      <c r="R70" s="29" t="n"/>
      <c r="S70" s="52">
        <f>IF(OR(A70="",F70="",C70&lt;&gt;"Mekân"),0,IF(COUNTIFS($F$8:F70,F70,$C$8:C70,"Mekân")=1,1,0))</f>
        <v/>
      </c>
      <c r="T70" s="52">
        <f>IF(OR(A70="",F70="",C70&lt;&gt;"Kapak"),0,IF(COUNTIFS($F$8:F70,F70,$C$8:C70,"Kapak")=1,1,0))</f>
        <v/>
      </c>
    </row>
    <row r="71" ht="54" customHeight="1">
      <c r="A71" s="29" t="n"/>
      <c r="B71" s="29" t="n"/>
      <c r="C71" s="29" t="n"/>
      <c r="D71" s="29" t="n"/>
      <c r="E71" s="29" t="n"/>
      <c r="F71" s="29" t="n"/>
      <c r="G71" s="29" t="n"/>
      <c r="H71" s="29" t="n"/>
      <c r="I71" s="29" t="n"/>
      <c r="J71" s="29" t="n"/>
      <c r="K71" s="29" t="n"/>
      <c r="L71" s="49" t="n"/>
      <c r="M71" s="49" t="n"/>
      <c r="N71" s="29" t="n"/>
      <c r="O71" s="29" t="n"/>
      <c r="P71" s="29" t="n"/>
      <c r="Q71" s="51" t="n"/>
      <c r="R71" s="29" t="n"/>
      <c r="S71" s="52">
        <f>IF(OR(A71="",F71="",C71&lt;&gt;"Mekân"),0,IF(COUNTIFS($F$8:F71,F71,$C$8:C71,"Mekân")=1,1,0))</f>
        <v/>
      </c>
      <c r="T71" s="52">
        <f>IF(OR(A71="",F71="",C71&lt;&gt;"Kapak"),0,IF(COUNTIFS($F$8:F71,F71,$C$8:C71,"Kapak")=1,1,0))</f>
        <v/>
      </c>
    </row>
    <row r="72" ht="54" customHeight="1">
      <c r="A72" s="29" t="n"/>
      <c r="B72" s="29" t="n"/>
      <c r="C72" s="29" t="n"/>
      <c r="D72" s="29" t="n"/>
      <c r="E72" s="29" t="n"/>
      <c r="F72" s="29" t="n"/>
      <c r="G72" s="29" t="n"/>
      <c r="H72" s="29" t="n"/>
      <c r="I72" s="29" t="n"/>
      <c r="J72" s="29" t="n"/>
      <c r="K72" s="29" t="n"/>
      <c r="L72" s="49" t="n"/>
      <c r="M72" s="49" t="n"/>
      <c r="N72" s="29" t="n"/>
      <c r="O72" s="29" t="n"/>
      <c r="P72" s="29" t="n"/>
      <c r="Q72" s="51" t="n"/>
      <c r="R72" s="29" t="n"/>
      <c r="S72" s="52">
        <f>IF(OR(A72="",F72="",C72&lt;&gt;"Mekân"),0,IF(COUNTIFS($F$8:F72,F72,$C$8:C72,"Mekân")=1,1,0))</f>
        <v/>
      </c>
      <c r="T72" s="52">
        <f>IF(OR(A72="",F72="",C72&lt;&gt;"Kapak"),0,IF(COUNTIFS($F$8:F72,F72,$C$8:C72,"Kapak")=1,1,0))</f>
        <v/>
      </c>
    </row>
    <row r="73" ht="54" customHeight="1">
      <c r="A73" s="29" t="n"/>
      <c r="B73" s="29" t="n"/>
      <c r="C73" s="29" t="n"/>
      <c r="D73" s="29" t="n"/>
      <c r="E73" s="29" t="n"/>
      <c r="F73" s="29" t="n"/>
      <c r="G73" s="29" t="n"/>
      <c r="H73" s="29" t="n"/>
      <c r="I73" s="29" t="n"/>
      <c r="J73" s="29" t="n"/>
      <c r="K73" s="29" t="n"/>
      <c r="L73" s="49" t="n"/>
      <c r="M73" s="49" t="n"/>
      <c r="N73" s="29" t="n"/>
      <c r="O73" s="29" t="n"/>
      <c r="P73" s="29" t="n"/>
      <c r="Q73" s="51" t="n"/>
      <c r="R73" s="29" t="n"/>
      <c r="S73" s="52">
        <f>IF(OR(A73="",F73="",C73&lt;&gt;"Mekân"),0,IF(COUNTIFS($F$8:F73,F73,$C$8:C73,"Mekân")=1,1,0))</f>
        <v/>
      </c>
      <c r="T73" s="52">
        <f>IF(OR(A73="",F73="",C73&lt;&gt;"Kapak"),0,IF(COUNTIFS($F$8:F73,F73,$C$8:C73,"Kapak")=1,1,0))</f>
        <v/>
      </c>
    </row>
    <row r="74" ht="54" customHeight="1">
      <c r="A74" s="29" t="n"/>
      <c r="B74" s="29" t="n"/>
      <c r="C74" s="29" t="n"/>
      <c r="D74" s="29" t="n"/>
      <c r="E74" s="29" t="n"/>
      <c r="F74" s="29" t="n"/>
      <c r="G74" s="29" t="n"/>
      <c r="H74" s="29" t="n"/>
      <c r="I74" s="29" t="n"/>
      <c r="J74" s="29" t="n"/>
      <c r="K74" s="29" t="n"/>
      <c r="L74" s="49" t="n"/>
      <c r="M74" s="49" t="n"/>
      <c r="N74" s="29" t="n"/>
      <c r="O74" s="29" t="n"/>
      <c r="P74" s="29" t="n"/>
      <c r="Q74" s="51" t="n"/>
      <c r="R74" s="29" t="n"/>
      <c r="S74" s="52">
        <f>IF(OR(A74="",F74="",C74&lt;&gt;"Mekân"),0,IF(COUNTIFS($F$8:F74,F74,$C$8:C74,"Mekân")=1,1,0))</f>
        <v/>
      </c>
      <c r="T74" s="52">
        <f>IF(OR(A74="",F74="",C74&lt;&gt;"Kapak"),0,IF(COUNTIFS($F$8:F74,F74,$C$8:C74,"Kapak")=1,1,0))</f>
        <v/>
      </c>
    </row>
    <row r="75" ht="54" customHeight="1">
      <c r="A75" s="29" t="n"/>
      <c r="B75" s="29" t="n"/>
      <c r="C75" s="29" t="n"/>
      <c r="D75" s="29" t="n"/>
      <c r="E75" s="29" t="n"/>
      <c r="F75" s="29" t="n"/>
      <c r="G75" s="29" t="n"/>
      <c r="H75" s="29" t="n"/>
      <c r="I75" s="29" t="n"/>
      <c r="J75" s="29" t="n"/>
      <c r="K75" s="29" t="n"/>
      <c r="L75" s="49" t="n"/>
      <c r="M75" s="49" t="n"/>
      <c r="N75" s="29" t="n"/>
      <c r="O75" s="29" t="n"/>
      <c r="P75" s="29" t="n"/>
      <c r="Q75" s="51" t="n"/>
      <c r="R75" s="29" t="n"/>
      <c r="S75" s="52">
        <f>IF(OR(A75="",F75="",C75&lt;&gt;"Mekân"),0,IF(COUNTIFS($F$8:F75,F75,$C$8:C75,"Mekân")=1,1,0))</f>
        <v/>
      </c>
      <c r="T75" s="52">
        <f>IF(OR(A75="",F75="",C75&lt;&gt;"Kapak"),0,IF(COUNTIFS($F$8:F75,F75,$C$8:C75,"Kapak")=1,1,0))</f>
        <v/>
      </c>
    </row>
    <row r="76" ht="54" customHeight="1">
      <c r="A76" s="29" t="n"/>
      <c r="B76" s="29" t="n"/>
      <c r="C76" s="29" t="n"/>
      <c r="D76" s="29" t="n"/>
      <c r="E76" s="29" t="n"/>
      <c r="F76" s="29" t="n"/>
      <c r="G76" s="29" t="n"/>
      <c r="H76" s="29" t="n"/>
      <c r="I76" s="29" t="n"/>
      <c r="J76" s="29" t="n"/>
      <c r="K76" s="29" t="n"/>
      <c r="L76" s="49" t="n"/>
      <c r="M76" s="49" t="n"/>
      <c r="N76" s="29" t="n"/>
      <c r="O76" s="29" t="n"/>
      <c r="P76" s="29" t="n"/>
      <c r="Q76" s="51" t="n"/>
      <c r="R76" s="29" t="n"/>
      <c r="S76" s="52">
        <f>IF(OR(A76="",F76="",C76&lt;&gt;"Mekân"),0,IF(COUNTIFS($F$8:F76,F76,$C$8:C76,"Mekân")=1,1,0))</f>
        <v/>
      </c>
      <c r="T76" s="52">
        <f>IF(OR(A76="",F76="",C76&lt;&gt;"Kapak"),0,IF(COUNTIFS($F$8:F76,F76,$C$8:C76,"Kapak")=1,1,0))</f>
        <v/>
      </c>
    </row>
    <row r="77" ht="54" customHeight="1">
      <c r="A77" s="29" t="n"/>
      <c r="B77" s="29" t="n"/>
      <c r="C77" s="29" t="n"/>
      <c r="D77" s="29" t="n"/>
      <c r="E77" s="29" t="n"/>
      <c r="F77" s="29" t="n"/>
      <c r="G77" s="29" t="n"/>
      <c r="H77" s="29" t="n"/>
      <c r="I77" s="29" t="n"/>
      <c r="J77" s="29" t="n"/>
      <c r="K77" s="29" t="n"/>
      <c r="L77" s="49" t="n"/>
      <c r="M77" s="49" t="n"/>
      <c r="N77" s="29" t="n"/>
      <c r="O77" s="29" t="n"/>
      <c r="P77" s="29" t="n"/>
      <c r="Q77" s="51" t="n"/>
      <c r="R77" s="29" t="n"/>
      <c r="S77" s="52">
        <f>IF(OR(A77="",F77="",C77&lt;&gt;"Mekân"),0,IF(COUNTIFS($F$8:F77,F77,$C$8:C77,"Mekân")=1,1,0))</f>
        <v/>
      </c>
      <c r="T77" s="52">
        <f>IF(OR(A77="",F77="",C77&lt;&gt;"Kapak"),0,IF(COUNTIFS($F$8:F77,F77,$C$8:C77,"Kapak")=1,1,0))</f>
        <v/>
      </c>
    </row>
    <row r="78" ht="54" customHeight="1">
      <c r="A78" s="29" t="n"/>
      <c r="B78" s="29" t="n"/>
      <c r="C78" s="29" t="n"/>
      <c r="D78" s="29" t="n"/>
      <c r="E78" s="29" t="n"/>
      <c r="F78" s="29" t="n"/>
      <c r="G78" s="29" t="n"/>
      <c r="H78" s="29" t="n"/>
      <c r="I78" s="29" t="n"/>
      <c r="J78" s="29" t="n"/>
      <c r="K78" s="29" t="n"/>
      <c r="L78" s="49" t="n"/>
      <c r="M78" s="49" t="n"/>
      <c r="N78" s="29" t="n"/>
      <c r="O78" s="29" t="n"/>
      <c r="P78" s="29" t="n"/>
      <c r="Q78" s="51" t="n"/>
      <c r="R78" s="29" t="n"/>
      <c r="S78" s="52">
        <f>IF(OR(A78="",F78="",C78&lt;&gt;"Mekân"),0,IF(COUNTIFS($F$8:F78,F78,$C$8:C78,"Mekân")=1,1,0))</f>
        <v/>
      </c>
      <c r="T78" s="52">
        <f>IF(OR(A78="",F78="",C78&lt;&gt;"Kapak"),0,IF(COUNTIFS($F$8:F78,F78,$C$8:C78,"Kapak")=1,1,0))</f>
        <v/>
      </c>
    </row>
    <row r="79" ht="54" customHeight="1">
      <c r="A79" s="29" t="n"/>
      <c r="B79" s="29" t="n"/>
      <c r="C79" s="29" t="n"/>
      <c r="D79" s="29" t="n"/>
      <c r="E79" s="29" t="n"/>
      <c r="F79" s="29" t="n"/>
      <c r="G79" s="29" t="n"/>
      <c r="H79" s="29" t="n"/>
      <c r="I79" s="29" t="n"/>
      <c r="J79" s="29" t="n"/>
      <c r="K79" s="29" t="n"/>
      <c r="L79" s="49" t="n"/>
      <c r="M79" s="49" t="n"/>
      <c r="N79" s="29" t="n"/>
      <c r="O79" s="29" t="n"/>
      <c r="P79" s="29" t="n"/>
      <c r="Q79" s="51" t="n"/>
      <c r="R79" s="29" t="n"/>
      <c r="S79" s="52">
        <f>IF(OR(A79="",F79="",C79&lt;&gt;"Mekân"),0,IF(COUNTIFS($F$8:F79,F79,$C$8:C79,"Mekân")=1,1,0))</f>
        <v/>
      </c>
      <c r="T79" s="52">
        <f>IF(OR(A79="",F79="",C79&lt;&gt;"Kapak"),0,IF(COUNTIFS($F$8:F79,F79,$C$8:C79,"Kapak")=1,1,0))</f>
        <v/>
      </c>
    </row>
    <row r="80" ht="54" customHeight="1">
      <c r="A80" s="29" t="n"/>
      <c r="B80" s="29" t="n"/>
      <c r="C80" s="29" t="n"/>
      <c r="D80" s="29" t="n"/>
      <c r="E80" s="29" t="n"/>
      <c r="F80" s="29" t="n"/>
      <c r="G80" s="29" t="n"/>
      <c r="H80" s="29" t="n"/>
      <c r="I80" s="29" t="n"/>
      <c r="J80" s="29" t="n"/>
      <c r="K80" s="29" t="n"/>
      <c r="L80" s="49" t="n"/>
      <c r="M80" s="49" t="n"/>
      <c r="N80" s="29" t="n"/>
      <c r="O80" s="29" t="n"/>
      <c r="P80" s="29" t="n"/>
      <c r="Q80" s="51" t="n"/>
      <c r="R80" s="29" t="n"/>
      <c r="S80" s="52">
        <f>IF(OR(A80="",F80="",C80&lt;&gt;"Mekân"),0,IF(COUNTIFS($F$8:F80,F80,$C$8:C80,"Mekân")=1,1,0))</f>
        <v/>
      </c>
      <c r="T80" s="52">
        <f>IF(OR(A80="",F80="",C80&lt;&gt;"Kapak"),0,IF(COUNTIFS($F$8:F80,F80,$C$8:C80,"Kapak")=1,1,0))</f>
        <v/>
      </c>
    </row>
    <row r="81" ht="54" customHeight="1">
      <c r="A81" s="29" t="n"/>
      <c r="B81" s="29" t="n"/>
      <c r="C81" s="29" t="n"/>
      <c r="D81" s="29" t="n"/>
      <c r="E81" s="29" t="n"/>
      <c r="F81" s="29" t="n"/>
      <c r="G81" s="29" t="n"/>
      <c r="H81" s="29" t="n"/>
      <c r="I81" s="29" t="n"/>
      <c r="J81" s="29" t="n"/>
      <c r="K81" s="29" t="n"/>
      <c r="L81" s="49" t="n"/>
      <c r="M81" s="49" t="n"/>
      <c r="N81" s="29" t="n"/>
      <c r="O81" s="29" t="n"/>
      <c r="P81" s="29" t="n"/>
      <c r="Q81" s="51" t="n"/>
      <c r="R81" s="29" t="n"/>
      <c r="S81" s="52">
        <f>IF(OR(A81="",F81="",C81&lt;&gt;"Mekân"),0,IF(COUNTIFS($F$8:F81,F81,$C$8:C81,"Mekân")=1,1,0))</f>
        <v/>
      </c>
      <c r="T81" s="52">
        <f>IF(OR(A81="",F81="",C81&lt;&gt;"Kapak"),0,IF(COUNTIFS($F$8:F81,F81,$C$8:C81,"Kapak")=1,1,0))</f>
        <v/>
      </c>
    </row>
    <row r="82" ht="54" customHeight="1">
      <c r="A82" s="29" t="n"/>
      <c r="B82" s="29" t="n"/>
      <c r="C82" s="29" t="n"/>
      <c r="D82" s="29" t="n"/>
      <c r="E82" s="29" t="n"/>
      <c r="F82" s="29" t="n"/>
      <c r="G82" s="29" t="n"/>
      <c r="H82" s="29" t="n"/>
      <c r="I82" s="29" t="n"/>
      <c r="J82" s="29" t="n"/>
      <c r="K82" s="29" t="n"/>
      <c r="L82" s="49" t="n"/>
      <c r="M82" s="49" t="n"/>
      <c r="N82" s="29" t="n"/>
      <c r="O82" s="29" t="n"/>
      <c r="P82" s="29" t="n"/>
      <c r="Q82" s="51" t="n"/>
      <c r="R82" s="29" t="n"/>
      <c r="S82" s="52">
        <f>IF(OR(A82="",F82="",C82&lt;&gt;"Mekân"),0,IF(COUNTIFS($F$8:F82,F82,$C$8:C82,"Mekân")=1,1,0))</f>
        <v/>
      </c>
      <c r="T82" s="52">
        <f>IF(OR(A82="",F82="",C82&lt;&gt;"Kapak"),0,IF(COUNTIFS($F$8:F82,F82,$C$8:C82,"Kapak")=1,1,0))</f>
        <v/>
      </c>
    </row>
    <row r="83" ht="54" customHeight="1">
      <c r="A83" s="29" t="n"/>
      <c r="B83" s="29" t="n"/>
      <c r="C83" s="29" t="n"/>
      <c r="D83" s="29" t="n"/>
      <c r="E83" s="29" t="n"/>
      <c r="F83" s="29" t="n"/>
      <c r="G83" s="29" t="n"/>
      <c r="H83" s="29" t="n"/>
      <c r="I83" s="29" t="n"/>
      <c r="J83" s="29" t="n"/>
      <c r="K83" s="29" t="n"/>
      <c r="L83" s="49" t="n"/>
      <c r="M83" s="49" t="n"/>
      <c r="N83" s="29" t="n"/>
      <c r="O83" s="29" t="n"/>
      <c r="P83" s="29" t="n"/>
      <c r="Q83" s="51" t="n"/>
      <c r="R83" s="29" t="n"/>
      <c r="S83" s="52">
        <f>IF(OR(A83="",F83="",C83&lt;&gt;"Mekân"),0,IF(COUNTIFS($F$8:F83,F83,$C$8:C83,"Mekân")=1,1,0))</f>
        <v/>
      </c>
      <c r="T83" s="52">
        <f>IF(OR(A83="",F83="",C83&lt;&gt;"Kapak"),0,IF(COUNTIFS($F$8:F83,F83,$C$8:C83,"Kapak")=1,1,0))</f>
        <v/>
      </c>
    </row>
    <row r="84" ht="54" customHeight="1">
      <c r="A84" s="29" t="n"/>
      <c r="B84" s="29" t="n"/>
      <c r="C84" s="29" t="n"/>
      <c r="D84" s="29" t="n"/>
      <c r="E84" s="29" t="n"/>
      <c r="F84" s="29" t="n"/>
      <c r="G84" s="29" t="n"/>
      <c r="H84" s="29" t="n"/>
      <c r="I84" s="29" t="n"/>
      <c r="J84" s="29" t="n"/>
      <c r="K84" s="29" t="n"/>
      <c r="L84" s="49" t="n"/>
      <c r="M84" s="49" t="n"/>
      <c r="N84" s="29" t="n"/>
      <c r="O84" s="29" t="n"/>
      <c r="P84" s="29" t="n"/>
      <c r="Q84" s="51" t="n"/>
      <c r="R84" s="29" t="n"/>
      <c r="S84" s="52">
        <f>IF(OR(A84="",F84="",C84&lt;&gt;"Mekân"),0,IF(COUNTIFS($F$8:F84,F84,$C$8:C84,"Mekân")=1,1,0))</f>
        <v/>
      </c>
      <c r="T84" s="52">
        <f>IF(OR(A84="",F84="",C84&lt;&gt;"Kapak"),0,IF(COUNTIFS($F$8:F84,F84,$C$8:C84,"Kapak")=1,1,0))</f>
        <v/>
      </c>
    </row>
    <row r="85" ht="54" customHeight="1">
      <c r="A85" s="29" t="n"/>
      <c r="B85" s="29" t="n"/>
      <c r="C85" s="29" t="n"/>
      <c r="D85" s="29" t="n"/>
      <c r="E85" s="29" t="n"/>
      <c r="F85" s="29" t="n"/>
      <c r="G85" s="29" t="n"/>
      <c r="H85" s="29" t="n"/>
      <c r="I85" s="29" t="n"/>
      <c r="J85" s="29" t="n"/>
      <c r="K85" s="29" t="n"/>
      <c r="L85" s="49" t="n"/>
      <c r="M85" s="49" t="n"/>
      <c r="N85" s="29" t="n"/>
      <c r="O85" s="29" t="n"/>
      <c r="P85" s="29" t="n"/>
      <c r="Q85" s="51" t="n"/>
      <c r="R85" s="29" t="n"/>
      <c r="S85" s="52">
        <f>IF(OR(A85="",F85="",C85&lt;&gt;"Mekân"),0,IF(COUNTIFS($F$8:F85,F85,$C$8:C85,"Mekân")=1,1,0))</f>
        <v/>
      </c>
      <c r="T85" s="52">
        <f>IF(OR(A85="",F85="",C85&lt;&gt;"Kapak"),0,IF(COUNTIFS($F$8:F85,F85,$C$8:C85,"Kapak")=1,1,0))</f>
        <v/>
      </c>
    </row>
    <row r="86" ht="54" customHeight="1">
      <c r="A86" s="29" t="n"/>
      <c r="B86" s="29" t="n"/>
      <c r="C86" s="29" t="n"/>
      <c r="D86" s="29" t="n"/>
      <c r="E86" s="29" t="n"/>
      <c r="F86" s="29" t="n"/>
      <c r="G86" s="29" t="n"/>
      <c r="H86" s="29" t="n"/>
      <c r="I86" s="29" t="n"/>
      <c r="J86" s="29" t="n"/>
      <c r="K86" s="29" t="n"/>
      <c r="L86" s="49" t="n"/>
      <c r="M86" s="49" t="n"/>
      <c r="N86" s="29" t="n"/>
      <c r="O86" s="29" t="n"/>
      <c r="P86" s="29" t="n"/>
      <c r="Q86" s="51" t="n"/>
      <c r="R86" s="29" t="n"/>
      <c r="S86" s="52">
        <f>IF(OR(A86="",F86="",C86&lt;&gt;"Mekân"),0,IF(COUNTIFS($F$8:F86,F86,$C$8:C86,"Mekân")=1,1,0))</f>
        <v/>
      </c>
      <c r="T86" s="52">
        <f>IF(OR(A86="",F86="",C86&lt;&gt;"Kapak"),0,IF(COUNTIFS($F$8:F86,F86,$C$8:C86,"Kapak")=1,1,0))</f>
        <v/>
      </c>
    </row>
    <row r="87" ht="54" customHeight="1">
      <c r="A87" s="29" t="n"/>
      <c r="B87" s="29" t="n"/>
      <c r="C87" s="29" t="n"/>
      <c r="D87" s="29" t="n"/>
      <c r="E87" s="29" t="n"/>
      <c r="F87" s="29" t="n"/>
      <c r="G87" s="29" t="n"/>
      <c r="H87" s="29" t="n"/>
      <c r="I87" s="29" t="n"/>
      <c r="J87" s="29" t="n"/>
      <c r="K87" s="29" t="n"/>
      <c r="L87" s="49" t="n"/>
      <c r="M87" s="49" t="n"/>
      <c r="N87" s="29" t="n"/>
      <c r="O87" s="29" t="n"/>
      <c r="P87" s="29" t="n"/>
      <c r="Q87" s="51" t="n"/>
      <c r="R87" s="29" t="n"/>
      <c r="S87" s="52">
        <f>IF(OR(A87="",F87="",C87&lt;&gt;"Mekân"),0,IF(COUNTIFS($F$8:F87,F87,$C$8:C87,"Mekân")=1,1,0))</f>
        <v/>
      </c>
      <c r="T87" s="52">
        <f>IF(OR(A87="",F87="",C87&lt;&gt;"Kapak"),0,IF(COUNTIFS($F$8:F87,F87,$C$8:C87,"Kapak")=1,1,0))</f>
        <v/>
      </c>
    </row>
    <row r="88" ht="54" customHeight="1">
      <c r="A88" s="29" t="n"/>
      <c r="B88" s="29" t="n"/>
      <c r="C88" s="29" t="n"/>
      <c r="D88" s="29" t="n"/>
      <c r="E88" s="29" t="n"/>
      <c r="F88" s="29" t="n"/>
      <c r="G88" s="29" t="n"/>
      <c r="H88" s="29" t="n"/>
      <c r="I88" s="29" t="n"/>
      <c r="J88" s="29" t="n"/>
      <c r="K88" s="29" t="n"/>
      <c r="L88" s="49" t="n"/>
      <c r="M88" s="49" t="n"/>
      <c r="N88" s="29" t="n"/>
      <c r="O88" s="29" t="n"/>
      <c r="P88" s="29" t="n"/>
      <c r="Q88" s="51" t="n"/>
      <c r="R88" s="29" t="n"/>
      <c r="S88" s="52">
        <f>IF(OR(A88="",F88="",C88&lt;&gt;"Mekân"),0,IF(COUNTIFS($F$8:F88,F88,$C$8:C88,"Mekân")=1,1,0))</f>
        <v/>
      </c>
      <c r="T88" s="52">
        <f>IF(OR(A88="",F88="",C88&lt;&gt;"Kapak"),0,IF(COUNTIFS($F$8:F88,F88,$C$8:C88,"Kapak")=1,1,0))</f>
        <v/>
      </c>
    </row>
    <row r="89" ht="54" customHeight="1">
      <c r="A89" s="29" t="n"/>
      <c r="B89" s="29" t="n"/>
      <c r="C89" s="29" t="n"/>
      <c r="D89" s="29" t="n"/>
      <c r="E89" s="29" t="n"/>
      <c r="F89" s="29" t="n"/>
      <c r="G89" s="29" t="n"/>
      <c r="H89" s="29" t="n"/>
      <c r="I89" s="29" t="n"/>
      <c r="J89" s="29" t="n"/>
      <c r="K89" s="29" t="n"/>
      <c r="L89" s="49" t="n"/>
      <c r="M89" s="49" t="n"/>
      <c r="N89" s="29" t="n"/>
      <c r="O89" s="29" t="n"/>
      <c r="P89" s="29" t="n"/>
      <c r="Q89" s="51" t="n"/>
      <c r="R89" s="29" t="n"/>
      <c r="S89" s="52">
        <f>IF(OR(A89="",F89="",C89&lt;&gt;"Mekân"),0,IF(COUNTIFS($F$8:F89,F89,$C$8:C89,"Mekân")=1,1,0))</f>
        <v/>
      </c>
      <c r="T89" s="52">
        <f>IF(OR(A89="",F89="",C89&lt;&gt;"Kapak"),0,IF(COUNTIFS($F$8:F89,F89,$C$8:C89,"Kapak")=1,1,0))</f>
        <v/>
      </c>
    </row>
    <row r="90" ht="54" customHeight="1">
      <c r="A90" s="29" t="n"/>
      <c r="B90" s="29" t="n"/>
      <c r="C90" s="29" t="n"/>
      <c r="D90" s="29" t="n"/>
      <c r="E90" s="29" t="n"/>
      <c r="F90" s="29" t="n"/>
      <c r="G90" s="29" t="n"/>
      <c r="H90" s="29" t="n"/>
      <c r="I90" s="29" t="n"/>
      <c r="J90" s="29" t="n"/>
      <c r="K90" s="29" t="n"/>
      <c r="L90" s="49" t="n"/>
      <c r="M90" s="49" t="n"/>
      <c r="N90" s="29" t="n"/>
      <c r="O90" s="29" t="n"/>
      <c r="P90" s="29" t="n"/>
      <c r="Q90" s="51" t="n"/>
      <c r="R90" s="29" t="n"/>
      <c r="S90" s="52">
        <f>IF(OR(A90="",F90="",C90&lt;&gt;"Mekân"),0,IF(COUNTIFS($F$8:F90,F90,$C$8:C90,"Mekân")=1,1,0))</f>
        <v/>
      </c>
      <c r="T90" s="52">
        <f>IF(OR(A90="",F90="",C90&lt;&gt;"Kapak"),0,IF(COUNTIFS($F$8:F90,F90,$C$8:C90,"Kapak")=1,1,0))</f>
        <v/>
      </c>
    </row>
    <row r="91" ht="54" customHeight="1">
      <c r="A91" s="29" t="n"/>
      <c r="B91" s="29" t="n"/>
      <c r="C91" s="29" t="n"/>
      <c r="D91" s="29" t="n"/>
      <c r="E91" s="29" t="n"/>
      <c r="F91" s="29" t="n"/>
      <c r="G91" s="29" t="n"/>
      <c r="H91" s="29" t="n"/>
      <c r="I91" s="29" t="n"/>
      <c r="J91" s="29" t="n"/>
      <c r="K91" s="29" t="n"/>
      <c r="L91" s="49" t="n"/>
      <c r="M91" s="49" t="n"/>
      <c r="N91" s="29" t="n"/>
      <c r="O91" s="29" t="n"/>
      <c r="P91" s="29" t="n"/>
      <c r="Q91" s="51" t="n"/>
      <c r="R91" s="29" t="n"/>
      <c r="S91" s="52">
        <f>IF(OR(A91="",F91="",C91&lt;&gt;"Mekân"),0,IF(COUNTIFS($F$8:F91,F91,$C$8:C91,"Mekân")=1,1,0))</f>
        <v/>
      </c>
      <c r="T91" s="52">
        <f>IF(OR(A91="",F91="",C91&lt;&gt;"Kapak"),0,IF(COUNTIFS($F$8:F91,F91,$C$8:C91,"Kapak")=1,1,0))</f>
        <v/>
      </c>
    </row>
    <row r="92" ht="54" customHeight="1">
      <c r="A92" s="29" t="n"/>
      <c r="B92" s="29" t="n"/>
      <c r="C92" s="29" t="n"/>
      <c r="D92" s="29" t="n"/>
      <c r="E92" s="29" t="n"/>
      <c r="F92" s="29" t="n"/>
      <c r="G92" s="29" t="n"/>
      <c r="H92" s="29" t="n"/>
      <c r="I92" s="29" t="n"/>
      <c r="J92" s="29" t="n"/>
      <c r="K92" s="29" t="n"/>
      <c r="L92" s="49" t="n"/>
      <c r="M92" s="49" t="n"/>
      <c r="N92" s="29" t="n"/>
      <c r="O92" s="29" t="n"/>
      <c r="P92" s="29" t="n"/>
      <c r="Q92" s="51" t="n"/>
      <c r="R92" s="29" t="n"/>
      <c r="S92" s="52">
        <f>IF(OR(A92="",F92="",C92&lt;&gt;"Mekân"),0,IF(COUNTIFS($F$8:F92,F92,$C$8:C92,"Mekân")=1,1,0))</f>
        <v/>
      </c>
      <c r="T92" s="52">
        <f>IF(OR(A92="",F92="",C92&lt;&gt;"Kapak"),0,IF(COUNTIFS($F$8:F92,F92,$C$8:C92,"Kapak")=1,1,0))</f>
        <v/>
      </c>
    </row>
    <row r="93" ht="54" customHeight="1">
      <c r="A93" s="29" t="n"/>
      <c r="B93" s="29" t="n"/>
      <c r="C93" s="29" t="n"/>
      <c r="D93" s="29" t="n"/>
      <c r="E93" s="29" t="n"/>
      <c r="F93" s="29" t="n"/>
      <c r="G93" s="29" t="n"/>
      <c r="H93" s="29" t="n"/>
      <c r="I93" s="29" t="n"/>
      <c r="J93" s="29" t="n"/>
      <c r="K93" s="29" t="n"/>
      <c r="L93" s="49" t="n"/>
      <c r="M93" s="49" t="n"/>
      <c r="N93" s="29" t="n"/>
      <c r="O93" s="29" t="n"/>
      <c r="P93" s="29" t="n"/>
      <c r="Q93" s="51" t="n"/>
      <c r="R93" s="29" t="n"/>
      <c r="S93" s="52">
        <f>IF(OR(A93="",F93="",C93&lt;&gt;"Mekân"),0,IF(COUNTIFS($F$8:F93,F93,$C$8:C93,"Mekân")=1,1,0))</f>
        <v/>
      </c>
      <c r="T93" s="52">
        <f>IF(OR(A93="",F93="",C93&lt;&gt;"Kapak"),0,IF(COUNTIFS($F$8:F93,F93,$C$8:C93,"Kapak")=1,1,0))</f>
        <v/>
      </c>
    </row>
    <row r="94" ht="54" customHeight="1">
      <c r="A94" s="29" t="n"/>
      <c r="B94" s="29" t="n"/>
      <c r="C94" s="29" t="n"/>
      <c r="D94" s="29" t="n"/>
      <c r="E94" s="29" t="n"/>
      <c r="F94" s="29" t="n"/>
      <c r="G94" s="29" t="n"/>
      <c r="H94" s="29" t="n"/>
      <c r="I94" s="29" t="n"/>
      <c r="J94" s="29" t="n"/>
      <c r="K94" s="29" t="n"/>
      <c r="L94" s="49" t="n"/>
      <c r="M94" s="49" t="n"/>
      <c r="N94" s="29" t="n"/>
      <c r="O94" s="29" t="n"/>
      <c r="P94" s="29" t="n"/>
      <c r="Q94" s="51" t="n"/>
      <c r="R94" s="29" t="n"/>
      <c r="S94" s="52">
        <f>IF(OR(A94="",F94="",C94&lt;&gt;"Mekân"),0,IF(COUNTIFS($F$8:F94,F94,$C$8:C94,"Mekân")=1,1,0))</f>
        <v/>
      </c>
      <c r="T94" s="52">
        <f>IF(OR(A94="",F94="",C94&lt;&gt;"Kapak"),0,IF(COUNTIFS($F$8:F94,F94,$C$8:C94,"Kapak")=1,1,0))</f>
        <v/>
      </c>
    </row>
    <row r="95" ht="54" customHeight="1">
      <c r="A95" s="29" t="n"/>
      <c r="B95" s="29" t="n"/>
      <c r="C95" s="29" t="n"/>
      <c r="D95" s="29" t="n"/>
      <c r="E95" s="29" t="n"/>
      <c r="F95" s="29" t="n"/>
      <c r="G95" s="29" t="n"/>
      <c r="H95" s="29" t="n"/>
      <c r="I95" s="29" t="n"/>
      <c r="J95" s="29" t="n"/>
      <c r="K95" s="29" t="n"/>
      <c r="L95" s="49" t="n"/>
      <c r="M95" s="49" t="n"/>
      <c r="N95" s="29" t="n"/>
      <c r="O95" s="29" t="n"/>
      <c r="P95" s="29" t="n"/>
      <c r="Q95" s="51" t="n"/>
      <c r="R95" s="29" t="n"/>
      <c r="S95" s="52">
        <f>IF(OR(A95="",F95="",C95&lt;&gt;"Mekân"),0,IF(COUNTIFS($F$8:F95,F95,$C$8:C95,"Mekân")=1,1,0))</f>
        <v/>
      </c>
      <c r="T95" s="52">
        <f>IF(OR(A95="",F95="",C95&lt;&gt;"Kapak"),0,IF(COUNTIFS($F$8:F95,F95,$C$8:C95,"Kapak")=1,1,0))</f>
        <v/>
      </c>
    </row>
    <row r="96" ht="54" customHeight="1">
      <c r="A96" s="29" t="n"/>
      <c r="B96" s="29" t="n"/>
      <c r="C96" s="29" t="n"/>
      <c r="D96" s="29" t="n"/>
      <c r="E96" s="29" t="n"/>
      <c r="F96" s="29" t="n"/>
      <c r="G96" s="29" t="n"/>
      <c r="H96" s="29" t="n"/>
      <c r="I96" s="29" t="n"/>
      <c r="J96" s="29" t="n"/>
      <c r="K96" s="29" t="n"/>
      <c r="L96" s="49" t="n"/>
      <c r="M96" s="49" t="n"/>
      <c r="N96" s="29" t="n"/>
      <c r="O96" s="29" t="n"/>
      <c r="P96" s="29" t="n"/>
      <c r="Q96" s="51" t="n"/>
      <c r="R96" s="29" t="n"/>
      <c r="S96" s="52">
        <f>IF(OR(A96="",F96="",C96&lt;&gt;"Mekân"),0,IF(COUNTIFS($F$8:F96,F96,$C$8:C96,"Mekân")=1,1,0))</f>
        <v/>
      </c>
      <c r="T96" s="52">
        <f>IF(OR(A96="",F96="",C96&lt;&gt;"Kapak"),0,IF(COUNTIFS($F$8:F96,F96,$C$8:C96,"Kapak")=1,1,0))</f>
        <v/>
      </c>
    </row>
    <row r="97" ht="54" customHeight="1">
      <c r="A97" s="29" t="n"/>
      <c r="B97" s="29" t="n"/>
      <c r="C97" s="29" t="n"/>
      <c r="D97" s="29" t="n"/>
      <c r="E97" s="29" t="n"/>
      <c r="F97" s="29" t="n"/>
      <c r="G97" s="29" t="n"/>
      <c r="H97" s="29" t="n"/>
      <c r="I97" s="29" t="n"/>
      <c r="J97" s="29" t="n"/>
      <c r="K97" s="29" t="n"/>
      <c r="L97" s="49" t="n"/>
      <c r="M97" s="49" t="n"/>
      <c r="N97" s="29" t="n"/>
      <c r="O97" s="29" t="n"/>
      <c r="P97" s="29" t="n"/>
      <c r="Q97" s="51" t="n"/>
      <c r="R97" s="29" t="n"/>
      <c r="S97" s="52">
        <f>IF(OR(A97="",F97="",C97&lt;&gt;"Mekân"),0,IF(COUNTIFS($F$8:F97,F97,$C$8:C97,"Mekân")=1,1,0))</f>
        <v/>
      </c>
      <c r="T97" s="52">
        <f>IF(OR(A97="",F97="",C97&lt;&gt;"Kapak"),0,IF(COUNTIFS($F$8:F97,F97,$C$8:C97,"Kapak")=1,1,0))</f>
        <v/>
      </c>
    </row>
    <row r="98" ht="54" customHeight="1">
      <c r="A98" s="29" t="n"/>
      <c r="B98" s="29" t="n"/>
      <c r="C98" s="29" t="n"/>
      <c r="D98" s="29" t="n"/>
      <c r="E98" s="29" t="n"/>
      <c r="F98" s="29" t="n"/>
      <c r="G98" s="29" t="n"/>
      <c r="H98" s="29" t="n"/>
      <c r="I98" s="29" t="n"/>
      <c r="J98" s="29" t="n"/>
      <c r="K98" s="29" t="n"/>
      <c r="L98" s="49" t="n"/>
      <c r="M98" s="49" t="n"/>
      <c r="N98" s="29" t="n"/>
      <c r="O98" s="29" t="n"/>
      <c r="P98" s="29" t="n"/>
      <c r="Q98" s="51" t="n"/>
      <c r="R98" s="29" t="n"/>
      <c r="S98" s="52">
        <f>IF(OR(A98="",F98="",C98&lt;&gt;"Mekân"),0,IF(COUNTIFS($F$8:F98,F98,$C$8:C98,"Mekân")=1,1,0))</f>
        <v/>
      </c>
      <c r="T98" s="52">
        <f>IF(OR(A98="",F98="",C98&lt;&gt;"Kapak"),0,IF(COUNTIFS($F$8:F98,F98,$C$8:C98,"Kapak")=1,1,0))</f>
        <v/>
      </c>
    </row>
    <row r="99" ht="54" customHeight="1">
      <c r="A99" s="29" t="n"/>
      <c r="B99" s="29" t="n"/>
      <c r="C99" s="29" t="n"/>
      <c r="D99" s="29" t="n"/>
      <c r="E99" s="29" t="n"/>
      <c r="F99" s="29" t="n"/>
      <c r="G99" s="29" t="n"/>
      <c r="H99" s="29" t="n"/>
      <c r="I99" s="29" t="n"/>
      <c r="J99" s="29" t="n"/>
      <c r="K99" s="29" t="n"/>
      <c r="L99" s="49" t="n"/>
      <c r="M99" s="49" t="n"/>
      <c r="N99" s="29" t="n"/>
      <c r="O99" s="29" t="n"/>
      <c r="P99" s="29" t="n"/>
      <c r="Q99" s="51" t="n"/>
      <c r="R99" s="29" t="n"/>
      <c r="S99" s="52">
        <f>IF(OR(A99="",F99="",C99&lt;&gt;"Mekân"),0,IF(COUNTIFS($F$8:F99,F99,$C$8:C99,"Mekân")=1,1,0))</f>
        <v/>
      </c>
      <c r="T99" s="52">
        <f>IF(OR(A99="",F99="",C99&lt;&gt;"Kapak"),0,IF(COUNTIFS($F$8:F99,F99,$C$8:C99,"Kapak")=1,1,0))</f>
        <v/>
      </c>
    </row>
    <row r="100" ht="54" customHeight="1">
      <c r="A100" s="29" t="n"/>
      <c r="B100" s="29" t="n"/>
      <c r="C100" s="29" t="n"/>
      <c r="D100" s="29" t="n"/>
      <c r="E100" s="29" t="n"/>
      <c r="F100" s="29" t="n"/>
      <c r="G100" s="29" t="n"/>
      <c r="H100" s="29" t="n"/>
      <c r="I100" s="29" t="n"/>
      <c r="J100" s="29" t="n"/>
      <c r="K100" s="29" t="n"/>
      <c r="L100" s="49" t="n"/>
      <c r="M100" s="49" t="n"/>
      <c r="N100" s="29" t="n"/>
      <c r="O100" s="29" t="n"/>
      <c r="P100" s="29" t="n"/>
      <c r="Q100" s="51" t="n"/>
      <c r="R100" s="29" t="n"/>
      <c r="S100" s="52">
        <f>IF(OR(A100="",F100="",C100&lt;&gt;"Mekân"),0,IF(COUNTIFS($F$8:F100,F100,$C$8:C100,"Mekân")=1,1,0))</f>
        <v/>
      </c>
      <c r="T100" s="52">
        <f>IF(OR(A100="",F100="",C100&lt;&gt;"Kapak"),0,IF(COUNTIFS($F$8:F100,F100,$C$8:C100,"Kapak")=1,1,0))</f>
        <v/>
      </c>
    </row>
    <row r="101" ht="54" customHeight="1">
      <c r="A101" s="29" t="n"/>
      <c r="B101" s="29" t="n"/>
      <c r="C101" s="29" t="n"/>
      <c r="D101" s="29" t="n"/>
      <c r="E101" s="29" t="n"/>
      <c r="F101" s="29" t="n"/>
      <c r="G101" s="29" t="n"/>
      <c r="H101" s="29" t="n"/>
      <c r="I101" s="29" t="n"/>
      <c r="J101" s="29" t="n"/>
      <c r="K101" s="29" t="n"/>
      <c r="L101" s="49" t="n"/>
      <c r="M101" s="49" t="n"/>
      <c r="N101" s="29" t="n"/>
      <c r="O101" s="29" t="n"/>
      <c r="P101" s="29" t="n"/>
      <c r="Q101" s="51" t="n"/>
      <c r="R101" s="29" t="n"/>
      <c r="S101" s="52">
        <f>IF(OR(A101="",F101="",C101&lt;&gt;"Mekân"),0,IF(COUNTIFS($F$8:F101,F101,$C$8:C101,"Mekân")=1,1,0))</f>
        <v/>
      </c>
      <c r="T101" s="52">
        <f>IF(OR(A101="",F101="",C101&lt;&gt;"Kapak"),0,IF(COUNTIFS($F$8:F101,F101,$C$8:C101,"Kapak")=1,1,0))</f>
        <v/>
      </c>
    </row>
    <row r="102" ht="54" customHeight="1">
      <c r="A102" s="29" t="n"/>
      <c r="B102" s="29" t="n"/>
      <c r="C102" s="29" t="n"/>
      <c r="D102" s="29" t="n"/>
      <c r="E102" s="29" t="n"/>
      <c r="F102" s="29" t="n"/>
      <c r="G102" s="29" t="n"/>
      <c r="H102" s="29" t="n"/>
      <c r="I102" s="29" t="n"/>
      <c r="J102" s="29" t="n"/>
      <c r="K102" s="29" t="n"/>
      <c r="L102" s="49" t="n"/>
      <c r="M102" s="49" t="n"/>
      <c r="N102" s="29" t="n"/>
      <c r="O102" s="29" t="n"/>
      <c r="P102" s="29" t="n"/>
      <c r="Q102" s="51" t="n"/>
      <c r="R102" s="29" t="n"/>
      <c r="S102" s="52">
        <f>IF(OR(A102="",F102="",C102&lt;&gt;"Mekân"),0,IF(COUNTIFS($F$8:F102,F102,$C$8:C102,"Mekân")=1,1,0))</f>
        <v/>
      </c>
      <c r="T102" s="52">
        <f>IF(OR(A102="",F102="",C102&lt;&gt;"Kapak"),0,IF(COUNTIFS($F$8:F102,F102,$C$8:C102,"Kapak")=1,1,0))</f>
        <v/>
      </c>
    </row>
    <row r="103" ht="54" customHeight="1">
      <c r="A103" s="29" t="n"/>
      <c r="B103" s="29" t="n"/>
      <c r="C103" s="29" t="n"/>
      <c r="D103" s="29" t="n"/>
      <c r="E103" s="29" t="n"/>
      <c r="F103" s="29" t="n"/>
      <c r="G103" s="29" t="n"/>
      <c r="H103" s="29" t="n"/>
      <c r="I103" s="29" t="n"/>
      <c r="J103" s="29" t="n"/>
      <c r="K103" s="29" t="n"/>
      <c r="L103" s="49" t="n"/>
      <c r="M103" s="49" t="n"/>
      <c r="N103" s="29" t="n"/>
      <c r="O103" s="29" t="n"/>
      <c r="P103" s="29" t="n"/>
      <c r="Q103" s="51" t="n"/>
      <c r="R103" s="29" t="n"/>
      <c r="S103" s="52">
        <f>IF(OR(A103="",F103="",C103&lt;&gt;"Mekân"),0,IF(COUNTIFS($F$8:F103,F103,$C$8:C103,"Mekân")=1,1,0))</f>
        <v/>
      </c>
      <c r="T103" s="52">
        <f>IF(OR(A103="",F103="",C103&lt;&gt;"Kapak"),0,IF(COUNTIFS($F$8:F103,F103,$C$8:C103,"Kapak")=1,1,0))</f>
        <v/>
      </c>
    </row>
    <row r="104" ht="54" customHeight="1">
      <c r="A104" s="29" t="n"/>
      <c r="B104" s="29" t="n"/>
      <c r="C104" s="29" t="n"/>
      <c r="D104" s="29" t="n"/>
      <c r="E104" s="29" t="n"/>
      <c r="F104" s="29" t="n"/>
      <c r="G104" s="29" t="n"/>
      <c r="H104" s="29" t="n"/>
      <c r="I104" s="29" t="n"/>
      <c r="J104" s="29" t="n"/>
      <c r="K104" s="29" t="n"/>
      <c r="L104" s="49" t="n"/>
      <c r="M104" s="49" t="n"/>
      <c r="N104" s="29" t="n"/>
      <c r="O104" s="29" t="n"/>
      <c r="P104" s="29" t="n"/>
      <c r="Q104" s="51" t="n"/>
      <c r="R104" s="29" t="n"/>
      <c r="S104" s="52">
        <f>IF(OR(A104="",F104="",C104&lt;&gt;"Mekân"),0,IF(COUNTIFS($F$8:F104,F104,$C$8:C104,"Mekân")=1,1,0))</f>
        <v/>
      </c>
      <c r="T104" s="52">
        <f>IF(OR(A104="",F104="",C104&lt;&gt;"Kapak"),0,IF(COUNTIFS($F$8:F104,F104,$C$8:C104,"Kapak")=1,1,0))</f>
        <v/>
      </c>
    </row>
    <row r="105" ht="54" customHeight="1">
      <c r="A105" s="29" t="n"/>
      <c r="B105" s="29" t="n"/>
      <c r="C105" s="29" t="n"/>
      <c r="D105" s="29" t="n"/>
      <c r="E105" s="29" t="n"/>
      <c r="F105" s="29" t="n"/>
      <c r="G105" s="29" t="n"/>
      <c r="H105" s="29" t="n"/>
      <c r="I105" s="29" t="n"/>
      <c r="J105" s="29" t="n"/>
      <c r="K105" s="29" t="n"/>
      <c r="L105" s="49" t="n"/>
      <c r="M105" s="49" t="n"/>
      <c r="N105" s="29" t="n"/>
      <c r="O105" s="29" t="n"/>
      <c r="P105" s="29" t="n"/>
      <c r="Q105" s="51" t="n"/>
      <c r="R105" s="29" t="n"/>
      <c r="S105" s="52">
        <f>IF(OR(A105="",F105="",C105&lt;&gt;"Mekân"),0,IF(COUNTIFS($F$8:F105,F105,$C$8:C105,"Mekân")=1,1,0))</f>
        <v/>
      </c>
      <c r="T105" s="52">
        <f>IF(OR(A105="",F105="",C105&lt;&gt;"Kapak"),0,IF(COUNTIFS($F$8:F105,F105,$C$8:C105,"Kapak")=1,1,0))</f>
        <v/>
      </c>
    </row>
    <row r="106" ht="54" customHeight="1">
      <c r="A106" s="29" t="n"/>
      <c r="B106" s="29" t="n"/>
      <c r="C106" s="29" t="n"/>
      <c r="D106" s="29" t="n"/>
      <c r="E106" s="29" t="n"/>
      <c r="F106" s="29" t="n"/>
      <c r="G106" s="29" t="n"/>
      <c r="H106" s="29" t="n"/>
      <c r="I106" s="29" t="n"/>
      <c r="J106" s="29" t="n"/>
      <c r="K106" s="29" t="n"/>
      <c r="L106" s="49" t="n"/>
      <c r="M106" s="49" t="n"/>
      <c r="N106" s="29" t="n"/>
      <c r="O106" s="29" t="n"/>
      <c r="P106" s="29" t="n"/>
      <c r="Q106" s="51" t="n"/>
      <c r="R106" s="29" t="n"/>
      <c r="S106" s="52">
        <f>IF(OR(A106="",F106="",C106&lt;&gt;"Mekân"),0,IF(COUNTIFS($F$8:F106,F106,$C$8:C106,"Mekân")=1,1,0))</f>
        <v/>
      </c>
      <c r="T106" s="52">
        <f>IF(OR(A106="",F106="",C106&lt;&gt;"Kapak"),0,IF(COUNTIFS($F$8:F106,F106,$C$8:C106,"Kapak")=1,1,0))</f>
        <v/>
      </c>
    </row>
    <row r="107" ht="54" customHeight="1">
      <c r="A107" s="29" t="n"/>
      <c r="B107" s="29" t="n"/>
      <c r="C107" s="29" t="n"/>
      <c r="D107" s="29" t="n"/>
      <c r="E107" s="29" t="n"/>
      <c r="F107" s="29" t="n"/>
      <c r="G107" s="29" t="n"/>
      <c r="H107" s="29" t="n"/>
      <c r="I107" s="29" t="n"/>
      <c r="J107" s="29" t="n"/>
      <c r="K107" s="29" t="n"/>
      <c r="L107" s="49" t="n"/>
      <c r="M107" s="49" t="n"/>
      <c r="N107" s="29" t="n"/>
      <c r="O107" s="29" t="n"/>
      <c r="P107" s="29" t="n"/>
      <c r="Q107" s="51" t="n"/>
      <c r="R107" s="29" t="n"/>
      <c r="S107" s="52">
        <f>IF(OR(A107="",F107="",C107&lt;&gt;"Mekân"),0,IF(COUNTIFS($F$8:F107,F107,$C$8:C107,"Mekân")=1,1,0))</f>
        <v/>
      </c>
      <c r="T107" s="52">
        <f>IF(OR(A107="",F107="",C107&lt;&gt;"Kapak"),0,IF(COUNTIFS($F$8:F107,F107,$C$8:C107,"Kapak")=1,1,0))</f>
        <v/>
      </c>
    </row>
    <row r="108" ht="54" customHeight="1">
      <c r="A108" s="29" t="n"/>
      <c r="B108" s="29" t="n"/>
      <c r="C108" s="29" t="n"/>
      <c r="D108" s="29" t="n"/>
      <c r="E108" s="29" t="n"/>
      <c r="F108" s="29" t="n"/>
      <c r="G108" s="29" t="n"/>
      <c r="H108" s="29" t="n"/>
      <c r="I108" s="29" t="n"/>
      <c r="J108" s="29" t="n"/>
      <c r="K108" s="29" t="n"/>
      <c r="L108" s="49" t="n"/>
      <c r="M108" s="49" t="n"/>
      <c r="N108" s="29" t="n"/>
      <c r="O108" s="29" t="n"/>
      <c r="P108" s="29" t="n"/>
      <c r="Q108" s="51" t="n"/>
      <c r="R108" s="29" t="n"/>
      <c r="S108" s="52">
        <f>IF(OR(A108="",F108="",C108&lt;&gt;"Mekân"),0,IF(COUNTIFS($F$8:F108,F108,$C$8:C108,"Mekân")=1,1,0))</f>
        <v/>
      </c>
      <c r="T108" s="52">
        <f>IF(OR(A108="",F108="",C108&lt;&gt;"Kapak"),0,IF(COUNTIFS($F$8:F108,F108,$C$8:C108,"Kapak")=1,1,0))</f>
        <v/>
      </c>
    </row>
    <row r="109" ht="54" customHeight="1">
      <c r="A109" s="29" t="n"/>
      <c r="B109" s="29" t="n"/>
      <c r="C109" s="29" t="n"/>
      <c r="D109" s="29" t="n"/>
      <c r="E109" s="29" t="n"/>
      <c r="F109" s="29" t="n"/>
      <c r="G109" s="29" t="n"/>
      <c r="H109" s="29" t="n"/>
      <c r="I109" s="29" t="n"/>
      <c r="J109" s="29" t="n"/>
      <c r="K109" s="29" t="n"/>
      <c r="L109" s="49" t="n"/>
      <c r="M109" s="49" t="n"/>
      <c r="N109" s="29" t="n"/>
      <c r="O109" s="29" t="n"/>
      <c r="P109" s="29" t="n"/>
      <c r="Q109" s="51" t="n"/>
      <c r="R109" s="29" t="n"/>
      <c r="S109" s="52">
        <f>IF(OR(A109="",F109="",C109&lt;&gt;"Mekân"),0,IF(COUNTIFS($F$8:F109,F109,$C$8:C109,"Mekân")=1,1,0))</f>
        <v/>
      </c>
      <c r="T109" s="52">
        <f>IF(OR(A109="",F109="",C109&lt;&gt;"Kapak"),0,IF(COUNTIFS($F$8:F109,F109,$C$8:C109,"Kapak")=1,1,0))</f>
        <v/>
      </c>
    </row>
    <row r="110" ht="54" customHeight="1">
      <c r="A110" s="29" t="n"/>
      <c r="B110" s="29" t="n"/>
      <c r="C110" s="29" t="n"/>
      <c r="D110" s="29" t="n"/>
      <c r="E110" s="29" t="n"/>
      <c r="F110" s="29" t="n"/>
      <c r="G110" s="29" t="n"/>
      <c r="H110" s="29" t="n"/>
      <c r="I110" s="29" t="n"/>
      <c r="J110" s="29" t="n"/>
      <c r="K110" s="29" t="n"/>
      <c r="L110" s="49" t="n"/>
      <c r="M110" s="49" t="n"/>
      <c r="N110" s="29" t="n"/>
      <c r="O110" s="29" t="n"/>
      <c r="P110" s="29" t="n"/>
      <c r="Q110" s="51" t="n"/>
      <c r="R110" s="29" t="n"/>
      <c r="S110" s="52">
        <f>IF(OR(A110="",F110="",C110&lt;&gt;"Mekân"),0,IF(COUNTIFS($F$8:F110,F110,$C$8:C110,"Mekân")=1,1,0))</f>
        <v/>
      </c>
      <c r="T110" s="52">
        <f>IF(OR(A110="",F110="",C110&lt;&gt;"Kapak"),0,IF(COUNTIFS($F$8:F110,F110,$C$8:C110,"Kapak")=1,1,0))</f>
        <v/>
      </c>
    </row>
    <row r="111" ht="54" customHeight="1">
      <c r="A111" s="29" t="n"/>
      <c r="B111" s="29" t="n"/>
      <c r="C111" s="29" t="n"/>
      <c r="D111" s="29" t="n"/>
      <c r="E111" s="29" t="n"/>
      <c r="F111" s="29" t="n"/>
      <c r="G111" s="29" t="n"/>
      <c r="H111" s="29" t="n"/>
      <c r="I111" s="29" t="n"/>
      <c r="J111" s="29" t="n"/>
      <c r="K111" s="29" t="n"/>
      <c r="L111" s="49" t="n"/>
      <c r="M111" s="49" t="n"/>
      <c r="N111" s="29" t="n"/>
      <c r="O111" s="29" t="n"/>
      <c r="P111" s="29" t="n"/>
      <c r="Q111" s="51" t="n"/>
      <c r="R111" s="29" t="n"/>
      <c r="S111" s="52">
        <f>IF(OR(A111="",F111="",C111&lt;&gt;"Mekân"),0,IF(COUNTIFS($F$8:F111,F111,$C$8:C111,"Mekân")=1,1,0))</f>
        <v/>
      </c>
      <c r="T111" s="52">
        <f>IF(OR(A111="",F111="",C111&lt;&gt;"Kapak"),0,IF(COUNTIFS($F$8:F111,F111,$C$8:C111,"Kapak")=1,1,0))</f>
        <v/>
      </c>
    </row>
    <row r="112" ht="54" customHeight="1">
      <c r="A112" s="29" t="n"/>
      <c r="B112" s="29" t="n"/>
      <c r="C112" s="29" t="n"/>
      <c r="D112" s="29" t="n"/>
      <c r="E112" s="29" t="n"/>
      <c r="F112" s="29" t="n"/>
      <c r="G112" s="29" t="n"/>
      <c r="H112" s="29" t="n"/>
      <c r="I112" s="29" t="n"/>
      <c r="J112" s="29" t="n"/>
      <c r="K112" s="29" t="n"/>
      <c r="L112" s="49" t="n"/>
      <c r="M112" s="49" t="n"/>
      <c r="N112" s="29" t="n"/>
      <c r="O112" s="29" t="n"/>
      <c r="P112" s="29" t="n"/>
      <c r="Q112" s="51" t="n"/>
      <c r="R112" s="29" t="n"/>
      <c r="S112" s="52">
        <f>IF(OR(A112="",F112="",C112&lt;&gt;"Mekân"),0,IF(COUNTIFS($F$8:F112,F112,$C$8:C112,"Mekân")=1,1,0))</f>
        <v/>
      </c>
      <c r="T112" s="52">
        <f>IF(OR(A112="",F112="",C112&lt;&gt;"Kapak"),0,IF(COUNTIFS($F$8:F112,F112,$C$8:C112,"Kapak")=1,1,0))</f>
        <v/>
      </c>
    </row>
    <row r="113" ht="54" customHeight="1">
      <c r="A113" s="29" t="n"/>
      <c r="B113" s="29" t="n"/>
      <c r="C113" s="29" t="n"/>
      <c r="D113" s="29" t="n"/>
      <c r="E113" s="29" t="n"/>
      <c r="F113" s="29" t="n"/>
      <c r="G113" s="29" t="n"/>
      <c r="H113" s="29" t="n"/>
      <c r="I113" s="29" t="n"/>
      <c r="J113" s="29" t="n"/>
      <c r="K113" s="29" t="n"/>
      <c r="L113" s="49" t="n"/>
      <c r="M113" s="49" t="n"/>
      <c r="N113" s="29" t="n"/>
      <c r="O113" s="29" t="n"/>
      <c r="P113" s="29" t="n"/>
      <c r="Q113" s="51" t="n"/>
      <c r="R113" s="29" t="n"/>
      <c r="S113" s="52">
        <f>IF(OR(A113="",F113="",C113&lt;&gt;"Mekân"),0,IF(COUNTIFS($F$8:F113,F113,$C$8:C113,"Mekân")=1,1,0))</f>
        <v/>
      </c>
      <c r="T113" s="52">
        <f>IF(OR(A113="",F113="",C113&lt;&gt;"Kapak"),0,IF(COUNTIFS($F$8:F113,F113,$C$8:C113,"Kapak")=1,1,0))</f>
        <v/>
      </c>
    </row>
    <row r="114" ht="54" customHeight="1">
      <c r="A114" s="29" t="n"/>
      <c r="B114" s="29" t="n"/>
      <c r="C114" s="29" t="n"/>
      <c r="D114" s="29" t="n"/>
      <c r="E114" s="29" t="n"/>
      <c r="F114" s="29" t="n"/>
      <c r="G114" s="29" t="n"/>
      <c r="H114" s="29" t="n"/>
      <c r="I114" s="29" t="n"/>
      <c r="J114" s="29" t="n"/>
      <c r="K114" s="29" t="n"/>
      <c r="L114" s="49" t="n"/>
      <c r="M114" s="49" t="n"/>
      <c r="N114" s="29" t="n"/>
      <c r="O114" s="29" t="n"/>
      <c r="P114" s="29" t="n"/>
      <c r="Q114" s="51" t="n"/>
      <c r="R114" s="29" t="n"/>
      <c r="S114" s="52">
        <f>IF(OR(A114="",F114="",C114&lt;&gt;"Mekân"),0,IF(COUNTIFS($F$8:F114,F114,$C$8:C114,"Mekân")=1,1,0))</f>
        <v/>
      </c>
      <c r="T114" s="52">
        <f>IF(OR(A114="",F114="",C114&lt;&gt;"Kapak"),0,IF(COUNTIFS($F$8:F114,F114,$C$8:C114,"Kapak")=1,1,0))</f>
        <v/>
      </c>
    </row>
    <row r="115" ht="54" customHeight="1">
      <c r="A115" s="29" t="n"/>
      <c r="B115" s="29" t="n"/>
      <c r="C115" s="29" t="n"/>
      <c r="D115" s="29" t="n"/>
      <c r="E115" s="29" t="n"/>
      <c r="F115" s="29" t="n"/>
      <c r="G115" s="29" t="n"/>
      <c r="H115" s="29" t="n"/>
      <c r="I115" s="29" t="n"/>
      <c r="J115" s="29" t="n"/>
      <c r="K115" s="29" t="n"/>
      <c r="L115" s="49" t="n"/>
      <c r="M115" s="49" t="n"/>
      <c r="N115" s="29" t="n"/>
      <c r="O115" s="29" t="n"/>
      <c r="P115" s="29" t="n"/>
      <c r="Q115" s="51" t="n"/>
      <c r="R115" s="29" t="n"/>
      <c r="S115" s="52">
        <f>IF(OR(A115="",F115="",C115&lt;&gt;"Mekân"),0,IF(COUNTIFS($F$8:F115,F115,$C$8:C115,"Mekân")=1,1,0))</f>
        <v/>
      </c>
      <c r="T115" s="52">
        <f>IF(OR(A115="",F115="",C115&lt;&gt;"Kapak"),0,IF(COUNTIFS($F$8:F115,F115,$C$8:C115,"Kapak")=1,1,0))</f>
        <v/>
      </c>
    </row>
    <row r="116" ht="54" customHeight="1">
      <c r="A116" s="29" t="n"/>
      <c r="B116" s="29" t="n"/>
      <c r="C116" s="29" t="n"/>
      <c r="D116" s="29" t="n"/>
      <c r="E116" s="29" t="n"/>
      <c r="F116" s="29" t="n"/>
      <c r="G116" s="29" t="n"/>
      <c r="H116" s="29" t="n"/>
      <c r="I116" s="29" t="n"/>
      <c r="J116" s="29" t="n"/>
      <c r="K116" s="29" t="n"/>
      <c r="L116" s="49" t="n"/>
      <c r="M116" s="49" t="n"/>
      <c r="N116" s="29" t="n"/>
      <c r="O116" s="29" t="n"/>
      <c r="P116" s="29" t="n"/>
      <c r="Q116" s="51" t="n"/>
      <c r="R116" s="29" t="n"/>
      <c r="S116" s="52">
        <f>IF(OR(A116="",F116="",C116&lt;&gt;"Mekân"),0,IF(COUNTIFS($F$8:F116,F116,$C$8:C116,"Mekân")=1,1,0))</f>
        <v/>
      </c>
      <c r="T116" s="52">
        <f>IF(OR(A116="",F116="",C116&lt;&gt;"Kapak"),0,IF(COUNTIFS($F$8:F116,F116,$C$8:C116,"Kapak")=1,1,0))</f>
        <v/>
      </c>
    </row>
    <row r="117" ht="54" customHeight="1">
      <c r="A117" s="29" t="n"/>
      <c r="B117" s="29" t="n"/>
      <c r="C117" s="29" t="n"/>
      <c r="D117" s="29" t="n"/>
      <c r="E117" s="29" t="n"/>
      <c r="F117" s="29" t="n"/>
      <c r="G117" s="29" t="n"/>
      <c r="H117" s="29" t="n"/>
      <c r="I117" s="29" t="n"/>
      <c r="J117" s="29" t="n"/>
      <c r="K117" s="29" t="n"/>
      <c r="L117" s="49" t="n"/>
      <c r="M117" s="49" t="n"/>
      <c r="N117" s="29" t="n"/>
      <c r="O117" s="29" t="n"/>
      <c r="P117" s="29" t="n"/>
      <c r="Q117" s="51" t="n"/>
      <c r="R117" s="29" t="n"/>
      <c r="S117" s="52">
        <f>IF(OR(A117="",F117="",C117&lt;&gt;"Mekân"),0,IF(COUNTIFS($F$8:F117,F117,$C$8:C117,"Mekân")=1,1,0))</f>
        <v/>
      </c>
      <c r="T117" s="52">
        <f>IF(OR(A117="",F117="",C117&lt;&gt;"Kapak"),0,IF(COUNTIFS($F$8:F117,F117,$C$8:C117,"Kapak")=1,1,0))</f>
        <v/>
      </c>
    </row>
    <row r="118" ht="54" customHeight="1">
      <c r="A118" s="29" t="n"/>
      <c r="B118" s="29" t="n"/>
      <c r="C118" s="29" t="n"/>
      <c r="D118" s="29" t="n"/>
      <c r="E118" s="29" t="n"/>
      <c r="F118" s="29" t="n"/>
      <c r="G118" s="29" t="n"/>
      <c r="H118" s="29" t="n"/>
      <c r="I118" s="29" t="n"/>
      <c r="J118" s="29" t="n"/>
      <c r="K118" s="29" t="n"/>
      <c r="L118" s="49" t="n"/>
      <c r="M118" s="49" t="n"/>
      <c r="N118" s="29" t="n"/>
      <c r="O118" s="29" t="n"/>
      <c r="P118" s="29" t="n"/>
      <c r="Q118" s="51" t="n"/>
      <c r="R118" s="29" t="n"/>
      <c r="S118" s="52">
        <f>IF(OR(A118="",F118="",C118&lt;&gt;"Mekân"),0,IF(COUNTIFS($F$8:F118,F118,$C$8:C118,"Mekân")=1,1,0))</f>
        <v/>
      </c>
      <c r="T118" s="52">
        <f>IF(OR(A118="",F118="",C118&lt;&gt;"Kapak"),0,IF(COUNTIFS($F$8:F118,F118,$C$8:C118,"Kapak")=1,1,0))</f>
        <v/>
      </c>
    </row>
    <row r="119" ht="54" customHeight="1">
      <c r="A119" s="29" t="n"/>
      <c r="B119" s="29" t="n"/>
      <c r="C119" s="29" t="n"/>
      <c r="D119" s="29" t="n"/>
      <c r="E119" s="29" t="n"/>
      <c r="F119" s="29" t="n"/>
      <c r="G119" s="29" t="n"/>
      <c r="H119" s="29" t="n"/>
      <c r="I119" s="29" t="n"/>
      <c r="J119" s="29" t="n"/>
      <c r="K119" s="29" t="n"/>
      <c r="L119" s="49" t="n"/>
      <c r="M119" s="49" t="n"/>
      <c r="N119" s="29" t="n"/>
      <c r="O119" s="29" t="n"/>
      <c r="P119" s="29" t="n"/>
      <c r="Q119" s="51" t="n"/>
      <c r="R119" s="29" t="n"/>
      <c r="S119" s="52">
        <f>IF(OR(A119="",F119="",C119&lt;&gt;"Mekân"),0,IF(COUNTIFS($F$8:F119,F119,$C$8:C119,"Mekân")=1,1,0))</f>
        <v/>
      </c>
      <c r="T119" s="52">
        <f>IF(OR(A119="",F119="",C119&lt;&gt;"Kapak"),0,IF(COUNTIFS($F$8:F119,F119,$C$8:C119,"Kapak")=1,1,0))</f>
        <v/>
      </c>
    </row>
    <row r="120" ht="54" customHeight="1">
      <c r="A120" s="29" t="n"/>
      <c r="B120" s="29" t="n"/>
      <c r="C120" s="29" t="n"/>
      <c r="D120" s="29" t="n"/>
      <c r="E120" s="29" t="n"/>
      <c r="F120" s="29" t="n"/>
      <c r="G120" s="29" t="n"/>
      <c r="H120" s="29" t="n"/>
      <c r="I120" s="29" t="n"/>
      <c r="J120" s="29" t="n"/>
      <c r="K120" s="29" t="n"/>
      <c r="L120" s="49" t="n"/>
      <c r="M120" s="49" t="n"/>
      <c r="N120" s="29" t="n"/>
      <c r="O120" s="29" t="n"/>
      <c r="P120" s="29" t="n"/>
      <c r="Q120" s="51" t="n"/>
      <c r="R120" s="29" t="n"/>
      <c r="S120" s="52">
        <f>IF(OR(A120="",F120="",C120&lt;&gt;"Mekân"),0,IF(COUNTIFS($F$8:F120,F120,$C$8:C120,"Mekân")=1,1,0))</f>
        <v/>
      </c>
      <c r="T120" s="52">
        <f>IF(OR(A120="",F120="",C120&lt;&gt;"Kapak"),0,IF(COUNTIFS($F$8:F120,F120,$C$8:C120,"Kapak")=1,1,0))</f>
        <v/>
      </c>
    </row>
    <row r="121" ht="54" customHeight="1">
      <c r="A121" s="29" t="n"/>
      <c r="B121" s="29" t="n"/>
      <c r="C121" s="29" t="n"/>
      <c r="D121" s="29" t="n"/>
      <c r="E121" s="29" t="n"/>
      <c r="F121" s="29" t="n"/>
      <c r="G121" s="29" t="n"/>
      <c r="H121" s="29" t="n"/>
      <c r="I121" s="29" t="n"/>
      <c r="J121" s="29" t="n"/>
      <c r="K121" s="29" t="n"/>
      <c r="L121" s="49" t="n"/>
      <c r="M121" s="49" t="n"/>
      <c r="N121" s="29" t="n"/>
      <c r="O121" s="29" t="n"/>
      <c r="P121" s="29" t="n"/>
      <c r="Q121" s="51" t="n"/>
      <c r="R121" s="29" t="n"/>
      <c r="S121" s="52">
        <f>IF(OR(A121="",F121="",C121&lt;&gt;"Mekân"),0,IF(COUNTIFS($F$8:F121,F121,$C$8:C121,"Mekân")=1,1,0))</f>
        <v/>
      </c>
      <c r="T121" s="52">
        <f>IF(OR(A121="",F121="",C121&lt;&gt;"Kapak"),0,IF(COUNTIFS($F$8:F121,F121,$C$8:C121,"Kapak")=1,1,0))</f>
        <v/>
      </c>
    </row>
    <row r="122" ht="54" customHeight="1">
      <c r="A122" s="29" t="n"/>
      <c r="B122" s="29" t="n"/>
      <c r="C122" s="29" t="n"/>
      <c r="D122" s="29" t="n"/>
      <c r="E122" s="29" t="n"/>
      <c r="F122" s="29" t="n"/>
      <c r="G122" s="29" t="n"/>
      <c r="H122" s="29" t="n"/>
      <c r="I122" s="29" t="n"/>
      <c r="J122" s="29" t="n"/>
      <c r="K122" s="29" t="n"/>
      <c r="L122" s="49" t="n"/>
      <c r="M122" s="49" t="n"/>
      <c r="N122" s="29" t="n"/>
      <c r="O122" s="29" t="n"/>
      <c r="P122" s="29" t="n"/>
      <c r="Q122" s="51" t="n"/>
      <c r="R122" s="29" t="n"/>
      <c r="S122" s="52">
        <f>IF(OR(A122="",F122="",C122&lt;&gt;"Mekân"),0,IF(COUNTIFS($F$8:F122,F122,$C$8:C122,"Mekân")=1,1,0))</f>
        <v/>
      </c>
      <c r="T122" s="52">
        <f>IF(OR(A122="",F122="",C122&lt;&gt;"Kapak"),0,IF(COUNTIFS($F$8:F122,F122,$C$8:C122,"Kapak")=1,1,0))</f>
        <v/>
      </c>
    </row>
    <row r="123" ht="54" customHeight="1">
      <c r="A123" s="29" t="n"/>
      <c r="B123" s="29" t="n"/>
      <c r="C123" s="29" t="n"/>
      <c r="D123" s="29" t="n"/>
      <c r="E123" s="29" t="n"/>
      <c r="F123" s="29" t="n"/>
      <c r="G123" s="29" t="n"/>
      <c r="H123" s="29" t="n"/>
      <c r="I123" s="29" t="n"/>
      <c r="J123" s="29" t="n"/>
      <c r="K123" s="29" t="n"/>
      <c r="L123" s="49" t="n"/>
      <c r="M123" s="49" t="n"/>
      <c r="N123" s="29" t="n"/>
      <c r="O123" s="29" t="n"/>
      <c r="P123" s="29" t="n"/>
      <c r="Q123" s="51" t="n"/>
      <c r="R123" s="29" t="n"/>
      <c r="S123" s="52">
        <f>IF(OR(A123="",F123="",C123&lt;&gt;"Mekân"),0,IF(COUNTIFS($F$8:F123,F123,$C$8:C123,"Mekân")=1,1,0))</f>
        <v/>
      </c>
      <c r="T123" s="52">
        <f>IF(OR(A123="",F123="",C123&lt;&gt;"Kapak"),0,IF(COUNTIFS($F$8:F123,F123,$C$8:C123,"Kapak")=1,1,0))</f>
        <v/>
      </c>
    </row>
    <row r="124" ht="54" customHeight="1">
      <c r="A124" s="29" t="n"/>
      <c r="B124" s="29" t="n"/>
      <c r="C124" s="29" t="n"/>
      <c r="D124" s="29" t="n"/>
      <c r="E124" s="29" t="n"/>
      <c r="F124" s="29" t="n"/>
      <c r="G124" s="29" t="n"/>
      <c r="H124" s="29" t="n"/>
      <c r="I124" s="29" t="n"/>
      <c r="J124" s="29" t="n"/>
      <c r="K124" s="29" t="n"/>
      <c r="L124" s="49" t="n"/>
      <c r="M124" s="49" t="n"/>
      <c r="N124" s="29" t="n"/>
      <c r="O124" s="29" t="n"/>
      <c r="P124" s="29" t="n"/>
      <c r="Q124" s="51" t="n"/>
      <c r="R124" s="29" t="n"/>
      <c r="S124" s="52">
        <f>IF(OR(A124="",F124="",C124&lt;&gt;"Mekân"),0,IF(COUNTIFS($F$8:F124,F124,$C$8:C124,"Mekân")=1,1,0))</f>
        <v/>
      </c>
      <c r="T124" s="52">
        <f>IF(OR(A124="",F124="",C124&lt;&gt;"Kapak"),0,IF(COUNTIFS($F$8:F124,F124,$C$8:C124,"Kapak")=1,1,0))</f>
        <v/>
      </c>
    </row>
    <row r="125" ht="54" customHeight="1">
      <c r="A125" s="29" t="n"/>
      <c r="B125" s="29" t="n"/>
      <c r="C125" s="29" t="n"/>
      <c r="D125" s="29" t="n"/>
      <c r="E125" s="29" t="n"/>
      <c r="F125" s="29" t="n"/>
      <c r="G125" s="29" t="n"/>
      <c r="H125" s="29" t="n"/>
      <c r="I125" s="29" t="n"/>
      <c r="J125" s="29" t="n"/>
      <c r="K125" s="29" t="n"/>
      <c r="L125" s="49" t="n"/>
      <c r="M125" s="49" t="n"/>
      <c r="N125" s="29" t="n"/>
      <c r="O125" s="29" t="n"/>
      <c r="P125" s="29" t="n"/>
      <c r="Q125" s="51" t="n"/>
      <c r="R125" s="29" t="n"/>
      <c r="S125" s="52">
        <f>IF(OR(A125="",F125="",C125&lt;&gt;"Mekân"),0,IF(COUNTIFS($F$8:F125,F125,$C$8:C125,"Mekân")=1,1,0))</f>
        <v/>
      </c>
      <c r="T125" s="52">
        <f>IF(OR(A125="",F125="",C125&lt;&gt;"Kapak"),0,IF(COUNTIFS($F$8:F125,F125,$C$8:C125,"Kapak")=1,1,0))</f>
        <v/>
      </c>
    </row>
    <row r="126" ht="54" customHeight="1">
      <c r="A126" s="29" t="n"/>
      <c r="B126" s="29" t="n"/>
      <c r="C126" s="29" t="n"/>
      <c r="D126" s="29" t="n"/>
      <c r="E126" s="29" t="n"/>
      <c r="F126" s="29" t="n"/>
      <c r="G126" s="29" t="n"/>
      <c r="H126" s="29" t="n"/>
      <c r="I126" s="29" t="n"/>
      <c r="J126" s="29" t="n"/>
      <c r="K126" s="29" t="n"/>
      <c r="L126" s="49" t="n"/>
      <c r="M126" s="49" t="n"/>
      <c r="N126" s="29" t="n"/>
      <c r="O126" s="29" t="n"/>
      <c r="P126" s="29" t="n"/>
      <c r="Q126" s="51" t="n"/>
      <c r="R126" s="29" t="n"/>
      <c r="S126" s="52">
        <f>IF(OR(A126="",F126="",C126&lt;&gt;"Mekân"),0,IF(COUNTIFS($F$8:F126,F126,$C$8:C126,"Mekân")=1,1,0))</f>
        <v/>
      </c>
      <c r="T126" s="52">
        <f>IF(OR(A126="",F126="",C126&lt;&gt;"Kapak"),0,IF(COUNTIFS($F$8:F126,F126,$C$8:C126,"Kapak")=1,1,0))</f>
        <v/>
      </c>
    </row>
    <row r="127" ht="54" customHeight="1">
      <c r="A127" s="29" t="n"/>
      <c r="B127" s="29" t="n"/>
      <c r="C127" s="29" t="n"/>
      <c r="D127" s="29" t="n"/>
      <c r="E127" s="29" t="n"/>
      <c r="F127" s="29" t="n"/>
      <c r="G127" s="29" t="n"/>
      <c r="H127" s="29" t="n"/>
      <c r="I127" s="29" t="n"/>
      <c r="J127" s="29" t="n"/>
      <c r="K127" s="29" t="n"/>
      <c r="L127" s="49" t="n"/>
      <c r="M127" s="49" t="n"/>
      <c r="N127" s="29" t="n"/>
      <c r="O127" s="29" t="n"/>
      <c r="P127" s="29" t="n"/>
      <c r="Q127" s="51" t="n"/>
      <c r="R127" s="29" t="n"/>
      <c r="S127" s="52">
        <f>IF(OR(A127="",F127="",C127&lt;&gt;"Mekân"),0,IF(COUNTIFS($F$8:F127,F127,$C$8:C127,"Mekân")=1,1,0))</f>
        <v/>
      </c>
      <c r="T127" s="52">
        <f>IF(OR(A127="",F127="",C127&lt;&gt;"Kapak"),0,IF(COUNTIFS($F$8:F127,F127,$C$8:C127,"Kapak")=1,1,0))</f>
        <v/>
      </c>
    </row>
    <row r="128" ht="54" customHeight="1">
      <c r="A128" s="29" t="n"/>
      <c r="B128" s="29" t="n"/>
      <c r="C128" s="29" t="n"/>
      <c r="D128" s="29" t="n"/>
      <c r="E128" s="29" t="n"/>
      <c r="F128" s="29" t="n"/>
      <c r="G128" s="29" t="n"/>
      <c r="H128" s="29" t="n"/>
      <c r="I128" s="29" t="n"/>
      <c r="J128" s="29" t="n"/>
      <c r="K128" s="29" t="n"/>
      <c r="L128" s="49" t="n"/>
      <c r="M128" s="49" t="n"/>
      <c r="N128" s="29" t="n"/>
      <c r="O128" s="29" t="n"/>
      <c r="P128" s="29" t="n"/>
      <c r="Q128" s="51" t="n"/>
      <c r="R128" s="29" t="n"/>
      <c r="S128" s="52">
        <f>IF(OR(A128="",F128="",C128&lt;&gt;"Mekân"),0,IF(COUNTIFS($F$8:F128,F128,$C$8:C128,"Mekân")=1,1,0))</f>
        <v/>
      </c>
      <c r="T128" s="52">
        <f>IF(OR(A128="",F128="",C128&lt;&gt;"Kapak"),0,IF(COUNTIFS($F$8:F128,F128,$C$8:C128,"Kapak")=1,1,0))</f>
        <v/>
      </c>
    </row>
    <row r="129" ht="54" customHeight="1">
      <c r="A129" s="29" t="n"/>
      <c r="B129" s="29" t="n"/>
      <c r="C129" s="29" t="n"/>
      <c r="D129" s="29" t="n"/>
      <c r="E129" s="29" t="n"/>
      <c r="F129" s="29" t="n"/>
      <c r="G129" s="29" t="n"/>
      <c r="H129" s="29" t="n"/>
      <c r="I129" s="29" t="n"/>
      <c r="J129" s="29" t="n"/>
      <c r="K129" s="29" t="n"/>
      <c r="L129" s="49" t="n"/>
      <c r="M129" s="49" t="n"/>
      <c r="N129" s="29" t="n"/>
      <c r="O129" s="29" t="n"/>
      <c r="P129" s="29" t="n"/>
      <c r="Q129" s="51" t="n"/>
      <c r="R129" s="29" t="n"/>
      <c r="S129" s="52">
        <f>IF(OR(A129="",F129="",C129&lt;&gt;"Mekân"),0,IF(COUNTIFS($F$8:F129,F129,$C$8:C129,"Mekân")=1,1,0))</f>
        <v/>
      </c>
      <c r="T129" s="52">
        <f>IF(OR(A129="",F129="",C129&lt;&gt;"Kapak"),0,IF(COUNTIFS($F$8:F129,F129,$C$8:C129,"Kapak")=1,1,0))</f>
        <v/>
      </c>
    </row>
    <row r="130" ht="54" customHeight="1">
      <c r="A130" s="29" t="n"/>
      <c r="B130" s="29" t="n"/>
      <c r="C130" s="29" t="n"/>
      <c r="D130" s="29" t="n"/>
      <c r="E130" s="29" t="n"/>
      <c r="F130" s="29" t="n"/>
      <c r="G130" s="29" t="n"/>
      <c r="H130" s="29" t="n"/>
      <c r="I130" s="29" t="n"/>
      <c r="J130" s="29" t="n"/>
      <c r="K130" s="29" t="n"/>
      <c r="L130" s="49" t="n"/>
      <c r="M130" s="49" t="n"/>
      <c r="N130" s="29" t="n"/>
      <c r="O130" s="29" t="n"/>
      <c r="P130" s="29" t="n"/>
      <c r="Q130" s="51" t="n"/>
      <c r="R130" s="29" t="n"/>
      <c r="S130" s="52">
        <f>IF(OR(A130="",F130="",C130&lt;&gt;"Mekân"),0,IF(COUNTIFS($F$8:F130,F130,$C$8:C130,"Mekân")=1,1,0))</f>
        <v/>
      </c>
      <c r="T130" s="52">
        <f>IF(OR(A130="",F130="",C130&lt;&gt;"Kapak"),0,IF(COUNTIFS($F$8:F130,F130,$C$8:C130,"Kapak")=1,1,0))</f>
        <v/>
      </c>
    </row>
    <row r="131" ht="54" customHeight="1">
      <c r="A131" s="29" t="n"/>
      <c r="B131" s="29" t="n"/>
      <c r="C131" s="29" t="n"/>
      <c r="D131" s="29" t="n"/>
      <c r="E131" s="29" t="n"/>
      <c r="F131" s="29" t="n"/>
      <c r="G131" s="29" t="n"/>
      <c r="H131" s="29" t="n"/>
      <c r="I131" s="29" t="n"/>
      <c r="J131" s="29" t="n"/>
      <c r="K131" s="29" t="n"/>
      <c r="L131" s="49" t="n"/>
      <c r="M131" s="49" t="n"/>
      <c r="N131" s="29" t="n"/>
      <c r="O131" s="29" t="n"/>
      <c r="P131" s="29" t="n"/>
      <c r="Q131" s="51" t="n"/>
      <c r="R131" s="29" t="n"/>
      <c r="S131" s="52">
        <f>IF(OR(A131="",F131="",C131&lt;&gt;"Mekân"),0,IF(COUNTIFS($F$8:F131,F131,$C$8:C131,"Mekân")=1,1,0))</f>
        <v/>
      </c>
      <c r="T131" s="52">
        <f>IF(OR(A131="",F131="",C131&lt;&gt;"Kapak"),0,IF(COUNTIFS($F$8:F131,F131,$C$8:C131,"Kapak")=1,1,0))</f>
        <v/>
      </c>
    </row>
    <row r="132" ht="54" customHeight="1">
      <c r="A132" s="29" t="n"/>
      <c r="B132" s="29" t="n"/>
      <c r="C132" s="29" t="n"/>
      <c r="D132" s="29" t="n"/>
      <c r="E132" s="29" t="n"/>
      <c r="F132" s="29" t="n"/>
      <c r="G132" s="29" t="n"/>
      <c r="H132" s="29" t="n"/>
      <c r="I132" s="29" t="n"/>
      <c r="J132" s="29" t="n"/>
      <c r="K132" s="29" t="n"/>
      <c r="L132" s="49" t="n"/>
      <c r="M132" s="49" t="n"/>
      <c r="N132" s="29" t="n"/>
      <c r="O132" s="29" t="n"/>
      <c r="P132" s="29" t="n"/>
      <c r="Q132" s="51" t="n"/>
      <c r="R132" s="29" t="n"/>
      <c r="S132" s="52">
        <f>IF(OR(A132="",F132="",C132&lt;&gt;"Mekân"),0,IF(COUNTIFS($F$8:F132,F132,$C$8:C132,"Mekân")=1,1,0))</f>
        <v/>
      </c>
      <c r="T132" s="52">
        <f>IF(OR(A132="",F132="",C132&lt;&gt;"Kapak"),0,IF(COUNTIFS($F$8:F132,F132,$C$8:C132,"Kapak")=1,1,0))</f>
        <v/>
      </c>
    </row>
    <row r="133" ht="54" customHeight="1">
      <c r="A133" s="29" t="n"/>
      <c r="B133" s="29" t="n"/>
      <c r="C133" s="29" t="n"/>
      <c r="D133" s="29" t="n"/>
      <c r="E133" s="29" t="n"/>
      <c r="F133" s="29" t="n"/>
      <c r="G133" s="29" t="n"/>
      <c r="H133" s="29" t="n"/>
      <c r="I133" s="29" t="n"/>
      <c r="J133" s="29" t="n"/>
      <c r="K133" s="29" t="n"/>
      <c r="L133" s="49" t="n"/>
      <c r="M133" s="49" t="n"/>
      <c r="N133" s="29" t="n"/>
      <c r="O133" s="29" t="n"/>
      <c r="P133" s="29" t="n"/>
      <c r="Q133" s="51" t="n"/>
      <c r="R133" s="29" t="n"/>
      <c r="S133" s="52">
        <f>IF(OR(A133="",F133="",C133&lt;&gt;"Mekân"),0,IF(COUNTIFS($F$8:F133,F133,$C$8:C133,"Mekân")=1,1,0))</f>
        <v/>
      </c>
      <c r="T133" s="52">
        <f>IF(OR(A133="",F133="",C133&lt;&gt;"Kapak"),0,IF(COUNTIFS($F$8:F133,F133,$C$8:C133,"Kapak")=1,1,0))</f>
        <v/>
      </c>
    </row>
    <row r="134" ht="54" customHeight="1">
      <c r="A134" s="29" t="n"/>
      <c r="B134" s="29" t="n"/>
      <c r="C134" s="29" t="n"/>
      <c r="D134" s="29" t="n"/>
      <c r="E134" s="29" t="n"/>
      <c r="F134" s="29" t="n"/>
      <c r="G134" s="29" t="n"/>
      <c r="H134" s="29" t="n"/>
      <c r="I134" s="29" t="n"/>
      <c r="J134" s="29" t="n"/>
      <c r="K134" s="29" t="n"/>
      <c r="L134" s="49" t="n"/>
      <c r="M134" s="49" t="n"/>
      <c r="N134" s="29" t="n"/>
      <c r="O134" s="29" t="n"/>
      <c r="P134" s="29" t="n"/>
      <c r="Q134" s="51" t="n"/>
      <c r="R134" s="29" t="n"/>
      <c r="S134" s="52">
        <f>IF(OR(A134="",F134="",C134&lt;&gt;"Mekân"),0,IF(COUNTIFS($F$8:F134,F134,$C$8:C134,"Mekân")=1,1,0))</f>
        <v/>
      </c>
      <c r="T134" s="52">
        <f>IF(OR(A134="",F134="",C134&lt;&gt;"Kapak"),0,IF(COUNTIFS($F$8:F134,F134,$C$8:C134,"Kapak")=1,1,0))</f>
        <v/>
      </c>
    </row>
    <row r="135" ht="54" customHeight="1">
      <c r="A135" s="29" t="n"/>
      <c r="B135" s="29" t="n"/>
      <c r="C135" s="29" t="n"/>
      <c r="D135" s="29" t="n"/>
      <c r="E135" s="29" t="n"/>
      <c r="F135" s="29" t="n"/>
      <c r="G135" s="29" t="n"/>
      <c r="H135" s="29" t="n"/>
      <c r="I135" s="29" t="n"/>
      <c r="J135" s="29" t="n"/>
      <c r="K135" s="29" t="n"/>
      <c r="L135" s="49" t="n"/>
      <c r="M135" s="49" t="n"/>
      <c r="N135" s="29" t="n"/>
      <c r="O135" s="29" t="n"/>
      <c r="P135" s="29" t="n"/>
      <c r="Q135" s="51" t="n"/>
      <c r="R135" s="29" t="n"/>
      <c r="S135" s="52">
        <f>IF(OR(A135="",F135="",C135&lt;&gt;"Mekân"),0,IF(COUNTIFS($F$8:F135,F135,$C$8:C135,"Mekân")=1,1,0))</f>
        <v/>
      </c>
      <c r="T135" s="52">
        <f>IF(OR(A135="",F135="",C135&lt;&gt;"Kapak"),0,IF(COUNTIFS($F$8:F135,F135,$C$8:C135,"Kapak")=1,1,0))</f>
        <v/>
      </c>
    </row>
    <row r="136" ht="54" customHeight="1">
      <c r="A136" s="29" t="n"/>
      <c r="B136" s="29" t="n"/>
      <c r="C136" s="29" t="n"/>
      <c r="D136" s="29" t="n"/>
      <c r="E136" s="29" t="n"/>
      <c r="F136" s="29" t="n"/>
      <c r="G136" s="29" t="n"/>
      <c r="H136" s="29" t="n"/>
      <c r="I136" s="29" t="n"/>
      <c r="J136" s="29" t="n"/>
      <c r="K136" s="29" t="n"/>
      <c r="L136" s="49" t="n"/>
      <c r="M136" s="49" t="n"/>
      <c r="N136" s="29" t="n"/>
      <c r="O136" s="29" t="n"/>
      <c r="P136" s="29" t="n"/>
      <c r="Q136" s="51" t="n"/>
      <c r="R136" s="29" t="n"/>
      <c r="S136" s="52">
        <f>IF(OR(A136="",F136="",C136&lt;&gt;"Mekân"),0,IF(COUNTIFS($F$8:F136,F136,$C$8:C136,"Mekân")=1,1,0))</f>
        <v/>
      </c>
      <c r="T136" s="52">
        <f>IF(OR(A136="",F136="",C136&lt;&gt;"Kapak"),0,IF(COUNTIFS($F$8:F136,F136,$C$8:C136,"Kapak")=1,1,0))</f>
        <v/>
      </c>
    </row>
    <row r="137" ht="54" customHeight="1">
      <c r="A137" s="29" t="n"/>
      <c r="B137" s="29" t="n"/>
      <c r="C137" s="29" t="n"/>
      <c r="D137" s="29" t="n"/>
      <c r="E137" s="29" t="n"/>
      <c r="F137" s="29" t="n"/>
      <c r="G137" s="29" t="n"/>
      <c r="H137" s="29" t="n"/>
      <c r="I137" s="29" t="n"/>
      <c r="J137" s="29" t="n"/>
      <c r="K137" s="29" t="n"/>
      <c r="L137" s="49" t="n"/>
      <c r="M137" s="49" t="n"/>
      <c r="N137" s="29" t="n"/>
      <c r="O137" s="29" t="n"/>
      <c r="P137" s="29" t="n"/>
      <c r="Q137" s="51" t="n"/>
      <c r="R137" s="29" t="n"/>
      <c r="S137" s="52">
        <f>IF(OR(A137="",F137="",C137&lt;&gt;"Mekân"),0,IF(COUNTIFS($F$8:F137,F137,$C$8:C137,"Mekân")=1,1,0))</f>
        <v/>
      </c>
      <c r="T137" s="52">
        <f>IF(OR(A137="",F137="",C137&lt;&gt;"Kapak"),0,IF(COUNTIFS($F$8:F137,F137,$C$8:C137,"Kapak")=1,1,0))</f>
        <v/>
      </c>
    </row>
    <row r="138" ht="54" customHeight="1">
      <c r="A138" s="29" t="n"/>
      <c r="B138" s="29" t="n"/>
      <c r="C138" s="29" t="n"/>
      <c r="D138" s="29" t="n"/>
      <c r="E138" s="29" t="n"/>
      <c r="F138" s="29" t="n"/>
      <c r="G138" s="29" t="n"/>
      <c r="H138" s="29" t="n"/>
      <c r="I138" s="29" t="n"/>
      <c r="J138" s="29" t="n"/>
      <c r="K138" s="29" t="n"/>
      <c r="L138" s="49" t="n"/>
      <c r="M138" s="49" t="n"/>
      <c r="N138" s="29" t="n"/>
      <c r="O138" s="29" t="n"/>
      <c r="P138" s="29" t="n"/>
      <c r="Q138" s="51" t="n"/>
      <c r="R138" s="29" t="n"/>
      <c r="S138" s="52">
        <f>IF(OR(A138="",F138="",C138&lt;&gt;"Mekân"),0,IF(COUNTIFS($F$8:F138,F138,$C$8:C138,"Mekân")=1,1,0))</f>
        <v/>
      </c>
      <c r="T138" s="52">
        <f>IF(OR(A138="",F138="",C138&lt;&gt;"Kapak"),0,IF(COUNTIFS($F$8:F138,F138,$C$8:C138,"Kapak")=1,1,0))</f>
        <v/>
      </c>
    </row>
    <row r="139" ht="54" customHeight="1">
      <c r="A139" s="29" t="n"/>
      <c r="B139" s="29" t="n"/>
      <c r="C139" s="29" t="n"/>
      <c r="D139" s="29" t="n"/>
      <c r="E139" s="29" t="n"/>
      <c r="F139" s="29" t="n"/>
      <c r="G139" s="29" t="n"/>
      <c r="H139" s="29" t="n"/>
      <c r="I139" s="29" t="n"/>
      <c r="J139" s="29" t="n"/>
      <c r="K139" s="29" t="n"/>
      <c r="L139" s="49" t="n"/>
      <c r="M139" s="49" t="n"/>
      <c r="N139" s="29" t="n"/>
      <c r="O139" s="29" t="n"/>
      <c r="P139" s="29" t="n"/>
      <c r="Q139" s="51" t="n"/>
      <c r="R139" s="29" t="n"/>
      <c r="S139" s="52">
        <f>IF(OR(A139="",F139="",C139&lt;&gt;"Mekân"),0,IF(COUNTIFS($F$8:F139,F139,$C$8:C139,"Mekân")=1,1,0))</f>
        <v/>
      </c>
      <c r="T139" s="52">
        <f>IF(OR(A139="",F139="",C139&lt;&gt;"Kapak"),0,IF(COUNTIFS($F$8:F139,F139,$C$8:C139,"Kapak")=1,1,0))</f>
        <v/>
      </c>
    </row>
    <row r="140" ht="54" customHeight="1">
      <c r="A140" s="29" t="n"/>
      <c r="B140" s="29" t="n"/>
      <c r="C140" s="29" t="n"/>
      <c r="D140" s="29" t="n"/>
      <c r="E140" s="29" t="n"/>
      <c r="F140" s="29" t="n"/>
      <c r="G140" s="29" t="n"/>
      <c r="H140" s="29" t="n"/>
      <c r="I140" s="29" t="n"/>
      <c r="J140" s="29" t="n"/>
      <c r="K140" s="29" t="n"/>
      <c r="L140" s="49" t="n"/>
      <c r="M140" s="49" t="n"/>
      <c r="N140" s="29" t="n"/>
      <c r="O140" s="29" t="n"/>
      <c r="P140" s="29" t="n"/>
      <c r="Q140" s="51" t="n"/>
      <c r="R140" s="29" t="n"/>
      <c r="S140" s="52">
        <f>IF(OR(A140="",F140="",C140&lt;&gt;"Mekân"),0,IF(COUNTIFS($F$8:F140,F140,$C$8:C140,"Mekân")=1,1,0))</f>
        <v/>
      </c>
      <c r="T140" s="52">
        <f>IF(OR(A140="",F140="",C140&lt;&gt;"Kapak"),0,IF(COUNTIFS($F$8:F140,F140,$C$8:C140,"Kapak")=1,1,0))</f>
        <v/>
      </c>
    </row>
    <row r="141" ht="54" customHeight="1">
      <c r="A141" s="29" t="n"/>
      <c r="B141" s="29" t="n"/>
      <c r="C141" s="29" t="n"/>
      <c r="D141" s="29" t="n"/>
      <c r="E141" s="29" t="n"/>
      <c r="F141" s="29" t="n"/>
      <c r="G141" s="29" t="n"/>
      <c r="H141" s="29" t="n"/>
      <c r="I141" s="29" t="n"/>
      <c r="J141" s="29" t="n"/>
      <c r="K141" s="29" t="n"/>
      <c r="L141" s="49" t="n"/>
      <c r="M141" s="49" t="n"/>
      <c r="N141" s="29" t="n"/>
      <c r="O141" s="29" t="n"/>
      <c r="P141" s="29" t="n"/>
      <c r="Q141" s="51" t="n"/>
      <c r="R141" s="29" t="n"/>
      <c r="S141" s="52">
        <f>IF(OR(A141="",F141="",C141&lt;&gt;"Mekân"),0,IF(COUNTIFS($F$8:F141,F141,$C$8:C141,"Mekân")=1,1,0))</f>
        <v/>
      </c>
      <c r="T141" s="52">
        <f>IF(OR(A141="",F141="",C141&lt;&gt;"Kapak"),0,IF(COUNTIFS($F$8:F141,F141,$C$8:C141,"Kapak")=1,1,0))</f>
        <v/>
      </c>
    </row>
    <row r="142" ht="54" customHeight="1">
      <c r="A142" s="29" t="n"/>
      <c r="B142" s="29" t="n"/>
      <c r="C142" s="29" t="n"/>
      <c r="D142" s="29" t="n"/>
      <c r="E142" s="29" t="n"/>
      <c r="F142" s="29" t="n"/>
      <c r="G142" s="29" t="n"/>
      <c r="H142" s="29" t="n"/>
      <c r="I142" s="29" t="n"/>
      <c r="J142" s="29" t="n"/>
      <c r="K142" s="29" t="n"/>
      <c r="L142" s="49" t="n"/>
      <c r="M142" s="49" t="n"/>
      <c r="N142" s="29" t="n"/>
      <c r="O142" s="29" t="n"/>
      <c r="P142" s="29" t="n"/>
      <c r="Q142" s="51" t="n"/>
      <c r="R142" s="29" t="n"/>
      <c r="S142" s="52">
        <f>IF(OR(A142="",F142="",C142&lt;&gt;"Mekân"),0,IF(COUNTIFS($F$8:F142,F142,$C$8:C142,"Mekân")=1,1,0))</f>
        <v/>
      </c>
      <c r="T142" s="52">
        <f>IF(OR(A142="",F142="",C142&lt;&gt;"Kapak"),0,IF(COUNTIFS($F$8:F142,F142,$C$8:C142,"Kapak")=1,1,0))</f>
        <v/>
      </c>
    </row>
    <row r="143" ht="54" customHeight="1">
      <c r="A143" s="29" t="n"/>
      <c r="B143" s="29" t="n"/>
      <c r="C143" s="29" t="n"/>
      <c r="D143" s="29" t="n"/>
      <c r="E143" s="29" t="n"/>
      <c r="F143" s="29" t="n"/>
      <c r="G143" s="29" t="n"/>
      <c r="H143" s="29" t="n"/>
      <c r="I143" s="29" t="n"/>
      <c r="J143" s="29" t="n"/>
      <c r="K143" s="29" t="n"/>
      <c r="L143" s="49" t="n"/>
      <c r="M143" s="49" t="n"/>
      <c r="N143" s="29" t="n"/>
      <c r="O143" s="29" t="n"/>
      <c r="P143" s="29" t="n"/>
      <c r="Q143" s="51" t="n"/>
      <c r="R143" s="29" t="n"/>
      <c r="S143" s="52">
        <f>IF(OR(A143="",F143="",C143&lt;&gt;"Mekân"),0,IF(COUNTIFS($F$8:F143,F143,$C$8:C143,"Mekân")=1,1,0))</f>
        <v/>
      </c>
      <c r="T143" s="52">
        <f>IF(OR(A143="",F143="",C143&lt;&gt;"Kapak"),0,IF(COUNTIFS($F$8:F143,F143,$C$8:C143,"Kapak")=1,1,0))</f>
        <v/>
      </c>
    </row>
    <row r="144" ht="54" customHeight="1">
      <c r="A144" s="29" t="n"/>
      <c r="B144" s="29" t="n"/>
      <c r="C144" s="29" t="n"/>
      <c r="D144" s="29" t="n"/>
      <c r="E144" s="29" t="n"/>
      <c r="F144" s="29" t="n"/>
      <c r="G144" s="29" t="n"/>
      <c r="H144" s="29" t="n"/>
      <c r="I144" s="29" t="n"/>
      <c r="J144" s="29" t="n"/>
      <c r="K144" s="29" t="n"/>
      <c r="L144" s="49" t="n"/>
      <c r="M144" s="49" t="n"/>
      <c r="N144" s="29" t="n"/>
      <c r="O144" s="29" t="n"/>
      <c r="P144" s="29" t="n"/>
      <c r="Q144" s="51" t="n"/>
      <c r="R144" s="29" t="n"/>
      <c r="S144" s="52">
        <f>IF(OR(A144="",F144="",C144&lt;&gt;"Mekân"),0,IF(COUNTIFS($F$8:F144,F144,$C$8:C144,"Mekân")=1,1,0))</f>
        <v/>
      </c>
      <c r="T144" s="52">
        <f>IF(OR(A144="",F144="",C144&lt;&gt;"Kapak"),0,IF(COUNTIFS($F$8:F144,F144,$C$8:C144,"Kapak")=1,1,0))</f>
        <v/>
      </c>
    </row>
    <row r="145" ht="54" customHeight="1">
      <c r="A145" s="29" t="n"/>
      <c r="B145" s="29" t="n"/>
      <c r="C145" s="29" t="n"/>
      <c r="D145" s="29" t="n"/>
      <c r="E145" s="29" t="n"/>
      <c r="F145" s="29" t="n"/>
      <c r="G145" s="29" t="n"/>
      <c r="H145" s="29" t="n"/>
      <c r="I145" s="29" t="n"/>
      <c r="J145" s="29" t="n"/>
      <c r="K145" s="29" t="n"/>
      <c r="L145" s="49" t="n"/>
      <c r="M145" s="49" t="n"/>
      <c r="N145" s="29" t="n"/>
      <c r="O145" s="29" t="n"/>
      <c r="P145" s="29" t="n"/>
      <c r="Q145" s="51" t="n"/>
      <c r="R145" s="29" t="n"/>
      <c r="S145" s="52">
        <f>IF(OR(A145="",F145="",C145&lt;&gt;"Mekân"),0,IF(COUNTIFS($F$8:F145,F145,$C$8:C145,"Mekân")=1,1,0))</f>
        <v/>
      </c>
      <c r="T145" s="52">
        <f>IF(OR(A145="",F145="",C145&lt;&gt;"Kapak"),0,IF(COUNTIFS($F$8:F145,F145,$C$8:C145,"Kapak")=1,1,0))</f>
        <v/>
      </c>
    </row>
    <row r="146" ht="54" customHeight="1">
      <c r="A146" s="29" t="n"/>
      <c r="B146" s="29" t="n"/>
      <c r="C146" s="29" t="n"/>
      <c r="D146" s="29" t="n"/>
      <c r="E146" s="29" t="n"/>
      <c r="F146" s="29" t="n"/>
      <c r="G146" s="29" t="n"/>
      <c r="H146" s="29" t="n"/>
      <c r="I146" s="29" t="n"/>
      <c r="J146" s="29" t="n"/>
      <c r="K146" s="29" t="n"/>
      <c r="L146" s="49" t="n"/>
      <c r="M146" s="49" t="n"/>
      <c r="N146" s="29" t="n"/>
      <c r="O146" s="29" t="n"/>
      <c r="P146" s="29" t="n"/>
      <c r="Q146" s="51" t="n"/>
      <c r="R146" s="29" t="n"/>
      <c r="S146" s="52">
        <f>IF(OR(A146="",F146="",C146&lt;&gt;"Mekân"),0,IF(COUNTIFS($F$8:F146,F146,$C$8:C146,"Mekân")=1,1,0))</f>
        <v/>
      </c>
      <c r="T146" s="52">
        <f>IF(OR(A146="",F146="",C146&lt;&gt;"Kapak"),0,IF(COUNTIFS($F$8:F146,F146,$C$8:C146,"Kapak")=1,1,0))</f>
        <v/>
      </c>
    </row>
    <row r="147" ht="54" customHeight="1">
      <c r="A147" s="29" t="n"/>
      <c r="B147" s="29" t="n"/>
      <c r="C147" s="29" t="n"/>
      <c r="D147" s="29" t="n"/>
      <c r="E147" s="29" t="n"/>
      <c r="F147" s="29" t="n"/>
      <c r="G147" s="29" t="n"/>
      <c r="H147" s="29" t="n"/>
      <c r="I147" s="29" t="n"/>
      <c r="J147" s="29" t="n"/>
      <c r="K147" s="29" t="n"/>
      <c r="L147" s="49" t="n"/>
      <c r="M147" s="49" t="n"/>
      <c r="N147" s="29" t="n"/>
      <c r="O147" s="29" t="n"/>
      <c r="P147" s="29" t="n"/>
      <c r="Q147" s="51" t="n"/>
      <c r="R147" s="29" t="n"/>
      <c r="S147" s="52">
        <f>IF(OR(A147="",F147="",C147&lt;&gt;"Mekân"),0,IF(COUNTIFS($F$8:F147,F147,$C$8:C147,"Mekân")=1,1,0))</f>
        <v/>
      </c>
      <c r="T147" s="52">
        <f>IF(OR(A147="",F147="",C147&lt;&gt;"Kapak"),0,IF(COUNTIFS($F$8:F147,F147,$C$8:C147,"Kapak")=1,1,0))</f>
        <v/>
      </c>
    </row>
    <row r="148" ht="54" customHeight="1">
      <c r="A148" s="29" t="n"/>
      <c r="B148" s="29" t="n"/>
      <c r="C148" s="29" t="n"/>
      <c r="D148" s="29" t="n"/>
      <c r="E148" s="29" t="n"/>
      <c r="F148" s="29" t="n"/>
      <c r="G148" s="29" t="n"/>
      <c r="H148" s="29" t="n"/>
      <c r="I148" s="29" t="n"/>
      <c r="J148" s="29" t="n"/>
      <c r="K148" s="29" t="n"/>
      <c r="L148" s="49" t="n"/>
      <c r="M148" s="49" t="n"/>
      <c r="N148" s="29" t="n"/>
      <c r="O148" s="29" t="n"/>
      <c r="P148" s="29" t="n"/>
      <c r="Q148" s="51" t="n"/>
      <c r="R148" s="29" t="n"/>
      <c r="S148" s="52">
        <f>IF(OR(A148="",F148="",C148&lt;&gt;"Mekân"),0,IF(COUNTIFS($F$8:F148,F148,$C$8:C148,"Mekân")=1,1,0))</f>
        <v/>
      </c>
      <c r="T148" s="52">
        <f>IF(OR(A148="",F148="",C148&lt;&gt;"Kapak"),0,IF(COUNTIFS($F$8:F148,F148,$C$8:C148,"Kapak")=1,1,0))</f>
        <v/>
      </c>
    </row>
    <row r="149" ht="54" customHeight="1">
      <c r="A149" s="29" t="n"/>
      <c r="B149" s="29" t="n"/>
      <c r="C149" s="29" t="n"/>
      <c r="D149" s="29" t="n"/>
      <c r="E149" s="29" t="n"/>
      <c r="F149" s="29" t="n"/>
      <c r="G149" s="29" t="n"/>
      <c r="H149" s="29" t="n"/>
      <c r="I149" s="29" t="n"/>
      <c r="J149" s="29" t="n"/>
      <c r="K149" s="29" t="n"/>
      <c r="L149" s="49" t="n"/>
      <c r="M149" s="49" t="n"/>
      <c r="N149" s="29" t="n"/>
      <c r="O149" s="29" t="n"/>
      <c r="P149" s="29" t="n"/>
      <c r="Q149" s="51" t="n"/>
      <c r="R149" s="29" t="n"/>
      <c r="S149" s="52">
        <f>IF(OR(A149="",F149="",C149&lt;&gt;"Mekân"),0,IF(COUNTIFS($F$8:F149,F149,$C$8:C149,"Mekân")=1,1,0))</f>
        <v/>
      </c>
      <c r="T149" s="52">
        <f>IF(OR(A149="",F149="",C149&lt;&gt;"Kapak"),0,IF(COUNTIFS($F$8:F149,F149,$C$8:C149,"Kapak")=1,1,0))</f>
        <v/>
      </c>
    </row>
    <row r="150" ht="54" customHeight="1">
      <c r="A150" s="29" t="n"/>
      <c r="B150" s="29" t="n"/>
      <c r="C150" s="29" t="n"/>
      <c r="D150" s="29" t="n"/>
      <c r="E150" s="29" t="n"/>
      <c r="F150" s="29" t="n"/>
      <c r="G150" s="29" t="n"/>
      <c r="H150" s="29" t="n"/>
      <c r="I150" s="29" t="n"/>
      <c r="J150" s="29" t="n"/>
      <c r="K150" s="29" t="n"/>
      <c r="L150" s="49" t="n"/>
      <c r="M150" s="49" t="n"/>
      <c r="N150" s="29" t="n"/>
      <c r="O150" s="29" t="n"/>
      <c r="P150" s="29" t="n"/>
      <c r="Q150" s="51" t="n"/>
      <c r="R150" s="29" t="n"/>
      <c r="S150" s="52">
        <f>IF(OR(A150="",F150="",C150&lt;&gt;"Mekân"),0,IF(COUNTIFS($F$8:F150,F150,$C$8:C150,"Mekân")=1,1,0))</f>
        <v/>
      </c>
      <c r="T150" s="52">
        <f>IF(OR(A150="",F150="",C150&lt;&gt;"Kapak"),0,IF(COUNTIFS($F$8:F150,F150,$C$8:C150,"Kapak")=1,1,0))</f>
        <v/>
      </c>
    </row>
    <row r="151" ht="54" customHeight="1">
      <c r="A151" s="29" t="n"/>
      <c r="B151" s="29" t="n"/>
      <c r="C151" s="29" t="n"/>
      <c r="D151" s="29" t="n"/>
      <c r="E151" s="29" t="n"/>
      <c r="F151" s="29" t="n"/>
      <c r="G151" s="29" t="n"/>
      <c r="H151" s="29" t="n"/>
      <c r="I151" s="29" t="n"/>
      <c r="J151" s="29" t="n"/>
      <c r="K151" s="29" t="n"/>
      <c r="L151" s="49" t="n"/>
      <c r="M151" s="49" t="n"/>
      <c r="N151" s="29" t="n"/>
      <c r="O151" s="29" t="n"/>
      <c r="P151" s="29" t="n"/>
      <c r="Q151" s="51" t="n"/>
      <c r="R151" s="29" t="n"/>
      <c r="S151" s="52">
        <f>IF(OR(A151="",F151="",C151&lt;&gt;"Mekân"),0,IF(COUNTIFS($F$8:F151,F151,$C$8:C151,"Mekân")=1,1,0))</f>
        <v/>
      </c>
      <c r="T151" s="52">
        <f>IF(OR(A151="",F151="",C151&lt;&gt;"Kapak"),0,IF(COUNTIFS($F$8:F151,F151,$C$8:C151,"Kapak")=1,1,0))</f>
        <v/>
      </c>
    </row>
    <row r="152" ht="54" customHeight="1">
      <c r="A152" s="29" t="n"/>
      <c r="B152" s="29" t="n"/>
      <c r="C152" s="29" t="n"/>
      <c r="D152" s="29" t="n"/>
      <c r="E152" s="29" t="n"/>
      <c r="F152" s="29" t="n"/>
      <c r="G152" s="29" t="n"/>
      <c r="H152" s="29" t="n"/>
      <c r="I152" s="29" t="n"/>
      <c r="J152" s="29" t="n"/>
      <c r="K152" s="29" t="n"/>
      <c r="L152" s="49" t="n"/>
      <c r="M152" s="49" t="n"/>
      <c r="N152" s="29" t="n"/>
      <c r="O152" s="29" t="n"/>
      <c r="P152" s="29" t="n"/>
      <c r="Q152" s="51" t="n"/>
      <c r="R152" s="29" t="n"/>
      <c r="S152" s="52">
        <f>IF(OR(A152="",F152="",C152&lt;&gt;"Mekân"),0,IF(COUNTIFS($F$8:F152,F152,$C$8:C152,"Mekân")=1,1,0))</f>
        <v/>
      </c>
      <c r="T152" s="52">
        <f>IF(OR(A152="",F152="",C152&lt;&gt;"Kapak"),0,IF(COUNTIFS($F$8:F152,F152,$C$8:C152,"Kapak")=1,1,0))</f>
        <v/>
      </c>
    </row>
    <row r="153" ht="54" customHeight="1">
      <c r="A153" s="29" t="n"/>
      <c r="B153" s="29" t="n"/>
      <c r="C153" s="29" t="n"/>
      <c r="D153" s="29" t="n"/>
      <c r="E153" s="29" t="n"/>
      <c r="F153" s="29" t="n"/>
      <c r="G153" s="29" t="n"/>
      <c r="H153" s="29" t="n"/>
      <c r="I153" s="29" t="n"/>
      <c r="J153" s="29" t="n"/>
      <c r="K153" s="29" t="n"/>
      <c r="L153" s="49" t="n"/>
      <c r="M153" s="49" t="n"/>
      <c r="N153" s="29" t="n"/>
      <c r="O153" s="29" t="n"/>
      <c r="P153" s="29" t="n"/>
      <c r="Q153" s="51" t="n"/>
      <c r="R153" s="29" t="n"/>
      <c r="S153" s="52">
        <f>IF(OR(A153="",F153="",C153&lt;&gt;"Mekân"),0,IF(COUNTIFS($F$8:F153,F153,$C$8:C153,"Mekân")=1,1,0))</f>
        <v/>
      </c>
      <c r="T153" s="52">
        <f>IF(OR(A153="",F153="",C153&lt;&gt;"Kapak"),0,IF(COUNTIFS($F$8:F153,F153,$C$8:C153,"Kapak")=1,1,0))</f>
        <v/>
      </c>
    </row>
    <row r="154" ht="54" customHeight="1">
      <c r="A154" s="29" t="n"/>
      <c r="B154" s="29" t="n"/>
      <c r="C154" s="29" t="n"/>
      <c r="D154" s="29" t="n"/>
      <c r="E154" s="29" t="n"/>
      <c r="F154" s="29" t="n"/>
      <c r="G154" s="29" t="n"/>
      <c r="H154" s="29" t="n"/>
      <c r="I154" s="29" t="n"/>
      <c r="J154" s="29" t="n"/>
      <c r="K154" s="29" t="n"/>
      <c r="L154" s="49" t="n"/>
      <c r="M154" s="49" t="n"/>
      <c r="N154" s="29" t="n"/>
      <c r="O154" s="29" t="n"/>
      <c r="P154" s="29" t="n"/>
      <c r="Q154" s="51" t="n"/>
      <c r="R154" s="29" t="n"/>
      <c r="S154" s="52">
        <f>IF(OR(A154="",F154="",C154&lt;&gt;"Mekân"),0,IF(COUNTIFS($F$8:F154,F154,$C$8:C154,"Mekân")=1,1,0))</f>
        <v/>
      </c>
      <c r="T154" s="52">
        <f>IF(OR(A154="",F154="",C154&lt;&gt;"Kapak"),0,IF(COUNTIFS($F$8:F154,F154,$C$8:C154,"Kapak")=1,1,0))</f>
        <v/>
      </c>
    </row>
    <row r="155" ht="54" customHeight="1">
      <c r="A155" s="29" t="n"/>
      <c r="B155" s="29" t="n"/>
      <c r="C155" s="29" t="n"/>
      <c r="D155" s="29" t="n"/>
      <c r="E155" s="29" t="n"/>
      <c r="F155" s="29" t="n"/>
      <c r="G155" s="29" t="n"/>
      <c r="H155" s="29" t="n"/>
      <c r="I155" s="29" t="n"/>
      <c r="J155" s="29" t="n"/>
      <c r="K155" s="29" t="n"/>
      <c r="L155" s="49" t="n"/>
      <c r="M155" s="49" t="n"/>
      <c r="N155" s="29" t="n"/>
      <c r="O155" s="29" t="n"/>
      <c r="P155" s="29" t="n"/>
      <c r="Q155" s="51" t="n"/>
      <c r="R155" s="29" t="n"/>
      <c r="S155" s="52">
        <f>IF(OR(A155="",F155="",C155&lt;&gt;"Mekân"),0,IF(COUNTIFS($F$8:F155,F155,$C$8:C155,"Mekân")=1,1,0))</f>
        <v/>
      </c>
      <c r="T155" s="52">
        <f>IF(OR(A155="",F155="",C155&lt;&gt;"Kapak"),0,IF(COUNTIFS($F$8:F155,F155,$C$8:C155,"Kapak")=1,1,0))</f>
        <v/>
      </c>
    </row>
    <row r="156" ht="54" customHeight="1">
      <c r="A156" s="29" t="n"/>
      <c r="B156" s="29" t="n"/>
      <c r="C156" s="29" t="n"/>
      <c r="D156" s="29" t="n"/>
      <c r="E156" s="29" t="n"/>
      <c r="F156" s="29" t="n"/>
      <c r="G156" s="29" t="n"/>
      <c r="H156" s="29" t="n"/>
      <c r="I156" s="29" t="n"/>
      <c r="J156" s="29" t="n"/>
      <c r="K156" s="29" t="n"/>
      <c r="L156" s="49" t="n"/>
      <c r="M156" s="49" t="n"/>
      <c r="N156" s="29" t="n"/>
      <c r="O156" s="29" t="n"/>
      <c r="P156" s="29" t="n"/>
      <c r="Q156" s="51" t="n"/>
      <c r="R156" s="29" t="n"/>
      <c r="S156" s="52">
        <f>IF(OR(A156="",F156="",C156&lt;&gt;"Mekân"),0,IF(COUNTIFS($F$8:F156,F156,$C$8:C156,"Mekân")=1,1,0))</f>
        <v/>
      </c>
      <c r="T156" s="52">
        <f>IF(OR(A156="",F156="",C156&lt;&gt;"Kapak"),0,IF(COUNTIFS($F$8:F156,F156,$C$8:C156,"Kapak")=1,1,0))</f>
        <v/>
      </c>
    </row>
    <row r="157" ht="54" customHeight="1">
      <c r="A157" s="29" t="n"/>
      <c r="B157" s="29" t="n"/>
      <c r="C157" s="29" t="n"/>
      <c r="D157" s="29" t="n"/>
      <c r="E157" s="29" t="n"/>
      <c r="F157" s="29" t="n"/>
      <c r="G157" s="29" t="n"/>
      <c r="H157" s="29" t="n"/>
      <c r="I157" s="29" t="n"/>
      <c r="J157" s="29" t="n"/>
      <c r="K157" s="29" t="n"/>
      <c r="L157" s="49" t="n"/>
      <c r="M157" s="49" t="n"/>
      <c r="N157" s="29" t="n"/>
      <c r="O157" s="29" t="n"/>
      <c r="P157" s="29" t="n"/>
      <c r="Q157" s="51" t="n"/>
      <c r="R157" s="29" t="n"/>
      <c r="S157" s="52">
        <f>IF(OR(A157="",F157="",C157&lt;&gt;"Mekân"),0,IF(COUNTIFS($F$8:F157,F157,$C$8:C157,"Mekân")=1,1,0))</f>
        <v/>
      </c>
      <c r="T157" s="52">
        <f>IF(OR(A157="",F157="",C157&lt;&gt;"Kapak"),0,IF(COUNTIFS($F$8:F157,F157,$C$8:C157,"Kapak")=1,1,0))</f>
        <v/>
      </c>
    </row>
    <row r="158" ht="54" customHeight="1">
      <c r="A158" s="29" t="n"/>
      <c r="B158" s="29" t="n"/>
      <c r="C158" s="29" t="n"/>
      <c r="D158" s="29" t="n"/>
      <c r="E158" s="29" t="n"/>
      <c r="F158" s="29" t="n"/>
      <c r="G158" s="29" t="n"/>
      <c r="H158" s="29" t="n"/>
      <c r="I158" s="29" t="n"/>
      <c r="J158" s="29" t="n"/>
      <c r="K158" s="29" t="n"/>
      <c r="L158" s="49" t="n"/>
      <c r="M158" s="49" t="n"/>
      <c r="N158" s="29" t="n"/>
      <c r="O158" s="29" t="n"/>
      <c r="P158" s="29" t="n"/>
      <c r="Q158" s="51" t="n"/>
      <c r="R158" s="29" t="n"/>
      <c r="S158" s="52">
        <f>IF(OR(A158="",F158="",C158&lt;&gt;"Mekân"),0,IF(COUNTIFS($F$8:F158,F158,$C$8:C158,"Mekân")=1,1,0))</f>
        <v/>
      </c>
      <c r="T158" s="52">
        <f>IF(OR(A158="",F158="",C158&lt;&gt;"Kapak"),0,IF(COUNTIFS($F$8:F158,F158,$C$8:C158,"Kapak")=1,1,0))</f>
        <v/>
      </c>
    </row>
    <row r="159" ht="54" customHeight="1">
      <c r="A159" s="29" t="n"/>
      <c r="B159" s="29" t="n"/>
      <c r="C159" s="29" t="n"/>
      <c r="D159" s="29" t="n"/>
      <c r="E159" s="29" t="n"/>
      <c r="F159" s="29" t="n"/>
      <c r="G159" s="29" t="n"/>
      <c r="H159" s="29" t="n"/>
      <c r="I159" s="29" t="n"/>
      <c r="J159" s="29" t="n"/>
      <c r="K159" s="29" t="n"/>
      <c r="L159" s="49" t="n"/>
      <c r="M159" s="49" t="n"/>
      <c r="N159" s="29" t="n"/>
      <c r="O159" s="29" t="n"/>
      <c r="P159" s="29" t="n"/>
      <c r="Q159" s="51" t="n"/>
      <c r="R159" s="29" t="n"/>
      <c r="S159" s="52">
        <f>IF(OR(A159="",F159="",C159&lt;&gt;"Mekân"),0,IF(COUNTIFS($F$8:F159,F159,$C$8:C159,"Mekân")=1,1,0))</f>
        <v/>
      </c>
      <c r="T159" s="52">
        <f>IF(OR(A159="",F159="",C159&lt;&gt;"Kapak"),0,IF(COUNTIFS($F$8:F159,F159,$C$8:C159,"Kapak")=1,1,0))</f>
        <v/>
      </c>
    </row>
    <row r="160" ht="54" customHeight="1">
      <c r="A160" s="29" t="n"/>
      <c r="B160" s="29" t="n"/>
      <c r="C160" s="29" t="n"/>
      <c r="D160" s="29" t="n"/>
      <c r="E160" s="29" t="n"/>
      <c r="F160" s="29" t="n"/>
      <c r="G160" s="29" t="n"/>
      <c r="H160" s="29" t="n"/>
      <c r="I160" s="29" t="n"/>
      <c r="J160" s="29" t="n"/>
      <c r="K160" s="29" t="n"/>
      <c r="L160" s="49" t="n"/>
      <c r="M160" s="49" t="n"/>
      <c r="N160" s="29" t="n"/>
      <c r="O160" s="29" t="n"/>
      <c r="P160" s="29" t="n"/>
      <c r="Q160" s="51" t="n"/>
      <c r="R160" s="29" t="n"/>
      <c r="S160" s="52">
        <f>IF(OR(A160="",F160="",C160&lt;&gt;"Mekân"),0,IF(COUNTIFS($F$8:F160,F160,$C$8:C160,"Mekân")=1,1,0))</f>
        <v/>
      </c>
      <c r="T160" s="52">
        <f>IF(OR(A160="",F160="",C160&lt;&gt;"Kapak"),0,IF(COUNTIFS($F$8:F160,F160,$C$8:C160,"Kapak")=1,1,0))</f>
        <v/>
      </c>
    </row>
    <row r="161" ht="54" customHeight="1">
      <c r="A161" s="29" t="n"/>
      <c r="B161" s="29" t="n"/>
      <c r="C161" s="29" t="n"/>
      <c r="D161" s="29" t="n"/>
      <c r="E161" s="29" t="n"/>
      <c r="F161" s="29" t="n"/>
      <c r="G161" s="29" t="n"/>
      <c r="H161" s="29" t="n"/>
      <c r="I161" s="29" t="n"/>
      <c r="J161" s="29" t="n"/>
      <c r="K161" s="29" t="n"/>
      <c r="L161" s="49" t="n"/>
      <c r="M161" s="49" t="n"/>
      <c r="N161" s="29" t="n"/>
      <c r="O161" s="29" t="n"/>
      <c r="P161" s="29" t="n"/>
      <c r="Q161" s="51" t="n"/>
      <c r="R161" s="29" t="n"/>
      <c r="S161" s="52">
        <f>IF(OR(A161="",F161="",C161&lt;&gt;"Mekân"),0,IF(COUNTIFS($F$8:F161,F161,$C$8:C161,"Mekân")=1,1,0))</f>
        <v/>
      </c>
      <c r="T161" s="52">
        <f>IF(OR(A161="",F161="",C161&lt;&gt;"Kapak"),0,IF(COUNTIFS($F$8:F161,F161,$C$8:C161,"Kapak")=1,1,0))</f>
        <v/>
      </c>
    </row>
    <row r="162" ht="54" customHeight="1">
      <c r="A162" s="29" t="n"/>
      <c r="B162" s="29" t="n"/>
      <c r="C162" s="29" t="n"/>
      <c r="D162" s="29" t="n"/>
      <c r="E162" s="29" t="n"/>
      <c r="F162" s="29" t="n"/>
      <c r="G162" s="29" t="n"/>
      <c r="H162" s="29" t="n"/>
      <c r="I162" s="29" t="n"/>
      <c r="J162" s="29" t="n"/>
      <c r="K162" s="29" t="n"/>
      <c r="L162" s="49" t="n"/>
      <c r="M162" s="49" t="n"/>
      <c r="N162" s="29" t="n"/>
      <c r="O162" s="29" t="n"/>
      <c r="P162" s="29" t="n"/>
      <c r="Q162" s="51" t="n"/>
      <c r="R162" s="29" t="n"/>
      <c r="S162" s="52">
        <f>IF(OR(A162="",F162="",C162&lt;&gt;"Mekân"),0,IF(COUNTIFS($F$8:F162,F162,$C$8:C162,"Mekân")=1,1,0))</f>
        <v/>
      </c>
      <c r="T162" s="52">
        <f>IF(OR(A162="",F162="",C162&lt;&gt;"Kapak"),0,IF(COUNTIFS($F$8:F162,F162,$C$8:C162,"Kapak")=1,1,0))</f>
        <v/>
      </c>
    </row>
    <row r="163" ht="54" customHeight="1">
      <c r="A163" s="29" t="n"/>
      <c r="B163" s="29" t="n"/>
      <c r="C163" s="29" t="n"/>
      <c r="D163" s="29" t="n"/>
      <c r="E163" s="29" t="n"/>
      <c r="F163" s="29" t="n"/>
      <c r="G163" s="29" t="n"/>
      <c r="H163" s="29" t="n"/>
      <c r="I163" s="29" t="n"/>
      <c r="J163" s="29" t="n"/>
      <c r="K163" s="29" t="n"/>
      <c r="L163" s="49" t="n"/>
      <c r="M163" s="49" t="n"/>
      <c r="N163" s="29" t="n"/>
      <c r="O163" s="29" t="n"/>
      <c r="P163" s="29" t="n"/>
      <c r="Q163" s="51" t="n"/>
      <c r="R163" s="29" t="n"/>
      <c r="S163" s="52">
        <f>IF(OR(A163="",F163="",C163&lt;&gt;"Mekân"),0,IF(COUNTIFS($F$8:F163,F163,$C$8:C163,"Mekân")=1,1,0))</f>
        <v/>
      </c>
      <c r="T163" s="52">
        <f>IF(OR(A163="",F163="",C163&lt;&gt;"Kapak"),0,IF(COUNTIFS($F$8:F163,F163,$C$8:C163,"Kapak")=1,1,0))</f>
        <v/>
      </c>
    </row>
    <row r="164" ht="54" customHeight="1">
      <c r="A164" s="29" t="n"/>
      <c r="B164" s="29" t="n"/>
      <c r="C164" s="29" t="n"/>
      <c r="D164" s="29" t="n"/>
      <c r="E164" s="29" t="n"/>
      <c r="F164" s="29" t="n"/>
      <c r="G164" s="29" t="n"/>
      <c r="H164" s="29" t="n"/>
      <c r="I164" s="29" t="n"/>
      <c r="J164" s="29" t="n"/>
      <c r="K164" s="29" t="n"/>
      <c r="L164" s="49" t="n"/>
      <c r="M164" s="49" t="n"/>
      <c r="N164" s="29" t="n"/>
      <c r="O164" s="29" t="n"/>
      <c r="P164" s="29" t="n"/>
      <c r="Q164" s="51" t="n"/>
      <c r="R164" s="29" t="n"/>
      <c r="S164" s="52">
        <f>IF(OR(A164="",F164="",C164&lt;&gt;"Mekân"),0,IF(COUNTIFS($F$8:F164,F164,$C$8:C164,"Mekân")=1,1,0))</f>
        <v/>
      </c>
      <c r="T164" s="52">
        <f>IF(OR(A164="",F164="",C164&lt;&gt;"Kapak"),0,IF(COUNTIFS($F$8:F164,F164,$C$8:C164,"Kapak")=1,1,0))</f>
        <v/>
      </c>
    </row>
    <row r="165" ht="54" customHeight="1">
      <c r="A165" s="29" t="n"/>
      <c r="B165" s="29" t="n"/>
      <c r="C165" s="29" t="n"/>
      <c r="D165" s="29" t="n"/>
      <c r="E165" s="29" t="n"/>
      <c r="F165" s="29" t="n"/>
      <c r="G165" s="29" t="n"/>
      <c r="H165" s="29" t="n"/>
      <c r="I165" s="29" t="n"/>
      <c r="J165" s="29" t="n"/>
      <c r="K165" s="29" t="n"/>
      <c r="L165" s="49" t="n"/>
      <c r="M165" s="49" t="n"/>
      <c r="N165" s="29" t="n"/>
      <c r="O165" s="29" t="n"/>
      <c r="P165" s="29" t="n"/>
      <c r="Q165" s="51" t="n"/>
      <c r="R165" s="29" t="n"/>
      <c r="S165" s="52">
        <f>IF(OR(A165="",F165="",C165&lt;&gt;"Mekân"),0,IF(COUNTIFS($F$8:F165,F165,$C$8:C165,"Mekân")=1,1,0))</f>
        <v/>
      </c>
      <c r="T165" s="52">
        <f>IF(OR(A165="",F165="",C165&lt;&gt;"Kapak"),0,IF(COUNTIFS($F$8:F165,F165,$C$8:C165,"Kapak")=1,1,0))</f>
        <v/>
      </c>
    </row>
    <row r="166" ht="54" customHeight="1">
      <c r="A166" s="29" t="n"/>
      <c r="B166" s="29" t="n"/>
      <c r="C166" s="29" t="n"/>
      <c r="D166" s="29" t="n"/>
      <c r="E166" s="29" t="n"/>
      <c r="F166" s="29" t="n"/>
      <c r="G166" s="29" t="n"/>
      <c r="H166" s="29" t="n"/>
      <c r="I166" s="29" t="n"/>
      <c r="J166" s="29" t="n"/>
      <c r="K166" s="29" t="n"/>
      <c r="L166" s="49" t="n"/>
      <c r="M166" s="49" t="n"/>
      <c r="N166" s="29" t="n"/>
      <c r="O166" s="29" t="n"/>
      <c r="P166" s="29" t="n"/>
      <c r="Q166" s="51" t="n"/>
      <c r="R166" s="29" t="n"/>
      <c r="S166" s="52">
        <f>IF(OR(A166="",F166="",C166&lt;&gt;"Mekân"),0,IF(COUNTIFS($F$8:F166,F166,$C$8:C166,"Mekân")=1,1,0))</f>
        <v/>
      </c>
      <c r="T166" s="52">
        <f>IF(OR(A166="",F166="",C166&lt;&gt;"Kapak"),0,IF(COUNTIFS($F$8:F166,F166,$C$8:C166,"Kapak")=1,1,0))</f>
        <v/>
      </c>
    </row>
    <row r="167" ht="54" customHeight="1">
      <c r="A167" s="29" t="n"/>
      <c r="B167" s="29" t="n"/>
      <c r="C167" s="29" t="n"/>
      <c r="D167" s="29" t="n"/>
      <c r="E167" s="29" t="n"/>
      <c r="F167" s="29" t="n"/>
      <c r="G167" s="29" t="n"/>
      <c r="H167" s="29" t="n"/>
      <c r="I167" s="29" t="n"/>
      <c r="J167" s="29" t="n"/>
      <c r="K167" s="29" t="n"/>
      <c r="L167" s="49" t="n"/>
      <c r="M167" s="49" t="n"/>
      <c r="N167" s="29" t="n"/>
      <c r="O167" s="29" t="n"/>
      <c r="P167" s="29" t="n"/>
      <c r="Q167" s="51" t="n"/>
      <c r="R167" s="29" t="n"/>
      <c r="S167" s="52">
        <f>IF(OR(A167="",F167="",C167&lt;&gt;"Mekân"),0,IF(COUNTIFS($F$8:F167,F167,$C$8:C167,"Mekân")=1,1,0))</f>
        <v/>
      </c>
      <c r="T167" s="52">
        <f>IF(OR(A167="",F167="",C167&lt;&gt;"Kapak"),0,IF(COUNTIFS($F$8:F167,F167,$C$8:C167,"Kapak")=1,1,0))</f>
        <v/>
      </c>
    </row>
    <row r="168" ht="54" customHeight="1">
      <c r="A168" s="29" t="n"/>
      <c r="B168" s="29" t="n"/>
      <c r="C168" s="29" t="n"/>
      <c r="D168" s="29" t="n"/>
      <c r="E168" s="29" t="n"/>
      <c r="F168" s="29" t="n"/>
      <c r="G168" s="29" t="n"/>
      <c r="H168" s="29" t="n"/>
      <c r="I168" s="29" t="n"/>
      <c r="J168" s="29" t="n"/>
      <c r="K168" s="29" t="n"/>
      <c r="L168" s="49" t="n"/>
      <c r="M168" s="49" t="n"/>
      <c r="N168" s="29" t="n"/>
      <c r="O168" s="29" t="n"/>
      <c r="P168" s="29" t="n"/>
      <c r="Q168" s="51" t="n"/>
      <c r="R168" s="29" t="n"/>
      <c r="S168" s="52">
        <f>IF(OR(A168="",F168="",C168&lt;&gt;"Mekân"),0,IF(COUNTIFS($F$8:F168,F168,$C$8:C168,"Mekân")=1,1,0))</f>
        <v/>
      </c>
      <c r="T168" s="52">
        <f>IF(OR(A168="",F168="",C168&lt;&gt;"Kapak"),0,IF(COUNTIFS($F$8:F168,F168,$C$8:C168,"Kapak")=1,1,0))</f>
        <v/>
      </c>
    </row>
    <row r="169" ht="54" customHeight="1">
      <c r="A169" s="29" t="n"/>
      <c r="B169" s="29" t="n"/>
      <c r="C169" s="29" t="n"/>
      <c r="D169" s="29" t="n"/>
      <c r="E169" s="29" t="n"/>
      <c r="F169" s="29" t="n"/>
      <c r="G169" s="29" t="n"/>
      <c r="H169" s="29" t="n"/>
      <c r="I169" s="29" t="n"/>
      <c r="J169" s="29" t="n"/>
      <c r="K169" s="29" t="n"/>
      <c r="L169" s="49" t="n"/>
      <c r="M169" s="49" t="n"/>
      <c r="N169" s="29" t="n"/>
      <c r="O169" s="29" t="n"/>
      <c r="P169" s="29" t="n"/>
      <c r="Q169" s="51" t="n"/>
      <c r="R169" s="29" t="n"/>
      <c r="S169" s="52">
        <f>IF(OR(A169="",F169="",C169&lt;&gt;"Mekân"),0,IF(COUNTIFS($F$8:F169,F169,$C$8:C169,"Mekân")=1,1,0))</f>
        <v/>
      </c>
      <c r="T169" s="52">
        <f>IF(OR(A169="",F169="",C169&lt;&gt;"Kapak"),0,IF(COUNTIFS($F$8:F169,F169,$C$8:C169,"Kapak")=1,1,0))</f>
        <v/>
      </c>
    </row>
    <row r="170" ht="54" customHeight="1">
      <c r="A170" s="29" t="n"/>
      <c r="B170" s="29" t="n"/>
      <c r="C170" s="29" t="n"/>
      <c r="D170" s="29" t="n"/>
      <c r="E170" s="29" t="n"/>
      <c r="F170" s="29" t="n"/>
      <c r="G170" s="29" t="n"/>
      <c r="H170" s="29" t="n"/>
      <c r="I170" s="29" t="n"/>
      <c r="J170" s="29" t="n"/>
      <c r="K170" s="29" t="n"/>
      <c r="L170" s="49" t="n"/>
      <c r="M170" s="49" t="n"/>
      <c r="N170" s="29" t="n"/>
      <c r="O170" s="29" t="n"/>
      <c r="P170" s="29" t="n"/>
      <c r="Q170" s="51" t="n"/>
      <c r="R170" s="29" t="n"/>
      <c r="S170" s="52">
        <f>IF(OR(A170="",F170="",C170&lt;&gt;"Mekân"),0,IF(COUNTIFS($F$8:F170,F170,$C$8:C170,"Mekân")=1,1,0))</f>
        <v/>
      </c>
      <c r="T170" s="52">
        <f>IF(OR(A170="",F170="",C170&lt;&gt;"Kapak"),0,IF(COUNTIFS($F$8:F170,F170,$C$8:C170,"Kapak")=1,1,0))</f>
        <v/>
      </c>
    </row>
    <row r="171" ht="54" customHeight="1">
      <c r="A171" s="29" t="n"/>
      <c r="B171" s="29" t="n"/>
      <c r="C171" s="29" t="n"/>
      <c r="D171" s="29" t="n"/>
      <c r="E171" s="29" t="n"/>
      <c r="F171" s="29" t="n"/>
      <c r="G171" s="29" t="n"/>
      <c r="H171" s="29" t="n"/>
      <c r="I171" s="29" t="n"/>
      <c r="J171" s="29" t="n"/>
      <c r="K171" s="29" t="n"/>
      <c r="L171" s="49" t="n"/>
      <c r="M171" s="49" t="n"/>
      <c r="N171" s="29" t="n"/>
      <c r="O171" s="29" t="n"/>
      <c r="P171" s="29" t="n"/>
      <c r="Q171" s="51" t="n"/>
      <c r="R171" s="29" t="n"/>
      <c r="S171" s="52">
        <f>IF(OR(A171="",F171="",C171&lt;&gt;"Mekân"),0,IF(COUNTIFS($F$8:F171,F171,$C$8:C171,"Mekân")=1,1,0))</f>
        <v/>
      </c>
      <c r="T171" s="52">
        <f>IF(OR(A171="",F171="",C171&lt;&gt;"Kapak"),0,IF(COUNTIFS($F$8:F171,F171,$C$8:C171,"Kapak")=1,1,0))</f>
        <v/>
      </c>
    </row>
    <row r="172" ht="54" customHeight="1">
      <c r="A172" s="29" t="n"/>
      <c r="B172" s="29" t="n"/>
      <c r="C172" s="29" t="n"/>
      <c r="D172" s="29" t="n"/>
      <c r="E172" s="29" t="n"/>
      <c r="F172" s="29" t="n"/>
      <c r="G172" s="29" t="n"/>
      <c r="H172" s="29" t="n"/>
      <c r="I172" s="29" t="n"/>
      <c r="J172" s="29" t="n"/>
      <c r="K172" s="29" t="n"/>
      <c r="L172" s="49" t="n"/>
      <c r="M172" s="49" t="n"/>
      <c r="N172" s="29" t="n"/>
      <c r="O172" s="29" t="n"/>
      <c r="P172" s="29" t="n"/>
      <c r="Q172" s="51" t="n"/>
      <c r="R172" s="29" t="n"/>
      <c r="S172" s="52">
        <f>IF(OR(A172="",F172="",C172&lt;&gt;"Mekân"),0,IF(COUNTIFS($F$8:F172,F172,$C$8:C172,"Mekân")=1,1,0))</f>
        <v/>
      </c>
      <c r="T172" s="52">
        <f>IF(OR(A172="",F172="",C172&lt;&gt;"Kapak"),0,IF(COUNTIFS($F$8:F172,F172,$C$8:C172,"Kapak")=1,1,0))</f>
        <v/>
      </c>
    </row>
    <row r="173" ht="54" customHeight="1">
      <c r="A173" s="29" t="n"/>
      <c r="B173" s="29" t="n"/>
      <c r="C173" s="29" t="n"/>
      <c r="D173" s="29" t="n"/>
      <c r="E173" s="29" t="n"/>
      <c r="F173" s="29" t="n"/>
      <c r="G173" s="29" t="n"/>
      <c r="H173" s="29" t="n"/>
      <c r="I173" s="29" t="n"/>
      <c r="J173" s="29" t="n"/>
      <c r="K173" s="29" t="n"/>
      <c r="L173" s="49" t="n"/>
      <c r="M173" s="49" t="n"/>
      <c r="N173" s="29" t="n"/>
      <c r="O173" s="29" t="n"/>
      <c r="P173" s="29" t="n"/>
      <c r="Q173" s="51" t="n"/>
      <c r="R173" s="29" t="n"/>
      <c r="S173" s="52">
        <f>IF(OR(A173="",F173="",C173&lt;&gt;"Mekân"),0,IF(COUNTIFS($F$8:F173,F173,$C$8:C173,"Mekân")=1,1,0))</f>
        <v/>
      </c>
      <c r="T173" s="52">
        <f>IF(OR(A173="",F173="",C173&lt;&gt;"Kapak"),0,IF(COUNTIFS($F$8:F173,F173,$C$8:C173,"Kapak")=1,1,0))</f>
        <v/>
      </c>
    </row>
    <row r="174" ht="54" customHeight="1">
      <c r="A174" s="29" t="n"/>
      <c r="B174" s="29" t="n"/>
      <c r="C174" s="29" t="n"/>
      <c r="D174" s="29" t="n"/>
      <c r="E174" s="29" t="n"/>
      <c r="F174" s="29" t="n"/>
      <c r="G174" s="29" t="n"/>
      <c r="H174" s="29" t="n"/>
      <c r="I174" s="29" t="n"/>
      <c r="J174" s="29" t="n"/>
      <c r="K174" s="29" t="n"/>
      <c r="L174" s="49" t="n"/>
      <c r="M174" s="49" t="n"/>
      <c r="N174" s="29" t="n"/>
      <c r="O174" s="29" t="n"/>
      <c r="P174" s="29" t="n"/>
      <c r="Q174" s="51" t="n"/>
      <c r="R174" s="29" t="n"/>
      <c r="S174" s="52">
        <f>IF(OR(A174="",F174="",C174&lt;&gt;"Mekân"),0,IF(COUNTIFS($F$8:F174,F174,$C$8:C174,"Mekân")=1,1,0))</f>
        <v/>
      </c>
      <c r="T174" s="52">
        <f>IF(OR(A174="",F174="",C174&lt;&gt;"Kapak"),0,IF(COUNTIFS($F$8:F174,F174,$C$8:C174,"Kapak")=1,1,0))</f>
        <v/>
      </c>
    </row>
    <row r="175" ht="54" customHeight="1">
      <c r="A175" s="29" t="n"/>
      <c r="B175" s="29" t="n"/>
      <c r="C175" s="29" t="n"/>
      <c r="D175" s="29" t="n"/>
      <c r="E175" s="29" t="n"/>
      <c r="F175" s="29" t="n"/>
      <c r="G175" s="29" t="n"/>
      <c r="H175" s="29" t="n"/>
      <c r="I175" s="29" t="n"/>
      <c r="J175" s="29" t="n"/>
      <c r="K175" s="29" t="n"/>
      <c r="L175" s="49" t="n"/>
      <c r="M175" s="49" t="n"/>
      <c r="N175" s="29" t="n"/>
      <c r="O175" s="29" t="n"/>
      <c r="P175" s="29" t="n"/>
      <c r="Q175" s="51" t="n"/>
      <c r="R175" s="29" t="n"/>
      <c r="S175" s="52">
        <f>IF(OR(A175="",F175="",C175&lt;&gt;"Mekân"),0,IF(COUNTIFS($F$8:F175,F175,$C$8:C175,"Mekân")=1,1,0))</f>
        <v/>
      </c>
      <c r="T175" s="52">
        <f>IF(OR(A175="",F175="",C175&lt;&gt;"Kapak"),0,IF(COUNTIFS($F$8:F175,F175,$C$8:C175,"Kapak")=1,1,0))</f>
        <v/>
      </c>
    </row>
    <row r="176" ht="54" customHeight="1">
      <c r="A176" s="29" t="n"/>
      <c r="B176" s="29" t="n"/>
      <c r="C176" s="29" t="n"/>
      <c r="D176" s="29" t="n"/>
      <c r="E176" s="29" t="n"/>
      <c r="F176" s="29" t="n"/>
      <c r="G176" s="29" t="n"/>
      <c r="H176" s="29" t="n"/>
      <c r="I176" s="29" t="n"/>
      <c r="J176" s="29" t="n"/>
      <c r="K176" s="29" t="n"/>
      <c r="L176" s="49" t="n"/>
      <c r="M176" s="49" t="n"/>
      <c r="N176" s="29" t="n"/>
      <c r="O176" s="29" t="n"/>
      <c r="P176" s="29" t="n"/>
      <c r="Q176" s="51" t="n"/>
      <c r="R176" s="29" t="n"/>
      <c r="S176" s="52">
        <f>IF(OR(A176="",F176="",C176&lt;&gt;"Mekân"),0,IF(COUNTIFS($F$8:F176,F176,$C$8:C176,"Mekân")=1,1,0))</f>
        <v/>
      </c>
      <c r="T176" s="52">
        <f>IF(OR(A176="",F176="",C176&lt;&gt;"Kapak"),0,IF(COUNTIFS($F$8:F176,F176,$C$8:C176,"Kapak")=1,1,0))</f>
        <v/>
      </c>
    </row>
    <row r="177" ht="54" customHeight="1">
      <c r="A177" s="29" t="n"/>
      <c r="B177" s="29" t="n"/>
      <c r="C177" s="29" t="n"/>
      <c r="D177" s="29" t="n"/>
      <c r="E177" s="29" t="n"/>
      <c r="F177" s="29" t="n"/>
      <c r="G177" s="29" t="n"/>
      <c r="H177" s="29" t="n"/>
      <c r="I177" s="29" t="n"/>
      <c r="J177" s="29" t="n"/>
      <c r="K177" s="29" t="n"/>
      <c r="L177" s="49" t="n"/>
      <c r="M177" s="49" t="n"/>
      <c r="N177" s="29" t="n"/>
      <c r="O177" s="29" t="n"/>
      <c r="P177" s="29" t="n"/>
      <c r="Q177" s="51" t="n"/>
      <c r="R177" s="29" t="n"/>
      <c r="S177" s="52">
        <f>IF(OR(A177="",F177="",C177&lt;&gt;"Mekân"),0,IF(COUNTIFS($F$8:F177,F177,$C$8:C177,"Mekân")=1,1,0))</f>
        <v/>
      </c>
      <c r="T177" s="52">
        <f>IF(OR(A177="",F177="",C177&lt;&gt;"Kapak"),0,IF(COUNTIFS($F$8:F177,F177,$C$8:C177,"Kapak")=1,1,0))</f>
        <v/>
      </c>
    </row>
    <row r="178" ht="54" customHeight="1">
      <c r="A178" s="29" t="n"/>
      <c r="B178" s="29" t="n"/>
      <c r="C178" s="29" t="n"/>
      <c r="D178" s="29" t="n"/>
      <c r="E178" s="29" t="n"/>
      <c r="F178" s="29" t="n"/>
      <c r="G178" s="29" t="n"/>
      <c r="H178" s="29" t="n"/>
      <c r="I178" s="29" t="n"/>
      <c r="J178" s="29" t="n"/>
      <c r="K178" s="29" t="n"/>
      <c r="L178" s="49" t="n"/>
      <c r="M178" s="49" t="n"/>
      <c r="N178" s="29" t="n"/>
      <c r="O178" s="29" t="n"/>
      <c r="P178" s="29" t="n"/>
      <c r="Q178" s="51" t="n"/>
      <c r="R178" s="29" t="n"/>
      <c r="S178" s="52">
        <f>IF(OR(A178="",F178="",C178&lt;&gt;"Mekân"),0,IF(COUNTIFS($F$8:F178,F178,$C$8:C178,"Mekân")=1,1,0))</f>
        <v/>
      </c>
      <c r="T178" s="52">
        <f>IF(OR(A178="",F178="",C178&lt;&gt;"Kapak"),0,IF(COUNTIFS($F$8:F178,F178,$C$8:C178,"Kapak")=1,1,0))</f>
        <v/>
      </c>
    </row>
    <row r="179" ht="54" customHeight="1">
      <c r="A179" s="29" t="n"/>
      <c r="B179" s="29" t="n"/>
      <c r="C179" s="29" t="n"/>
      <c r="D179" s="29" t="n"/>
      <c r="E179" s="29" t="n"/>
      <c r="F179" s="29" t="n"/>
      <c r="G179" s="29" t="n"/>
      <c r="H179" s="29" t="n"/>
      <c r="I179" s="29" t="n"/>
      <c r="J179" s="29" t="n"/>
      <c r="K179" s="29" t="n"/>
      <c r="L179" s="49" t="n"/>
      <c r="M179" s="49" t="n"/>
      <c r="N179" s="29" t="n"/>
      <c r="O179" s="29" t="n"/>
      <c r="P179" s="29" t="n"/>
      <c r="Q179" s="51" t="n"/>
      <c r="R179" s="29" t="n"/>
      <c r="S179" s="52">
        <f>IF(OR(A179="",F179="",C179&lt;&gt;"Mekân"),0,IF(COUNTIFS($F$8:F179,F179,$C$8:C179,"Mekân")=1,1,0))</f>
        <v/>
      </c>
      <c r="T179" s="52">
        <f>IF(OR(A179="",F179="",C179&lt;&gt;"Kapak"),0,IF(COUNTIFS($F$8:F179,F179,$C$8:C179,"Kapak")=1,1,0))</f>
        <v/>
      </c>
    </row>
    <row r="180" ht="54" customHeight="1">
      <c r="A180" s="29" t="n"/>
      <c r="B180" s="29" t="n"/>
      <c r="C180" s="29" t="n"/>
      <c r="D180" s="29" t="n"/>
      <c r="E180" s="29" t="n"/>
      <c r="F180" s="29" t="n"/>
      <c r="G180" s="29" t="n"/>
      <c r="H180" s="29" t="n"/>
      <c r="I180" s="29" t="n"/>
      <c r="J180" s="29" t="n"/>
      <c r="K180" s="29" t="n"/>
      <c r="L180" s="49" t="n"/>
      <c r="M180" s="49" t="n"/>
      <c r="N180" s="29" t="n"/>
      <c r="O180" s="29" t="n"/>
      <c r="P180" s="29" t="n"/>
      <c r="Q180" s="51" t="n"/>
      <c r="R180" s="29" t="n"/>
      <c r="S180" s="52">
        <f>IF(OR(A180="",F180="",C180&lt;&gt;"Mekân"),0,IF(COUNTIFS($F$8:F180,F180,$C$8:C180,"Mekân")=1,1,0))</f>
        <v/>
      </c>
      <c r="T180" s="52">
        <f>IF(OR(A180="",F180="",C180&lt;&gt;"Kapak"),0,IF(COUNTIFS($F$8:F180,F180,$C$8:C180,"Kapak")=1,1,0))</f>
        <v/>
      </c>
    </row>
    <row r="181" ht="54" customHeight="1">
      <c r="A181" s="29" t="n"/>
      <c r="B181" s="29" t="n"/>
      <c r="C181" s="29" t="n"/>
      <c r="D181" s="29" t="n"/>
      <c r="E181" s="29" t="n"/>
      <c r="F181" s="29" t="n"/>
      <c r="G181" s="29" t="n"/>
      <c r="H181" s="29" t="n"/>
      <c r="I181" s="29" t="n"/>
      <c r="J181" s="29" t="n"/>
      <c r="K181" s="29" t="n"/>
      <c r="L181" s="49" t="n"/>
      <c r="M181" s="49" t="n"/>
      <c r="N181" s="29" t="n"/>
      <c r="O181" s="29" t="n"/>
      <c r="P181" s="29" t="n"/>
      <c r="Q181" s="51" t="n"/>
      <c r="R181" s="29" t="n"/>
      <c r="S181" s="52">
        <f>IF(OR(A181="",F181="",C181&lt;&gt;"Mekân"),0,IF(COUNTIFS($F$8:F181,F181,$C$8:C181,"Mekân")=1,1,0))</f>
        <v/>
      </c>
      <c r="T181" s="52">
        <f>IF(OR(A181="",F181="",C181&lt;&gt;"Kapak"),0,IF(COUNTIFS($F$8:F181,F181,$C$8:C181,"Kapak")=1,1,0))</f>
        <v/>
      </c>
    </row>
    <row r="182" ht="54" customHeight="1">
      <c r="A182" s="29" t="n"/>
      <c r="B182" s="29" t="n"/>
      <c r="C182" s="29" t="n"/>
      <c r="D182" s="29" t="n"/>
      <c r="E182" s="29" t="n"/>
      <c r="F182" s="29" t="n"/>
      <c r="G182" s="29" t="n"/>
      <c r="H182" s="29" t="n"/>
      <c r="I182" s="29" t="n"/>
      <c r="J182" s="29" t="n"/>
      <c r="K182" s="29" t="n"/>
      <c r="L182" s="49" t="n"/>
      <c r="M182" s="49" t="n"/>
      <c r="N182" s="29" t="n"/>
      <c r="O182" s="29" t="n"/>
      <c r="P182" s="29" t="n"/>
      <c r="Q182" s="51" t="n"/>
      <c r="R182" s="29" t="n"/>
      <c r="S182" s="52">
        <f>IF(OR(A182="",F182="",C182&lt;&gt;"Mekân"),0,IF(COUNTIFS($F$8:F182,F182,$C$8:C182,"Mekân")=1,1,0))</f>
        <v/>
      </c>
      <c r="T182" s="52">
        <f>IF(OR(A182="",F182="",C182&lt;&gt;"Kapak"),0,IF(COUNTIFS($F$8:F182,F182,$C$8:C182,"Kapak")=1,1,0))</f>
        <v/>
      </c>
    </row>
    <row r="183" ht="54" customHeight="1">
      <c r="A183" s="29" t="n"/>
      <c r="B183" s="29" t="n"/>
      <c r="C183" s="29" t="n"/>
      <c r="D183" s="29" t="n"/>
      <c r="E183" s="29" t="n"/>
      <c r="F183" s="29" t="n"/>
      <c r="G183" s="29" t="n"/>
      <c r="H183" s="29" t="n"/>
      <c r="I183" s="29" t="n"/>
      <c r="J183" s="29" t="n"/>
      <c r="K183" s="29" t="n"/>
      <c r="L183" s="49" t="n"/>
      <c r="M183" s="49" t="n"/>
      <c r="N183" s="29" t="n"/>
      <c r="O183" s="29" t="n"/>
      <c r="P183" s="29" t="n"/>
      <c r="Q183" s="51" t="n"/>
      <c r="R183" s="29" t="n"/>
      <c r="S183" s="52">
        <f>IF(OR(A183="",F183="",C183&lt;&gt;"Mekân"),0,IF(COUNTIFS($F$8:F183,F183,$C$8:C183,"Mekân")=1,1,0))</f>
        <v/>
      </c>
      <c r="T183" s="52">
        <f>IF(OR(A183="",F183="",C183&lt;&gt;"Kapak"),0,IF(COUNTIFS($F$8:F183,F183,$C$8:C183,"Kapak")=1,1,0))</f>
        <v/>
      </c>
    </row>
    <row r="184" ht="54" customHeight="1">
      <c r="A184" s="29" t="n"/>
      <c r="B184" s="29" t="n"/>
      <c r="C184" s="29" t="n"/>
      <c r="D184" s="29" t="n"/>
      <c r="E184" s="29" t="n"/>
      <c r="F184" s="29" t="n"/>
      <c r="G184" s="29" t="n"/>
      <c r="H184" s="29" t="n"/>
      <c r="I184" s="29" t="n"/>
      <c r="J184" s="29" t="n"/>
      <c r="K184" s="29" t="n"/>
      <c r="L184" s="49" t="n"/>
      <c r="M184" s="49" t="n"/>
      <c r="N184" s="29" t="n"/>
      <c r="O184" s="29" t="n"/>
      <c r="P184" s="29" t="n"/>
      <c r="Q184" s="51" t="n"/>
      <c r="R184" s="29" t="n"/>
      <c r="S184" s="52">
        <f>IF(OR(A184="",F184="",C184&lt;&gt;"Mekân"),0,IF(COUNTIFS($F$8:F184,F184,$C$8:C184,"Mekân")=1,1,0))</f>
        <v/>
      </c>
      <c r="T184" s="52">
        <f>IF(OR(A184="",F184="",C184&lt;&gt;"Kapak"),0,IF(COUNTIFS($F$8:F184,F184,$C$8:C184,"Kapak")=1,1,0))</f>
        <v/>
      </c>
    </row>
    <row r="185" ht="54" customHeight="1">
      <c r="A185" s="29" t="n"/>
      <c r="B185" s="29" t="n"/>
      <c r="C185" s="29" t="n"/>
      <c r="D185" s="29" t="n"/>
      <c r="E185" s="29" t="n"/>
      <c r="F185" s="29" t="n"/>
      <c r="G185" s="29" t="n"/>
      <c r="H185" s="29" t="n"/>
      <c r="I185" s="29" t="n"/>
      <c r="J185" s="29" t="n"/>
      <c r="K185" s="29" t="n"/>
      <c r="L185" s="49" t="n"/>
      <c r="M185" s="49" t="n"/>
      <c r="N185" s="29" t="n"/>
      <c r="O185" s="29" t="n"/>
      <c r="P185" s="29" t="n"/>
      <c r="Q185" s="51" t="n"/>
      <c r="R185" s="29" t="n"/>
      <c r="S185" s="52">
        <f>IF(OR(A185="",F185="",C185&lt;&gt;"Mekân"),0,IF(COUNTIFS($F$8:F185,F185,$C$8:C185,"Mekân")=1,1,0))</f>
        <v/>
      </c>
      <c r="T185" s="52">
        <f>IF(OR(A185="",F185="",C185&lt;&gt;"Kapak"),0,IF(COUNTIFS($F$8:F185,F185,$C$8:C185,"Kapak")=1,1,0))</f>
        <v/>
      </c>
    </row>
    <row r="186" ht="54" customHeight="1">
      <c r="A186" s="29" t="n"/>
      <c r="B186" s="29" t="n"/>
      <c r="C186" s="29" t="n"/>
      <c r="D186" s="29" t="n"/>
      <c r="E186" s="29" t="n"/>
      <c r="F186" s="29" t="n"/>
      <c r="G186" s="29" t="n"/>
      <c r="H186" s="29" t="n"/>
      <c r="I186" s="29" t="n"/>
      <c r="J186" s="29" t="n"/>
      <c r="K186" s="29" t="n"/>
      <c r="L186" s="49" t="n"/>
      <c r="M186" s="49" t="n"/>
      <c r="N186" s="29" t="n"/>
      <c r="O186" s="29" t="n"/>
      <c r="P186" s="29" t="n"/>
      <c r="Q186" s="51" t="n"/>
      <c r="R186" s="29" t="n"/>
      <c r="S186" s="52">
        <f>IF(OR(A186="",F186="",C186&lt;&gt;"Mekân"),0,IF(COUNTIFS($F$8:F186,F186,$C$8:C186,"Mekân")=1,1,0))</f>
        <v/>
      </c>
      <c r="T186" s="52">
        <f>IF(OR(A186="",F186="",C186&lt;&gt;"Kapak"),0,IF(COUNTIFS($F$8:F186,F186,$C$8:C186,"Kapak")=1,1,0))</f>
        <v/>
      </c>
    </row>
    <row r="187" ht="54" customHeight="1">
      <c r="A187" s="29" t="n"/>
      <c r="B187" s="29" t="n"/>
      <c r="C187" s="29" t="n"/>
      <c r="D187" s="29" t="n"/>
      <c r="E187" s="29" t="n"/>
      <c r="F187" s="29" t="n"/>
      <c r="G187" s="29" t="n"/>
      <c r="H187" s="29" t="n"/>
      <c r="I187" s="29" t="n"/>
      <c r="J187" s="29" t="n"/>
      <c r="K187" s="29" t="n"/>
      <c r="L187" s="49" t="n"/>
      <c r="M187" s="49" t="n"/>
      <c r="N187" s="29" t="n"/>
      <c r="O187" s="29" t="n"/>
      <c r="P187" s="29" t="n"/>
      <c r="Q187" s="51" t="n"/>
      <c r="R187" s="29" t="n"/>
      <c r="S187" s="52">
        <f>IF(OR(A187="",F187="",C187&lt;&gt;"Mekân"),0,IF(COUNTIFS($F$8:F187,F187,$C$8:C187,"Mekân")=1,1,0))</f>
        <v/>
      </c>
      <c r="T187" s="52">
        <f>IF(OR(A187="",F187="",C187&lt;&gt;"Kapak"),0,IF(COUNTIFS($F$8:F187,F187,$C$8:C187,"Kapak")=1,1,0))</f>
        <v/>
      </c>
    </row>
    <row r="188" ht="54" customHeight="1">
      <c r="A188" s="29" t="n"/>
      <c r="B188" s="29" t="n"/>
      <c r="C188" s="29" t="n"/>
      <c r="D188" s="29" t="n"/>
      <c r="E188" s="29" t="n"/>
      <c r="F188" s="29" t="n"/>
      <c r="G188" s="29" t="n"/>
      <c r="H188" s="29" t="n"/>
      <c r="I188" s="29" t="n"/>
      <c r="J188" s="29" t="n"/>
      <c r="K188" s="29" t="n"/>
      <c r="L188" s="49" t="n"/>
      <c r="M188" s="49" t="n"/>
      <c r="N188" s="29" t="n"/>
      <c r="O188" s="29" t="n"/>
      <c r="P188" s="29" t="n"/>
      <c r="Q188" s="51" t="n"/>
      <c r="R188" s="29" t="n"/>
      <c r="S188" s="52">
        <f>IF(OR(A188="",F188="",C188&lt;&gt;"Mekân"),0,IF(COUNTIFS($F$8:F188,F188,$C$8:C188,"Mekân")=1,1,0))</f>
        <v/>
      </c>
      <c r="T188" s="52">
        <f>IF(OR(A188="",F188="",C188&lt;&gt;"Kapak"),0,IF(COUNTIFS($F$8:F188,F188,$C$8:C188,"Kapak")=1,1,0))</f>
        <v/>
      </c>
    </row>
    <row r="189" ht="54" customHeight="1">
      <c r="A189" s="29" t="n"/>
      <c r="B189" s="29" t="n"/>
      <c r="C189" s="29" t="n"/>
      <c r="D189" s="29" t="n"/>
      <c r="E189" s="29" t="n"/>
      <c r="F189" s="29" t="n"/>
      <c r="G189" s="29" t="n"/>
      <c r="H189" s="29" t="n"/>
      <c r="I189" s="29" t="n"/>
      <c r="J189" s="29" t="n"/>
      <c r="K189" s="29" t="n"/>
      <c r="L189" s="49" t="n"/>
      <c r="M189" s="49" t="n"/>
      <c r="N189" s="29" t="n"/>
      <c r="O189" s="29" t="n"/>
      <c r="P189" s="29" t="n"/>
      <c r="Q189" s="51" t="n"/>
      <c r="R189" s="29" t="n"/>
      <c r="S189" s="52">
        <f>IF(OR(A189="",F189="",C189&lt;&gt;"Mekân"),0,IF(COUNTIFS($F$8:F189,F189,$C$8:C189,"Mekân")=1,1,0))</f>
        <v/>
      </c>
      <c r="T189" s="52">
        <f>IF(OR(A189="",F189="",C189&lt;&gt;"Kapak"),0,IF(COUNTIFS($F$8:F189,F189,$C$8:C189,"Kapak")=1,1,0))</f>
        <v/>
      </c>
    </row>
    <row r="190" ht="54" customHeight="1">
      <c r="A190" s="29" t="n"/>
      <c r="B190" s="29" t="n"/>
      <c r="C190" s="29" t="n"/>
      <c r="D190" s="29" t="n"/>
      <c r="E190" s="29" t="n"/>
      <c r="F190" s="29" t="n"/>
      <c r="G190" s="29" t="n"/>
      <c r="H190" s="29" t="n"/>
      <c r="I190" s="29" t="n"/>
      <c r="J190" s="29" t="n"/>
      <c r="K190" s="29" t="n"/>
      <c r="L190" s="49" t="n"/>
      <c r="M190" s="49" t="n"/>
      <c r="N190" s="29" t="n"/>
      <c r="O190" s="29" t="n"/>
      <c r="P190" s="29" t="n"/>
      <c r="Q190" s="51" t="n"/>
      <c r="R190" s="29" t="n"/>
      <c r="S190" s="52">
        <f>IF(OR(A190="",F190="",C190&lt;&gt;"Mekân"),0,IF(COUNTIFS($F$8:F190,F190,$C$8:C190,"Mekân")=1,1,0))</f>
        <v/>
      </c>
      <c r="T190" s="52">
        <f>IF(OR(A190="",F190="",C190&lt;&gt;"Kapak"),0,IF(COUNTIFS($F$8:F190,F190,$C$8:C190,"Kapak")=1,1,0))</f>
        <v/>
      </c>
    </row>
    <row r="191" ht="54" customHeight="1">
      <c r="A191" s="29" t="n"/>
      <c r="B191" s="29" t="n"/>
      <c r="C191" s="29" t="n"/>
      <c r="D191" s="29" t="n"/>
      <c r="E191" s="29" t="n"/>
      <c r="F191" s="29" t="n"/>
      <c r="G191" s="29" t="n"/>
      <c r="H191" s="29" t="n"/>
      <c r="I191" s="29" t="n"/>
      <c r="J191" s="29" t="n"/>
      <c r="K191" s="29" t="n"/>
      <c r="L191" s="49" t="n"/>
      <c r="M191" s="49" t="n"/>
      <c r="N191" s="29" t="n"/>
      <c r="O191" s="29" t="n"/>
      <c r="P191" s="29" t="n"/>
      <c r="Q191" s="51" t="n"/>
      <c r="R191" s="29" t="n"/>
      <c r="S191" s="52">
        <f>IF(OR(A191="",F191="",C191&lt;&gt;"Mekân"),0,IF(COUNTIFS($F$8:F191,F191,$C$8:C191,"Mekân")=1,1,0))</f>
        <v/>
      </c>
      <c r="T191" s="52">
        <f>IF(OR(A191="",F191="",C191&lt;&gt;"Kapak"),0,IF(COUNTIFS($F$8:F191,F191,$C$8:C191,"Kapak")=1,1,0))</f>
        <v/>
      </c>
    </row>
    <row r="192" ht="54" customHeight="1">
      <c r="A192" s="29" t="n"/>
      <c r="B192" s="29" t="n"/>
      <c r="C192" s="29" t="n"/>
      <c r="D192" s="29" t="n"/>
      <c r="E192" s="29" t="n"/>
      <c r="F192" s="29" t="n"/>
      <c r="G192" s="29" t="n"/>
      <c r="H192" s="29" t="n"/>
      <c r="I192" s="29" t="n"/>
      <c r="J192" s="29" t="n"/>
      <c r="K192" s="29" t="n"/>
      <c r="L192" s="49" t="n"/>
      <c r="M192" s="49" t="n"/>
      <c r="N192" s="29" t="n"/>
      <c r="O192" s="29" t="n"/>
      <c r="P192" s="29" t="n"/>
      <c r="Q192" s="51" t="n"/>
      <c r="R192" s="29" t="n"/>
      <c r="S192" s="52">
        <f>IF(OR(A192="",F192="",C192&lt;&gt;"Mekân"),0,IF(COUNTIFS($F$8:F192,F192,$C$8:C192,"Mekân")=1,1,0))</f>
        <v/>
      </c>
      <c r="T192" s="52">
        <f>IF(OR(A192="",F192="",C192&lt;&gt;"Kapak"),0,IF(COUNTIFS($F$8:F192,F192,$C$8:C192,"Kapak")=1,1,0))</f>
        <v/>
      </c>
    </row>
    <row r="193" ht="54" customHeight="1">
      <c r="A193" s="29" t="n"/>
      <c r="B193" s="29" t="n"/>
      <c r="C193" s="29" t="n"/>
      <c r="D193" s="29" t="n"/>
      <c r="E193" s="29" t="n"/>
      <c r="F193" s="29" t="n"/>
      <c r="G193" s="29" t="n"/>
      <c r="H193" s="29" t="n"/>
      <c r="I193" s="29" t="n"/>
      <c r="J193" s="29" t="n"/>
      <c r="K193" s="29" t="n"/>
      <c r="L193" s="49" t="n"/>
      <c r="M193" s="49" t="n"/>
      <c r="N193" s="29" t="n"/>
      <c r="O193" s="29" t="n"/>
      <c r="P193" s="29" t="n"/>
      <c r="Q193" s="51" t="n"/>
      <c r="R193" s="29" t="n"/>
      <c r="S193" s="52">
        <f>IF(OR(A193="",F193="",C193&lt;&gt;"Mekân"),0,IF(COUNTIFS($F$8:F193,F193,$C$8:C193,"Mekân")=1,1,0))</f>
        <v/>
      </c>
      <c r="T193" s="52">
        <f>IF(OR(A193="",F193="",C193&lt;&gt;"Kapak"),0,IF(COUNTIFS($F$8:F193,F193,$C$8:C193,"Kapak")=1,1,0))</f>
        <v/>
      </c>
    </row>
    <row r="194" ht="54" customHeight="1">
      <c r="A194" s="29" t="n"/>
      <c r="B194" s="29" t="n"/>
      <c r="C194" s="29" t="n"/>
      <c r="D194" s="29" t="n"/>
      <c r="E194" s="29" t="n"/>
      <c r="F194" s="29" t="n"/>
      <c r="G194" s="29" t="n"/>
      <c r="H194" s="29" t="n"/>
      <c r="I194" s="29" t="n"/>
      <c r="J194" s="29" t="n"/>
      <c r="K194" s="29" t="n"/>
      <c r="L194" s="49" t="n"/>
      <c r="M194" s="49" t="n"/>
      <c r="N194" s="29" t="n"/>
      <c r="O194" s="29" t="n"/>
      <c r="P194" s="29" t="n"/>
      <c r="Q194" s="51" t="n"/>
      <c r="R194" s="29" t="n"/>
      <c r="S194" s="52">
        <f>IF(OR(A194="",F194="",C194&lt;&gt;"Mekân"),0,IF(COUNTIFS($F$8:F194,F194,$C$8:C194,"Mekân")=1,1,0))</f>
        <v/>
      </c>
      <c r="T194" s="52">
        <f>IF(OR(A194="",F194="",C194&lt;&gt;"Kapak"),0,IF(COUNTIFS($F$8:F194,F194,$C$8:C194,"Kapak")=1,1,0))</f>
        <v/>
      </c>
    </row>
    <row r="195" ht="54" customHeight="1">
      <c r="A195" s="29" t="n"/>
      <c r="B195" s="29" t="n"/>
      <c r="C195" s="29" t="n"/>
      <c r="D195" s="29" t="n"/>
      <c r="E195" s="29" t="n"/>
      <c r="F195" s="29" t="n"/>
      <c r="G195" s="29" t="n"/>
      <c r="H195" s="29" t="n"/>
      <c r="I195" s="29" t="n"/>
      <c r="J195" s="29" t="n"/>
      <c r="K195" s="29" t="n"/>
      <c r="L195" s="49" t="n"/>
      <c r="M195" s="49" t="n"/>
      <c r="N195" s="29" t="n"/>
      <c r="O195" s="29" t="n"/>
      <c r="P195" s="29" t="n"/>
      <c r="Q195" s="51" t="n"/>
      <c r="R195" s="29" t="n"/>
      <c r="S195" s="52">
        <f>IF(OR(A195="",F195="",C195&lt;&gt;"Mekân"),0,IF(COUNTIFS($F$8:F195,F195,$C$8:C195,"Mekân")=1,1,0))</f>
        <v/>
      </c>
      <c r="T195" s="52">
        <f>IF(OR(A195="",F195="",C195&lt;&gt;"Kapak"),0,IF(COUNTIFS($F$8:F195,F195,$C$8:C195,"Kapak")=1,1,0))</f>
        <v/>
      </c>
    </row>
    <row r="196" ht="54" customHeight="1">
      <c r="A196" s="29" t="n"/>
      <c r="B196" s="29" t="n"/>
      <c r="C196" s="29" t="n"/>
      <c r="D196" s="29" t="n"/>
      <c r="E196" s="29" t="n"/>
      <c r="F196" s="29" t="n"/>
      <c r="G196" s="29" t="n"/>
      <c r="H196" s="29" t="n"/>
      <c r="I196" s="29" t="n"/>
      <c r="J196" s="29" t="n"/>
      <c r="K196" s="29" t="n"/>
      <c r="L196" s="49" t="n"/>
      <c r="M196" s="49" t="n"/>
      <c r="N196" s="29" t="n"/>
      <c r="O196" s="29" t="n"/>
      <c r="P196" s="29" t="n"/>
      <c r="Q196" s="51" t="n"/>
      <c r="R196" s="29" t="n"/>
      <c r="S196" s="52">
        <f>IF(OR(A196="",F196="",C196&lt;&gt;"Mekân"),0,IF(COUNTIFS($F$8:F196,F196,$C$8:C196,"Mekân")=1,1,0))</f>
        <v/>
      </c>
      <c r="T196" s="52">
        <f>IF(OR(A196="",F196="",C196&lt;&gt;"Kapak"),0,IF(COUNTIFS($F$8:F196,F196,$C$8:C196,"Kapak")=1,1,0))</f>
        <v/>
      </c>
    </row>
    <row r="197" ht="54" customHeight="1">
      <c r="A197" s="29" t="n"/>
      <c r="B197" s="29" t="n"/>
      <c r="C197" s="29" t="n"/>
      <c r="D197" s="29" t="n"/>
      <c r="E197" s="29" t="n"/>
      <c r="F197" s="29" t="n"/>
      <c r="G197" s="29" t="n"/>
      <c r="H197" s="29" t="n"/>
      <c r="I197" s="29" t="n"/>
      <c r="J197" s="29" t="n"/>
      <c r="K197" s="29" t="n"/>
      <c r="L197" s="49" t="n"/>
      <c r="M197" s="49" t="n"/>
      <c r="N197" s="29" t="n"/>
      <c r="O197" s="29" t="n"/>
      <c r="P197" s="29" t="n"/>
      <c r="Q197" s="51" t="n"/>
      <c r="R197" s="29" t="n"/>
      <c r="S197" s="52">
        <f>IF(OR(A197="",F197="",C197&lt;&gt;"Mekân"),0,IF(COUNTIFS($F$8:F197,F197,$C$8:C197,"Mekân")=1,1,0))</f>
        <v/>
      </c>
      <c r="T197" s="52">
        <f>IF(OR(A197="",F197="",C197&lt;&gt;"Kapak"),0,IF(COUNTIFS($F$8:F197,F197,$C$8:C197,"Kapak")=1,1,0))</f>
        <v/>
      </c>
    </row>
    <row r="198" ht="54" customHeight="1">
      <c r="A198" s="29" t="n"/>
      <c r="B198" s="29" t="n"/>
      <c r="C198" s="29" t="n"/>
      <c r="D198" s="29" t="n"/>
      <c r="E198" s="29" t="n"/>
      <c r="F198" s="29" t="n"/>
      <c r="G198" s="29" t="n"/>
      <c r="H198" s="29" t="n"/>
      <c r="I198" s="29" t="n"/>
      <c r="J198" s="29" t="n"/>
      <c r="K198" s="29" t="n"/>
      <c r="L198" s="49" t="n"/>
      <c r="M198" s="49" t="n"/>
      <c r="N198" s="29" t="n"/>
      <c r="O198" s="29" t="n"/>
      <c r="P198" s="29" t="n"/>
      <c r="Q198" s="51" t="n"/>
      <c r="R198" s="29" t="n"/>
      <c r="S198" s="52">
        <f>IF(OR(A198="",F198="",C198&lt;&gt;"Mekân"),0,IF(COUNTIFS($F$8:F198,F198,$C$8:C198,"Mekân")=1,1,0))</f>
        <v/>
      </c>
      <c r="T198" s="52">
        <f>IF(OR(A198="",F198="",C198&lt;&gt;"Kapak"),0,IF(COUNTIFS($F$8:F198,F198,$C$8:C198,"Kapak")=1,1,0))</f>
        <v/>
      </c>
    </row>
    <row r="199" ht="54" customHeight="1">
      <c r="A199" s="29" t="n"/>
      <c r="B199" s="29" t="n"/>
      <c r="C199" s="29" t="n"/>
      <c r="D199" s="29" t="n"/>
      <c r="E199" s="29" t="n"/>
      <c r="F199" s="29" t="n"/>
      <c r="G199" s="29" t="n"/>
      <c r="H199" s="29" t="n"/>
      <c r="I199" s="29" t="n"/>
      <c r="J199" s="29" t="n"/>
      <c r="K199" s="29" t="n"/>
      <c r="L199" s="49" t="n"/>
      <c r="M199" s="49" t="n"/>
      <c r="N199" s="29" t="n"/>
      <c r="O199" s="29" t="n"/>
      <c r="P199" s="29" t="n"/>
      <c r="Q199" s="51" t="n"/>
      <c r="R199" s="29" t="n"/>
      <c r="S199" s="52">
        <f>IF(OR(A199="",F199="",C199&lt;&gt;"Mekân"),0,IF(COUNTIFS($F$8:F199,F199,$C$8:C199,"Mekân")=1,1,0))</f>
        <v/>
      </c>
      <c r="T199" s="52">
        <f>IF(OR(A199="",F199="",C199&lt;&gt;"Kapak"),0,IF(COUNTIFS($F$8:F199,F199,$C$8:C199,"Kapak")=1,1,0))</f>
        <v/>
      </c>
    </row>
    <row r="200" ht="54" customHeight="1">
      <c r="A200" s="29" t="n"/>
      <c r="B200" s="29" t="n"/>
      <c r="C200" s="29" t="n"/>
      <c r="D200" s="29" t="n"/>
      <c r="E200" s="29" t="n"/>
      <c r="F200" s="29" t="n"/>
      <c r="G200" s="29" t="n"/>
      <c r="H200" s="29" t="n"/>
      <c r="I200" s="29" t="n"/>
      <c r="J200" s="29" t="n"/>
      <c r="K200" s="29" t="n"/>
      <c r="L200" s="49" t="n"/>
      <c r="M200" s="49" t="n"/>
      <c r="N200" s="29" t="n"/>
      <c r="O200" s="29" t="n"/>
      <c r="P200" s="29" t="n"/>
      <c r="Q200" s="51" t="n"/>
      <c r="R200" s="29" t="n"/>
      <c r="S200" s="52">
        <f>IF(OR(A200="",F200="",C200&lt;&gt;"Mekân"),0,IF(COUNTIFS($F$8:F200,F200,$C$8:C200,"Mekân")=1,1,0))</f>
        <v/>
      </c>
      <c r="T200" s="52">
        <f>IF(OR(A200="",F200="",C200&lt;&gt;"Kapak"),0,IF(COUNTIFS($F$8:F200,F200,$C$8:C200,"Kapak")=1,1,0))</f>
        <v/>
      </c>
    </row>
    <row r="201" ht="54" customHeight="1">
      <c r="A201" s="29" t="n"/>
      <c r="B201" s="29" t="n"/>
      <c r="C201" s="29" t="n"/>
      <c r="D201" s="29" t="n"/>
      <c r="E201" s="29" t="n"/>
      <c r="F201" s="29" t="n"/>
      <c r="G201" s="29" t="n"/>
      <c r="H201" s="29" t="n"/>
      <c r="I201" s="29" t="n"/>
      <c r="J201" s="29" t="n"/>
      <c r="K201" s="29" t="n"/>
      <c r="L201" s="49" t="n"/>
      <c r="M201" s="49" t="n"/>
      <c r="N201" s="29" t="n"/>
      <c r="O201" s="29" t="n"/>
      <c r="P201" s="29" t="n"/>
      <c r="Q201" s="51" t="n"/>
      <c r="R201" s="29" t="n"/>
      <c r="S201" s="52">
        <f>IF(OR(A201="",F201="",C201&lt;&gt;"Mekân"),0,IF(COUNTIFS($F$8:F201,F201,$C$8:C201,"Mekân")=1,1,0))</f>
        <v/>
      </c>
      <c r="T201" s="52">
        <f>IF(OR(A201="",F201="",C201&lt;&gt;"Kapak"),0,IF(COUNTIFS($F$8:F201,F201,$C$8:C201,"Kapak")=1,1,0))</f>
        <v/>
      </c>
    </row>
    <row r="202" ht="54" customHeight="1">
      <c r="A202" s="29" t="n"/>
      <c r="B202" s="29" t="n"/>
      <c r="C202" s="29" t="n"/>
      <c r="D202" s="29" t="n"/>
      <c r="E202" s="29" t="n"/>
      <c r="F202" s="29" t="n"/>
      <c r="G202" s="29" t="n"/>
      <c r="H202" s="29" t="n"/>
      <c r="I202" s="29" t="n"/>
      <c r="J202" s="29" t="n"/>
      <c r="K202" s="29" t="n"/>
      <c r="L202" s="49" t="n"/>
      <c r="M202" s="49" t="n"/>
      <c r="N202" s="29" t="n"/>
      <c r="O202" s="29" t="n"/>
      <c r="P202" s="29" t="n"/>
      <c r="Q202" s="51" t="n"/>
      <c r="R202" s="29" t="n"/>
      <c r="S202" s="52">
        <f>IF(OR(A202="",F202="",C202&lt;&gt;"Mekân"),0,IF(COUNTIFS($F$8:F202,F202,$C$8:C202,"Mekân")=1,1,0))</f>
        <v/>
      </c>
      <c r="T202" s="52">
        <f>IF(OR(A202="",F202="",C202&lt;&gt;"Kapak"),0,IF(COUNTIFS($F$8:F202,F202,$C$8:C202,"Kapak")=1,1,0))</f>
        <v/>
      </c>
    </row>
    <row r="203" ht="54" customHeight="1">
      <c r="A203" s="29" t="n"/>
      <c r="B203" s="29" t="n"/>
      <c r="C203" s="29" t="n"/>
      <c r="D203" s="29" t="n"/>
      <c r="E203" s="29" t="n"/>
      <c r="F203" s="29" t="n"/>
      <c r="G203" s="29" t="n"/>
      <c r="H203" s="29" t="n"/>
      <c r="I203" s="29" t="n"/>
      <c r="J203" s="29" t="n"/>
      <c r="K203" s="29" t="n"/>
      <c r="L203" s="49" t="n"/>
      <c r="M203" s="49" t="n"/>
      <c r="N203" s="29" t="n"/>
      <c r="O203" s="29" t="n"/>
      <c r="P203" s="29" t="n"/>
      <c r="Q203" s="51" t="n"/>
      <c r="R203" s="29" t="n"/>
      <c r="S203" s="52">
        <f>IF(OR(A203="",F203="",C203&lt;&gt;"Mekân"),0,IF(COUNTIFS($F$8:F203,F203,$C$8:C203,"Mekân")=1,1,0))</f>
        <v/>
      </c>
      <c r="T203" s="52">
        <f>IF(OR(A203="",F203="",C203&lt;&gt;"Kapak"),0,IF(COUNTIFS($F$8:F203,F203,$C$8:C203,"Kapak")=1,1,0))</f>
        <v/>
      </c>
    </row>
    <row r="204" ht="54" customHeight="1">
      <c r="A204" s="29" t="n"/>
      <c r="B204" s="29" t="n"/>
      <c r="C204" s="29" t="n"/>
      <c r="D204" s="29" t="n"/>
      <c r="E204" s="29" t="n"/>
      <c r="F204" s="29" t="n"/>
      <c r="G204" s="29" t="n"/>
      <c r="H204" s="29" t="n"/>
      <c r="I204" s="29" t="n"/>
      <c r="J204" s="29" t="n"/>
      <c r="K204" s="29" t="n"/>
      <c r="L204" s="49" t="n"/>
      <c r="M204" s="49" t="n"/>
      <c r="N204" s="29" t="n"/>
      <c r="O204" s="29" t="n"/>
      <c r="P204" s="29" t="n"/>
      <c r="Q204" s="51" t="n"/>
      <c r="R204" s="29" t="n"/>
      <c r="S204" s="52">
        <f>IF(OR(A204="",F204="",C204&lt;&gt;"Mekân"),0,IF(COUNTIFS($F$8:F204,F204,$C$8:C204,"Mekân")=1,1,0))</f>
        <v/>
      </c>
      <c r="T204" s="52">
        <f>IF(OR(A204="",F204="",C204&lt;&gt;"Kapak"),0,IF(COUNTIFS($F$8:F204,F204,$C$8:C204,"Kapak")=1,1,0))</f>
        <v/>
      </c>
    </row>
    <row r="205" ht="54" customHeight="1">
      <c r="A205" s="29" t="n"/>
      <c r="B205" s="29" t="n"/>
      <c r="C205" s="29" t="n"/>
      <c r="D205" s="29" t="n"/>
      <c r="E205" s="29" t="n"/>
      <c r="F205" s="29" t="n"/>
      <c r="G205" s="29" t="n"/>
      <c r="H205" s="29" t="n"/>
      <c r="I205" s="29" t="n"/>
      <c r="J205" s="29" t="n"/>
      <c r="K205" s="29" t="n"/>
      <c r="L205" s="49" t="n"/>
      <c r="M205" s="49" t="n"/>
      <c r="N205" s="29" t="n"/>
      <c r="O205" s="29" t="n"/>
      <c r="P205" s="29" t="n"/>
      <c r="Q205" s="51" t="n"/>
      <c r="R205" s="29" t="n"/>
      <c r="S205" s="52">
        <f>IF(OR(A205="",F205="",C205&lt;&gt;"Mekân"),0,IF(COUNTIFS($F$8:F205,F205,$C$8:C205,"Mekân")=1,1,0))</f>
        <v/>
      </c>
      <c r="T205" s="52">
        <f>IF(OR(A205="",F205="",C205&lt;&gt;"Kapak"),0,IF(COUNTIFS($F$8:F205,F205,$C$8:C205,"Kapak")=1,1,0))</f>
        <v/>
      </c>
    </row>
    <row r="206" ht="54" customHeight="1">
      <c r="A206" s="29" t="n"/>
      <c r="B206" s="29" t="n"/>
      <c r="C206" s="29" t="n"/>
      <c r="D206" s="29" t="n"/>
      <c r="E206" s="29" t="n"/>
      <c r="F206" s="29" t="n"/>
      <c r="G206" s="29" t="n"/>
      <c r="H206" s="29" t="n"/>
      <c r="I206" s="29" t="n"/>
      <c r="J206" s="29" t="n"/>
      <c r="K206" s="29" t="n"/>
      <c r="L206" s="49" t="n"/>
      <c r="M206" s="49" t="n"/>
      <c r="N206" s="29" t="n"/>
      <c r="O206" s="29" t="n"/>
      <c r="P206" s="29" t="n"/>
      <c r="Q206" s="51" t="n"/>
      <c r="R206" s="29" t="n"/>
      <c r="S206" s="52">
        <f>IF(OR(A206="",F206="",C206&lt;&gt;"Mekân"),0,IF(COUNTIFS($F$8:F206,F206,$C$8:C206,"Mekân")=1,1,0))</f>
        <v/>
      </c>
      <c r="T206" s="52">
        <f>IF(OR(A206="",F206="",C206&lt;&gt;"Kapak"),0,IF(COUNTIFS($F$8:F206,F206,$C$8:C206,"Kapak")=1,1,0))</f>
        <v/>
      </c>
    </row>
    <row r="207" ht="54" customHeight="1">
      <c r="A207" s="29" t="n"/>
      <c r="B207" s="29" t="n"/>
      <c r="C207" s="29" t="n"/>
      <c r="D207" s="29" t="n"/>
      <c r="E207" s="29" t="n"/>
      <c r="F207" s="29" t="n"/>
      <c r="G207" s="29" t="n"/>
      <c r="H207" s="29" t="n"/>
      <c r="I207" s="29" t="n"/>
      <c r="J207" s="29" t="n"/>
      <c r="K207" s="29" t="n"/>
      <c r="L207" s="49" t="n"/>
      <c r="M207" s="49" t="n"/>
      <c r="N207" s="29" t="n"/>
      <c r="O207" s="29" t="n"/>
      <c r="P207" s="29" t="n"/>
      <c r="Q207" s="51" t="n"/>
      <c r="R207" s="29" t="n"/>
      <c r="S207" s="52">
        <f>IF(OR(A207="",F207="",C207&lt;&gt;"Mekân"),0,IF(COUNTIFS($F$8:F207,F207,$C$8:C207,"Mekân")=1,1,0))</f>
        <v/>
      </c>
      <c r="T207" s="52">
        <f>IF(OR(A207="",F207="",C207&lt;&gt;"Kapak"),0,IF(COUNTIFS($F$8:F207,F207,$C$8:C207,"Kapak")=1,1,0))</f>
        <v/>
      </c>
    </row>
    <row r="208" ht="54" customHeight="1">
      <c r="A208" s="29" t="n"/>
      <c r="B208" s="29" t="n"/>
      <c r="C208" s="29" t="n"/>
      <c r="D208" s="29" t="n"/>
      <c r="E208" s="29" t="n"/>
      <c r="F208" s="29" t="n"/>
      <c r="G208" s="29" t="n"/>
      <c r="H208" s="29" t="n"/>
      <c r="I208" s="29" t="n"/>
      <c r="J208" s="29" t="n"/>
      <c r="K208" s="29" t="n"/>
      <c r="L208" s="49" t="n"/>
      <c r="M208" s="49" t="n"/>
      <c r="N208" s="29" t="n"/>
      <c r="O208" s="29" t="n"/>
      <c r="P208" s="29" t="n"/>
      <c r="Q208" s="51" t="n"/>
      <c r="R208" s="29" t="n"/>
      <c r="S208" s="52">
        <f>IF(OR(A208="",F208="",C208&lt;&gt;"Mekân"),0,IF(COUNTIFS($F$8:F208,F208,$C$8:C208,"Mekân")=1,1,0))</f>
        <v/>
      </c>
      <c r="T208" s="52">
        <f>IF(OR(A208="",F208="",C208&lt;&gt;"Kapak"),0,IF(COUNTIFS($F$8:F208,F208,$C$8:C208,"Kapak")=1,1,0))</f>
        <v/>
      </c>
    </row>
    <row r="209" ht="54" customHeight="1">
      <c r="A209" s="29" t="n"/>
      <c r="B209" s="29" t="n"/>
      <c r="C209" s="29" t="n"/>
      <c r="D209" s="29" t="n"/>
      <c r="E209" s="29" t="n"/>
      <c r="F209" s="29" t="n"/>
      <c r="G209" s="29" t="n"/>
      <c r="H209" s="29" t="n"/>
      <c r="I209" s="29" t="n"/>
      <c r="J209" s="29" t="n"/>
      <c r="K209" s="29" t="n"/>
      <c r="L209" s="49" t="n"/>
      <c r="M209" s="49" t="n"/>
      <c r="N209" s="29" t="n"/>
      <c r="O209" s="29" t="n"/>
      <c r="P209" s="29" t="n"/>
      <c r="Q209" s="51" t="n"/>
      <c r="R209" s="29" t="n"/>
      <c r="S209" s="52">
        <f>IF(OR(A209="",F209="",C209&lt;&gt;"Mekân"),0,IF(COUNTIFS($F$8:F209,F209,$C$8:C209,"Mekân")=1,1,0))</f>
        <v/>
      </c>
      <c r="T209" s="52">
        <f>IF(OR(A209="",F209="",C209&lt;&gt;"Kapak"),0,IF(COUNTIFS($F$8:F209,F209,$C$8:C209,"Kapak")=1,1,0))</f>
        <v/>
      </c>
    </row>
    <row r="210" ht="54" customHeight="1">
      <c r="A210" s="29" t="n"/>
      <c r="B210" s="29" t="n"/>
      <c r="C210" s="29" t="n"/>
      <c r="D210" s="29" t="n"/>
      <c r="E210" s="29" t="n"/>
      <c r="F210" s="29" t="n"/>
      <c r="G210" s="29" t="n"/>
      <c r="H210" s="29" t="n"/>
      <c r="I210" s="29" t="n"/>
      <c r="J210" s="29" t="n"/>
      <c r="K210" s="29" t="n"/>
      <c r="L210" s="49" t="n"/>
      <c r="M210" s="49" t="n"/>
      <c r="N210" s="29" t="n"/>
      <c r="O210" s="29" t="n"/>
      <c r="P210" s="29" t="n"/>
      <c r="Q210" s="51" t="n"/>
      <c r="R210" s="29" t="n"/>
      <c r="S210" s="52">
        <f>IF(OR(A210="",F210="",C210&lt;&gt;"Mekân"),0,IF(COUNTIFS($F$8:F210,F210,$C$8:C210,"Mekân")=1,1,0))</f>
        <v/>
      </c>
      <c r="T210" s="52">
        <f>IF(OR(A210="",F210="",C210&lt;&gt;"Kapak"),0,IF(COUNTIFS($F$8:F210,F210,$C$8:C210,"Kapak")=1,1,0))</f>
        <v/>
      </c>
    </row>
    <row r="211" ht="54" customHeight="1">
      <c r="A211" s="29" t="n"/>
      <c r="B211" s="29" t="n"/>
      <c r="C211" s="29" t="n"/>
      <c r="D211" s="29" t="n"/>
      <c r="E211" s="29" t="n"/>
      <c r="F211" s="29" t="n"/>
      <c r="G211" s="29" t="n"/>
      <c r="H211" s="29" t="n"/>
      <c r="I211" s="29" t="n"/>
      <c r="J211" s="29" t="n"/>
      <c r="K211" s="29" t="n"/>
      <c r="L211" s="49" t="n"/>
      <c r="M211" s="49" t="n"/>
      <c r="N211" s="29" t="n"/>
      <c r="O211" s="29" t="n"/>
      <c r="P211" s="29" t="n"/>
      <c r="Q211" s="51" t="n"/>
      <c r="R211" s="29" t="n"/>
      <c r="S211" s="52">
        <f>IF(OR(A211="",F211="",C211&lt;&gt;"Mekân"),0,IF(COUNTIFS($F$8:F211,F211,$C$8:C211,"Mekân")=1,1,0))</f>
        <v/>
      </c>
      <c r="T211" s="52">
        <f>IF(OR(A211="",F211="",C211&lt;&gt;"Kapak"),0,IF(COUNTIFS($F$8:F211,F211,$C$8:C211,"Kapak")=1,1,0))</f>
        <v/>
      </c>
    </row>
    <row r="212" ht="54" customHeight="1">
      <c r="A212" s="29" t="n"/>
      <c r="B212" s="29" t="n"/>
      <c r="C212" s="29" t="n"/>
      <c r="D212" s="29" t="n"/>
      <c r="E212" s="29" t="n"/>
      <c r="F212" s="29" t="n"/>
      <c r="G212" s="29" t="n"/>
      <c r="H212" s="29" t="n"/>
      <c r="I212" s="29" t="n"/>
      <c r="J212" s="29" t="n"/>
      <c r="K212" s="29" t="n"/>
      <c r="L212" s="49" t="n"/>
      <c r="M212" s="49" t="n"/>
      <c r="N212" s="29" t="n"/>
      <c r="O212" s="29" t="n"/>
      <c r="P212" s="29" t="n"/>
      <c r="Q212" s="51" t="n"/>
      <c r="R212" s="29" t="n"/>
      <c r="S212" s="52">
        <f>IF(OR(A212="",F212="",C212&lt;&gt;"Mekân"),0,IF(COUNTIFS($F$8:F212,F212,$C$8:C212,"Mekân")=1,1,0))</f>
        <v/>
      </c>
      <c r="T212" s="52">
        <f>IF(OR(A212="",F212="",C212&lt;&gt;"Kapak"),0,IF(COUNTIFS($F$8:F212,F212,$C$8:C212,"Kapak")=1,1,0))</f>
        <v/>
      </c>
    </row>
    <row r="213" ht="54" customHeight="1">
      <c r="A213" s="29" t="n"/>
      <c r="B213" s="29" t="n"/>
      <c r="C213" s="29" t="n"/>
      <c r="D213" s="29" t="n"/>
      <c r="E213" s="29" t="n"/>
      <c r="F213" s="29" t="n"/>
      <c r="G213" s="29" t="n"/>
      <c r="H213" s="29" t="n"/>
      <c r="I213" s="29" t="n"/>
      <c r="J213" s="29" t="n"/>
      <c r="K213" s="29" t="n"/>
      <c r="L213" s="49" t="n"/>
      <c r="M213" s="49" t="n"/>
      <c r="N213" s="29" t="n"/>
      <c r="O213" s="29" t="n"/>
      <c r="P213" s="29" t="n"/>
      <c r="Q213" s="51" t="n"/>
      <c r="R213" s="29" t="n"/>
      <c r="S213" s="52">
        <f>IF(OR(A213="",F213="",C213&lt;&gt;"Mekân"),0,IF(COUNTIFS($F$8:F213,F213,$C$8:C213,"Mekân")=1,1,0))</f>
        <v/>
      </c>
      <c r="T213" s="52">
        <f>IF(OR(A213="",F213="",C213&lt;&gt;"Kapak"),0,IF(COUNTIFS($F$8:F213,F213,$C$8:C213,"Kapak")=1,1,0))</f>
        <v/>
      </c>
    </row>
    <row r="214" ht="54" customHeight="1">
      <c r="A214" s="29" t="n"/>
      <c r="B214" s="29" t="n"/>
      <c r="C214" s="29" t="n"/>
      <c r="D214" s="29" t="n"/>
      <c r="E214" s="29" t="n"/>
      <c r="F214" s="29" t="n"/>
      <c r="G214" s="29" t="n"/>
      <c r="H214" s="29" t="n"/>
      <c r="I214" s="29" t="n"/>
      <c r="J214" s="29" t="n"/>
      <c r="K214" s="29" t="n"/>
      <c r="L214" s="49" t="n"/>
      <c r="M214" s="49" t="n"/>
      <c r="N214" s="29" t="n"/>
      <c r="O214" s="29" t="n"/>
      <c r="P214" s="29" t="n"/>
      <c r="Q214" s="51" t="n"/>
      <c r="R214" s="29" t="n"/>
      <c r="S214" s="52">
        <f>IF(OR(A214="",F214="",C214&lt;&gt;"Mekân"),0,IF(COUNTIFS($F$8:F214,F214,$C$8:C214,"Mekân")=1,1,0))</f>
        <v/>
      </c>
      <c r="T214" s="52">
        <f>IF(OR(A214="",F214="",C214&lt;&gt;"Kapak"),0,IF(COUNTIFS($F$8:F214,F214,$C$8:C214,"Kapak")=1,1,0))</f>
        <v/>
      </c>
    </row>
    <row r="215" ht="54" customHeight="1">
      <c r="A215" s="29" t="n"/>
      <c r="B215" s="29" t="n"/>
      <c r="C215" s="29" t="n"/>
      <c r="D215" s="29" t="n"/>
      <c r="E215" s="29" t="n"/>
      <c r="F215" s="29" t="n"/>
      <c r="G215" s="29" t="n"/>
      <c r="H215" s="29" t="n"/>
      <c r="I215" s="29" t="n"/>
      <c r="J215" s="29" t="n"/>
      <c r="K215" s="29" t="n"/>
      <c r="L215" s="49" t="n"/>
      <c r="M215" s="49" t="n"/>
      <c r="N215" s="29" t="n"/>
      <c r="O215" s="29" t="n"/>
      <c r="P215" s="29" t="n"/>
      <c r="Q215" s="51" t="n"/>
      <c r="R215" s="29" t="n"/>
      <c r="S215" s="52">
        <f>IF(OR(A215="",F215="",C215&lt;&gt;"Mekân"),0,IF(COUNTIFS($F$8:F215,F215,$C$8:C215,"Mekân")=1,1,0))</f>
        <v/>
      </c>
      <c r="T215" s="52">
        <f>IF(OR(A215="",F215="",C215&lt;&gt;"Kapak"),0,IF(COUNTIFS($F$8:F215,F215,$C$8:C215,"Kapak")=1,1,0))</f>
        <v/>
      </c>
    </row>
    <row r="216" ht="54" customHeight="1">
      <c r="A216" s="29" t="n"/>
      <c r="B216" s="29" t="n"/>
      <c r="C216" s="29" t="n"/>
      <c r="D216" s="29" t="n"/>
      <c r="E216" s="29" t="n"/>
      <c r="F216" s="29" t="n"/>
      <c r="G216" s="29" t="n"/>
      <c r="H216" s="29" t="n"/>
      <c r="I216" s="29" t="n"/>
      <c r="J216" s="29" t="n"/>
      <c r="K216" s="29" t="n"/>
      <c r="L216" s="49" t="n"/>
      <c r="M216" s="49" t="n"/>
      <c r="N216" s="29" t="n"/>
      <c r="O216" s="29" t="n"/>
      <c r="P216" s="29" t="n"/>
      <c r="Q216" s="51" t="n"/>
      <c r="R216" s="29" t="n"/>
      <c r="S216" s="52">
        <f>IF(OR(A216="",F216="",C216&lt;&gt;"Mekân"),0,IF(COUNTIFS($F$8:F216,F216,$C$8:C216,"Mekân")=1,1,0))</f>
        <v/>
      </c>
      <c r="T216" s="52">
        <f>IF(OR(A216="",F216="",C216&lt;&gt;"Kapak"),0,IF(COUNTIFS($F$8:F216,F216,$C$8:C216,"Kapak")=1,1,0))</f>
        <v/>
      </c>
    </row>
    <row r="217" ht="54" customHeight="1">
      <c r="A217" s="29" t="n"/>
      <c r="B217" s="29" t="n"/>
      <c r="C217" s="29" t="n"/>
      <c r="D217" s="29" t="n"/>
      <c r="E217" s="29" t="n"/>
      <c r="F217" s="29" t="n"/>
      <c r="G217" s="29" t="n"/>
      <c r="H217" s="29" t="n"/>
      <c r="I217" s="29" t="n"/>
      <c r="J217" s="29" t="n"/>
      <c r="K217" s="29" t="n"/>
      <c r="L217" s="49" t="n"/>
      <c r="M217" s="49" t="n"/>
      <c r="N217" s="29" t="n"/>
      <c r="O217" s="29" t="n"/>
      <c r="P217" s="29" t="n"/>
      <c r="Q217" s="51" t="n"/>
      <c r="R217" s="29" t="n"/>
      <c r="S217" s="52">
        <f>IF(OR(A217="",F217="",C217&lt;&gt;"Mekân"),0,IF(COUNTIFS($F$8:F217,F217,$C$8:C217,"Mekân")=1,1,0))</f>
        <v/>
      </c>
      <c r="T217" s="52">
        <f>IF(OR(A217="",F217="",C217&lt;&gt;"Kapak"),0,IF(COUNTIFS($F$8:F217,F217,$C$8:C217,"Kapak")=1,1,0))</f>
        <v/>
      </c>
    </row>
    <row r="218" ht="54" customHeight="1">
      <c r="A218" s="29" t="n"/>
      <c r="B218" s="29" t="n"/>
      <c r="C218" s="29" t="n"/>
      <c r="D218" s="29" t="n"/>
      <c r="E218" s="29" t="n"/>
      <c r="F218" s="29" t="n"/>
      <c r="G218" s="29" t="n"/>
      <c r="H218" s="29" t="n"/>
      <c r="I218" s="29" t="n"/>
      <c r="J218" s="29" t="n"/>
      <c r="K218" s="29" t="n"/>
      <c r="L218" s="49" t="n"/>
      <c r="M218" s="49" t="n"/>
      <c r="N218" s="29" t="n"/>
      <c r="O218" s="29" t="n"/>
      <c r="P218" s="29" t="n"/>
      <c r="Q218" s="51" t="n"/>
      <c r="R218" s="29" t="n"/>
      <c r="S218" s="52">
        <f>IF(OR(A218="",F218="",C218&lt;&gt;"Mekân"),0,IF(COUNTIFS($F$8:F218,F218,$C$8:C218,"Mekân")=1,1,0))</f>
        <v/>
      </c>
      <c r="T218" s="52">
        <f>IF(OR(A218="",F218="",C218&lt;&gt;"Kapak"),0,IF(COUNTIFS($F$8:F218,F218,$C$8:C218,"Kapak")=1,1,0))</f>
        <v/>
      </c>
    </row>
    <row r="219" ht="54" customHeight="1">
      <c r="A219" s="29" t="n"/>
      <c r="B219" s="29" t="n"/>
      <c r="C219" s="29" t="n"/>
      <c r="D219" s="29" t="n"/>
      <c r="E219" s="29" t="n"/>
      <c r="F219" s="29" t="n"/>
      <c r="G219" s="29" t="n"/>
      <c r="H219" s="29" t="n"/>
      <c r="I219" s="29" t="n"/>
      <c r="J219" s="29" t="n"/>
      <c r="K219" s="29" t="n"/>
      <c r="L219" s="49" t="n"/>
      <c r="M219" s="49" t="n"/>
      <c r="N219" s="29" t="n"/>
      <c r="O219" s="29" t="n"/>
      <c r="P219" s="29" t="n"/>
      <c r="Q219" s="51" t="n"/>
      <c r="R219" s="29" t="n"/>
      <c r="S219" s="52">
        <f>IF(OR(A219="",F219="",C219&lt;&gt;"Mekân"),0,IF(COUNTIFS($F$8:F219,F219,$C$8:C219,"Mekân")=1,1,0))</f>
        <v/>
      </c>
      <c r="T219" s="52">
        <f>IF(OR(A219="",F219="",C219&lt;&gt;"Kapak"),0,IF(COUNTIFS($F$8:F219,F219,$C$8:C219,"Kapak")=1,1,0))</f>
        <v/>
      </c>
    </row>
    <row r="220" ht="54" customHeight="1">
      <c r="A220" s="29" t="n"/>
      <c r="B220" s="29" t="n"/>
      <c r="C220" s="29" t="n"/>
      <c r="D220" s="29" t="n"/>
      <c r="E220" s="29" t="n"/>
      <c r="F220" s="29" t="n"/>
      <c r="G220" s="29" t="n"/>
      <c r="H220" s="29" t="n"/>
      <c r="I220" s="29" t="n"/>
      <c r="J220" s="29" t="n"/>
      <c r="K220" s="29" t="n"/>
      <c r="L220" s="49" t="n"/>
      <c r="M220" s="49" t="n"/>
      <c r="N220" s="29" t="n"/>
      <c r="O220" s="29" t="n"/>
      <c r="P220" s="29" t="n"/>
      <c r="Q220" s="51" t="n"/>
      <c r="R220" s="29" t="n"/>
      <c r="S220" s="52">
        <f>IF(OR(A220="",F220="",C220&lt;&gt;"Mekân"),0,IF(COUNTIFS($F$8:F220,F220,$C$8:C220,"Mekân")=1,1,0))</f>
        <v/>
      </c>
      <c r="T220" s="52">
        <f>IF(OR(A220="",F220="",C220&lt;&gt;"Kapak"),0,IF(COUNTIFS($F$8:F220,F220,$C$8:C220,"Kapak")=1,1,0))</f>
        <v/>
      </c>
    </row>
    <row r="221" ht="54" customHeight="1">
      <c r="A221" s="29" t="n"/>
      <c r="B221" s="29" t="n"/>
      <c r="C221" s="29" t="n"/>
      <c r="D221" s="29" t="n"/>
      <c r="E221" s="29" t="n"/>
      <c r="F221" s="29" t="n"/>
      <c r="G221" s="29" t="n"/>
      <c r="H221" s="29" t="n"/>
      <c r="I221" s="29" t="n"/>
      <c r="J221" s="29" t="n"/>
      <c r="K221" s="29" t="n"/>
      <c r="L221" s="49" t="n"/>
      <c r="M221" s="49" t="n"/>
      <c r="N221" s="29" t="n"/>
      <c r="O221" s="29" t="n"/>
      <c r="P221" s="29" t="n"/>
      <c r="Q221" s="51" t="n"/>
      <c r="R221" s="29" t="n"/>
      <c r="S221" s="52">
        <f>IF(OR(A221="",F221="",C221&lt;&gt;"Mekân"),0,IF(COUNTIFS($F$8:F221,F221,$C$8:C221,"Mekân")=1,1,0))</f>
        <v/>
      </c>
      <c r="T221" s="52">
        <f>IF(OR(A221="",F221="",C221&lt;&gt;"Kapak"),0,IF(COUNTIFS($F$8:F221,F221,$C$8:C221,"Kapak")=1,1,0))</f>
        <v/>
      </c>
    </row>
    <row r="222" ht="54" customHeight="1">
      <c r="A222" s="29" t="n"/>
      <c r="B222" s="29" t="n"/>
      <c r="C222" s="29" t="n"/>
      <c r="D222" s="29" t="n"/>
      <c r="E222" s="29" t="n"/>
      <c r="F222" s="29" t="n"/>
      <c r="G222" s="29" t="n"/>
      <c r="H222" s="29" t="n"/>
      <c r="I222" s="29" t="n"/>
      <c r="J222" s="29" t="n"/>
      <c r="K222" s="29" t="n"/>
      <c r="L222" s="49" t="n"/>
      <c r="M222" s="49" t="n"/>
      <c r="N222" s="29" t="n"/>
      <c r="O222" s="29" t="n"/>
      <c r="P222" s="29" t="n"/>
      <c r="Q222" s="51" t="n"/>
      <c r="R222" s="29" t="n"/>
      <c r="S222" s="52">
        <f>IF(OR(A222="",F222="",C222&lt;&gt;"Mekân"),0,IF(COUNTIFS($F$8:F222,F222,$C$8:C222,"Mekân")=1,1,0))</f>
        <v/>
      </c>
      <c r="T222" s="52">
        <f>IF(OR(A222="",F222="",C222&lt;&gt;"Kapak"),0,IF(COUNTIFS($F$8:F222,F222,$C$8:C222,"Kapak")=1,1,0))</f>
        <v/>
      </c>
    </row>
    <row r="223" ht="54" customHeight="1">
      <c r="A223" s="29" t="n"/>
      <c r="B223" s="29" t="n"/>
      <c r="C223" s="29" t="n"/>
      <c r="D223" s="29" t="n"/>
      <c r="E223" s="29" t="n"/>
      <c r="F223" s="29" t="n"/>
      <c r="G223" s="29" t="n"/>
      <c r="H223" s="29" t="n"/>
      <c r="I223" s="29" t="n"/>
      <c r="J223" s="29" t="n"/>
      <c r="K223" s="29" t="n"/>
      <c r="L223" s="49" t="n"/>
      <c r="M223" s="49" t="n"/>
      <c r="N223" s="29" t="n"/>
      <c r="O223" s="29" t="n"/>
      <c r="P223" s="29" t="n"/>
      <c r="Q223" s="51" t="n"/>
      <c r="R223" s="29" t="n"/>
      <c r="S223" s="52">
        <f>IF(OR(A223="",F223="",C223&lt;&gt;"Mekân"),0,IF(COUNTIFS($F$8:F223,F223,$C$8:C223,"Mekân")=1,1,0))</f>
        <v/>
      </c>
      <c r="T223" s="52">
        <f>IF(OR(A223="",F223="",C223&lt;&gt;"Kapak"),0,IF(COUNTIFS($F$8:F223,F223,$C$8:C223,"Kapak")=1,1,0))</f>
        <v/>
      </c>
    </row>
    <row r="224" ht="54" customHeight="1">
      <c r="A224" s="29" t="n"/>
      <c r="B224" s="29" t="n"/>
      <c r="C224" s="29" t="n"/>
      <c r="D224" s="29" t="n"/>
      <c r="E224" s="29" t="n"/>
      <c r="F224" s="29" t="n"/>
      <c r="G224" s="29" t="n"/>
      <c r="H224" s="29" t="n"/>
      <c r="I224" s="29" t="n"/>
      <c r="J224" s="29" t="n"/>
      <c r="K224" s="29" t="n"/>
      <c r="L224" s="49" t="n"/>
      <c r="M224" s="49" t="n"/>
      <c r="N224" s="29" t="n"/>
      <c r="O224" s="29" t="n"/>
      <c r="P224" s="29" t="n"/>
      <c r="Q224" s="51" t="n"/>
      <c r="R224" s="29" t="n"/>
      <c r="S224" s="52">
        <f>IF(OR(A224="",F224="",C224&lt;&gt;"Mekân"),0,IF(COUNTIFS($F$8:F224,F224,$C$8:C224,"Mekân")=1,1,0))</f>
        <v/>
      </c>
      <c r="T224" s="52">
        <f>IF(OR(A224="",F224="",C224&lt;&gt;"Kapak"),0,IF(COUNTIFS($F$8:F224,F224,$C$8:C224,"Kapak")=1,1,0))</f>
        <v/>
      </c>
    </row>
    <row r="225" ht="54" customHeight="1">
      <c r="A225" s="29" t="n"/>
      <c r="B225" s="29" t="n"/>
      <c r="C225" s="29" t="n"/>
      <c r="D225" s="29" t="n"/>
      <c r="E225" s="29" t="n"/>
      <c r="F225" s="29" t="n"/>
      <c r="G225" s="29" t="n"/>
      <c r="H225" s="29" t="n"/>
      <c r="I225" s="29" t="n"/>
      <c r="J225" s="29" t="n"/>
      <c r="K225" s="29" t="n"/>
      <c r="L225" s="49" t="n"/>
      <c r="M225" s="49" t="n"/>
      <c r="N225" s="29" t="n"/>
      <c r="O225" s="29" t="n"/>
      <c r="P225" s="29" t="n"/>
      <c r="Q225" s="51" t="n"/>
      <c r="R225" s="29" t="n"/>
      <c r="S225" s="52">
        <f>IF(OR(A225="",F225="",C225&lt;&gt;"Mekân"),0,IF(COUNTIFS($F$8:F225,F225,$C$8:C225,"Mekân")=1,1,0))</f>
        <v/>
      </c>
      <c r="T225" s="52">
        <f>IF(OR(A225="",F225="",C225&lt;&gt;"Kapak"),0,IF(COUNTIFS($F$8:F225,F225,$C$8:C225,"Kapak")=1,1,0))</f>
        <v/>
      </c>
    </row>
    <row r="226" ht="54" customHeight="1">
      <c r="A226" s="29" t="n"/>
      <c r="B226" s="29" t="n"/>
      <c r="C226" s="29" t="n"/>
      <c r="D226" s="29" t="n"/>
      <c r="E226" s="29" t="n"/>
      <c r="F226" s="29" t="n"/>
      <c r="G226" s="29" t="n"/>
      <c r="H226" s="29" t="n"/>
      <c r="I226" s="29" t="n"/>
      <c r="J226" s="29" t="n"/>
      <c r="K226" s="29" t="n"/>
      <c r="L226" s="49" t="n"/>
      <c r="M226" s="49" t="n"/>
      <c r="N226" s="29" t="n"/>
      <c r="O226" s="29" t="n"/>
      <c r="P226" s="29" t="n"/>
      <c r="Q226" s="51" t="n"/>
      <c r="R226" s="29" t="n"/>
      <c r="S226" s="52">
        <f>IF(OR(A226="",F226="",C226&lt;&gt;"Mekân"),0,IF(COUNTIFS($F$8:F226,F226,$C$8:C226,"Mekân")=1,1,0))</f>
        <v/>
      </c>
      <c r="T226" s="52">
        <f>IF(OR(A226="",F226="",C226&lt;&gt;"Kapak"),0,IF(COUNTIFS($F$8:F226,F226,$C$8:C226,"Kapak")=1,1,0))</f>
        <v/>
      </c>
    </row>
    <row r="227" ht="54" customHeight="1">
      <c r="A227" s="29" t="n"/>
      <c r="B227" s="29" t="n"/>
      <c r="C227" s="29" t="n"/>
      <c r="D227" s="29" t="n"/>
      <c r="E227" s="29" t="n"/>
      <c r="F227" s="29" t="n"/>
      <c r="G227" s="29" t="n"/>
      <c r="H227" s="29" t="n"/>
      <c r="I227" s="29" t="n"/>
      <c r="J227" s="29" t="n"/>
      <c r="K227" s="29" t="n"/>
      <c r="L227" s="49" t="n"/>
      <c r="M227" s="49" t="n"/>
      <c r="N227" s="29" t="n"/>
      <c r="O227" s="29" t="n"/>
      <c r="P227" s="29" t="n"/>
      <c r="Q227" s="51" t="n"/>
      <c r="R227" s="29" t="n"/>
      <c r="S227" s="52">
        <f>IF(OR(A227="",F227="",C227&lt;&gt;"Mekân"),0,IF(COUNTIFS($F$8:F227,F227,$C$8:C227,"Mekân")=1,1,0))</f>
        <v/>
      </c>
      <c r="T227" s="52">
        <f>IF(OR(A227="",F227="",C227&lt;&gt;"Kapak"),0,IF(COUNTIFS($F$8:F227,F227,$C$8:C227,"Kapak")=1,1,0))</f>
        <v/>
      </c>
    </row>
    <row r="228" ht="54" customHeight="1">
      <c r="A228" s="29" t="n"/>
      <c r="B228" s="29" t="n"/>
      <c r="C228" s="29" t="n"/>
      <c r="D228" s="29" t="n"/>
      <c r="E228" s="29" t="n"/>
      <c r="F228" s="29" t="n"/>
      <c r="G228" s="29" t="n"/>
      <c r="H228" s="29" t="n"/>
      <c r="I228" s="29" t="n"/>
      <c r="J228" s="29" t="n"/>
      <c r="K228" s="29" t="n"/>
      <c r="L228" s="49" t="n"/>
      <c r="M228" s="49" t="n"/>
      <c r="N228" s="29" t="n"/>
      <c r="O228" s="29" t="n"/>
      <c r="P228" s="29" t="n"/>
      <c r="Q228" s="51" t="n"/>
      <c r="R228" s="29" t="n"/>
      <c r="S228" s="52">
        <f>IF(OR(A228="",F228="",C228&lt;&gt;"Mekân"),0,IF(COUNTIFS($F$8:F228,F228,$C$8:C228,"Mekân")=1,1,0))</f>
        <v/>
      </c>
      <c r="T228" s="52">
        <f>IF(OR(A228="",F228="",C228&lt;&gt;"Kapak"),0,IF(COUNTIFS($F$8:F228,F228,$C$8:C228,"Kapak")=1,1,0))</f>
        <v/>
      </c>
    </row>
    <row r="229" ht="54" customHeight="1">
      <c r="A229" s="29" t="n"/>
      <c r="B229" s="29" t="n"/>
      <c r="C229" s="29" t="n"/>
      <c r="D229" s="29" t="n"/>
      <c r="E229" s="29" t="n"/>
      <c r="F229" s="29" t="n"/>
      <c r="G229" s="29" t="n"/>
      <c r="H229" s="29" t="n"/>
      <c r="I229" s="29" t="n"/>
      <c r="J229" s="29" t="n"/>
      <c r="K229" s="29" t="n"/>
      <c r="L229" s="49" t="n"/>
      <c r="M229" s="49" t="n"/>
      <c r="N229" s="29" t="n"/>
      <c r="O229" s="29" t="n"/>
      <c r="P229" s="29" t="n"/>
      <c r="Q229" s="51" t="n"/>
      <c r="R229" s="29" t="n"/>
      <c r="S229" s="52">
        <f>IF(OR(A229="",F229="",C229&lt;&gt;"Mekân"),0,IF(COUNTIFS($F$8:F229,F229,$C$8:C229,"Mekân")=1,1,0))</f>
        <v/>
      </c>
      <c r="T229" s="52">
        <f>IF(OR(A229="",F229="",C229&lt;&gt;"Kapak"),0,IF(COUNTIFS($F$8:F229,F229,$C$8:C229,"Kapak")=1,1,0))</f>
        <v/>
      </c>
    </row>
    <row r="230" ht="54" customHeight="1">
      <c r="A230" s="29" t="n"/>
      <c r="B230" s="29" t="n"/>
      <c r="C230" s="29" t="n"/>
      <c r="D230" s="29" t="n"/>
      <c r="E230" s="29" t="n"/>
      <c r="F230" s="29" t="n"/>
      <c r="G230" s="29" t="n"/>
      <c r="H230" s="29" t="n"/>
      <c r="I230" s="29" t="n"/>
      <c r="J230" s="29" t="n"/>
      <c r="K230" s="29" t="n"/>
      <c r="L230" s="49" t="n"/>
      <c r="M230" s="49" t="n"/>
      <c r="N230" s="29" t="n"/>
      <c r="O230" s="29" t="n"/>
      <c r="P230" s="29" t="n"/>
      <c r="Q230" s="51" t="n"/>
      <c r="R230" s="29" t="n"/>
      <c r="S230" s="52">
        <f>IF(OR(A230="",F230="",C230&lt;&gt;"Mekân"),0,IF(COUNTIFS($F$8:F230,F230,$C$8:C230,"Mekân")=1,1,0))</f>
        <v/>
      </c>
      <c r="T230" s="52">
        <f>IF(OR(A230="",F230="",C230&lt;&gt;"Kapak"),0,IF(COUNTIFS($F$8:F230,F230,$C$8:C230,"Kapak")=1,1,0))</f>
        <v/>
      </c>
    </row>
    <row r="231" ht="54" customHeight="1">
      <c r="A231" s="29" t="n"/>
      <c r="B231" s="29" t="n"/>
      <c r="C231" s="29" t="n"/>
      <c r="D231" s="29" t="n"/>
      <c r="E231" s="29" t="n"/>
      <c r="F231" s="29" t="n"/>
      <c r="G231" s="29" t="n"/>
      <c r="H231" s="29" t="n"/>
      <c r="I231" s="29" t="n"/>
      <c r="J231" s="29" t="n"/>
      <c r="K231" s="29" t="n"/>
      <c r="L231" s="49" t="n"/>
      <c r="M231" s="49" t="n"/>
      <c r="N231" s="29" t="n"/>
      <c r="O231" s="29" t="n"/>
      <c r="P231" s="29" t="n"/>
      <c r="Q231" s="51" t="n"/>
      <c r="R231" s="29" t="n"/>
      <c r="S231" s="52">
        <f>IF(OR(A231="",F231="",C231&lt;&gt;"Mekân"),0,IF(COUNTIFS($F$8:F231,F231,$C$8:C231,"Mekân")=1,1,0))</f>
        <v/>
      </c>
      <c r="T231" s="52">
        <f>IF(OR(A231="",F231="",C231&lt;&gt;"Kapak"),0,IF(COUNTIFS($F$8:F231,F231,$C$8:C231,"Kapak")=1,1,0))</f>
        <v/>
      </c>
    </row>
    <row r="232" ht="54" customHeight="1">
      <c r="A232" s="29" t="n"/>
      <c r="B232" s="29" t="n"/>
      <c r="C232" s="29" t="n"/>
      <c r="D232" s="29" t="n"/>
      <c r="E232" s="29" t="n"/>
      <c r="F232" s="29" t="n"/>
      <c r="G232" s="29" t="n"/>
      <c r="H232" s="29" t="n"/>
      <c r="I232" s="29" t="n"/>
      <c r="J232" s="29" t="n"/>
      <c r="K232" s="29" t="n"/>
      <c r="L232" s="49" t="n"/>
      <c r="M232" s="49" t="n"/>
      <c r="N232" s="29" t="n"/>
      <c r="O232" s="29" t="n"/>
      <c r="P232" s="29" t="n"/>
      <c r="Q232" s="51" t="n"/>
      <c r="R232" s="29" t="n"/>
      <c r="S232" s="52">
        <f>IF(OR(A232="",F232="",C232&lt;&gt;"Mekân"),0,IF(COUNTIFS($F$8:F232,F232,$C$8:C232,"Mekân")=1,1,0))</f>
        <v/>
      </c>
      <c r="T232" s="52">
        <f>IF(OR(A232="",F232="",C232&lt;&gt;"Kapak"),0,IF(COUNTIFS($F$8:F232,F232,$C$8:C232,"Kapak")=1,1,0))</f>
        <v/>
      </c>
    </row>
    <row r="233" ht="54" customHeight="1">
      <c r="A233" s="29" t="n"/>
      <c r="B233" s="29" t="n"/>
      <c r="C233" s="29" t="n"/>
      <c r="D233" s="29" t="n"/>
      <c r="E233" s="29" t="n"/>
      <c r="F233" s="29" t="n"/>
      <c r="G233" s="29" t="n"/>
      <c r="H233" s="29" t="n"/>
      <c r="I233" s="29" t="n"/>
      <c r="J233" s="29" t="n"/>
      <c r="K233" s="29" t="n"/>
      <c r="L233" s="49" t="n"/>
      <c r="M233" s="49" t="n"/>
      <c r="N233" s="29" t="n"/>
      <c r="O233" s="29" t="n"/>
      <c r="P233" s="29" t="n"/>
      <c r="Q233" s="51" t="n"/>
      <c r="R233" s="29" t="n"/>
      <c r="S233" s="52">
        <f>IF(OR(A233="",F233="",C233&lt;&gt;"Mekân"),0,IF(COUNTIFS($F$8:F233,F233,$C$8:C233,"Mekân")=1,1,0))</f>
        <v/>
      </c>
      <c r="T233" s="52">
        <f>IF(OR(A233="",F233="",C233&lt;&gt;"Kapak"),0,IF(COUNTIFS($F$8:F233,F233,$C$8:C233,"Kapak")=1,1,0))</f>
        <v/>
      </c>
    </row>
    <row r="234" ht="54" customHeight="1">
      <c r="A234" s="29" t="n"/>
      <c r="B234" s="29" t="n"/>
      <c r="C234" s="29" t="n"/>
      <c r="D234" s="29" t="n"/>
      <c r="E234" s="29" t="n"/>
      <c r="F234" s="29" t="n"/>
      <c r="G234" s="29" t="n"/>
      <c r="H234" s="29" t="n"/>
      <c r="I234" s="29" t="n"/>
      <c r="J234" s="29" t="n"/>
      <c r="K234" s="29" t="n"/>
      <c r="L234" s="49" t="n"/>
      <c r="M234" s="49" t="n"/>
      <c r="N234" s="29" t="n"/>
      <c r="O234" s="29" t="n"/>
      <c r="P234" s="29" t="n"/>
      <c r="Q234" s="51" t="n"/>
      <c r="R234" s="29" t="n"/>
      <c r="S234" s="52">
        <f>IF(OR(A234="",F234="",C234&lt;&gt;"Mekân"),0,IF(COUNTIFS($F$8:F234,F234,$C$8:C234,"Mekân")=1,1,0))</f>
        <v/>
      </c>
      <c r="T234" s="52">
        <f>IF(OR(A234="",F234="",C234&lt;&gt;"Kapak"),0,IF(COUNTIFS($F$8:F234,F234,$C$8:C234,"Kapak")=1,1,0))</f>
        <v/>
      </c>
    </row>
    <row r="235" ht="54" customHeight="1">
      <c r="A235" s="29" t="n"/>
      <c r="B235" s="29" t="n"/>
      <c r="C235" s="29" t="n"/>
      <c r="D235" s="29" t="n"/>
      <c r="E235" s="29" t="n"/>
      <c r="F235" s="29" t="n"/>
      <c r="G235" s="29" t="n"/>
      <c r="H235" s="29" t="n"/>
      <c r="I235" s="29" t="n"/>
      <c r="J235" s="29" t="n"/>
      <c r="K235" s="29" t="n"/>
      <c r="L235" s="49" t="n"/>
      <c r="M235" s="49" t="n"/>
      <c r="N235" s="29" t="n"/>
      <c r="O235" s="29" t="n"/>
      <c r="P235" s="29" t="n"/>
      <c r="Q235" s="51" t="n"/>
      <c r="R235" s="29" t="n"/>
      <c r="S235" s="52">
        <f>IF(OR(A235="",F235="",C235&lt;&gt;"Mekân"),0,IF(COUNTIFS($F$8:F235,F235,$C$8:C235,"Mekân")=1,1,0))</f>
        <v/>
      </c>
      <c r="T235" s="52">
        <f>IF(OR(A235="",F235="",C235&lt;&gt;"Kapak"),0,IF(COUNTIFS($F$8:F235,F235,$C$8:C235,"Kapak")=1,1,0))</f>
        <v/>
      </c>
    </row>
    <row r="236" ht="54" customHeight="1">
      <c r="A236" s="29" t="n"/>
      <c r="B236" s="29" t="n"/>
      <c r="C236" s="29" t="n"/>
      <c r="D236" s="29" t="n"/>
      <c r="E236" s="29" t="n"/>
      <c r="F236" s="29" t="n"/>
      <c r="G236" s="29" t="n"/>
      <c r="H236" s="29" t="n"/>
      <c r="I236" s="29" t="n"/>
      <c r="J236" s="29" t="n"/>
      <c r="K236" s="29" t="n"/>
      <c r="L236" s="49" t="n"/>
      <c r="M236" s="49" t="n"/>
      <c r="N236" s="29" t="n"/>
      <c r="O236" s="29" t="n"/>
      <c r="P236" s="29" t="n"/>
      <c r="Q236" s="51" t="n"/>
      <c r="R236" s="29" t="n"/>
      <c r="S236" s="52">
        <f>IF(OR(A236="",F236="",C236&lt;&gt;"Mekân"),0,IF(COUNTIFS($F$8:F236,F236,$C$8:C236,"Mekân")=1,1,0))</f>
        <v/>
      </c>
      <c r="T236" s="52">
        <f>IF(OR(A236="",F236="",C236&lt;&gt;"Kapak"),0,IF(COUNTIFS($F$8:F236,F236,$C$8:C236,"Kapak")=1,1,0))</f>
        <v/>
      </c>
    </row>
    <row r="237" ht="54" customHeight="1">
      <c r="A237" s="29" t="n"/>
      <c r="B237" s="29" t="n"/>
      <c r="C237" s="29" t="n"/>
      <c r="D237" s="29" t="n"/>
      <c r="E237" s="29" t="n"/>
      <c r="F237" s="29" t="n"/>
      <c r="G237" s="29" t="n"/>
      <c r="H237" s="29" t="n"/>
      <c r="I237" s="29" t="n"/>
      <c r="J237" s="29" t="n"/>
      <c r="K237" s="29" t="n"/>
      <c r="L237" s="49" t="n"/>
      <c r="M237" s="49" t="n"/>
      <c r="N237" s="29" t="n"/>
      <c r="O237" s="29" t="n"/>
      <c r="P237" s="29" t="n"/>
      <c r="Q237" s="51" t="n"/>
      <c r="R237" s="29" t="n"/>
      <c r="S237" s="52">
        <f>IF(OR(A237="",F237="",C237&lt;&gt;"Mekân"),0,IF(COUNTIFS($F$8:F237,F237,$C$8:C237,"Mekân")=1,1,0))</f>
        <v/>
      </c>
      <c r="T237" s="52">
        <f>IF(OR(A237="",F237="",C237&lt;&gt;"Kapak"),0,IF(COUNTIFS($F$8:F237,F237,$C$8:C237,"Kapak")=1,1,0))</f>
        <v/>
      </c>
    </row>
    <row r="238" ht="54" customHeight="1">
      <c r="A238" s="29" t="n"/>
      <c r="B238" s="29" t="n"/>
      <c r="C238" s="29" t="n"/>
      <c r="D238" s="29" t="n"/>
      <c r="E238" s="29" t="n"/>
      <c r="F238" s="29" t="n"/>
      <c r="G238" s="29" t="n"/>
      <c r="H238" s="29" t="n"/>
      <c r="I238" s="29" t="n"/>
      <c r="J238" s="29" t="n"/>
      <c r="K238" s="29" t="n"/>
      <c r="L238" s="49" t="n"/>
      <c r="M238" s="49" t="n"/>
      <c r="N238" s="29" t="n"/>
      <c r="O238" s="29" t="n"/>
      <c r="P238" s="29" t="n"/>
      <c r="Q238" s="51" t="n"/>
      <c r="R238" s="29" t="n"/>
      <c r="S238" s="52">
        <f>IF(OR(A238="",F238="",C238&lt;&gt;"Mekân"),0,IF(COUNTIFS($F$8:F238,F238,$C$8:C238,"Mekân")=1,1,0))</f>
        <v/>
      </c>
      <c r="T238" s="52">
        <f>IF(OR(A238="",F238="",C238&lt;&gt;"Kapak"),0,IF(COUNTIFS($F$8:F238,F238,$C$8:C238,"Kapak")=1,1,0))</f>
        <v/>
      </c>
    </row>
    <row r="239" ht="54" customHeight="1">
      <c r="A239" s="29" t="n"/>
      <c r="B239" s="29" t="n"/>
      <c r="C239" s="29" t="n"/>
      <c r="D239" s="29" t="n"/>
      <c r="E239" s="29" t="n"/>
      <c r="F239" s="29" t="n"/>
      <c r="G239" s="29" t="n"/>
      <c r="H239" s="29" t="n"/>
      <c r="I239" s="29" t="n"/>
      <c r="J239" s="29" t="n"/>
      <c r="K239" s="29" t="n"/>
      <c r="L239" s="49" t="n"/>
      <c r="M239" s="49" t="n"/>
      <c r="N239" s="29" t="n"/>
      <c r="O239" s="29" t="n"/>
      <c r="P239" s="29" t="n"/>
      <c r="Q239" s="51" t="n"/>
      <c r="R239" s="29" t="n"/>
      <c r="S239" s="52">
        <f>IF(OR(A239="",F239="",C239&lt;&gt;"Mekân"),0,IF(COUNTIFS($F$8:F239,F239,$C$8:C239,"Mekân")=1,1,0))</f>
        <v/>
      </c>
      <c r="T239" s="52">
        <f>IF(OR(A239="",F239="",C239&lt;&gt;"Kapak"),0,IF(COUNTIFS($F$8:F239,F239,$C$8:C239,"Kapak")=1,1,0))</f>
        <v/>
      </c>
    </row>
    <row r="240" ht="54" customHeight="1">
      <c r="A240" s="29" t="n"/>
      <c r="B240" s="29" t="n"/>
      <c r="C240" s="29" t="n"/>
      <c r="D240" s="29" t="n"/>
      <c r="E240" s="29" t="n"/>
      <c r="F240" s="29" t="n"/>
      <c r="G240" s="29" t="n"/>
      <c r="H240" s="29" t="n"/>
      <c r="I240" s="29" t="n"/>
      <c r="J240" s="29" t="n"/>
      <c r="K240" s="29" t="n"/>
      <c r="L240" s="49" t="n"/>
      <c r="M240" s="49" t="n"/>
      <c r="N240" s="29" t="n"/>
      <c r="O240" s="29" t="n"/>
      <c r="P240" s="29" t="n"/>
      <c r="Q240" s="51" t="n"/>
      <c r="R240" s="29" t="n"/>
      <c r="S240" s="52">
        <f>IF(OR(A240="",F240="",C240&lt;&gt;"Mekân"),0,IF(COUNTIFS($F$8:F240,F240,$C$8:C240,"Mekân")=1,1,0))</f>
        <v/>
      </c>
      <c r="T240" s="52">
        <f>IF(OR(A240="",F240="",C240&lt;&gt;"Kapak"),0,IF(COUNTIFS($F$8:F240,F240,$C$8:C240,"Kapak")=1,1,0))</f>
        <v/>
      </c>
    </row>
    <row r="241" ht="54" customHeight="1">
      <c r="A241" s="29" t="n"/>
      <c r="B241" s="29" t="n"/>
      <c r="C241" s="29" t="n"/>
      <c r="D241" s="29" t="n"/>
      <c r="E241" s="29" t="n"/>
      <c r="F241" s="29" t="n"/>
      <c r="G241" s="29" t="n"/>
      <c r="H241" s="29" t="n"/>
      <c r="I241" s="29" t="n"/>
      <c r="J241" s="29" t="n"/>
      <c r="K241" s="29" t="n"/>
      <c r="L241" s="49" t="n"/>
      <c r="M241" s="49" t="n"/>
      <c r="N241" s="29" t="n"/>
      <c r="O241" s="29" t="n"/>
      <c r="P241" s="29" t="n"/>
      <c r="Q241" s="51" t="n"/>
      <c r="R241" s="29" t="n"/>
      <c r="S241" s="52">
        <f>IF(OR(A241="",F241="",C241&lt;&gt;"Mekân"),0,IF(COUNTIFS($F$8:F241,F241,$C$8:C241,"Mekân")=1,1,0))</f>
        <v/>
      </c>
      <c r="T241" s="52">
        <f>IF(OR(A241="",F241="",C241&lt;&gt;"Kapak"),0,IF(COUNTIFS($F$8:F241,F241,$C$8:C241,"Kapak")=1,1,0))</f>
        <v/>
      </c>
    </row>
    <row r="242" ht="54" customHeight="1">
      <c r="A242" s="29" t="n"/>
      <c r="B242" s="29" t="n"/>
      <c r="C242" s="29" t="n"/>
      <c r="D242" s="29" t="n"/>
      <c r="E242" s="29" t="n"/>
      <c r="F242" s="29" t="n"/>
      <c r="G242" s="29" t="n"/>
      <c r="H242" s="29" t="n"/>
      <c r="I242" s="29" t="n"/>
      <c r="J242" s="29" t="n"/>
      <c r="K242" s="29" t="n"/>
      <c r="L242" s="49" t="n"/>
      <c r="M242" s="49" t="n"/>
      <c r="N242" s="29" t="n"/>
      <c r="O242" s="29" t="n"/>
      <c r="P242" s="29" t="n"/>
      <c r="Q242" s="51" t="n"/>
      <c r="R242" s="29" t="n"/>
      <c r="S242" s="52">
        <f>IF(OR(A242="",F242="",C242&lt;&gt;"Mekân"),0,IF(COUNTIFS($F$8:F242,F242,$C$8:C242,"Mekân")=1,1,0))</f>
        <v/>
      </c>
      <c r="T242" s="52">
        <f>IF(OR(A242="",F242="",C242&lt;&gt;"Kapak"),0,IF(COUNTIFS($F$8:F242,F242,$C$8:C242,"Kapak")=1,1,0))</f>
        <v/>
      </c>
    </row>
    <row r="243" ht="54" customHeight="1">
      <c r="A243" s="29" t="n"/>
      <c r="B243" s="29" t="n"/>
      <c r="C243" s="29" t="n"/>
      <c r="D243" s="29" t="n"/>
      <c r="E243" s="29" t="n"/>
      <c r="F243" s="29" t="n"/>
      <c r="G243" s="29" t="n"/>
      <c r="H243" s="29" t="n"/>
      <c r="I243" s="29" t="n"/>
      <c r="J243" s="29" t="n"/>
      <c r="K243" s="29" t="n"/>
      <c r="L243" s="49" t="n"/>
      <c r="M243" s="49" t="n"/>
      <c r="N243" s="29" t="n"/>
      <c r="O243" s="29" t="n"/>
      <c r="P243" s="29" t="n"/>
      <c r="Q243" s="51" t="n"/>
      <c r="R243" s="29" t="n"/>
      <c r="S243" s="52">
        <f>IF(OR(A243="",F243="",C243&lt;&gt;"Mekân"),0,IF(COUNTIFS($F$8:F243,F243,$C$8:C243,"Mekân")=1,1,0))</f>
        <v/>
      </c>
      <c r="T243" s="52">
        <f>IF(OR(A243="",F243="",C243&lt;&gt;"Kapak"),0,IF(COUNTIFS($F$8:F243,F243,$C$8:C243,"Kapak")=1,1,0))</f>
        <v/>
      </c>
    </row>
    <row r="244" ht="54" customHeight="1">
      <c r="A244" s="29" t="n"/>
      <c r="B244" s="29" t="n"/>
      <c r="C244" s="29" t="n"/>
      <c r="D244" s="29" t="n"/>
      <c r="E244" s="29" t="n"/>
      <c r="F244" s="29" t="n"/>
      <c r="G244" s="29" t="n"/>
      <c r="H244" s="29" t="n"/>
      <c r="I244" s="29" t="n"/>
      <c r="J244" s="29" t="n"/>
      <c r="K244" s="29" t="n"/>
      <c r="L244" s="49" t="n"/>
      <c r="M244" s="49" t="n"/>
      <c r="N244" s="29" t="n"/>
      <c r="O244" s="29" t="n"/>
      <c r="P244" s="29" t="n"/>
      <c r="Q244" s="51" t="n"/>
      <c r="R244" s="29" t="n"/>
      <c r="S244" s="52">
        <f>IF(OR(A244="",F244="",C244&lt;&gt;"Mekân"),0,IF(COUNTIFS($F$8:F244,F244,$C$8:C244,"Mekân")=1,1,0))</f>
        <v/>
      </c>
      <c r="T244" s="52">
        <f>IF(OR(A244="",F244="",C244&lt;&gt;"Kapak"),0,IF(COUNTIFS($F$8:F244,F244,$C$8:C244,"Kapak")=1,1,0))</f>
        <v/>
      </c>
    </row>
    <row r="245" ht="54" customHeight="1">
      <c r="A245" s="29" t="n"/>
      <c r="B245" s="29" t="n"/>
      <c r="C245" s="29" t="n"/>
      <c r="D245" s="29" t="n"/>
      <c r="E245" s="29" t="n"/>
      <c r="F245" s="29" t="n"/>
      <c r="G245" s="29" t="n"/>
      <c r="H245" s="29" t="n"/>
      <c r="I245" s="29" t="n"/>
      <c r="J245" s="29" t="n"/>
      <c r="K245" s="29" t="n"/>
      <c r="L245" s="49" t="n"/>
      <c r="M245" s="49" t="n"/>
      <c r="N245" s="29" t="n"/>
      <c r="O245" s="29" t="n"/>
      <c r="P245" s="29" t="n"/>
      <c r="Q245" s="51" t="n"/>
      <c r="R245" s="29" t="n"/>
      <c r="S245" s="52">
        <f>IF(OR(A245="",F245="",C245&lt;&gt;"Mekân"),0,IF(COUNTIFS($F$8:F245,F245,$C$8:C245,"Mekân")=1,1,0))</f>
        <v/>
      </c>
      <c r="T245" s="52">
        <f>IF(OR(A245="",F245="",C245&lt;&gt;"Kapak"),0,IF(COUNTIFS($F$8:F245,F245,$C$8:C245,"Kapak")=1,1,0))</f>
        <v/>
      </c>
    </row>
    <row r="246" ht="54" customHeight="1">
      <c r="A246" s="29" t="n"/>
      <c r="B246" s="29" t="n"/>
      <c r="C246" s="29" t="n"/>
      <c r="D246" s="29" t="n"/>
      <c r="E246" s="29" t="n"/>
      <c r="F246" s="29" t="n"/>
      <c r="G246" s="29" t="n"/>
      <c r="H246" s="29" t="n"/>
      <c r="I246" s="29" t="n"/>
      <c r="J246" s="29" t="n"/>
      <c r="K246" s="29" t="n"/>
      <c r="L246" s="49" t="n"/>
      <c r="M246" s="49" t="n"/>
      <c r="N246" s="29" t="n"/>
      <c r="O246" s="29" t="n"/>
      <c r="P246" s="29" t="n"/>
      <c r="Q246" s="51" t="n"/>
      <c r="R246" s="29" t="n"/>
      <c r="S246" s="52">
        <f>IF(OR(A246="",F246="",C246&lt;&gt;"Mekân"),0,IF(COUNTIFS($F$8:F246,F246,$C$8:C246,"Mekân")=1,1,0))</f>
        <v/>
      </c>
      <c r="T246" s="52">
        <f>IF(OR(A246="",F246="",C246&lt;&gt;"Kapak"),0,IF(COUNTIFS($F$8:F246,F246,$C$8:C246,"Kapak")=1,1,0))</f>
        <v/>
      </c>
    </row>
    <row r="247" ht="54" customHeight="1">
      <c r="A247" s="29" t="n"/>
      <c r="B247" s="29" t="n"/>
      <c r="C247" s="29" t="n"/>
      <c r="D247" s="29" t="n"/>
      <c r="E247" s="29" t="n"/>
      <c r="F247" s="29" t="n"/>
      <c r="G247" s="29" t="n"/>
      <c r="H247" s="29" t="n"/>
      <c r="I247" s="29" t="n"/>
      <c r="J247" s="29" t="n"/>
      <c r="K247" s="29" t="n"/>
      <c r="L247" s="49" t="n"/>
      <c r="M247" s="49" t="n"/>
      <c r="N247" s="29" t="n"/>
      <c r="O247" s="29" t="n"/>
      <c r="P247" s="29" t="n"/>
      <c r="Q247" s="51" t="n"/>
      <c r="R247" s="29" t="n"/>
      <c r="S247" s="52">
        <f>IF(OR(A247="",F247="",C247&lt;&gt;"Mekân"),0,IF(COUNTIFS($F$8:F247,F247,$C$8:C247,"Mekân")=1,1,0))</f>
        <v/>
      </c>
      <c r="T247" s="52">
        <f>IF(OR(A247="",F247="",C247&lt;&gt;"Kapak"),0,IF(COUNTIFS($F$8:F247,F247,$C$8:C247,"Kapak")=1,1,0))</f>
        <v/>
      </c>
    </row>
    <row r="248" ht="54" customHeight="1">
      <c r="A248" s="29" t="n"/>
      <c r="B248" s="29" t="n"/>
      <c r="C248" s="29" t="n"/>
      <c r="D248" s="29" t="n"/>
      <c r="E248" s="29" t="n"/>
      <c r="F248" s="29" t="n"/>
      <c r="G248" s="29" t="n"/>
      <c r="H248" s="29" t="n"/>
      <c r="I248" s="29" t="n"/>
      <c r="J248" s="29" t="n"/>
      <c r="K248" s="29" t="n"/>
      <c r="L248" s="49" t="n"/>
      <c r="M248" s="49" t="n"/>
      <c r="N248" s="29" t="n"/>
      <c r="O248" s="29" t="n"/>
      <c r="P248" s="29" t="n"/>
      <c r="Q248" s="51" t="n"/>
      <c r="R248" s="29" t="n"/>
      <c r="S248" s="52">
        <f>IF(OR(A248="",F248="",C248&lt;&gt;"Mekân"),0,IF(COUNTIFS($F$8:F248,F248,$C$8:C248,"Mekân")=1,1,0))</f>
        <v/>
      </c>
      <c r="T248" s="52">
        <f>IF(OR(A248="",F248="",C248&lt;&gt;"Kapak"),0,IF(COUNTIFS($F$8:F248,F248,$C$8:C248,"Kapak")=1,1,0))</f>
        <v/>
      </c>
    </row>
    <row r="249" ht="54" customHeight="1">
      <c r="A249" s="29" t="n"/>
      <c r="B249" s="29" t="n"/>
      <c r="C249" s="29" t="n"/>
      <c r="D249" s="29" t="n"/>
      <c r="E249" s="29" t="n"/>
      <c r="F249" s="29" t="n"/>
      <c r="G249" s="29" t="n"/>
      <c r="H249" s="29" t="n"/>
      <c r="I249" s="29" t="n"/>
      <c r="J249" s="29" t="n"/>
      <c r="K249" s="29" t="n"/>
      <c r="L249" s="49" t="n"/>
      <c r="M249" s="49" t="n"/>
      <c r="N249" s="29" t="n"/>
      <c r="O249" s="29" t="n"/>
      <c r="P249" s="29" t="n"/>
      <c r="Q249" s="51" t="n"/>
      <c r="R249" s="29" t="n"/>
      <c r="S249" s="52">
        <f>IF(OR(A249="",F249="",C249&lt;&gt;"Mekân"),0,IF(COUNTIFS($F$8:F249,F249,$C$8:C249,"Mekân")=1,1,0))</f>
        <v/>
      </c>
      <c r="T249" s="52">
        <f>IF(OR(A249="",F249="",C249&lt;&gt;"Kapak"),0,IF(COUNTIFS($F$8:F249,F249,$C$8:C249,"Kapak")=1,1,0))</f>
        <v/>
      </c>
    </row>
    <row r="250" ht="54" customHeight="1">
      <c r="A250" s="29" t="n"/>
      <c r="B250" s="29" t="n"/>
      <c r="C250" s="29" t="n"/>
      <c r="D250" s="29" t="n"/>
      <c r="E250" s="29" t="n"/>
      <c r="F250" s="29" t="n"/>
      <c r="G250" s="29" t="n"/>
      <c r="H250" s="29" t="n"/>
      <c r="I250" s="29" t="n"/>
      <c r="J250" s="29" t="n"/>
      <c r="K250" s="29" t="n"/>
      <c r="L250" s="49" t="n"/>
      <c r="M250" s="49" t="n"/>
      <c r="N250" s="29" t="n"/>
      <c r="O250" s="29" t="n"/>
      <c r="P250" s="29" t="n"/>
      <c r="Q250" s="51" t="n"/>
      <c r="R250" s="29" t="n"/>
      <c r="S250" s="52">
        <f>IF(OR(A250="",F250="",C250&lt;&gt;"Mekân"),0,IF(COUNTIFS($F$8:F250,F250,$C$8:C250,"Mekân")=1,1,0))</f>
        <v/>
      </c>
      <c r="T250" s="52">
        <f>IF(OR(A250="",F250="",C250&lt;&gt;"Kapak"),0,IF(COUNTIFS($F$8:F250,F250,$C$8:C250,"Kapak")=1,1,0))</f>
        <v/>
      </c>
    </row>
    <row r="251" ht="54" customHeight="1">
      <c r="A251" s="29" t="n"/>
      <c r="B251" s="29" t="n"/>
      <c r="C251" s="29" t="n"/>
      <c r="D251" s="29" t="n"/>
      <c r="E251" s="29" t="n"/>
      <c r="F251" s="29" t="n"/>
      <c r="G251" s="29" t="n"/>
      <c r="H251" s="29" t="n"/>
      <c r="I251" s="29" t="n"/>
      <c r="J251" s="29" t="n"/>
      <c r="K251" s="29" t="n"/>
      <c r="L251" s="49" t="n"/>
      <c r="M251" s="49" t="n"/>
      <c r="N251" s="29" t="n"/>
      <c r="O251" s="29" t="n"/>
      <c r="P251" s="29" t="n"/>
      <c r="Q251" s="51" t="n"/>
      <c r="R251" s="29" t="n"/>
      <c r="S251" s="52">
        <f>IF(OR(A251="",F251="",C251&lt;&gt;"Mekân"),0,IF(COUNTIFS($F$8:F251,F251,$C$8:C251,"Mekân")=1,1,0))</f>
        <v/>
      </c>
      <c r="T251" s="52">
        <f>IF(OR(A251="",F251="",C251&lt;&gt;"Kapak"),0,IF(COUNTIFS($F$8:F251,F251,$C$8:C251,"Kapak")=1,1,0))</f>
        <v/>
      </c>
    </row>
    <row r="252" ht="54" customHeight="1">
      <c r="A252" s="29" t="n"/>
      <c r="B252" s="29" t="n"/>
      <c r="C252" s="29" t="n"/>
      <c r="D252" s="29" t="n"/>
      <c r="E252" s="29" t="n"/>
      <c r="F252" s="29" t="n"/>
      <c r="G252" s="29" t="n"/>
      <c r="H252" s="29" t="n"/>
      <c r="I252" s="29" t="n"/>
      <c r="J252" s="29" t="n"/>
      <c r="K252" s="29" t="n"/>
      <c r="L252" s="49" t="n"/>
      <c r="M252" s="49" t="n"/>
      <c r="N252" s="29" t="n"/>
      <c r="O252" s="29" t="n"/>
      <c r="P252" s="29" t="n"/>
      <c r="Q252" s="51" t="n"/>
      <c r="R252" s="29" t="n"/>
      <c r="S252" s="52">
        <f>IF(OR(A252="",F252="",C252&lt;&gt;"Mekân"),0,IF(COUNTIFS($F$8:F252,F252,$C$8:C252,"Mekân")=1,1,0))</f>
        <v/>
      </c>
      <c r="T252" s="52">
        <f>IF(OR(A252="",F252="",C252&lt;&gt;"Kapak"),0,IF(COUNTIFS($F$8:F252,F252,$C$8:C252,"Kapak")=1,1,0))</f>
        <v/>
      </c>
    </row>
    <row r="253" ht="54" customHeight="1">
      <c r="A253" s="29" t="n"/>
      <c r="B253" s="29" t="n"/>
      <c r="C253" s="29" t="n"/>
      <c r="D253" s="29" t="n"/>
      <c r="E253" s="29" t="n"/>
      <c r="F253" s="29" t="n"/>
      <c r="G253" s="29" t="n"/>
      <c r="H253" s="29" t="n"/>
      <c r="I253" s="29" t="n"/>
      <c r="J253" s="29" t="n"/>
      <c r="K253" s="29" t="n"/>
      <c r="L253" s="49" t="n"/>
      <c r="M253" s="49" t="n"/>
      <c r="N253" s="29" t="n"/>
      <c r="O253" s="29" t="n"/>
      <c r="P253" s="29" t="n"/>
      <c r="Q253" s="51" t="n"/>
      <c r="R253" s="29" t="n"/>
      <c r="S253" s="52">
        <f>IF(OR(A253="",F253="",C253&lt;&gt;"Mekân"),0,IF(COUNTIFS($F$8:F253,F253,$C$8:C253,"Mekân")=1,1,0))</f>
        <v/>
      </c>
      <c r="T253" s="52">
        <f>IF(OR(A253="",F253="",C253&lt;&gt;"Kapak"),0,IF(COUNTIFS($F$8:F253,F253,$C$8:C253,"Kapak")=1,1,0))</f>
        <v/>
      </c>
    </row>
    <row r="254" ht="54" customHeight="1">
      <c r="A254" s="29" t="n"/>
      <c r="B254" s="29" t="n"/>
      <c r="C254" s="29" t="n"/>
      <c r="D254" s="29" t="n"/>
      <c r="E254" s="29" t="n"/>
      <c r="F254" s="29" t="n"/>
      <c r="G254" s="29" t="n"/>
      <c r="H254" s="29" t="n"/>
      <c r="I254" s="29" t="n"/>
      <c r="J254" s="29" t="n"/>
      <c r="K254" s="29" t="n"/>
      <c r="L254" s="49" t="n"/>
      <c r="M254" s="49" t="n"/>
      <c r="N254" s="29" t="n"/>
      <c r="O254" s="29" t="n"/>
      <c r="P254" s="29" t="n"/>
      <c r="Q254" s="51" t="n"/>
      <c r="R254" s="29" t="n"/>
      <c r="S254" s="52">
        <f>IF(OR(A254="",F254="",C254&lt;&gt;"Mekân"),0,IF(COUNTIFS($F$8:F254,F254,$C$8:C254,"Mekân")=1,1,0))</f>
        <v/>
      </c>
      <c r="T254" s="52">
        <f>IF(OR(A254="",F254="",C254&lt;&gt;"Kapak"),0,IF(COUNTIFS($F$8:F254,F254,$C$8:C254,"Kapak")=1,1,0))</f>
        <v/>
      </c>
    </row>
    <row r="255" ht="54" customHeight="1">
      <c r="A255" s="29" t="n"/>
      <c r="B255" s="29" t="n"/>
      <c r="C255" s="29" t="n"/>
      <c r="D255" s="29" t="n"/>
      <c r="E255" s="29" t="n"/>
      <c r="F255" s="29" t="n"/>
      <c r="G255" s="29" t="n"/>
      <c r="H255" s="29" t="n"/>
      <c r="I255" s="29" t="n"/>
      <c r="J255" s="29" t="n"/>
      <c r="K255" s="29" t="n"/>
      <c r="L255" s="49" t="n"/>
      <c r="M255" s="49" t="n"/>
      <c r="N255" s="29" t="n"/>
      <c r="O255" s="29" t="n"/>
      <c r="P255" s="29" t="n"/>
      <c r="Q255" s="51" t="n"/>
      <c r="R255" s="29" t="n"/>
      <c r="S255" s="52">
        <f>IF(OR(A255="",F255="",C255&lt;&gt;"Mekân"),0,IF(COUNTIFS($F$8:F255,F255,$C$8:C255,"Mekân")=1,1,0))</f>
        <v/>
      </c>
      <c r="T255" s="52">
        <f>IF(OR(A255="",F255="",C255&lt;&gt;"Kapak"),0,IF(COUNTIFS($F$8:F255,F255,$C$8:C255,"Kapak")=1,1,0))</f>
        <v/>
      </c>
    </row>
    <row r="256" ht="54" customHeight="1">
      <c r="A256" s="29" t="n"/>
      <c r="B256" s="29" t="n"/>
      <c r="C256" s="29" t="n"/>
      <c r="D256" s="29" t="n"/>
      <c r="E256" s="29" t="n"/>
      <c r="F256" s="29" t="n"/>
      <c r="G256" s="29" t="n"/>
      <c r="H256" s="29" t="n"/>
      <c r="I256" s="29" t="n"/>
      <c r="J256" s="29" t="n"/>
      <c r="K256" s="29" t="n"/>
      <c r="L256" s="49" t="n"/>
      <c r="M256" s="49" t="n"/>
      <c r="N256" s="29" t="n"/>
      <c r="O256" s="29" t="n"/>
      <c r="P256" s="29" t="n"/>
      <c r="Q256" s="51" t="n"/>
      <c r="R256" s="29" t="n"/>
      <c r="S256" s="52">
        <f>IF(OR(A256="",F256="",C256&lt;&gt;"Mekân"),0,IF(COUNTIFS($F$8:F256,F256,$C$8:C256,"Mekân")=1,1,0))</f>
        <v/>
      </c>
      <c r="T256" s="52">
        <f>IF(OR(A256="",F256="",C256&lt;&gt;"Kapak"),0,IF(COUNTIFS($F$8:F256,F256,$C$8:C256,"Kapak")=1,1,0))</f>
        <v/>
      </c>
    </row>
    <row r="257" ht="54" customHeight="1">
      <c r="A257" s="29" t="n"/>
      <c r="B257" s="29" t="n"/>
      <c r="C257" s="29" t="n"/>
      <c r="D257" s="29" t="n"/>
      <c r="E257" s="29" t="n"/>
      <c r="F257" s="29" t="n"/>
      <c r="G257" s="29" t="n"/>
      <c r="H257" s="29" t="n"/>
      <c r="I257" s="29" t="n"/>
      <c r="J257" s="29" t="n"/>
      <c r="K257" s="29" t="n"/>
      <c r="L257" s="49" t="n"/>
      <c r="M257" s="49" t="n"/>
      <c r="N257" s="29" t="n"/>
      <c r="O257" s="29" t="n"/>
      <c r="P257" s="29" t="n"/>
      <c r="Q257" s="51" t="n"/>
      <c r="R257" s="29" t="n"/>
      <c r="S257" s="52">
        <f>IF(OR(A257="",F257="",C257&lt;&gt;"Mekân"),0,IF(COUNTIFS($F$8:F257,F257,$C$8:C257,"Mekân")=1,1,0))</f>
        <v/>
      </c>
      <c r="T257" s="52">
        <f>IF(OR(A257="",F257="",C257&lt;&gt;"Kapak"),0,IF(COUNTIFS($F$8:F257,F257,$C$8:C257,"Kapak")=1,1,0))</f>
        <v/>
      </c>
    </row>
    <row r="258" ht="54" customHeight="1">
      <c r="A258" s="29" t="n"/>
      <c r="B258" s="29" t="n"/>
      <c r="C258" s="29" t="n"/>
      <c r="D258" s="29" t="n"/>
      <c r="E258" s="29" t="n"/>
      <c r="F258" s="29" t="n"/>
      <c r="G258" s="29" t="n"/>
      <c r="H258" s="29" t="n"/>
      <c r="I258" s="29" t="n"/>
      <c r="J258" s="29" t="n"/>
      <c r="K258" s="29" t="n"/>
      <c r="L258" s="49" t="n"/>
      <c r="M258" s="49" t="n"/>
      <c r="N258" s="29" t="n"/>
      <c r="O258" s="29" t="n"/>
      <c r="P258" s="29" t="n"/>
      <c r="Q258" s="51" t="n"/>
      <c r="R258" s="29" t="n"/>
      <c r="S258" s="52">
        <f>IF(OR(A258="",F258="",C258&lt;&gt;"Mekân"),0,IF(COUNTIFS($F$8:F258,F258,$C$8:C258,"Mekân")=1,1,0))</f>
        <v/>
      </c>
      <c r="T258" s="52">
        <f>IF(OR(A258="",F258="",C258&lt;&gt;"Kapak"),0,IF(COUNTIFS($F$8:F258,F258,$C$8:C258,"Kapak")=1,1,0))</f>
        <v/>
      </c>
    </row>
    <row r="259" ht="54" customHeight="1">
      <c r="A259" s="29" t="n"/>
      <c r="B259" s="29" t="n"/>
      <c r="C259" s="29" t="n"/>
      <c r="D259" s="29" t="n"/>
      <c r="E259" s="29" t="n"/>
      <c r="F259" s="29" t="n"/>
      <c r="G259" s="29" t="n"/>
      <c r="H259" s="29" t="n"/>
      <c r="I259" s="29" t="n"/>
      <c r="J259" s="29" t="n"/>
      <c r="K259" s="29" t="n"/>
      <c r="L259" s="49" t="n"/>
      <c r="M259" s="49" t="n"/>
      <c r="N259" s="29" t="n"/>
      <c r="O259" s="29" t="n"/>
      <c r="P259" s="29" t="n"/>
      <c r="Q259" s="51" t="n"/>
      <c r="R259" s="29" t="n"/>
      <c r="S259" s="52">
        <f>IF(OR(A259="",F259="",C259&lt;&gt;"Mekân"),0,IF(COUNTIFS($F$8:F259,F259,$C$8:C259,"Mekân")=1,1,0))</f>
        <v/>
      </c>
      <c r="T259" s="52">
        <f>IF(OR(A259="",F259="",C259&lt;&gt;"Kapak"),0,IF(COUNTIFS($F$8:F259,F259,$C$8:C259,"Kapak")=1,1,0))</f>
        <v/>
      </c>
    </row>
    <row r="260" ht="54" customHeight="1">
      <c r="A260" s="29" t="n"/>
      <c r="B260" s="29" t="n"/>
      <c r="C260" s="29" t="n"/>
      <c r="D260" s="29" t="n"/>
      <c r="E260" s="29" t="n"/>
      <c r="F260" s="29" t="n"/>
      <c r="G260" s="29" t="n"/>
      <c r="H260" s="29" t="n"/>
      <c r="I260" s="29" t="n"/>
      <c r="J260" s="29" t="n"/>
      <c r="K260" s="29" t="n"/>
      <c r="L260" s="49" t="n"/>
      <c r="M260" s="49" t="n"/>
      <c r="N260" s="29" t="n"/>
      <c r="O260" s="29" t="n"/>
      <c r="P260" s="29" t="n"/>
      <c r="Q260" s="51" t="n"/>
      <c r="R260" s="29" t="n"/>
      <c r="S260" s="52">
        <f>IF(OR(A260="",F260="",C260&lt;&gt;"Mekân"),0,IF(COUNTIFS($F$8:F260,F260,$C$8:C260,"Mekân")=1,1,0))</f>
        <v/>
      </c>
      <c r="T260" s="52">
        <f>IF(OR(A260="",F260="",C260&lt;&gt;"Kapak"),0,IF(COUNTIFS($F$8:F260,F260,$C$8:C260,"Kapak")=1,1,0))</f>
        <v/>
      </c>
    </row>
    <row r="261" ht="54" customHeight="1">
      <c r="A261" s="29" t="n"/>
      <c r="B261" s="29" t="n"/>
      <c r="C261" s="29" t="n"/>
      <c r="D261" s="29" t="n"/>
      <c r="E261" s="29" t="n"/>
      <c r="F261" s="29" t="n"/>
      <c r="G261" s="29" t="n"/>
      <c r="H261" s="29" t="n"/>
      <c r="I261" s="29" t="n"/>
      <c r="J261" s="29" t="n"/>
      <c r="K261" s="29" t="n"/>
      <c r="L261" s="49" t="n"/>
      <c r="M261" s="49" t="n"/>
      <c r="N261" s="29" t="n"/>
      <c r="O261" s="29" t="n"/>
      <c r="P261" s="29" t="n"/>
      <c r="Q261" s="51" t="n"/>
      <c r="R261" s="29" t="n"/>
      <c r="S261" s="52">
        <f>IF(OR(A261="",F261="",C261&lt;&gt;"Mekân"),0,IF(COUNTIFS($F$8:F261,F261,$C$8:C261,"Mekân")=1,1,0))</f>
        <v/>
      </c>
      <c r="T261" s="52">
        <f>IF(OR(A261="",F261="",C261&lt;&gt;"Kapak"),0,IF(COUNTIFS($F$8:F261,F261,$C$8:C261,"Kapak")=1,1,0))</f>
        <v/>
      </c>
    </row>
    <row r="262" ht="54" customHeight="1">
      <c r="A262" s="29" t="n"/>
      <c r="B262" s="29" t="n"/>
      <c r="C262" s="29" t="n"/>
      <c r="D262" s="29" t="n"/>
      <c r="E262" s="29" t="n"/>
      <c r="F262" s="29" t="n"/>
      <c r="G262" s="29" t="n"/>
      <c r="H262" s="29" t="n"/>
      <c r="I262" s="29" t="n"/>
      <c r="J262" s="29" t="n"/>
      <c r="K262" s="29" t="n"/>
      <c r="L262" s="49" t="n"/>
      <c r="M262" s="49" t="n"/>
      <c r="N262" s="29" t="n"/>
      <c r="O262" s="29" t="n"/>
      <c r="P262" s="29" t="n"/>
      <c r="Q262" s="51" t="n"/>
      <c r="R262" s="29" t="n"/>
      <c r="S262" s="52">
        <f>IF(OR(A262="",F262="",C262&lt;&gt;"Mekân"),0,IF(COUNTIFS($F$8:F262,F262,$C$8:C262,"Mekân")=1,1,0))</f>
        <v/>
      </c>
      <c r="T262" s="52">
        <f>IF(OR(A262="",F262="",C262&lt;&gt;"Kapak"),0,IF(COUNTIFS($F$8:F262,F262,$C$8:C262,"Kapak")=1,1,0))</f>
        <v/>
      </c>
    </row>
    <row r="263" ht="54" customHeight="1">
      <c r="A263" s="29" t="n"/>
      <c r="B263" s="29" t="n"/>
      <c r="C263" s="29" t="n"/>
      <c r="D263" s="29" t="n"/>
      <c r="E263" s="29" t="n"/>
      <c r="F263" s="29" t="n"/>
      <c r="G263" s="29" t="n"/>
      <c r="H263" s="29" t="n"/>
      <c r="I263" s="29" t="n"/>
      <c r="J263" s="29" t="n"/>
      <c r="K263" s="29" t="n"/>
      <c r="L263" s="49" t="n"/>
      <c r="M263" s="49" t="n"/>
      <c r="N263" s="29" t="n"/>
      <c r="O263" s="29" t="n"/>
      <c r="P263" s="29" t="n"/>
      <c r="Q263" s="51" t="n"/>
      <c r="R263" s="29" t="n"/>
      <c r="S263" s="52">
        <f>IF(OR(A263="",F263="",C263&lt;&gt;"Mekân"),0,IF(COUNTIFS($F$8:F263,F263,$C$8:C263,"Mekân")=1,1,0))</f>
        <v/>
      </c>
      <c r="T263" s="52">
        <f>IF(OR(A263="",F263="",C263&lt;&gt;"Kapak"),0,IF(COUNTIFS($F$8:F263,F263,$C$8:C263,"Kapak")=1,1,0))</f>
        <v/>
      </c>
    </row>
    <row r="264" ht="54" customHeight="1">
      <c r="A264" s="29" t="n"/>
      <c r="B264" s="29" t="n"/>
      <c r="C264" s="29" t="n"/>
      <c r="D264" s="29" t="n"/>
      <c r="E264" s="29" t="n"/>
      <c r="F264" s="29" t="n"/>
      <c r="G264" s="29" t="n"/>
      <c r="H264" s="29" t="n"/>
      <c r="I264" s="29" t="n"/>
      <c r="J264" s="29" t="n"/>
      <c r="K264" s="29" t="n"/>
      <c r="L264" s="49" t="n"/>
      <c r="M264" s="49" t="n"/>
      <c r="N264" s="29" t="n"/>
      <c r="O264" s="29" t="n"/>
      <c r="P264" s="29" t="n"/>
      <c r="Q264" s="51" t="n"/>
      <c r="R264" s="29" t="n"/>
      <c r="S264" s="52">
        <f>IF(OR(A264="",F264="",C264&lt;&gt;"Mekân"),0,IF(COUNTIFS($F$8:F264,F264,$C$8:C264,"Mekân")=1,1,0))</f>
        <v/>
      </c>
      <c r="T264" s="52">
        <f>IF(OR(A264="",F264="",C264&lt;&gt;"Kapak"),0,IF(COUNTIFS($F$8:F264,F264,$C$8:C264,"Kapak")=1,1,0))</f>
        <v/>
      </c>
    </row>
    <row r="265" ht="54" customHeight="1">
      <c r="A265" s="29" t="n"/>
      <c r="B265" s="29" t="n"/>
      <c r="C265" s="29" t="n"/>
      <c r="D265" s="29" t="n"/>
      <c r="E265" s="29" t="n"/>
      <c r="F265" s="29" t="n"/>
      <c r="G265" s="29" t="n"/>
      <c r="H265" s="29" t="n"/>
      <c r="I265" s="29" t="n"/>
      <c r="J265" s="29" t="n"/>
      <c r="K265" s="29" t="n"/>
      <c r="L265" s="49" t="n"/>
      <c r="M265" s="49" t="n"/>
      <c r="N265" s="29" t="n"/>
      <c r="O265" s="29" t="n"/>
      <c r="P265" s="29" t="n"/>
      <c r="Q265" s="51" t="n"/>
      <c r="R265" s="29" t="n"/>
      <c r="S265" s="52">
        <f>IF(OR(A265="",F265="",C265&lt;&gt;"Mekân"),0,IF(COUNTIFS($F$8:F265,F265,$C$8:C265,"Mekân")=1,1,0))</f>
        <v/>
      </c>
      <c r="T265" s="52">
        <f>IF(OR(A265="",F265="",C265&lt;&gt;"Kapak"),0,IF(COUNTIFS($F$8:F265,F265,$C$8:C265,"Kapak")=1,1,0))</f>
        <v/>
      </c>
    </row>
    <row r="266" ht="54" customHeight="1">
      <c r="A266" s="29" t="n"/>
      <c r="B266" s="29" t="n"/>
      <c r="C266" s="29" t="n"/>
      <c r="D266" s="29" t="n"/>
      <c r="E266" s="29" t="n"/>
      <c r="F266" s="29" t="n"/>
      <c r="G266" s="29" t="n"/>
      <c r="H266" s="29" t="n"/>
      <c r="I266" s="29" t="n"/>
      <c r="J266" s="29" t="n"/>
      <c r="K266" s="29" t="n"/>
      <c r="L266" s="49" t="n"/>
      <c r="M266" s="49" t="n"/>
      <c r="N266" s="29" t="n"/>
      <c r="O266" s="29" t="n"/>
      <c r="P266" s="29" t="n"/>
      <c r="Q266" s="51" t="n"/>
      <c r="R266" s="29" t="n"/>
      <c r="S266" s="52">
        <f>IF(OR(A266="",F266="",C266&lt;&gt;"Mekân"),0,IF(COUNTIFS($F$8:F266,F266,$C$8:C266,"Mekân")=1,1,0))</f>
        <v/>
      </c>
      <c r="T266" s="52">
        <f>IF(OR(A266="",F266="",C266&lt;&gt;"Kapak"),0,IF(COUNTIFS($F$8:F266,F266,$C$8:C266,"Kapak")=1,1,0))</f>
        <v/>
      </c>
    </row>
    <row r="267" ht="54" customHeight="1">
      <c r="A267" s="29" t="n"/>
      <c r="B267" s="29" t="n"/>
      <c r="C267" s="29" t="n"/>
      <c r="D267" s="29" t="n"/>
      <c r="E267" s="29" t="n"/>
      <c r="F267" s="29" t="n"/>
      <c r="G267" s="29" t="n"/>
      <c r="H267" s="29" t="n"/>
      <c r="I267" s="29" t="n"/>
      <c r="J267" s="29" t="n"/>
      <c r="K267" s="29" t="n"/>
      <c r="L267" s="49" t="n"/>
      <c r="M267" s="49" t="n"/>
      <c r="N267" s="29" t="n"/>
      <c r="O267" s="29" t="n"/>
      <c r="P267" s="29" t="n"/>
      <c r="Q267" s="51" t="n"/>
      <c r="R267" s="29" t="n"/>
      <c r="S267" s="52">
        <f>IF(OR(A267="",F267="",C267&lt;&gt;"Mekân"),0,IF(COUNTIFS($F$8:F267,F267,$C$8:C267,"Mekân")=1,1,0))</f>
        <v/>
      </c>
      <c r="T267" s="52">
        <f>IF(OR(A267="",F267="",C267&lt;&gt;"Kapak"),0,IF(COUNTIFS($F$8:F267,F267,$C$8:C267,"Kapak")=1,1,0))</f>
        <v/>
      </c>
    </row>
    <row r="268" ht="54" customHeight="1">
      <c r="A268" s="29" t="n"/>
      <c r="B268" s="29" t="n"/>
      <c r="C268" s="29" t="n"/>
      <c r="D268" s="29" t="n"/>
      <c r="E268" s="29" t="n"/>
      <c r="F268" s="29" t="n"/>
      <c r="G268" s="29" t="n"/>
      <c r="H268" s="29" t="n"/>
      <c r="I268" s="29" t="n"/>
      <c r="J268" s="29" t="n"/>
      <c r="K268" s="29" t="n"/>
      <c r="L268" s="49" t="n"/>
      <c r="M268" s="49" t="n"/>
      <c r="N268" s="29" t="n"/>
      <c r="O268" s="29" t="n"/>
      <c r="P268" s="29" t="n"/>
      <c r="Q268" s="51" t="n"/>
      <c r="R268" s="29" t="n"/>
      <c r="S268" s="52">
        <f>IF(OR(A268="",F268="",C268&lt;&gt;"Mekân"),0,IF(COUNTIFS($F$8:F268,F268,$C$8:C268,"Mekân")=1,1,0))</f>
        <v/>
      </c>
      <c r="T268" s="52">
        <f>IF(OR(A268="",F268="",C268&lt;&gt;"Kapak"),0,IF(COUNTIFS($F$8:F268,F268,$C$8:C268,"Kapak")=1,1,0))</f>
        <v/>
      </c>
    </row>
    <row r="269" ht="54" customHeight="1">
      <c r="A269" s="29" t="n"/>
      <c r="B269" s="29" t="n"/>
      <c r="C269" s="29" t="n"/>
      <c r="D269" s="29" t="n"/>
      <c r="E269" s="29" t="n"/>
      <c r="F269" s="29" t="n"/>
      <c r="G269" s="29" t="n"/>
      <c r="H269" s="29" t="n"/>
      <c r="I269" s="29" t="n"/>
      <c r="J269" s="29" t="n"/>
      <c r="K269" s="29" t="n"/>
      <c r="L269" s="49" t="n"/>
      <c r="M269" s="49" t="n"/>
      <c r="N269" s="29" t="n"/>
      <c r="O269" s="29" t="n"/>
      <c r="P269" s="29" t="n"/>
      <c r="Q269" s="51" t="n"/>
      <c r="R269" s="29" t="n"/>
      <c r="S269" s="52">
        <f>IF(OR(A269="",F269="",C269&lt;&gt;"Mekân"),0,IF(COUNTIFS($F$8:F269,F269,$C$8:C269,"Mekân")=1,1,0))</f>
        <v/>
      </c>
      <c r="T269" s="52">
        <f>IF(OR(A269="",F269="",C269&lt;&gt;"Kapak"),0,IF(COUNTIFS($F$8:F269,F269,$C$8:C269,"Kapak")=1,1,0))</f>
        <v/>
      </c>
    </row>
    <row r="270" ht="54" customHeight="1">
      <c r="A270" s="29" t="n"/>
      <c r="B270" s="29" t="n"/>
      <c r="C270" s="29" t="n"/>
      <c r="D270" s="29" t="n"/>
      <c r="E270" s="29" t="n"/>
      <c r="F270" s="29" t="n"/>
      <c r="G270" s="29" t="n"/>
      <c r="H270" s="29" t="n"/>
      <c r="I270" s="29" t="n"/>
      <c r="J270" s="29" t="n"/>
      <c r="K270" s="29" t="n"/>
      <c r="L270" s="49" t="n"/>
      <c r="M270" s="49" t="n"/>
      <c r="N270" s="29" t="n"/>
      <c r="O270" s="29" t="n"/>
      <c r="P270" s="29" t="n"/>
      <c r="Q270" s="51" t="n"/>
      <c r="R270" s="29" t="n"/>
      <c r="S270" s="52">
        <f>IF(OR(A270="",F270="",C270&lt;&gt;"Mekân"),0,IF(COUNTIFS($F$8:F270,F270,$C$8:C270,"Mekân")=1,1,0))</f>
        <v/>
      </c>
      <c r="T270" s="52">
        <f>IF(OR(A270="",F270="",C270&lt;&gt;"Kapak"),0,IF(COUNTIFS($F$8:F270,F270,$C$8:C270,"Kapak")=1,1,0))</f>
        <v/>
      </c>
    </row>
    <row r="271" ht="54" customHeight="1">
      <c r="A271" s="29" t="n"/>
      <c r="B271" s="29" t="n"/>
      <c r="C271" s="29" t="n"/>
      <c r="D271" s="29" t="n"/>
      <c r="E271" s="29" t="n"/>
      <c r="F271" s="29" t="n"/>
      <c r="G271" s="29" t="n"/>
      <c r="H271" s="29" t="n"/>
      <c r="I271" s="29" t="n"/>
      <c r="J271" s="29" t="n"/>
      <c r="K271" s="29" t="n"/>
      <c r="L271" s="49" t="n"/>
      <c r="M271" s="49" t="n"/>
      <c r="N271" s="29" t="n"/>
      <c r="O271" s="29" t="n"/>
      <c r="P271" s="29" t="n"/>
      <c r="Q271" s="51" t="n"/>
      <c r="R271" s="29" t="n"/>
      <c r="S271" s="52">
        <f>IF(OR(A271="",F271="",C271&lt;&gt;"Mekân"),0,IF(COUNTIFS($F$8:F271,F271,$C$8:C271,"Mekân")=1,1,0))</f>
        <v/>
      </c>
      <c r="T271" s="52">
        <f>IF(OR(A271="",F271="",C271&lt;&gt;"Kapak"),0,IF(COUNTIFS($F$8:F271,F271,$C$8:C271,"Kapak")=1,1,0))</f>
        <v/>
      </c>
    </row>
    <row r="272" ht="54" customHeight="1">
      <c r="A272" s="29" t="n"/>
      <c r="B272" s="29" t="n"/>
      <c r="C272" s="29" t="n"/>
      <c r="D272" s="29" t="n"/>
      <c r="E272" s="29" t="n"/>
      <c r="F272" s="29" t="n"/>
      <c r="G272" s="29" t="n"/>
      <c r="H272" s="29" t="n"/>
      <c r="I272" s="29" t="n"/>
      <c r="J272" s="29" t="n"/>
      <c r="K272" s="29" t="n"/>
      <c r="L272" s="49" t="n"/>
      <c r="M272" s="49" t="n"/>
      <c r="N272" s="29" t="n"/>
      <c r="O272" s="29" t="n"/>
      <c r="P272" s="29" t="n"/>
      <c r="Q272" s="51" t="n"/>
      <c r="R272" s="29" t="n"/>
      <c r="S272" s="52">
        <f>IF(OR(A272="",F272="",C272&lt;&gt;"Mekân"),0,IF(COUNTIFS($F$8:F272,F272,$C$8:C272,"Mekân")=1,1,0))</f>
        <v/>
      </c>
      <c r="T272" s="52">
        <f>IF(OR(A272="",F272="",C272&lt;&gt;"Kapak"),0,IF(COUNTIFS($F$8:F272,F272,$C$8:C272,"Kapak")=1,1,0))</f>
        <v/>
      </c>
    </row>
    <row r="273" ht="54" customHeight="1">
      <c r="A273" s="29" t="n"/>
      <c r="B273" s="29" t="n"/>
      <c r="C273" s="29" t="n"/>
      <c r="D273" s="29" t="n"/>
      <c r="E273" s="29" t="n"/>
      <c r="F273" s="29" t="n"/>
      <c r="G273" s="29" t="n"/>
      <c r="H273" s="29" t="n"/>
      <c r="I273" s="29" t="n"/>
      <c r="J273" s="29" t="n"/>
      <c r="K273" s="29" t="n"/>
      <c r="L273" s="49" t="n"/>
      <c r="M273" s="49" t="n"/>
      <c r="N273" s="29" t="n"/>
      <c r="O273" s="29" t="n"/>
      <c r="P273" s="29" t="n"/>
      <c r="Q273" s="51" t="n"/>
      <c r="R273" s="29" t="n"/>
      <c r="S273" s="52">
        <f>IF(OR(A273="",F273="",C273&lt;&gt;"Mekân"),0,IF(COUNTIFS($F$8:F273,F273,$C$8:C273,"Mekân")=1,1,0))</f>
        <v/>
      </c>
      <c r="T273" s="52">
        <f>IF(OR(A273="",F273="",C273&lt;&gt;"Kapak"),0,IF(COUNTIFS($F$8:F273,F273,$C$8:C273,"Kapak")=1,1,0))</f>
        <v/>
      </c>
    </row>
    <row r="274" ht="54" customHeight="1">
      <c r="A274" s="29" t="n"/>
      <c r="B274" s="29" t="n"/>
      <c r="C274" s="29" t="n"/>
      <c r="D274" s="29" t="n"/>
      <c r="E274" s="29" t="n"/>
      <c r="F274" s="29" t="n"/>
      <c r="G274" s="29" t="n"/>
      <c r="H274" s="29" t="n"/>
      <c r="I274" s="29" t="n"/>
      <c r="J274" s="29" t="n"/>
      <c r="K274" s="29" t="n"/>
      <c r="L274" s="49" t="n"/>
      <c r="M274" s="49" t="n"/>
      <c r="N274" s="29" t="n"/>
      <c r="O274" s="29" t="n"/>
      <c r="P274" s="29" t="n"/>
      <c r="Q274" s="51" t="n"/>
      <c r="R274" s="29" t="n"/>
      <c r="S274" s="52">
        <f>IF(OR(A274="",F274="",C274&lt;&gt;"Mekân"),0,IF(COUNTIFS($F$8:F274,F274,$C$8:C274,"Mekân")=1,1,0))</f>
        <v/>
      </c>
      <c r="T274" s="52">
        <f>IF(OR(A274="",F274="",C274&lt;&gt;"Kapak"),0,IF(COUNTIFS($F$8:F274,F274,$C$8:C274,"Kapak")=1,1,0))</f>
        <v/>
      </c>
    </row>
    <row r="275" ht="54" customHeight="1">
      <c r="A275" s="29" t="n"/>
      <c r="B275" s="29" t="n"/>
      <c r="C275" s="29" t="n"/>
      <c r="D275" s="29" t="n"/>
      <c r="E275" s="29" t="n"/>
      <c r="F275" s="29" t="n"/>
      <c r="G275" s="29" t="n"/>
      <c r="H275" s="29" t="n"/>
      <c r="I275" s="29" t="n"/>
      <c r="J275" s="29" t="n"/>
      <c r="K275" s="29" t="n"/>
      <c r="L275" s="49" t="n"/>
      <c r="M275" s="49" t="n"/>
      <c r="N275" s="29" t="n"/>
      <c r="O275" s="29" t="n"/>
      <c r="P275" s="29" t="n"/>
      <c r="Q275" s="51" t="n"/>
      <c r="R275" s="29" t="n"/>
      <c r="S275" s="52">
        <f>IF(OR(A275="",F275="",C275&lt;&gt;"Mekân"),0,IF(COUNTIFS($F$8:F275,F275,$C$8:C275,"Mekân")=1,1,0))</f>
        <v/>
      </c>
      <c r="T275" s="52">
        <f>IF(OR(A275="",F275="",C275&lt;&gt;"Kapak"),0,IF(COUNTIFS($F$8:F275,F275,$C$8:C275,"Kapak")=1,1,0))</f>
        <v/>
      </c>
    </row>
    <row r="276" ht="54" customHeight="1">
      <c r="A276" s="29" t="n"/>
      <c r="B276" s="29" t="n"/>
      <c r="C276" s="29" t="n"/>
      <c r="D276" s="29" t="n"/>
      <c r="E276" s="29" t="n"/>
      <c r="F276" s="29" t="n"/>
      <c r="G276" s="29" t="n"/>
      <c r="H276" s="29" t="n"/>
      <c r="I276" s="29" t="n"/>
      <c r="J276" s="29" t="n"/>
      <c r="K276" s="29" t="n"/>
      <c r="L276" s="49" t="n"/>
      <c r="M276" s="49" t="n"/>
      <c r="N276" s="29" t="n"/>
      <c r="O276" s="29" t="n"/>
      <c r="P276" s="29" t="n"/>
      <c r="Q276" s="51" t="n"/>
      <c r="R276" s="29" t="n"/>
      <c r="S276" s="52">
        <f>IF(OR(A276="",F276="",C276&lt;&gt;"Mekân"),0,IF(COUNTIFS($F$8:F276,F276,$C$8:C276,"Mekân")=1,1,0))</f>
        <v/>
      </c>
      <c r="T276" s="52">
        <f>IF(OR(A276="",F276="",C276&lt;&gt;"Kapak"),0,IF(COUNTIFS($F$8:F276,F276,$C$8:C276,"Kapak")=1,1,0))</f>
        <v/>
      </c>
    </row>
    <row r="277" ht="54" customHeight="1">
      <c r="A277" s="29" t="n"/>
      <c r="B277" s="29" t="n"/>
      <c r="C277" s="29" t="n"/>
      <c r="D277" s="29" t="n"/>
      <c r="E277" s="29" t="n"/>
      <c r="F277" s="29" t="n"/>
      <c r="G277" s="29" t="n"/>
      <c r="H277" s="29" t="n"/>
      <c r="I277" s="29" t="n"/>
      <c r="J277" s="29" t="n"/>
      <c r="K277" s="29" t="n"/>
      <c r="L277" s="49" t="n"/>
      <c r="M277" s="49" t="n"/>
      <c r="N277" s="29" t="n"/>
      <c r="O277" s="29" t="n"/>
      <c r="P277" s="29" t="n"/>
      <c r="Q277" s="51" t="n"/>
      <c r="R277" s="29" t="n"/>
      <c r="S277" s="52">
        <f>IF(OR(A277="",F277="",C277&lt;&gt;"Mekân"),0,IF(COUNTIFS($F$8:F277,F277,$C$8:C277,"Mekân")=1,1,0))</f>
        <v/>
      </c>
      <c r="T277" s="52">
        <f>IF(OR(A277="",F277="",C277&lt;&gt;"Kapak"),0,IF(COUNTIFS($F$8:F277,F277,$C$8:C277,"Kapak")=1,1,0))</f>
        <v/>
      </c>
    </row>
    <row r="278" ht="54" customHeight="1">
      <c r="A278" s="29" t="n"/>
      <c r="B278" s="29" t="n"/>
      <c r="C278" s="29" t="n"/>
      <c r="D278" s="29" t="n"/>
      <c r="E278" s="29" t="n"/>
      <c r="F278" s="29" t="n"/>
      <c r="G278" s="29" t="n"/>
      <c r="H278" s="29" t="n"/>
      <c r="I278" s="29" t="n"/>
      <c r="J278" s="29" t="n"/>
      <c r="K278" s="29" t="n"/>
      <c r="L278" s="49" t="n"/>
      <c r="M278" s="49" t="n"/>
      <c r="N278" s="29" t="n"/>
      <c r="O278" s="29" t="n"/>
      <c r="P278" s="29" t="n"/>
      <c r="Q278" s="51" t="n"/>
      <c r="R278" s="29" t="n"/>
      <c r="S278" s="52">
        <f>IF(OR(A278="",F278="",C278&lt;&gt;"Mekân"),0,IF(COUNTIFS($F$8:F278,F278,$C$8:C278,"Mekân")=1,1,0))</f>
        <v/>
      </c>
      <c r="T278" s="52">
        <f>IF(OR(A278="",F278="",C278&lt;&gt;"Kapak"),0,IF(COUNTIFS($F$8:F278,F278,$C$8:C278,"Kapak")=1,1,0))</f>
        <v/>
      </c>
    </row>
    <row r="279" ht="54" customHeight="1">
      <c r="A279" s="29" t="n"/>
      <c r="B279" s="29" t="n"/>
      <c r="C279" s="29" t="n"/>
      <c r="D279" s="29" t="n"/>
      <c r="E279" s="29" t="n"/>
      <c r="F279" s="29" t="n"/>
      <c r="G279" s="29" t="n"/>
      <c r="H279" s="29" t="n"/>
      <c r="I279" s="29" t="n"/>
      <c r="J279" s="29" t="n"/>
      <c r="K279" s="29" t="n"/>
      <c r="L279" s="49" t="n"/>
      <c r="M279" s="49" t="n"/>
      <c r="N279" s="29" t="n"/>
      <c r="O279" s="29" t="n"/>
      <c r="P279" s="29" t="n"/>
      <c r="Q279" s="51" t="n"/>
      <c r="R279" s="29" t="n"/>
      <c r="S279" s="52">
        <f>IF(OR(A279="",F279="",C279&lt;&gt;"Mekân"),0,IF(COUNTIFS($F$8:F279,F279,$C$8:C279,"Mekân")=1,1,0))</f>
        <v/>
      </c>
      <c r="T279" s="52">
        <f>IF(OR(A279="",F279="",C279&lt;&gt;"Kapak"),0,IF(COUNTIFS($F$8:F279,F279,$C$8:C279,"Kapak")=1,1,0))</f>
        <v/>
      </c>
    </row>
    <row r="280" ht="54" customHeight="1">
      <c r="A280" s="29" t="n"/>
      <c r="B280" s="29" t="n"/>
      <c r="C280" s="29" t="n"/>
      <c r="D280" s="29" t="n"/>
      <c r="E280" s="29" t="n"/>
      <c r="F280" s="29" t="n"/>
      <c r="G280" s="29" t="n"/>
      <c r="H280" s="29" t="n"/>
      <c r="I280" s="29" t="n"/>
      <c r="J280" s="29" t="n"/>
      <c r="K280" s="29" t="n"/>
      <c r="L280" s="49" t="n"/>
      <c r="M280" s="49" t="n"/>
      <c r="N280" s="29" t="n"/>
      <c r="O280" s="29" t="n"/>
      <c r="P280" s="29" t="n"/>
      <c r="Q280" s="51" t="n"/>
      <c r="R280" s="29" t="n"/>
      <c r="S280" s="52">
        <f>IF(OR(A280="",F280="",C280&lt;&gt;"Mekân"),0,IF(COUNTIFS($F$8:F280,F280,$C$8:C280,"Mekân")=1,1,0))</f>
        <v/>
      </c>
      <c r="T280" s="52">
        <f>IF(OR(A280="",F280="",C280&lt;&gt;"Kapak"),0,IF(COUNTIFS($F$8:F280,F280,$C$8:C280,"Kapak")=1,1,0))</f>
        <v/>
      </c>
    </row>
    <row r="281" ht="54" customHeight="1">
      <c r="A281" s="29" t="n"/>
      <c r="B281" s="29" t="n"/>
      <c r="C281" s="29" t="n"/>
      <c r="D281" s="29" t="n"/>
      <c r="E281" s="29" t="n"/>
      <c r="F281" s="29" t="n"/>
      <c r="G281" s="29" t="n"/>
      <c r="H281" s="29" t="n"/>
      <c r="I281" s="29" t="n"/>
      <c r="J281" s="29" t="n"/>
      <c r="K281" s="29" t="n"/>
      <c r="L281" s="49" t="n"/>
      <c r="M281" s="49" t="n"/>
      <c r="N281" s="29" t="n"/>
      <c r="O281" s="29" t="n"/>
      <c r="P281" s="29" t="n"/>
      <c r="Q281" s="51" t="n"/>
      <c r="R281" s="29" t="n"/>
      <c r="S281" s="52">
        <f>IF(OR(A281="",F281="",C281&lt;&gt;"Mekân"),0,IF(COUNTIFS($F$8:F281,F281,$C$8:C281,"Mekân")=1,1,0))</f>
        <v/>
      </c>
      <c r="T281" s="52">
        <f>IF(OR(A281="",F281="",C281&lt;&gt;"Kapak"),0,IF(COUNTIFS($F$8:F281,F281,$C$8:C281,"Kapak")=1,1,0))</f>
        <v/>
      </c>
    </row>
    <row r="282" ht="54" customHeight="1">
      <c r="A282" s="29" t="n"/>
      <c r="B282" s="29" t="n"/>
      <c r="C282" s="29" t="n"/>
      <c r="D282" s="29" t="n"/>
      <c r="E282" s="29" t="n"/>
      <c r="F282" s="29" t="n"/>
      <c r="G282" s="29" t="n"/>
      <c r="H282" s="29" t="n"/>
      <c r="I282" s="29" t="n"/>
      <c r="J282" s="29" t="n"/>
      <c r="K282" s="29" t="n"/>
      <c r="L282" s="49" t="n"/>
      <c r="M282" s="49" t="n"/>
      <c r="N282" s="29" t="n"/>
      <c r="O282" s="29" t="n"/>
      <c r="P282" s="29" t="n"/>
      <c r="Q282" s="51" t="n"/>
      <c r="R282" s="29" t="n"/>
      <c r="S282" s="52">
        <f>IF(OR(A282="",F282="",C282&lt;&gt;"Mekân"),0,IF(COUNTIFS($F$8:F282,F282,$C$8:C282,"Mekân")=1,1,0))</f>
        <v/>
      </c>
      <c r="T282" s="52">
        <f>IF(OR(A282="",F282="",C282&lt;&gt;"Kapak"),0,IF(COUNTIFS($F$8:F282,F282,$C$8:C282,"Kapak")=1,1,0))</f>
        <v/>
      </c>
    </row>
    <row r="283" ht="54" customHeight="1">
      <c r="A283" s="29" t="n"/>
      <c r="B283" s="29" t="n"/>
      <c r="C283" s="29" t="n"/>
      <c r="D283" s="29" t="n"/>
      <c r="E283" s="29" t="n"/>
      <c r="F283" s="29" t="n"/>
      <c r="G283" s="29" t="n"/>
      <c r="H283" s="29" t="n"/>
      <c r="I283" s="29" t="n"/>
      <c r="J283" s="29" t="n"/>
      <c r="K283" s="29" t="n"/>
      <c r="L283" s="49" t="n"/>
      <c r="M283" s="49" t="n"/>
      <c r="N283" s="29" t="n"/>
      <c r="O283" s="29" t="n"/>
      <c r="P283" s="29" t="n"/>
      <c r="Q283" s="51" t="n"/>
      <c r="R283" s="29" t="n"/>
      <c r="S283" s="52">
        <f>IF(OR(A283="",F283="",C283&lt;&gt;"Mekân"),0,IF(COUNTIFS($F$8:F283,F283,$C$8:C283,"Mekân")=1,1,0))</f>
        <v/>
      </c>
      <c r="T283" s="52">
        <f>IF(OR(A283="",F283="",C283&lt;&gt;"Kapak"),0,IF(COUNTIFS($F$8:F283,F283,$C$8:C283,"Kapak")=1,1,0))</f>
        <v/>
      </c>
    </row>
    <row r="284" ht="54" customHeight="1">
      <c r="A284" s="29" t="n"/>
      <c r="B284" s="29" t="n"/>
      <c r="C284" s="29" t="n"/>
      <c r="D284" s="29" t="n"/>
      <c r="E284" s="29" t="n"/>
      <c r="F284" s="29" t="n"/>
      <c r="G284" s="29" t="n"/>
      <c r="H284" s="29" t="n"/>
      <c r="I284" s="29" t="n"/>
      <c r="J284" s="29" t="n"/>
      <c r="K284" s="29" t="n"/>
      <c r="L284" s="49" t="n"/>
      <c r="M284" s="49" t="n"/>
      <c r="N284" s="29" t="n"/>
      <c r="O284" s="29" t="n"/>
      <c r="P284" s="29" t="n"/>
      <c r="Q284" s="51" t="n"/>
      <c r="R284" s="29" t="n"/>
      <c r="S284" s="52">
        <f>IF(OR(A284="",F284="",C284&lt;&gt;"Mekân"),0,IF(COUNTIFS($F$8:F284,F284,$C$8:C284,"Mekân")=1,1,0))</f>
        <v/>
      </c>
      <c r="T284" s="52">
        <f>IF(OR(A284="",F284="",C284&lt;&gt;"Kapak"),0,IF(COUNTIFS($F$8:F284,F284,$C$8:C284,"Kapak")=1,1,0))</f>
        <v/>
      </c>
    </row>
    <row r="285" ht="54" customHeight="1">
      <c r="A285" s="29" t="n"/>
      <c r="B285" s="29" t="n"/>
      <c r="C285" s="29" t="n"/>
      <c r="D285" s="29" t="n"/>
      <c r="E285" s="29" t="n"/>
      <c r="F285" s="29" t="n"/>
      <c r="G285" s="29" t="n"/>
      <c r="H285" s="29" t="n"/>
      <c r="I285" s="29" t="n"/>
      <c r="J285" s="29" t="n"/>
      <c r="K285" s="29" t="n"/>
      <c r="L285" s="49" t="n"/>
      <c r="M285" s="49" t="n"/>
      <c r="N285" s="29" t="n"/>
      <c r="O285" s="29" t="n"/>
      <c r="P285" s="29" t="n"/>
      <c r="Q285" s="51" t="n"/>
      <c r="R285" s="29" t="n"/>
      <c r="S285" s="52">
        <f>IF(OR(A285="",F285="",C285&lt;&gt;"Mekân"),0,IF(COUNTIFS($F$8:F285,F285,$C$8:C285,"Mekân")=1,1,0))</f>
        <v/>
      </c>
      <c r="T285" s="52">
        <f>IF(OR(A285="",F285="",C285&lt;&gt;"Kapak"),0,IF(COUNTIFS($F$8:F285,F285,$C$8:C285,"Kapak")=1,1,0))</f>
        <v/>
      </c>
    </row>
    <row r="286" ht="54" customHeight="1">
      <c r="A286" s="29" t="n"/>
      <c r="B286" s="29" t="n"/>
      <c r="C286" s="29" t="n"/>
      <c r="D286" s="29" t="n"/>
      <c r="E286" s="29" t="n"/>
      <c r="F286" s="29" t="n"/>
      <c r="G286" s="29" t="n"/>
      <c r="H286" s="29" t="n"/>
      <c r="I286" s="29" t="n"/>
      <c r="J286" s="29" t="n"/>
      <c r="K286" s="29" t="n"/>
      <c r="L286" s="49" t="n"/>
      <c r="M286" s="49" t="n"/>
      <c r="N286" s="29" t="n"/>
      <c r="O286" s="29" t="n"/>
      <c r="P286" s="29" t="n"/>
      <c r="Q286" s="51" t="n"/>
      <c r="R286" s="29" t="n"/>
      <c r="S286" s="52">
        <f>IF(OR(A286="",F286="",C286&lt;&gt;"Mekân"),0,IF(COUNTIFS($F$8:F286,F286,$C$8:C286,"Mekân")=1,1,0))</f>
        <v/>
      </c>
      <c r="T286" s="52">
        <f>IF(OR(A286="",F286="",C286&lt;&gt;"Kapak"),0,IF(COUNTIFS($F$8:F286,F286,$C$8:C286,"Kapak")=1,1,0))</f>
        <v/>
      </c>
    </row>
    <row r="287" ht="54" customHeight="1">
      <c r="A287" s="29" t="n"/>
      <c r="B287" s="29" t="n"/>
      <c r="C287" s="29" t="n"/>
      <c r="D287" s="29" t="n"/>
      <c r="E287" s="29" t="n"/>
      <c r="F287" s="29" t="n"/>
      <c r="G287" s="29" t="n"/>
      <c r="H287" s="29" t="n"/>
      <c r="I287" s="29" t="n"/>
      <c r="J287" s="29" t="n"/>
      <c r="K287" s="29" t="n"/>
      <c r="L287" s="49" t="n"/>
      <c r="M287" s="49" t="n"/>
      <c r="N287" s="29" t="n"/>
      <c r="O287" s="29" t="n"/>
      <c r="P287" s="29" t="n"/>
      <c r="Q287" s="51" t="n"/>
      <c r="R287" s="29" t="n"/>
      <c r="S287" s="52">
        <f>IF(OR(A287="",F287="",C287&lt;&gt;"Mekân"),0,IF(COUNTIFS($F$8:F287,F287,$C$8:C287,"Mekân")=1,1,0))</f>
        <v/>
      </c>
      <c r="T287" s="52">
        <f>IF(OR(A287="",F287="",C287&lt;&gt;"Kapak"),0,IF(COUNTIFS($F$8:F287,F287,$C$8:C287,"Kapak")=1,1,0))</f>
        <v/>
      </c>
    </row>
    <row r="288" ht="54" customHeight="1">
      <c r="A288" s="29" t="n"/>
      <c r="B288" s="29" t="n"/>
      <c r="C288" s="29" t="n"/>
      <c r="D288" s="29" t="n"/>
      <c r="E288" s="29" t="n"/>
      <c r="F288" s="29" t="n"/>
      <c r="G288" s="29" t="n"/>
      <c r="H288" s="29" t="n"/>
      <c r="I288" s="29" t="n"/>
      <c r="J288" s="29" t="n"/>
      <c r="K288" s="29" t="n"/>
      <c r="L288" s="49" t="n"/>
      <c r="M288" s="49" t="n"/>
      <c r="N288" s="29" t="n"/>
      <c r="O288" s="29" t="n"/>
      <c r="P288" s="29" t="n"/>
      <c r="Q288" s="51" t="n"/>
      <c r="R288" s="29" t="n"/>
      <c r="S288" s="52">
        <f>IF(OR(A288="",F288="",C288&lt;&gt;"Mekân"),0,IF(COUNTIFS($F$8:F288,F288,$C$8:C288,"Mekân")=1,1,0))</f>
        <v/>
      </c>
      <c r="T288" s="52">
        <f>IF(OR(A288="",F288="",C288&lt;&gt;"Kapak"),0,IF(COUNTIFS($F$8:F288,F288,$C$8:C288,"Kapak")=1,1,0))</f>
        <v/>
      </c>
    </row>
    <row r="289" ht="54" customHeight="1">
      <c r="A289" s="29" t="n"/>
      <c r="B289" s="29" t="n"/>
      <c r="C289" s="29" t="n"/>
      <c r="D289" s="29" t="n"/>
      <c r="E289" s="29" t="n"/>
      <c r="F289" s="29" t="n"/>
      <c r="G289" s="29" t="n"/>
      <c r="H289" s="29" t="n"/>
      <c r="I289" s="29" t="n"/>
      <c r="J289" s="29" t="n"/>
      <c r="K289" s="29" t="n"/>
      <c r="L289" s="49" t="n"/>
      <c r="M289" s="49" t="n"/>
      <c r="N289" s="29" t="n"/>
      <c r="O289" s="29" t="n"/>
      <c r="P289" s="29" t="n"/>
      <c r="Q289" s="51" t="n"/>
      <c r="R289" s="29" t="n"/>
      <c r="S289" s="52">
        <f>IF(OR(A289="",F289="",C289&lt;&gt;"Mekân"),0,IF(COUNTIFS($F$8:F289,F289,$C$8:C289,"Mekân")=1,1,0))</f>
        <v/>
      </c>
      <c r="T289" s="52">
        <f>IF(OR(A289="",F289="",C289&lt;&gt;"Kapak"),0,IF(COUNTIFS($F$8:F289,F289,$C$8:C289,"Kapak")=1,1,0))</f>
        <v/>
      </c>
    </row>
    <row r="290" ht="54" customHeight="1">
      <c r="A290" s="29" t="n"/>
      <c r="B290" s="29" t="n"/>
      <c r="C290" s="29" t="n"/>
      <c r="D290" s="29" t="n"/>
      <c r="E290" s="29" t="n"/>
      <c r="F290" s="29" t="n"/>
      <c r="G290" s="29" t="n"/>
      <c r="H290" s="29" t="n"/>
      <c r="I290" s="29" t="n"/>
      <c r="J290" s="29" t="n"/>
      <c r="K290" s="29" t="n"/>
      <c r="L290" s="49" t="n"/>
      <c r="M290" s="49" t="n"/>
      <c r="N290" s="29" t="n"/>
      <c r="O290" s="29" t="n"/>
      <c r="P290" s="29" t="n"/>
      <c r="Q290" s="51" t="n"/>
      <c r="R290" s="29" t="n"/>
      <c r="S290" s="52">
        <f>IF(OR(A290="",F290="",C290&lt;&gt;"Mekân"),0,IF(COUNTIFS($F$8:F290,F290,$C$8:C290,"Mekân")=1,1,0))</f>
        <v/>
      </c>
      <c r="T290" s="52">
        <f>IF(OR(A290="",F290="",C290&lt;&gt;"Kapak"),0,IF(COUNTIFS($F$8:F290,F290,$C$8:C290,"Kapak")=1,1,0))</f>
        <v/>
      </c>
    </row>
    <row r="291" ht="54" customHeight="1">
      <c r="A291" s="29" t="n"/>
      <c r="B291" s="29" t="n"/>
      <c r="C291" s="29" t="n"/>
      <c r="D291" s="29" t="n"/>
      <c r="E291" s="29" t="n"/>
      <c r="F291" s="29" t="n"/>
      <c r="G291" s="29" t="n"/>
      <c r="H291" s="29" t="n"/>
      <c r="I291" s="29" t="n"/>
      <c r="J291" s="29" t="n"/>
      <c r="K291" s="29" t="n"/>
      <c r="L291" s="49" t="n"/>
      <c r="M291" s="49" t="n"/>
      <c r="N291" s="29" t="n"/>
      <c r="O291" s="29" t="n"/>
      <c r="P291" s="29" t="n"/>
      <c r="Q291" s="51" t="n"/>
      <c r="R291" s="29" t="n"/>
      <c r="S291" s="52">
        <f>IF(OR(A291="",F291="",C291&lt;&gt;"Mekân"),0,IF(COUNTIFS($F$8:F291,F291,$C$8:C291,"Mekân")=1,1,0))</f>
        <v/>
      </c>
      <c r="T291" s="52">
        <f>IF(OR(A291="",F291="",C291&lt;&gt;"Kapak"),0,IF(COUNTIFS($F$8:F291,F291,$C$8:C291,"Kapak")=1,1,0))</f>
        <v/>
      </c>
    </row>
    <row r="292" ht="54" customHeight="1">
      <c r="A292" s="29" t="n"/>
      <c r="B292" s="29" t="n"/>
      <c r="C292" s="29" t="n"/>
      <c r="D292" s="29" t="n"/>
      <c r="E292" s="29" t="n"/>
      <c r="F292" s="29" t="n"/>
      <c r="G292" s="29" t="n"/>
      <c r="H292" s="29" t="n"/>
      <c r="I292" s="29" t="n"/>
      <c r="J292" s="29" t="n"/>
      <c r="K292" s="29" t="n"/>
      <c r="L292" s="49" t="n"/>
      <c r="M292" s="49" t="n"/>
      <c r="N292" s="29" t="n"/>
      <c r="O292" s="29" t="n"/>
      <c r="P292" s="29" t="n"/>
      <c r="Q292" s="51" t="n"/>
      <c r="R292" s="29" t="n"/>
      <c r="S292" s="52">
        <f>IF(OR(A292="",F292="",C292&lt;&gt;"Mekân"),0,IF(COUNTIFS($F$8:F292,F292,$C$8:C292,"Mekân")=1,1,0))</f>
        <v/>
      </c>
      <c r="T292" s="52">
        <f>IF(OR(A292="",F292="",C292&lt;&gt;"Kapak"),0,IF(COUNTIFS($F$8:F292,F292,$C$8:C292,"Kapak")=1,1,0))</f>
        <v/>
      </c>
    </row>
    <row r="293" ht="54" customHeight="1">
      <c r="A293" s="29" t="n"/>
      <c r="B293" s="29" t="n"/>
      <c r="C293" s="29" t="n"/>
      <c r="D293" s="29" t="n"/>
      <c r="E293" s="29" t="n"/>
      <c r="F293" s="29" t="n"/>
      <c r="G293" s="29" t="n"/>
      <c r="H293" s="29" t="n"/>
      <c r="I293" s="29" t="n"/>
      <c r="J293" s="29" t="n"/>
      <c r="K293" s="29" t="n"/>
      <c r="L293" s="49" t="n"/>
      <c r="M293" s="49" t="n"/>
      <c r="N293" s="29" t="n"/>
      <c r="O293" s="29" t="n"/>
      <c r="P293" s="29" t="n"/>
      <c r="Q293" s="51" t="n"/>
      <c r="R293" s="29" t="n"/>
      <c r="S293" s="52">
        <f>IF(OR(A293="",F293="",C293&lt;&gt;"Mekân"),0,IF(COUNTIFS($F$8:F293,F293,$C$8:C293,"Mekân")=1,1,0))</f>
        <v/>
      </c>
      <c r="T293" s="52">
        <f>IF(OR(A293="",F293="",C293&lt;&gt;"Kapak"),0,IF(COUNTIFS($F$8:F293,F293,$C$8:C293,"Kapak")=1,1,0))</f>
        <v/>
      </c>
    </row>
    <row r="294" ht="54" customHeight="1">
      <c r="A294" s="29" t="n"/>
      <c r="B294" s="29" t="n"/>
      <c r="C294" s="29" t="n"/>
      <c r="D294" s="29" t="n"/>
      <c r="E294" s="29" t="n"/>
      <c r="F294" s="29" t="n"/>
      <c r="G294" s="29" t="n"/>
      <c r="H294" s="29" t="n"/>
      <c r="I294" s="29" t="n"/>
      <c r="J294" s="29" t="n"/>
      <c r="K294" s="29" t="n"/>
      <c r="L294" s="49" t="n"/>
      <c r="M294" s="49" t="n"/>
      <c r="N294" s="29" t="n"/>
      <c r="O294" s="29" t="n"/>
      <c r="P294" s="29" t="n"/>
      <c r="Q294" s="51" t="n"/>
      <c r="R294" s="29" t="n"/>
      <c r="S294" s="52">
        <f>IF(OR(A294="",F294="",C294&lt;&gt;"Mekân"),0,IF(COUNTIFS($F$8:F294,F294,$C$8:C294,"Mekân")=1,1,0))</f>
        <v/>
      </c>
      <c r="T294" s="52">
        <f>IF(OR(A294="",F294="",C294&lt;&gt;"Kapak"),0,IF(COUNTIFS($F$8:F294,F294,$C$8:C294,"Kapak")=1,1,0))</f>
        <v/>
      </c>
    </row>
    <row r="295" ht="54" customHeight="1">
      <c r="A295" s="29" t="n"/>
      <c r="B295" s="29" t="n"/>
      <c r="C295" s="29" t="n"/>
      <c r="D295" s="29" t="n"/>
      <c r="E295" s="29" t="n"/>
      <c r="F295" s="29" t="n"/>
      <c r="G295" s="29" t="n"/>
      <c r="H295" s="29" t="n"/>
      <c r="I295" s="29" t="n"/>
      <c r="J295" s="29" t="n"/>
      <c r="K295" s="29" t="n"/>
      <c r="L295" s="49" t="n"/>
      <c r="M295" s="49" t="n"/>
      <c r="N295" s="29" t="n"/>
      <c r="O295" s="29" t="n"/>
      <c r="P295" s="29" t="n"/>
      <c r="Q295" s="51" t="n"/>
      <c r="R295" s="29" t="n"/>
      <c r="S295" s="52">
        <f>IF(OR(A295="",F295="",C295&lt;&gt;"Mekân"),0,IF(COUNTIFS($F$8:F295,F295,$C$8:C295,"Mekân")=1,1,0))</f>
        <v/>
      </c>
      <c r="T295" s="52">
        <f>IF(OR(A295="",F295="",C295&lt;&gt;"Kapak"),0,IF(COUNTIFS($F$8:F295,F295,$C$8:C295,"Kapak")=1,1,0))</f>
        <v/>
      </c>
    </row>
    <row r="296" ht="54" customHeight="1">
      <c r="A296" s="29" t="n"/>
      <c r="B296" s="29" t="n"/>
      <c r="C296" s="29" t="n"/>
      <c r="D296" s="29" t="n"/>
      <c r="E296" s="29" t="n"/>
      <c r="F296" s="29" t="n"/>
      <c r="G296" s="29" t="n"/>
      <c r="H296" s="29" t="n"/>
      <c r="I296" s="29" t="n"/>
      <c r="J296" s="29" t="n"/>
      <c r="K296" s="29" t="n"/>
      <c r="L296" s="49" t="n"/>
      <c r="M296" s="49" t="n"/>
      <c r="N296" s="29" t="n"/>
      <c r="O296" s="29" t="n"/>
      <c r="P296" s="29" t="n"/>
      <c r="Q296" s="51" t="n"/>
      <c r="R296" s="29" t="n"/>
      <c r="S296" s="52">
        <f>IF(OR(A296="",F296="",C296&lt;&gt;"Mekân"),0,IF(COUNTIFS($F$8:F296,F296,$C$8:C296,"Mekân")=1,1,0))</f>
        <v/>
      </c>
      <c r="T296" s="52">
        <f>IF(OR(A296="",F296="",C296&lt;&gt;"Kapak"),0,IF(COUNTIFS($F$8:F296,F296,$C$8:C296,"Kapak")=1,1,0))</f>
        <v/>
      </c>
    </row>
    <row r="297" ht="54" customHeight="1">
      <c r="A297" s="29" t="n"/>
      <c r="B297" s="29" t="n"/>
      <c r="C297" s="29" t="n"/>
      <c r="D297" s="29" t="n"/>
      <c r="E297" s="29" t="n"/>
      <c r="F297" s="29" t="n"/>
      <c r="G297" s="29" t="n"/>
      <c r="H297" s="29" t="n"/>
      <c r="I297" s="29" t="n"/>
      <c r="J297" s="29" t="n"/>
      <c r="K297" s="29" t="n"/>
      <c r="L297" s="49" t="n"/>
      <c r="M297" s="49" t="n"/>
      <c r="N297" s="29" t="n"/>
      <c r="O297" s="29" t="n"/>
      <c r="P297" s="29" t="n"/>
      <c r="Q297" s="51" t="n"/>
      <c r="R297" s="29" t="n"/>
      <c r="S297" s="52">
        <f>IF(OR(A297="",F297="",C297&lt;&gt;"Mekân"),0,IF(COUNTIFS($F$8:F297,F297,$C$8:C297,"Mekân")=1,1,0))</f>
        <v/>
      </c>
      <c r="T297" s="52">
        <f>IF(OR(A297="",F297="",C297&lt;&gt;"Kapak"),0,IF(COUNTIFS($F$8:F297,F297,$C$8:C297,"Kapak")=1,1,0))</f>
        <v/>
      </c>
    </row>
    <row r="298" ht="54" customHeight="1">
      <c r="A298" s="29" t="n"/>
      <c r="B298" s="29" t="n"/>
      <c r="C298" s="29" t="n"/>
      <c r="D298" s="29" t="n"/>
      <c r="E298" s="29" t="n"/>
      <c r="F298" s="29" t="n"/>
      <c r="G298" s="29" t="n"/>
      <c r="H298" s="29" t="n"/>
      <c r="I298" s="29" t="n"/>
      <c r="J298" s="29" t="n"/>
      <c r="K298" s="29" t="n"/>
      <c r="L298" s="49" t="n"/>
      <c r="M298" s="49" t="n"/>
      <c r="N298" s="29" t="n"/>
      <c r="O298" s="29" t="n"/>
      <c r="P298" s="29" t="n"/>
      <c r="Q298" s="51" t="n"/>
      <c r="R298" s="29" t="n"/>
      <c r="S298" s="52">
        <f>IF(OR(A298="",F298="",C298&lt;&gt;"Mekân"),0,IF(COUNTIFS($F$8:F298,F298,$C$8:C298,"Mekân")=1,1,0))</f>
        <v/>
      </c>
      <c r="T298" s="52">
        <f>IF(OR(A298="",F298="",C298&lt;&gt;"Kapak"),0,IF(COUNTIFS($F$8:F298,F298,$C$8:C298,"Kapak")=1,1,0))</f>
        <v/>
      </c>
    </row>
    <row r="299" ht="54" customHeight="1">
      <c r="A299" s="29" t="n"/>
      <c r="B299" s="29" t="n"/>
      <c r="C299" s="29" t="n"/>
      <c r="D299" s="29" t="n"/>
      <c r="E299" s="29" t="n"/>
      <c r="F299" s="29" t="n"/>
      <c r="G299" s="29" t="n"/>
      <c r="H299" s="29" t="n"/>
      <c r="I299" s="29" t="n"/>
      <c r="J299" s="29" t="n"/>
      <c r="K299" s="29" t="n"/>
      <c r="L299" s="49" t="n"/>
      <c r="M299" s="49" t="n"/>
      <c r="N299" s="29" t="n"/>
      <c r="O299" s="29" t="n"/>
      <c r="P299" s="29" t="n"/>
      <c r="Q299" s="51" t="n"/>
      <c r="R299" s="29" t="n"/>
      <c r="S299" s="52">
        <f>IF(OR(A299="",F299="",C299&lt;&gt;"Mekân"),0,IF(COUNTIFS($F$8:F299,F299,$C$8:C299,"Mekân")=1,1,0))</f>
        <v/>
      </c>
      <c r="T299" s="52">
        <f>IF(OR(A299="",F299="",C299&lt;&gt;"Kapak"),0,IF(COUNTIFS($F$8:F299,F299,$C$8:C299,"Kapak")=1,1,0))</f>
        <v/>
      </c>
    </row>
    <row r="300" ht="54" customHeight="1">
      <c r="A300" s="29" t="n"/>
      <c r="B300" s="29" t="n"/>
      <c r="C300" s="29" t="n"/>
      <c r="D300" s="29" t="n"/>
      <c r="E300" s="29" t="n"/>
      <c r="F300" s="29" t="n"/>
      <c r="G300" s="29" t="n"/>
      <c r="H300" s="29" t="n"/>
      <c r="I300" s="29" t="n"/>
      <c r="J300" s="29" t="n"/>
      <c r="K300" s="29" t="n"/>
      <c r="L300" s="49" t="n"/>
      <c r="M300" s="49" t="n"/>
      <c r="N300" s="29" t="n"/>
      <c r="O300" s="29" t="n"/>
      <c r="P300" s="29" t="n"/>
      <c r="Q300" s="51" t="n"/>
      <c r="R300" s="29" t="n"/>
      <c r="S300" s="52">
        <f>IF(OR(A300="",F300="",C300&lt;&gt;"Mekân"),0,IF(COUNTIFS($F$8:F300,F300,$C$8:C300,"Mekân")=1,1,0))</f>
        <v/>
      </c>
      <c r="T300" s="52">
        <f>IF(OR(A300="",F300="",C300&lt;&gt;"Kapak"),0,IF(COUNTIFS($F$8:F300,F300,$C$8:C300,"Kapak")=1,1,0))</f>
        <v/>
      </c>
    </row>
    <row r="301" ht="54" customHeight="1">
      <c r="A301" s="29" t="n"/>
      <c r="B301" s="29" t="n"/>
      <c r="C301" s="29" t="n"/>
      <c r="D301" s="29" t="n"/>
      <c r="E301" s="29" t="n"/>
      <c r="F301" s="29" t="n"/>
      <c r="G301" s="29" t="n"/>
      <c r="H301" s="29" t="n"/>
      <c r="I301" s="29" t="n"/>
      <c r="J301" s="29" t="n"/>
      <c r="K301" s="29" t="n"/>
      <c r="L301" s="49" t="n"/>
      <c r="M301" s="49" t="n"/>
      <c r="N301" s="29" t="n"/>
      <c r="O301" s="29" t="n"/>
      <c r="P301" s="29" t="n"/>
      <c r="Q301" s="51" t="n"/>
      <c r="R301" s="29" t="n"/>
      <c r="S301" s="52">
        <f>IF(OR(A301="",F301="",C301&lt;&gt;"Mekân"),0,IF(COUNTIFS($F$8:F301,F301,$C$8:C301,"Mekân")=1,1,0))</f>
        <v/>
      </c>
      <c r="T301" s="52">
        <f>IF(OR(A301="",F301="",C301&lt;&gt;"Kapak"),0,IF(COUNTIFS($F$8:F301,F301,$C$8:C301,"Kapak")=1,1,0))</f>
        <v/>
      </c>
    </row>
    <row r="302" ht="54" customHeight="1">
      <c r="A302" s="29" t="n"/>
      <c r="B302" s="29" t="n"/>
      <c r="C302" s="29" t="n"/>
      <c r="D302" s="29" t="n"/>
      <c r="E302" s="29" t="n"/>
      <c r="F302" s="29" t="n"/>
      <c r="G302" s="29" t="n"/>
      <c r="H302" s="29" t="n"/>
      <c r="I302" s="29" t="n"/>
      <c r="J302" s="29" t="n"/>
      <c r="K302" s="29" t="n"/>
      <c r="L302" s="49" t="n"/>
      <c r="M302" s="49" t="n"/>
      <c r="N302" s="29" t="n"/>
      <c r="O302" s="29" t="n"/>
      <c r="P302" s="29" t="n"/>
      <c r="Q302" s="51" t="n"/>
      <c r="R302" s="29" t="n"/>
      <c r="S302" s="52">
        <f>IF(OR(A302="",F302="",C302&lt;&gt;"Mekân"),0,IF(COUNTIFS($F$8:F302,F302,$C$8:C302,"Mekân")=1,1,0))</f>
        <v/>
      </c>
      <c r="T302" s="52">
        <f>IF(OR(A302="",F302="",C302&lt;&gt;"Kapak"),0,IF(COUNTIFS($F$8:F302,F302,$C$8:C302,"Kapak")=1,1,0))</f>
        <v/>
      </c>
    </row>
    <row r="303" ht="54" customHeight="1">
      <c r="A303" s="29" t="n"/>
      <c r="B303" s="29" t="n"/>
      <c r="C303" s="29" t="n"/>
      <c r="D303" s="29" t="n"/>
      <c r="E303" s="29" t="n"/>
      <c r="F303" s="29" t="n"/>
      <c r="G303" s="29" t="n"/>
      <c r="H303" s="29" t="n"/>
      <c r="I303" s="29" t="n"/>
      <c r="J303" s="29" t="n"/>
      <c r="K303" s="29" t="n"/>
      <c r="L303" s="49" t="n"/>
      <c r="M303" s="49" t="n"/>
      <c r="N303" s="29" t="n"/>
      <c r="O303" s="29" t="n"/>
      <c r="P303" s="29" t="n"/>
      <c r="Q303" s="51" t="n"/>
      <c r="R303" s="29" t="n"/>
      <c r="S303" s="52">
        <f>IF(OR(A303="",F303="",C303&lt;&gt;"Mekân"),0,IF(COUNTIFS($F$8:F303,F303,$C$8:C303,"Mekân")=1,1,0))</f>
        <v/>
      </c>
      <c r="T303" s="52">
        <f>IF(OR(A303="",F303="",C303&lt;&gt;"Kapak"),0,IF(COUNTIFS($F$8:F303,F303,$C$8:C303,"Kapak")=1,1,0))</f>
        <v/>
      </c>
    </row>
    <row r="304" ht="54" customHeight="1">
      <c r="A304" s="29" t="n"/>
      <c r="B304" s="29" t="n"/>
      <c r="C304" s="29" t="n"/>
      <c r="D304" s="29" t="n"/>
      <c r="E304" s="29" t="n"/>
      <c r="F304" s="29" t="n"/>
      <c r="G304" s="29" t="n"/>
      <c r="H304" s="29" t="n"/>
      <c r="I304" s="29" t="n"/>
      <c r="J304" s="29" t="n"/>
      <c r="K304" s="29" t="n"/>
      <c r="L304" s="49" t="n"/>
      <c r="M304" s="49" t="n"/>
      <c r="N304" s="29" t="n"/>
      <c r="O304" s="29" t="n"/>
      <c r="P304" s="29" t="n"/>
      <c r="Q304" s="51" t="n"/>
      <c r="R304" s="29" t="n"/>
      <c r="S304" s="52">
        <f>IF(OR(A304="",F304="",C304&lt;&gt;"Mekân"),0,IF(COUNTIFS($F$8:F304,F304,$C$8:C304,"Mekân")=1,1,0))</f>
        <v/>
      </c>
      <c r="T304" s="52">
        <f>IF(OR(A304="",F304="",C304&lt;&gt;"Kapak"),0,IF(COUNTIFS($F$8:F304,F304,$C$8:C304,"Kapak")=1,1,0))</f>
        <v/>
      </c>
    </row>
    <row r="305" ht="54" customHeight="1">
      <c r="A305" s="29" t="n"/>
      <c r="B305" s="29" t="n"/>
      <c r="C305" s="29" t="n"/>
      <c r="D305" s="29" t="n"/>
      <c r="E305" s="29" t="n"/>
      <c r="F305" s="29" t="n"/>
      <c r="G305" s="29" t="n"/>
      <c r="H305" s="29" t="n"/>
      <c r="I305" s="29" t="n"/>
      <c r="J305" s="29" t="n"/>
      <c r="K305" s="29" t="n"/>
      <c r="L305" s="49" t="n"/>
      <c r="M305" s="49" t="n"/>
      <c r="N305" s="29" t="n"/>
      <c r="O305" s="29" t="n"/>
      <c r="P305" s="29" t="n"/>
      <c r="Q305" s="51" t="n"/>
      <c r="R305" s="29" t="n"/>
      <c r="S305" s="52">
        <f>IF(OR(A305="",F305="",C305&lt;&gt;"Mekân"),0,IF(COUNTIFS($F$8:F305,F305,$C$8:C305,"Mekân")=1,1,0))</f>
        <v/>
      </c>
      <c r="T305" s="52">
        <f>IF(OR(A305="",F305="",C305&lt;&gt;"Kapak"),0,IF(COUNTIFS($F$8:F305,F305,$C$8:C305,"Kapak")=1,1,0))</f>
        <v/>
      </c>
    </row>
    <row r="306" ht="54" customHeight="1">
      <c r="A306" s="29" t="n"/>
      <c r="B306" s="29" t="n"/>
      <c r="C306" s="29" t="n"/>
      <c r="D306" s="29" t="n"/>
      <c r="E306" s="29" t="n"/>
      <c r="F306" s="29" t="n"/>
      <c r="G306" s="29" t="n"/>
      <c r="H306" s="29" t="n"/>
      <c r="I306" s="29" t="n"/>
      <c r="J306" s="29" t="n"/>
      <c r="K306" s="29" t="n"/>
      <c r="L306" s="49" t="n"/>
      <c r="M306" s="49" t="n"/>
      <c r="N306" s="29" t="n"/>
      <c r="O306" s="29" t="n"/>
      <c r="P306" s="29" t="n"/>
      <c r="Q306" s="51" t="n"/>
      <c r="R306" s="29" t="n"/>
      <c r="S306" s="52">
        <f>IF(OR(A306="",F306="",C306&lt;&gt;"Mekân"),0,IF(COUNTIFS($F$8:F306,F306,$C$8:C306,"Mekân")=1,1,0))</f>
        <v/>
      </c>
      <c r="T306" s="52">
        <f>IF(OR(A306="",F306="",C306&lt;&gt;"Kapak"),0,IF(COUNTIFS($F$8:F306,F306,$C$8:C306,"Kapak")=1,1,0))</f>
        <v/>
      </c>
    </row>
    <row r="307" ht="54" customHeight="1">
      <c r="A307" s="29" t="n"/>
      <c r="B307" s="29" t="n"/>
      <c r="C307" s="29" t="n"/>
      <c r="D307" s="29" t="n"/>
      <c r="E307" s="29" t="n"/>
      <c r="F307" s="29" t="n"/>
      <c r="G307" s="29" t="n"/>
      <c r="H307" s="29" t="n"/>
      <c r="I307" s="29" t="n"/>
      <c r="J307" s="29" t="n"/>
      <c r="K307" s="29" t="n"/>
      <c r="L307" s="49" t="n"/>
      <c r="M307" s="49" t="n"/>
      <c r="N307" s="29" t="n"/>
      <c r="O307" s="29" t="n"/>
      <c r="P307" s="29" t="n"/>
      <c r="Q307" s="51" t="n"/>
      <c r="R307" s="29" t="n"/>
      <c r="S307" s="52">
        <f>IF(OR(A307="",F307="",C307&lt;&gt;"Mekân"),0,IF(COUNTIFS($F$8:F307,F307,$C$8:C307,"Mekân")=1,1,0))</f>
        <v/>
      </c>
      <c r="T307" s="52">
        <f>IF(OR(A307="",F307="",C307&lt;&gt;"Kapak"),0,IF(COUNTIFS($F$8:F307,F307,$C$8:C307,"Kapak")=1,1,0))</f>
        <v/>
      </c>
    </row>
    <row r="308" ht="54" customHeight="1">
      <c r="A308" s="29" t="n"/>
      <c r="B308" s="29" t="n"/>
      <c r="C308" s="29" t="n"/>
      <c r="D308" s="29" t="n"/>
      <c r="E308" s="29" t="n"/>
      <c r="F308" s="29" t="n"/>
      <c r="G308" s="29" t="n"/>
      <c r="H308" s="29" t="n"/>
      <c r="I308" s="29" t="n"/>
      <c r="J308" s="29" t="n"/>
      <c r="K308" s="29" t="n"/>
      <c r="L308" s="49" t="n"/>
      <c r="M308" s="49" t="n"/>
      <c r="N308" s="29" t="n"/>
      <c r="O308" s="29" t="n"/>
      <c r="P308" s="29" t="n"/>
      <c r="Q308" s="51" t="n"/>
      <c r="R308" s="29" t="n"/>
      <c r="S308" s="52">
        <f>IF(OR(A308="",F308="",C308&lt;&gt;"Mekân"),0,IF(COUNTIFS($F$8:F308,F308,$C$8:C308,"Mekân")=1,1,0))</f>
        <v/>
      </c>
      <c r="T308" s="52">
        <f>IF(OR(A308="",F308="",C308&lt;&gt;"Kapak"),0,IF(COUNTIFS($F$8:F308,F308,$C$8:C308,"Kapak")=1,1,0))</f>
        <v/>
      </c>
    </row>
    <row r="309" ht="54" customHeight="1">
      <c r="A309" s="29" t="n"/>
      <c r="B309" s="29" t="n"/>
      <c r="C309" s="29" t="n"/>
      <c r="D309" s="29" t="n"/>
      <c r="E309" s="29" t="n"/>
      <c r="F309" s="29" t="n"/>
      <c r="G309" s="29" t="n"/>
      <c r="H309" s="29" t="n"/>
      <c r="I309" s="29" t="n"/>
      <c r="J309" s="29" t="n"/>
      <c r="K309" s="29" t="n"/>
      <c r="L309" s="49" t="n"/>
      <c r="M309" s="49" t="n"/>
      <c r="N309" s="29" t="n"/>
      <c r="O309" s="29" t="n"/>
      <c r="P309" s="29" t="n"/>
      <c r="Q309" s="51" t="n"/>
      <c r="R309" s="29" t="n"/>
      <c r="S309" s="52">
        <f>IF(OR(A309="",F309="",C309&lt;&gt;"Mekân"),0,IF(COUNTIFS($F$8:F309,F309,$C$8:C309,"Mekân")=1,1,0))</f>
        <v/>
      </c>
      <c r="T309" s="52">
        <f>IF(OR(A309="",F309="",C309&lt;&gt;"Kapak"),0,IF(COUNTIFS($F$8:F309,F309,$C$8:C309,"Kapak")=1,1,0))</f>
        <v/>
      </c>
    </row>
    <row r="310" ht="54" customHeight="1">
      <c r="A310" s="29" t="n"/>
      <c r="B310" s="29" t="n"/>
      <c r="C310" s="29" t="n"/>
      <c r="D310" s="29" t="n"/>
      <c r="E310" s="29" t="n"/>
      <c r="F310" s="29" t="n"/>
      <c r="G310" s="29" t="n"/>
      <c r="H310" s="29" t="n"/>
      <c r="I310" s="29" t="n"/>
      <c r="J310" s="29" t="n"/>
      <c r="K310" s="29" t="n"/>
      <c r="L310" s="49" t="n"/>
      <c r="M310" s="49" t="n"/>
      <c r="N310" s="29" t="n"/>
      <c r="O310" s="29" t="n"/>
      <c r="P310" s="29" t="n"/>
      <c r="Q310" s="51" t="n"/>
      <c r="R310" s="29" t="n"/>
      <c r="S310" s="52">
        <f>IF(OR(A310="",F310="",C310&lt;&gt;"Mekân"),0,IF(COUNTIFS($F$8:F310,F310,$C$8:C310,"Mekân")=1,1,0))</f>
        <v/>
      </c>
      <c r="T310" s="52">
        <f>IF(OR(A310="",F310="",C310&lt;&gt;"Kapak"),0,IF(COUNTIFS($F$8:F310,F310,$C$8:C310,"Kapak")=1,1,0))</f>
        <v/>
      </c>
    </row>
    <row r="311" ht="54" customHeight="1">
      <c r="A311" s="29" t="n"/>
      <c r="B311" s="29" t="n"/>
      <c r="C311" s="29" t="n"/>
      <c r="D311" s="29" t="n"/>
      <c r="E311" s="29" t="n"/>
      <c r="F311" s="29" t="n"/>
      <c r="G311" s="29" t="n"/>
      <c r="H311" s="29" t="n"/>
      <c r="I311" s="29" t="n"/>
      <c r="J311" s="29" t="n"/>
      <c r="K311" s="29" t="n"/>
      <c r="L311" s="49" t="n"/>
      <c r="M311" s="49" t="n"/>
      <c r="N311" s="29" t="n"/>
      <c r="O311" s="29" t="n"/>
      <c r="P311" s="29" t="n"/>
      <c r="Q311" s="51" t="n"/>
      <c r="R311" s="29" t="n"/>
      <c r="S311" s="52">
        <f>IF(OR(A311="",F311="",C311&lt;&gt;"Mekân"),0,IF(COUNTIFS($F$8:F311,F311,$C$8:C311,"Mekân")=1,1,0))</f>
        <v/>
      </c>
      <c r="T311" s="52">
        <f>IF(OR(A311="",F311="",C311&lt;&gt;"Kapak"),0,IF(COUNTIFS($F$8:F311,F311,$C$8:C311,"Kapak")=1,1,0))</f>
        <v/>
      </c>
    </row>
    <row r="312" ht="54" customHeight="1">
      <c r="A312" s="29" t="n"/>
      <c r="B312" s="29" t="n"/>
      <c r="C312" s="29" t="n"/>
      <c r="D312" s="29" t="n"/>
      <c r="E312" s="29" t="n"/>
      <c r="F312" s="29" t="n"/>
      <c r="G312" s="29" t="n"/>
      <c r="H312" s="29" t="n"/>
      <c r="I312" s="29" t="n"/>
      <c r="J312" s="29" t="n"/>
      <c r="K312" s="29" t="n"/>
      <c r="L312" s="49" t="n"/>
      <c r="M312" s="49" t="n"/>
      <c r="N312" s="29" t="n"/>
      <c r="O312" s="29" t="n"/>
      <c r="P312" s="29" t="n"/>
      <c r="Q312" s="51" t="n"/>
      <c r="R312" s="29" t="n"/>
      <c r="S312" s="52">
        <f>IF(OR(A312="",F312="",C312&lt;&gt;"Mekân"),0,IF(COUNTIFS($F$8:F312,F312,$C$8:C312,"Mekân")=1,1,0))</f>
        <v/>
      </c>
      <c r="T312" s="52">
        <f>IF(OR(A312="",F312="",C312&lt;&gt;"Kapak"),0,IF(COUNTIFS($F$8:F312,F312,$C$8:C312,"Kapak")=1,1,0))</f>
        <v/>
      </c>
    </row>
    <row r="313" ht="54" customHeight="1">
      <c r="A313" s="29" t="n"/>
      <c r="B313" s="29" t="n"/>
      <c r="C313" s="29" t="n"/>
      <c r="D313" s="29" t="n"/>
      <c r="E313" s="29" t="n"/>
      <c r="F313" s="29" t="n"/>
      <c r="G313" s="29" t="n"/>
      <c r="H313" s="29" t="n"/>
      <c r="I313" s="29" t="n"/>
      <c r="J313" s="29" t="n"/>
      <c r="K313" s="29" t="n"/>
      <c r="L313" s="49" t="n"/>
      <c r="M313" s="49" t="n"/>
      <c r="N313" s="29" t="n"/>
      <c r="O313" s="29" t="n"/>
      <c r="P313" s="29" t="n"/>
      <c r="Q313" s="51" t="n"/>
      <c r="R313" s="29" t="n"/>
      <c r="S313" s="52">
        <f>IF(OR(A313="",F313="",C313&lt;&gt;"Mekân"),0,IF(COUNTIFS($F$8:F313,F313,$C$8:C313,"Mekân")=1,1,0))</f>
        <v/>
      </c>
      <c r="T313" s="52">
        <f>IF(OR(A313="",F313="",C313&lt;&gt;"Kapak"),0,IF(COUNTIFS($F$8:F313,F313,$C$8:C313,"Kapak")=1,1,0))</f>
        <v/>
      </c>
    </row>
    <row r="314" ht="54" customHeight="1">
      <c r="A314" s="29" t="n"/>
      <c r="B314" s="29" t="n"/>
      <c r="C314" s="29" t="n"/>
      <c r="D314" s="29" t="n"/>
      <c r="E314" s="29" t="n"/>
      <c r="F314" s="29" t="n"/>
      <c r="G314" s="29" t="n"/>
      <c r="H314" s="29" t="n"/>
      <c r="I314" s="29" t="n"/>
      <c r="J314" s="29" t="n"/>
      <c r="K314" s="29" t="n"/>
      <c r="L314" s="49" t="n"/>
      <c r="M314" s="49" t="n"/>
      <c r="N314" s="29" t="n"/>
      <c r="O314" s="29" t="n"/>
      <c r="P314" s="29" t="n"/>
      <c r="Q314" s="51" t="n"/>
      <c r="R314" s="29" t="n"/>
      <c r="S314" s="52">
        <f>IF(OR(A314="",F314="",C314&lt;&gt;"Mekân"),0,IF(COUNTIFS($F$8:F314,F314,$C$8:C314,"Mekân")=1,1,0))</f>
        <v/>
      </c>
      <c r="T314" s="52">
        <f>IF(OR(A314="",F314="",C314&lt;&gt;"Kapak"),0,IF(COUNTIFS($F$8:F314,F314,$C$8:C314,"Kapak")=1,1,0))</f>
        <v/>
      </c>
    </row>
    <row r="315" ht="54" customHeight="1">
      <c r="A315" s="29" t="n"/>
      <c r="B315" s="29" t="n"/>
      <c r="C315" s="29" t="n"/>
      <c r="D315" s="29" t="n"/>
      <c r="E315" s="29" t="n"/>
      <c r="F315" s="29" t="n"/>
      <c r="G315" s="29" t="n"/>
      <c r="H315" s="29" t="n"/>
      <c r="I315" s="29" t="n"/>
      <c r="J315" s="29" t="n"/>
      <c r="K315" s="29" t="n"/>
      <c r="L315" s="49" t="n"/>
      <c r="M315" s="49" t="n"/>
      <c r="N315" s="29" t="n"/>
      <c r="O315" s="29" t="n"/>
      <c r="P315" s="29" t="n"/>
      <c r="Q315" s="51" t="n"/>
      <c r="R315" s="29" t="n"/>
      <c r="S315" s="52">
        <f>IF(OR(A315="",F315="",C315&lt;&gt;"Mekân"),0,IF(COUNTIFS($F$8:F315,F315,$C$8:C315,"Mekân")=1,1,0))</f>
        <v/>
      </c>
      <c r="T315" s="52">
        <f>IF(OR(A315="",F315="",C315&lt;&gt;"Kapak"),0,IF(COUNTIFS($F$8:F315,F315,$C$8:C315,"Kapak")=1,1,0))</f>
        <v/>
      </c>
    </row>
    <row r="316" ht="54" customHeight="1">
      <c r="A316" s="29" t="n"/>
      <c r="B316" s="29" t="n"/>
      <c r="C316" s="29" t="n"/>
      <c r="D316" s="29" t="n"/>
      <c r="E316" s="29" t="n"/>
      <c r="F316" s="29" t="n"/>
      <c r="G316" s="29" t="n"/>
      <c r="H316" s="29" t="n"/>
      <c r="I316" s="29" t="n"/>
      <c r="J316" s="29" t="n"/>
      <c r="K316" s="29" t="n"/>
      <c r="L316" s="49" t="n"/>
      <c r="M316" s="49" t="n"/>
      <c r="N316" s="29" t="n"/>
      <c r="O316" s="29" t="n"/>
      <c r="P316" s="29" t="n"/>
      <c r="Q316" s="51" t="n"/>
      <c r="R316" s="29" t="n"/>
      <c r="S316" s="52">
        <f>IF(OR(A316="",F316="",C316&lt;&gt;"Mekân"),0,IF(COUNTIFS($F$8:F316,F316,$C$8:C316,"Mekân")=1,1,0))</f>
        <v/>
      </c>
      <c r="T316" s="52">
        <f>IF(OR(A316="",F316="",C316&lt;&gt;"Kapak"),0,IF(COUNTIFS($F$8:F316,F316,$C$8:C316,"Kapak")=1,1,0))</f>
        <v/>
      </c>
    </row>
    <row r="317" ht="54" customHeight="1">
      <c r="A317" s="29" t="n"/>
      <c r="B317" s="29" t="n"/>
      <c r="C317" s="29" t="n"/>
      <c r="D317" s="29" t="n"/>
      <c r="E317" s="29" t="n"/>
      <c r="F317" s="29" t="n"/>
      <c r="G317" s="29" t="n"/>
      <c r="H317" s="29" t="n"/>
      <c r="I317" s="29" t="n"/>
      <c r="J317" s="29" t="n"/>
      <c r="K317" s="29" t="n"/>
      <c r="L317" s="49" t="n"/>
      <c r="M317" s="49" t="n"/>
      <c r="N317" s="29" t="n"/>
      <c r="O317" s="29" t="n"/>
      <c r="P317" s="29" t="n"/>
      <c r="Q317" s="51" t="n"/>
      <c r="R317" s="29" t="n"/>
      <c r="S317" s="52">
        <f>IF(OR(A317="",F317="",C317&lt;&gt;"Mekân"),0,IF(COUNTIFS($F$8:F317,F317,$C$8:C317,"Mekân")=1,1,0))</f>
        <v/>
      </c>
      <c r="T317" s="52">
        <f>IF(OR(A317="",F317="",C317&lt;&gt;"Kapak"),0,IF(COUNTIFS($F$8:F317,F317,$C$8:C317,"Kapak")=1,1,0))</f>
        <v/>
      </c>
    </row>
    <row r="318" ht="54" customHeight="1">
      <c r="A318" s="29" t="n"/>
      <c r="B318" s="29" t="n"/>
      <c r="C318" s="29" t="n"/>
      <c r="D318" s="29" t="n"/>
      <c r="E318" s="29" t="n"/>
      <c r="F318" s="29" t="n"/>
      <c r="G318" s="29" t="n"/>
      <c r="H318" s="29" t="n"/>
      <c r="I318" s="29" t="n"/>
      <c r="J318" s="29" t="n"/>
      <c r="K318" s="29" t="n"/>
      <c r="L318" s="49" t="n"/>
      <c r="M318" s="49" t="n"/>
      <c r="N318" s="29" t="n"/>
      <c r="O318" s="29" t="n"/>
      <c r="P318" s="29" t="n"/>
      <c r="Q318" s="51" t="n"/>
      <c r="R318" s="29" t="n"/>
      <c r="S318" s="52">
        <f>IF(OR(A318="",F318="",C318&lt;&gt;"Mekân"),0,IF(COUNTIFS($F$8:F318,F318,$C$8:C318,"Mekân")=1,1,0))</f>
        <v/>
      </c>
      <c r="T318" s="52">
        <f>IF(OR(A318="",F318="",C318&lt;&gt;"Kapak"),0,IF(COUNTIFS($F$8:F318,F318,$C$8:C318,"Kapak")=1,1,0))</f>
        <v/>
      </c>
    </row>
    <row r="319" ht="54" customHeight="1">
      <c r="A319" s="29" t="n"/>
      <c r="B319" s="29" t="n"/>
      <c r="C319" s="29" t="n"/>
      <c r="D319" s="29" t="n"/>
      <c r="E319" s="29" t="n"/>
      <c r="F319" s="29" t="n"/>
      <c r="G319" s="29" t="n"/>
      <c r="H319" s="29" t="n"/>
      <c r="I319" s="29" t="n"/>
      <c r="J319" s="29" t="n"/>
      <c r="K319" s="29" t="n"/>
      <c r="L319" s="49" t="n"/>
      <c r="M319" s="49" t="n"/>
      <c r="N319" s="29" t="n"/>
      <c r="O319" s="29" t="n"/>
      <c r="P319" s="29" t="n"/>
      <c r="Q319" s="51" t="n"/>
      <c r="R319" s="29" t="n"/>
      <c r="S319" s="52">
        <f>IF(OR(A319="",F319="",C319&lt;&gt;"Mekân"),0,IF(COUNTIFS($F$8:F319,F319,$C$8:C319,"Mekân")=1,1,0))</f>
        <v/>
      </c>
      <c r="T319" s="52">
        <f>IF(OR(A319="",F319="",C319&lt;&gt;"Kapak"),0,IF(COUNTIFS($F$8:F319,F319,$C$8:C319,"Kapak")=1,1,0))</f>
        <v/>
      </c>
    </row>
    <row r="320" ht="54" customHeight="1">
      <c r="A320" s="29" t="n"/>
      <c r="B320" s="29" t="n"/>
      <c r="C320" s="29" t="n"/>
      <c r="D320" s="29" t="n"/>
      <c r="E320" s="29" t="n"/>
      <c r="F320" s="29" t="n"/>
      <c r="G320" s="29" t="n"/>
      <c r="H320" s="29" t="n"/>
      <c r="I320" s="29" t="n"/>
      <c r="J320" s="29" t="n"/>
      <c r="K320" s="29" t="n"/>
      <c r="L320" s="49" t="n"/>
      <c r="M320" s="49" t="n"/>
      <c r="N320" s="29" t="n"/>
      <c r="O320" s="29" t="n"/>
      <c r="P320" s="29" t="n"/>
      <c r="Q320" s="51" t="n"/>
      <c r="R320" s="29" t="n"/>
      <c r="S320" s="52">
        <f>IF(OR(A320="",F320="",C320&lt;&gt;"Mekân"),0,IF(COUNTIFS($F$8:F320,F320,$C$8:C320,"Mekân")=1,1,0))</f>
        <v/>
      </c>
      <c r="T320" s="52">
        <f>IF(OR(A320="",F320="",C320&lt;&gt;"Kapak"),0,IF(COUNTIFS($F$8:F320,F320,$C$8:C320,"Kapak")=1,1,0))</f>
        <v/>
      </c>
    </row>
    <row r="321" ht="54" customHeight="1">
      <c r="A321" s="29" t="n"/>
      <c r="B321" s="29" t="n"/>
      <c r="C321" s="29" t="n"/>
      <c r="D321" s="29" t="n"/>
      <c r="E321" s="29" t="n"/>
      <c r="F321" s="29" t="n"/>
      <c r="G321" s="29" t="n"/>
      <c r="H321" s="29" t="n"/>
      <c r="I321" s="29" t="n"/>
      <c r="J321" s="29" t="n"/>
      <c r="K321" s="29" t="n"/>
      <c r="L321" s="49" t="n"/>
      <c r="M321" s="49" t="n"/>
      <c r="N321" s="29" t="n"/>
      <c r="O321" s="29" t="n"/>
      <c r="P321" s="29" t="n"/>
      <c r="Q321" s="51" t="n"/>
      <c r="R321" s="29" t="n"/>
      <c r="S321" s="52">
        <f>IF(OR(A321="",F321="",C321&lt;&gt;"Mekân"),0,IF(COUNTIFS($F$8:F321,F321,$C$8:C321,"Mekân")=1,1,0))</f>
        <v/>
      </c>
      <c r="T321" s="52">
        <f>IF(OR(A321="",F321="",C321&lt;&gt;"Kapak"),0,IF(COUNTIFS($F$8:F321,F321,$C$8:C321,"Kapak")=1,1,0))</f>
        <v/>
      </c>
    </row>
    <row r="322" ht="54" customHeight="1">
      <c r="A322" s="29" t="n"/>
      <c r="B322" s="29" t="n"/>
      <c r="C322" s="29" t="n"/>
      <c r="D322" s="29" t="n"/>
      <c r="E322" s="29" t="n"/>
      <c r="F322" s="29" t="n"/>
      <c r="G322" s="29" t="n"/>
      <c r="H322" s="29" t="n"/>
      <c r="I322" s="29" t="n"/>
      <c r="J322" s="29" t="n"/>
      <c r="K322" s="29" t="n"/>
      <c r="L322" s="49" t="n"/>
      <c r="M322" s="49" t="n"/>
      <c r="N322" s="29" t="n"/>
      <c r="O322" s="29" t="n"/>
      <c r="P322" s="29" t="n"/>
      <c r="Q322" s="51" t="n"/>
      <c r="R322" s="29" t="n"/>
      <c r="S322" s="52">
        <f>IF(OR(A322="",F322="",C322&lt;&gt;"Mekân"),0,IF(COUNTIFS($F$8:F322,F322,$C$8:C322,"Mekân")=1,1,0))</f>
        <v/>
      </c>
      <c r="T322" s="52">
        <f>IF(OR(A322="",F322="",C322&lt;&gt;"Kapak"),0,IF(COUNTIFS($F$8:F322,F322,$C$8:C322,"Kapak")=1,1,0))</f>
        <v/>
      </c>
    </row>
    <row r="323" ht="54" customHeight="1">
      <c r="A323" s="29" t="n"/>
      <c r="B323" s="29" t="n"/>
      <c r="C323" s="29" t="n"/>
      <c r="D323" s="29" t="n"/>
      <c r="E323" s="29" t="n"/>
      <c r="F323" s="29" t="n"/>
      <c r="G323" s="29" t="n"/>
      <c r="H323" s="29" t="n"/>
      <c r="I323" s="29" t="n"/>
      <c r="J323" s="29" t="n"/>
      <c r="K323" s="29" t="n"/>
      <c r="L323" s="49" t="n"/>
      <c r="M323" s="49" t="n"/>
      <c r="N323" s="29" t="n"/>
      <c r="O323" s="29" t="n"/>
      <c r="P323" s="29" t="n"/>
      <c r="Q323" s="51" t="n"/>
      <c r="R323" s="29" t="n"/>
      <c r="S323" s="52">
        <f>IF(OR(A323="",F323="",C323&lt;&gt;"Mekân"),0,IF(COUNTIFS($F$8:F323,F323,$C$8:C323,"Mekân")=1,1,0))</f>
        <v/>
      </c>
      <c r="T323" s="52">
        <f>IF(OR(A323="",F323="",C323&lt;&gt;"Kapak"),0,IF(COUNTIFS($F$8:F323,F323,$C$8:C323,"Kapak")=1,1,0))</f>
        <v/>
      </c>
    </row>
    <row r="324" ht="54" customHeight="1">
      <c r="A324" s="29" t="n"/>
      <c r="B324" s="29" t="n"/>
      <c r="C324" s="29" t="n"/>
      <c r="D324" s="29" t="n"/>
      <c r="E324" s="29" t="n"/>
      <c r="F324" s="29" t="n"/>
      <c r="G324" s="29" t="n"/>
      <c r="H324" s="29" t="n"/>
      <c r="I324" s="29" t="n"/>
      <c r="J324" s="29" t="n"/>
      <c r="K324" s="29" t="n"/>
      <c r="L324" s="49" t="n"/>
      <c r="M324" s="49" t="n"/>
      <c r="N324" s="29" t="n"/>
      <c r="O324" s="29" t="n"/>
      <c r="P324" s="29" t="n"/>
      <c r="Q324" s="51" t="n"/>
      <c r="R324" s="29" t="n"/>
      <c r="S324" s="52">
        <f>IF(OR(A324="",F324="",C324&lt;&gt;"Mekân"),0,IF(COUNTIFS($F$8:F324,F324,$C$8:C324,"Mekân")=1,1,0))</f>
        <v/>
      </c>
      <c r="T324" s="52">
        <f>IF(OR(A324="",F324="",C324&lt;&gt;"Kapak"),0,IF(COUNTIFS($F$8:F324,F324,$C$8:C324,"Kapak")=1,1,0))</f>
        <v/>
      </c>
    </row>
    <row r="325" ht="54" customHeight="1">
      <c r="A325" s="29" t="n"/>
      <c r="B325" s="29" t="n"/>
      <c r="C325" s="29" t="n"/>
      <c r="D325" s="29" t="n"/>
      <c r="E325" s="29" t="n"/>
      <c r="F325" s="29" t="n"/>
      <c r="G325" s="29" t="n"/>
      <c r="H325" s="29" t="n"/>
      <c r="I325" s="29" t="n"/>
      <c r="J325" s="29" t="n"/>
      <c r="K325" s="29" t="n"/>
      <c r="L325" s="49" t="n"/>
      <c r="M325" s="49" t="n"/>
      <c r="N325" s="29" t="n"/>
      <c r="O325" s="29" t="n"/>
      <c r="P325" s="29" t="n"/>
      <c r="Q325" s="51" t="n"/>
      <c r="R325" s="29" t="n"/>
      <c r="S325" s="52">
        <f>IF(OR(A325="",F325="",C325&lt;&gt;"Mekân"),0,IF(COUNTIFS($F$8:F325,F325,$C$8:C325,"Mekân")=1,1,0))</f>
        <v/>
      </c>
      <c r="T325" s="52">
        <f>IF(OR(A325="",F325="",C325&lt;&gt;"Kapak"),0,IF(COUNTIFS($F$8:F325,F325,$C$8:C325,"Kapak")=1,1,0))</f>
        <v/>
      </c>
    </row>
    <row r="326" ht="54" customHeight="1">
      <c r="A326" s="29" t="n"/>
      <c r="B326" s="29" t="n"/>
      <c r="C326" s="29" t="n"/>
      <c r="D326" s="29" t="n"/>
      <c r="E326" s="29" t="n"/>
      <c r="F326" s="29" t="n"/>
      <c r="G326" s="29" t="n"/>
      <c r="H326" s="29" t="n"/>
      <c r="I326" s="29" t="n"/>
      <c r="J326" s="29" t="n"/>
      <c r="K326" s="29" t="n"/>
      <c r="L326" s="49" t="n"/>
      <c r="M326" s="49" t="n"/>
      <c r="N326" s="29" t="n"/>
      <c r="O326" s="29" t="n"/>
      <c r="P326" s="29" t="n"/>
      <c r="Q326" s="51" t="n"/>
      <c r="R326" s="29" t="n"/>
      <c r="S326" s="52">
        <f>IF(OR(A326="",F326="",C326&lt;&gt;"Mekân"),0,IF(COUNTIFS($F$8:F326,F326,$C$8:C326,"Mekân")=1,1,0))</f>
        <v/>
      </c>
      <c r="T326" s="52">
        <f>IF(OR(A326="",F326="",C326&lt;&gt;"Kapak"),0,IF(COUNTIFS($F$8:F326,F326,$C$8:C326,"Kapak")=1,1,0))</f>
        <v/>
      </c>
    </row>
    <row r="327" ht="54" customHeight="1">
      <c r="A327" s="29" t="n"/>
      <c r="B327" s="29" t="n"/>
      <c r="C327" s="29" t="n"/>
      <c r="D327" s="29" t="n"/>
      <c r="E327" s="29" t="n"/>
      <c r="F327" s="29" t="n"/>
      <c r="G327" s="29" t="n"/>
      <c r="H327" s="29" t="n"/>
      <c r="I327" s="29" t="n"/>
      <c r="J327" s="29" t="n"/>
      <c r="K327" s="29" t="n"/>
      <c r="L327" s="49" t="n"/>
      <c r="M327" s="49" t="n"/>
      <c r="N327" s="29" t="n"/>
      <c r="O327" s="29" t="n"/>
      <c r="P327" s="29" t="n"/>
      <c r="Q327" s="51" t="n"/>
      <c r="R327" s="29" t="n"/>
      <c r="S327" s="52">
        <f>IF(OR(A327="",F327="",C327&lt;&gt;"Mekân"),0,IF(COUNTIFS($F$8:F327,F327,$C$8:C327,"Mekân")=1,1,0))</f>
        <v/>
      </c>
      <c r="T327" s="52">
        <f>IF(OR(A327="",F327="",C327&lt;&gt;"Kapak"),0,IF(COUNTIFS($F$8:F327,F327,$C$8:C327,"Kapak")=1,1,0))</f>
        <v/>
      </c>
    </row>
    <row r="328" ht="54" customHeight="1">
      <c r="A328" s="29" t="n"/>
      <c r="B328" s="29" t="n"/>
      <c r="C328" s="29" t="n"/>
      <c r="D328" s="29" t="n"/>
      <c r="E328" s="29" t="n"/>
      <c r="F328" s="29" t="n"/>
      <c r="G328" s="29" t="n"/>
      <c r="H328" s="29" t="n"/>
      <c r="I328" s="29" t="n"/>
      <c r="J328" s="29" t="n"/>
      <c r="K328" s="29" t="n"/>
      <c r="L328" s="49" t="n"/>
      <c r="M328" s="49" t="n"/>
      <c r="N328" s="29" t="n"/>
      <c r="O328" s="29" t="n"/>
      <c r="P328" s="29" t="n"/>
      <c r="Q328" s="51" t="n"/>
      <c r="R328" s="29" t="n"/>
      <c r="S328" s="52">
        <f>IF(OR(A328="",F328="",C328&lt;&gt;"Mekân"),0,IF(COUNTIFS($F$8:F328,F328,$C$8:C328,"Mekân")=1,1,0))</f>
        <v/>
      </c>
      <c r="T328" s="52">
        <f>IF(OR(A328="",F328="",C328&lt;&gt;"Kapak"),0,IF(COUNTIFS($F$8:F328,F328,$C$8:C328,"Kapak")=1,1,0))</f>
        <v/>
      </c>
    </row>
    <row r="329" ht="54" customHeight="1">
      <c r="A329" s="29" t="n"/>
      <c r="B329" s="29" t="n"/>
      <c r="C329" s="29" t="n"/>
      <c r="D329" s="29" t="n"/>
      <c r="E329" s="29" t="n"/>
      <c r="F329" s="29" t="n"/>
      <c r="G329" s="29" t="n"/>
      <c r="H329" s="29" t="n"/>
      <c r="I329" s="29" t="n"/>
      <c r="J329" s="29" t="n"/>
      <c r="K329" s="29" t="n"/>
      <c r="L329" s="49" t="n"/>
      <c r="M329" s="49" t="n"/>
      <c r="N329" s="29" t="n"/>
      <c r="O329" s="29" t="n"/>
      <c r="P329" s="29" t="n"/>
      <c r="Q329" s="51" t="n"/>
      <c r="R329" s="29" t="n"/>
      <c r="S329" s="52">
        <f>IF(OR(A329="",F329="",C329&lt;&gt;"Mekân"),0,IF(COUNTIFS($F$8:F329,F329,$C$8:C329,"Mekân")=1,1,0))</f>
        <v/>
      </c>
      <c r="T329" s="52">
        <f>IF(OR(A329="",F329="",C329&lt;&gt;"Kapak"),0,IF(COUNTIFS($F$8:F329,F329,$C$8:C329,"Kapak")=1,1,0))</f>
        <v/>
      </c>
    </row>
    <row r="330" ht="54" customHeight="1">
      <c r="A330" s="29" t="n"/>
      <c r="B330" s="29" t="n"/>
      <c r="C330" s="29" t="n"/>
      <c r="D330" s="29" t="n"/>
      <c r="E330" s="29" t="n"/>
      <c r="F330" s="29" t="n"/>
      <c r="G330" s="29" t="n"/>
      <c r="H330" s="29" t="n"/>
      <c r="I330" s="29" t="n"/>
      <c r="J330" s="29" t="n"/>
      <c r="K330" s="29" t="n"/>
      <c r="L330" s="49" t="n"/>
      <c r="M330" s="49" t="n"/>
      <c r="N330" s="29" t="n"/>
      <c r="O330" s="29" t="n"/>
      <c r="P330" s="29" t="n"/>
      <c r="Q330" s="51" t="n"/>
      <c r="R330" s="29" t="n"/>
      <c r="S330" s="52">
        <f>IF(OR(A330="",F330="",C330&lt;&gt;"Mekân"),0,IF(COUNTIFS($F$8:F330,F330,$C$8:C330,"Mekân")=1,1,0))</f>
        <v/>
      </c>
      <c r="T330" s="52">
        <f>IF(OR(A330="",F330="",C330&lt;&gt;"Kapak"),0,IF(COUNTIFS($F$8:F330,F330,$C$8:C330,"Kapak")=1,1,0))</f>
        <v/>
      </c>
    </row>
    <row r="331" ht="54" customHeight="1">
      <c r="A331" s="29" t="n"/>
      <c r="B331" s="29" t="n"/>
      <c r="C331" s="29" t="n"/>
      <c r="D331" s="29" t="n"/>
      <c r="E331" s="29" t="n"/>
      <c r="F331" s="29" t="n"/>
      <c r="G331" s="29" t="n"/>
      <c r="H331" s="29" t="n"/>
      <c r="I331" s="29" t="n"/>
      <c r="J331" s="29" t="n"/>
      <c r="K331" s="29" t="n"/>
      <c r="L331" s="49" t="n"/>
      <c r="M331" s="49" t="n"/>
      <c r="N331" s="29" t="n"/>
      <c r="O331" s="29" t="n"/>
      <c r="P331" s="29" t="n"/>
      <c r="Q331" s="51" t="n"/>
      <c r="R331" s="29" t="n"/>
      <c r="S331" s="52">
        <f>IF(OR(A331="",F331="",C331&lt;&gt;"Mekân"),0,IF(COUNTIFS($F$8:F331,F331,$C$8:C331,"Mekân")=1,1,0))</f>
        <v/>
      </c>
      <c r="T331" s="52">
        <f>IF(OR(A331="",F331="",C331&lt;&gt;"Kapak"),0,IF(COUNTIFS($F$8:F331,F331,$C$8:C331,"Kapak")=1,1,0))</f>
        <v/>
      </c>
    </row>
    <row r="332" ht="54" customHeight="1">
      <c r="A332" s="29" t="n"/>
      <c r="B332" s="29" t="n"/>
      <c r="C332" s="29" t="n"/>
      <c r="D332" s="29" t="n"/>
      <c r="E332" s="29" t="n"/>
      <c r="F332" s="29" t="n"/>
      <c r="G332" s="29" t="n"/>
      <c r="H332" s="29" t="n"/>
      <c r="I332" s="29" t="n"/>
      <c r="J332" s="29" t="n"/>
      <c r="K332" s="29" t="n"/>
      <c r="L332" s="49" t="n"/>
      <c r="M332" s="49" t="n"/>
      <c r="N332" s="29" t="n"/>
      <c r="O332" s="29" t="n"/>
      <c r="P332" s="29" t="n"/>
      <c r="Q332" s="51" t="n"/>
      <c r="R332" s="29" t="n"/>
      <c r="S332" s="52">
        <f>IF(OR(A332="",F332="",C332&lt;&gt;"Mekân"),0,IF(COUNTIFS($F$8:F332,F332,$C$8:C332,"Mekân")=1,1,0))</f>
        <v/>
      </c>
      <c r="T332" s="52">
        <f>IF(OR(A332="",F332="",C332&lt;&gt;"Kapak"),0,IF(COUNTIFS($F$8:F332,F332,$C$8:C332,"Kapak")=1,1,0))</f>
        <v/>
      </c>
    </row>
    <row r="333" ht="54" customHeight="1">
      <c r="A333" s="29" t="n"/>
      <c r="B333" s="29" t="n"/>
      <c r="C333" s="29" t="n"/>
      <c r="D333" s="29" t="n"/>
      <c r="E333" s="29" t="n"/>
      <c r="F333" s="29" t="n"/>
      <c r="G333" s="29" t="n"/>
      <c r="H333" s="29" t="n"/>
      <c r="I333" s="29" t="n"/>
      <c r="J333" s="29" t="n"/>
      <c r="K333" s="29" t="n"/>
      <c r="L333" s="49" t="n"/>
      <c r="M333" s="49" t="n"/>
      <c r="N333" s="29" t="n"/>
      <c r="O333" s="29" t="n"/>
      <c r="P333" s="29" t="n"/>
      <c r="Q333" s="51" t="n"/>
      <c r="R333" s="29" t="n"/>
      <c r="S333" s="52">
        <f>IF(OR(A333="",F333="",C333&lt;&gt;"Mekân"),0,IF(COUNTIFS($F$8:F333,F333,$C$8:C333,"Mekân")=1,1,0))</f>
        <v/>
      </c>
      <c r="T333" s="52">
        <f>IF(OR(A333="",F333="",C333&lt;&gt;"Kapak"),0,IF(COUNTIFS($F$8:F333,F333,$C$8:C333,"Kapak")=1,1,0))</f>
        <v/>
      </c>
    </row>
    <row r="334" ht="54" customHeight="1">
      <c r="A334" s="29" t="n"/>
      <c r="B334" s="29" t="n"/>
      <c r="C334" s="29" t="n"/>
      <c r="D334" s="29" t="n"/>
      <c r="E334" s="29" t="n"/>
      <c r="F334" s="29" t="n"/>
      <c r="G334" s="29" t="n"/>
      <c r="H334" s="29" t="n"/>
      <c r="I334" s="29" t="n"/>
      <c r="J334" s="29" t="n"/>
      <c r="K334" s="29" t="n"/>
      <c r="L334" s="49" t="n"/>
      <c r="M334" s="49" t="n"/>
      <c r="N334" s="29" t="n"/>
      <c r="O334" s="29" t="n"/>
      <c r="P334" s="29" t="n"/>
      <c r="Q334" s="51" t="n"/>
      <c r="R334" s="29" t="n"/>
      <c r="S334" s="52">
        <f>IF(OR(A334="",F334="",C334&lt;&gt;"Mekân"),0,IF(COUNTIFS($F$8:F334,F334,$C$8:C334,"Mekân")=1,1,0))</f>
        <v/>
      </c>
      <c r="T334" s="52">
        <f>IF(OR(A334="",F334="",C334&lt;&gt;"Kapak"),0,IF(COUNTIFS($F$8:F334,F334,$C$8:C334,"Kapak")=1,1,0))</f>
        <v/>
      </c>
    </row>
    <row r="335" ht="54" customHeight="1">
      <c r="A335" s="29" t="n"/>
      <c r="B335" s="29" t="n"/>
      <c r="C335" s="29" t="n"/>
      <c r="D335" s="29" t="n"/>
      <c r="E335" s="29" t="n"/>
      <c r="F335" s="29" t="n"/>
      <c r="G335" s="29" t="n"/>
      <c r="H335" s="29" t="n"/>
      <c r="I335" s="29" t="n"/>
      <c r="J335" s="29" t="n"/>
      <c r="K335" s="29" t="n"/>
      <c r="L335" s="49" t="n"/>
      <c r="M335" s="49" t="n"/>
      <c r="N335" s="29" t="n"/>
      <c r="O335" s="29" t="n"/>
      <c r="P335" s="29" t="n"/>
      <c r="Q335" s="51" t="n"/>
      <c r="R335" s="29" t="n"/>
      <c r="S335" s="52">
        <f>IF(OR(A335="",F335="",C335&lt;&gt;"Mekân"),0,IF(COUNTIFS($F$8:F335,F335,$C$8:C335,"Mekân")=1,1,0))</f>
        <v/>
      </c>
      <c r="T335" s="52">
        <f>IF(OR(A335="",F335="",C335&lt;&gt;"Kapak"),0,IF(COUNTIFS($F$8:F335,F335,$C$8:C335,"Kapak")=1,1,0))</f>
        <v/>
      </c>
    </row>
    <row r="336" ht="54" customHeight="1">
      <c r="A336" s="29" t="n"/>
      <c r="B336" s="29" t="n"/>
      <c r="C336" s="29" t="n"/>
      <c r="D336" s="29" t="n"/>
      <c r="E336" s="29" t="n"/>
      <c r="F336" s="29" t="n"/>
      <c r="G336" s="29" t="n"/>
      <c r="H336" s="29" t="n"/>
      <c r="I336" s="29" t="n"/>
      <c r="J336" s="29" t="n"/>
      <c r="K336" s="29" t="n"/>
      <c r="L336" s="49" t="n"/>
      <c r="M336" s="49" t="n"/>
      <c r="N336" s="29" t="n"/>
      <c r="O336" s="29" t="n"/>
      <c r="P336" s="29" t="n"/>
      <c r="Q336" s="51" t="n"/>
      <c r="R336" s="29" t="n"/>
      <c r="S336" s="52">
        <f>IF(OR(A336="",F336="",C336&lt;&gt;"Mekân"),0,IF(COUNTIFS($F$8:F336,F336,$C$8:C336,"Mekân")=1,1,0))</f>
        <v/>
      </c>
      <c r="T336" s="52">
        <f>IF(OR(A336="",F336="",C336&lt;&gt;"Kapak"),0,IF(COUNTIFS($F$8:F336,F336,$C$8:C336,"Kapak")=1,1,0))</f>
        <v/>
      </c>
    </row>
    <row r="337" ht="54" customHeight="1">
      <c r="A337" s="29" t="n"/>
      <c r="B337" s="29" t="n"/>
      <c r="C337" s="29" t="n"/>
      <c r="D337" s="29" t="n"/>
      <c r="E337" s="29" t="n"/>
      <c r="F337" s="29" t="n"/>
      <c r="G337" s="29" t="n"/>
      <c r="H337" s="29" t="n"/>
      <c r="I337" s="29" t="n"/>
      <c r="J337" s="29" t="n"/>
      <c r="K337" s="29" t="n"/>
      <c r="L337" s="49" t="n"/>
      <c r="M337" s="49" t="n"/>
      <c r="N337" s="29" t="n"/>
      <c r="O337" s="29" t="n"/>
      <c r="P337" s="29" t="n"/>
      <c r="Q337" s="51" t="n"/>
      <c r="R337" s="29" t="n"/>
      <c r="S337" s="52">
        <f>IF(OR(A337="",F337="",C337&lt;&gt;"Mekân"),0,IF(COUNTIFS($F$8:F337,F337,$C$8:C337,"Mekân")=1,1,0))</f>
        <v/>
      </c>
      <c r="T337" s="52">
        <f>IF(OR(A337="",F337="",C337&lt;&gt;"Kapak"),0,IF(COUNTIFS($F$8:F337,F337,$C$8:C337,"Kapak")=1,1,0))</f>
        <v/>
      </c>
    </row>
    <row r="338" ht="54" customHeight="1">
      <c r="A338" s="29" t="n"/>
      <c r="B338" s="29" t="n"/>
      <c r="C338" s="29" t="n"/>
      <c r="D338" s="29" t="n"/>
      <c r="E338" s="29" t="n"/>
      <c r="F338" s="29" t="n"/>
      <c r="G338" s="29" t="n"/>
      <c r="H338" s="29" t="n"/>
      <c r="I338" s="29" t="n"/>
      <c r="J338" s="29" t="n"/>
      <c r="K338" s="29" t="n"/>
      <c r="L338" s="49" t="n"/>
      <c r="M338" s="49" t="n"/>
      <c r="N338" s="29" t="n"/>
      <c r="O338" s="29" t="n"/>
      <c r="P338" s="29" t="n"/>
      <c r="Q338" s="51" t="n"/>
      <c r="R338" s="29" t="n"/>
      <c r="S338" s="52">
        <f>IF(OR(A338="",F338="",C338&lt;&gt;"Mekân"),0,IF(COUNTIFS($F$8:F338,F338,$C$8:C338,"Mekân")=1,1,0))</f>
        <v/>
      </c>
      <c r="T338" s="52">
        <f>IF(OR(A338="",F338="",C338&lt;&gt;"Kapak"),0,IF(COUNTIFS($F$8:F338,F338,$C$8:C338,"Kapak")=1,1,0))</f>
        <v/>
      </c>
    </row>
    <row r="339" ht="54" customHeight="1">
      <c r="A339" s="29" t="n"/>
      <c r="B339" s="29" t="n"/>
      <c r="C339" s="29" t="n"/>
      <c r="D339" s="29" t="n"/>
      <c r="E339" s="29" t="n"/>
      <c r="F339" s="29" t="n"/>
      <c r="G339" s="29" t="n"/>
      <c r="H339" s="29" t="n"/>
      <c r="I339" s="29" t="n"/>
      <c r="J339" s="29" t="n"/>
      <c r="K339" s="29" t="n"/>
      <c r="L339" s="49" t="n"/>
      <c r="M339" s="49" t="n"/>
      <c r="N339" s="29" t="n"/>
      <c r="O339" s="29" t="n"/>
      <c r="P339" s="29" t="n"/>
      <c r="Q339" s="51" t="n"/>
      <c r="R339" s="29" t="n"/>
      <c r="S339" s="52">
        <f>IF(OR(A339="",F339="",C339&lt;&gt;"Mekân"),0,IF(COUNTIFS($F$8:F339,F339,$C$8:C339,"Mekân")=1,1,0))</f>
        <v/>
      </c>
      <c r="T339" s="52">
        <f>IF(OR(A339="",F339="",C339&lt;&gt;"Kapak"),0,IF(COUNTIFS($F$8:F339,F339,$C$8:C339,"Kapak")=1,1,0))</f>
        <v/>
      </c>
    </row>
    <row r="340" ht="54" customHeight="1">
      <c r="A340" s="29" t="n"/>
      <c r="B340" s="29" t="n"/>
      <c r="C340" s="29" t="n"/>
      <c r="D340" s="29" t="n"/>
      <c r="E340" s="29" t="n"/>
      <c r="F340" s="29" t="n"/>
      <c r="G340" s="29" t="n"/>
      <c r="H340" s="29" t="n"/>
      <c r="I340" s="29" t="n"/>
      <c r="J340" s="29" t="n"/>
      <c r="K340" s="29" t="n"/>
      <c r="L340" s="49" t="n"/>
      <c r="M340" s="49" t="n"/>
      <c r="N340" s="29" t="n"/>
      <c r="O340" s="29" t="n"/>
      <c r="P340" s="29" t="n"/>
      <c r="Q340" s="51" t="n"/>
      <c r="R340" s="29" t="n"/>
      <c r="S340" s="52">
        <f>IF(OR(A340="",F340="",C340&lt;&gt;"Mekân"),0,IF(COUNTIFS($F$8:F340,F340,$C$8:C340,"Mekân")=1,1,0))</f>
        <v/>
      </c>
      <c r="T340" s="52">
        <f>IF(OR(A340="",F340="",C340&lt;&gt;"Kapak"),0,IF(COUNTIFS($F$8:F340,F340,$C$8:C340,"Kapak")=1,1,0))</f>
        <v/>
      </c>
    </row>
    <row r="341" ht="54" customHeight="1">
      <c r="A341" s="29" t="n"/>
      <c r="B341" s="29" t="n"/>
      <c r="C341" s="29" t="n"/>
      <c r="D341" s="29" t="n"/>
      <c r="E341" s="29" t="n"/>
      <c r="F341" s="29" t="n"/>
      <c r="G341" s="29" t="n"/>
      <c r="H341" s="29" t="n"/>
      <c r="I341" s="29" t="n"/>
      <c r="J341" s="29" t="n"/>
      <c r="K341" s="29" t="n"/>
      <c r="L341" s="49" t="n"/>
      <c r="M341" s="49" t="n"/>
      <c r="N341" s="29" t="n"/>
      <c r="O341" s="29" t="n"/>
      <c r="P341" s="29" t="n"/>
      <c r="Q341" s="51" t="n"/>
      <c r="R341" s="29" t="n"/>
      <c r="S341" s="52">
        <f>IF(OR(A341="",F341="",C341&lt;&gt;"Mekân"),0,IF(COUNTIFS($F$8:F341,F341,$C$8:C341,"Mekân")=1,1,0))</f>
        <v/>
      </c>
      <c r="T341" s="52">
        <f>IF(OR(A341="",F341="",C341&lt;&gt;"Kapak"),0,IF(COUNTIFS($F$8:F341,F341,$C$8:C341,"Kapak")=1,1,0))</f>
        <v/>
      </c>
    </row>
    <row r="342" ht="54" customHeight="1">
      <c r="A342" s="29" t="n"/>
      <c r="B342" s="29" t="n"/>
      <c r="C342" s="29" t="n"/>
      <c r="D342" s="29" t="n"/>
      <c r="E342" s="29" t="n"/>
      <c r="F342" s="29" t="n"/>
      <c r="G342" s="29" t="n"/>
      <c r="H342" s="29" t="n"/>
      <c r="I342" s="29" t="n"/>
      <c r="J342" s="29" t="n"/>
      <c r="K342" s="29" t="n"/>
      <c r="L342" s="49" t="n"/>
      <c r="M342" s="49" t="n"/>
      <c r="N342" s="29" t="n"/>
      <c r="O342" s="29" t="n"/>
      <c r="P342" s="29" t="n"/>
      <c r="Q342" s="51" t="n"/>
      <c r="R342" s="29" t="n"/>
      <c r="S342" s="52">
        <f>IF(OR(A342="",F342="",C342&lt;&gt;"Mekân"),0,IF(COUNTIFS($F$8:F342,F342,$C$8:C342,"Mekân")=1,1,0))</f>
        <v/>
      </c>
      <c r="T342" s="52">
        <f>IF(OR(A342="",F342="",C342&lt;&gt;"Kapak"),0,IF(COUNTIFS($F$8:F342,F342,$C$8:C342,"Kapak")=1,1,0))</f>
        <v/>
      </c>
    </row>
    <row r="343" ht="54" customHeight="1">
      <c r="A343" s="29" t="n"/>
      <c r="B343" s="29" t="n"/>
      <c r="C343" s="29" t="n"/>
      <c r="D343" s="29" t="n"/>
      <c r="E343" s="29" t="n"/>
      <c r="F343" s="29" t="n"/>
      <c r="G343" s="29" t="n"/>
      <c r="H343" s="29" t="n"/>
      <c r="I343" s="29" t="n"/>
      <c r="J343" s="29" t="n"/>
      <c r="K343" s="29" t="n"/>
      <c r="L343" s="49" t="n"/>
      <c r="M343" s="49" t="n"/>
      <c r="N343" s="29" t="n"/>
      <c r="O343" s="29" t="n"/>
      <c r="P343" s="29" t="n"/>
      <c r="Q343" s="51" t="n"/>
      <c r="R343" s="29" t="n"/>
      <c r="S343" s="52">
        <f>IF(OR(A343="",F343="",C343&lt;&gt;"Mekân"),0,IF(COUNTIFS($F$8:F343,F343,$C$8:C343,"Mekân")=1,1,0))</f>
        <v/>
      </c>
      <c r="T343" s="52">
        <f>IF(OR(A343="",F343="",C343&lt;&gt;"Kapak"),0,IF(COUNTIFS($F$8:F343,F343,$C$8:C343,"Kapak")=1,1,0))</f>
        <v/>
      </c>
    </row>
    <row r="344" ht="54" customHeight="1">
      <c r="A344" s="29" t="n"/>
      <c r="B344" s="29" t="n"/>
      <c r="C344" s="29" t="n"/>
      <c r="D344" s="29" t="n"/>
      <c r="E344" s="29" t="n"/>
      <c r="F344" s="29" t="n"/>
      <c r="G344" s="29" t="n"/>
      <c r="H344" s="29" t="n"/>
      <c r="I344" s="29" t="n"/>
      <c r="J344" s="29" t="n"/>
      <c r="K344" s="29" t="n"/>
      <c r="L344" s="49" t="n"/>
      <c r="M344" s="49" t="n"/>
      <c r="N344" s="29" t="n"/>
      <c r="O344" s="29" t="n"/>
      <c r="P344" s="29" t="n"/>
      <c r="Q344" s="51" t="n"/>
      <c r="R344" s="29" t="n"/>
      <c r="S344" s="52">
        <f>IF(OR(A344="",F344="",C344&lt;&gt;"Mekân"),0,IF(COUNTIFS($F$8:F344,F344,$C$8:C344,"Mekân")=1,1,0))</f>
        <v/>
      </c>
      <c r="T344" s="52">
        <f>IF(OR(A344="",F344="",C344&lt;&gt;"Kapak"),0,IF(COUNTIFS($F$8:F344,F344,$C$8:C344,"Kapak")=1,1,0))</f>
        <v/>
      </c>
    </row>
    <row r="345" ht="54" customHeight="1">
      <c r="A345" s="29" t="n"/>
      <c r="B345" s="29" t="n"/>
      <c r="C345" s="29" t="n"/>
      <c r="D345" s="29" t="n"/>
      <c r="E345" s="29" t="n"/>
      <c r="F345" s="29" t="n"/>
      <c r="G345" s="29" t="n"/>
      <c r="H345" s="29" t="n"/>
      <c r="I345" s="29" t="n"/>
      <c r="J345" s="29" t="n"/>
      <c r="K345" s="29" t="n"/>
      <c r="L345" s="49" t="n"/>
      <c r="M345" s="49" t="n"/>
      <c r="N345" s="29" t="n"/>
      <c r="O345" s="29" t="n"/>
      <c r="P345" s="29" t="n"/>
      <c r="Q345" s="51" t="n"/>
      <c r="R345" s="29" t="n"/>
      <c r="S345" s="52">
        <f>IF(OR(A345="",F345="",C345&lt;&gt;"Mekân"),0,IF(COUNTIFS($F$8:F345,F345,$C$8:C345,"Mekân")=1,1,0))</f>
        <v/>
      </c>
      <c r="T345" s="52">
        <f>IF(OR(A345="",F345="",C345&lt;&gt;"Kapak"),0,IF(COUNTIFS($F$8:F345,F345,$C$8:C345,"Kapak")=1,1,0))</f>
        <v/>
      </c>
    </row>
    <row r="346" ht="54" customHeight="1">
      <c r="A346" s="29" t="n"/>
      <c r="B346" s="29" t="n"/>
      <c r="C346" s="29" t="n"/>
      <c r="D346" s="29" t="n"/>
      <c r="E346" s="29" t="n"/>
      <c r="F346" s="29" t="n"/>
      <c r="G346" s="29" t="n"/>
      <c r="H346" s="29" t="n"/>
      <c r="I346" s="29" t="n"/>
      <c r="J346" s="29" t="n"/>
      <c r="K346" s="29" t="n"/>
      <c r="L346" s="49" t="n"/>
      <c r="M346" s="49" t="n"/>
      <c r="N346" s="29" t="n"/>
      <c r="O346" s="29" t="n"/>
      <c r="P346" s="29" t="n"/>
      <c r="Q346" s="51" t="n"/>
      <c r="R346" s="29" t="n"/>
      <c r="S346" s="52">
        <f>IF(OR(A346="",F346="",C346&lt;&gt;"Mekân"),0,IF(COUNTIFS($F$8:F346,F346,$C$8:C346,"Mekân")=1,1,0))</f>
        <v/>
      </c>
      <c r="T346" s="52">
        <f>IF(OR(A346="",F346="",C346&lt;&gt;"Kapak"),0,IF(COUNTIFS($F$8:F346,F346,$C$8:C346,"Kapak")=1,1,0))</f>
        <v/>
      </c>
    </row>
    <row r="347" ht="54" customHeight="1">
      <c r="A347" s="29" t="n"/>
      <c r="B347" s="29" t="n"/>
      <c r="C347" s="29" t="n"/>
      <c r="D347" s="29" t="n"/>
      <c r="E347" s="29" t="n"/>
      <c r="F347" s="29" t="n"/>
      <c r="G347" s="29" t="n"/>
      <c r="H347" s="29" t="n"/>
      <c r="I347" s="29" t="n"/>
      <c r="J347" s="29" t="n"/>
      <c r="K347" s="29" t="n"/>
      <c r="L347" s="49" t="n"/>
      <c r="M347" s="49" t="n"/>
      <c r="N347" s="29" t="n"/>
      <c r="O347" s="29" t="n"/>
      <c r="P347" s="29" t="n"/>
      <c r="Q347" s="51" t="n"/>
      <c r="R347" s="29" t="n"/>
      <c r="S347" s="52">
        <f>IF(OR(A347="",F347="",C347&lt;&gt;"Mekân"),0,IF(COUNTIFS($F$8:F347,F347,$C$8:C347,"Mekân")=1,1,0))</f>
        <v/>
      </c>
      <c r="T347" s="52">
        <f>IF(OR(A347="",F347="",C347&lt;&gt;"Kapak"),0,IF(COUNTIFS($F$8:F347,F347,$C$8:C347,"Kapak")=1,1,0))</f>
        <v/>
      </c>
    </row>
    <row r="348" ht="54" customHeight="1">
      <c r="A348" s="29" t="n"/>
      <c r="B348" s="29" t="n"/>
      <c r="C348" s="29" t="n"/>
      <c r="D348" s="29" t="n"/>
      <c r="E348" s="29" t="n"/>
      <c r="F348" s="29" t="n"/>
      <c r="G348" s="29" t="n"/>
      <c r="H348" s="29" t="n"/>
      <c r="I348" s="29" t="n"/>
      <c r="J348" s="29" t="n"/>
      <c r="K348" s="29" t="n"/>
      <c r="L348" s="49" t="n"/>
      <c r="M348" s="49" t="n"/>
      <c r="N348" s="29" t="n"/>
      <c r="O348" s="29" t="n"/>
      <c r="P348" s="29" t="n"/>
      <c r="Q348" s="51" t="n"/>
      <c r="R348" s="29" t="n"/>
      <c r="S348" s="52">
        <f>IF(OR(A348="",F348="",C348&lt;&gt;"Mekân"),0,IF(COUNTIFS($F$8:F348,F348,$C$8:C348,"Mekân")=1,1,0))</f>
        <v/>
      </c>
      <c r="T348" s="52">
        <f>IF(OR(A348="",F348="",C348&lt;&gt;"Kapak"),0,IF(COUNTIFS($F$8:F348,F348,$C$8:C348,"Kapak")=1,1,0))</f>
        <v/>
      </c>
    </row>
    <row r="349" ht="54" customHeight="1">
      <c r="A349" s="29" t="n"/>
      <c r="B349" s="29" t="n"/>
      <c r="C349" s="29" t="n"/>
      <c r="D349" s="29" t="n"/>
      <c r="E349" s="29" t="n"/>
      <c r="F349" s="29" t="n"/>
      <c r="G349" s="29" t="n"/>
      <c r="H349" s="29" t="n"/>
      <c r="I349" s="29" t="n"/>
      <c r="J349" s="29" t="n"/>
      <c r="K349" s="29" t="n"/>
      <c r="L349" s="49" t="n"/>
      <c r="M349" s="49" t="n"/>
      <c r="N349" s="29" t="n"/>
      <c r="O349" s="29" t="n"/>
      <c r="P349" s="29" t="n"/>
      <c r="Q349" s="51" t="n"/>
      <c r="R349" s="29" t="n"/>
      <c r="S349" s="52">
        <f>IF(OR(A349="",F349="",C349&lt;&gt;"Mekân"),0,IF(COUNTIFS($F$8:F349,F349,$C$8:C349,"Mekân")=1,1,0))</f>
        <v/>
      </c>
      <c r="T349" s="52">
        <f>IF(OR(A349="",F349="",C349&lt;&gt;"Kapak"),0,IF(COUNTIFS($F$8:F349,F349,$C$8:C349,"Kapak")=1,1,0))</f>
        <v/>
      </c>
    </row>
    <row r="350" ht="54" customHeight="1">
      <c r="A350" s="29" t="n"/>
      <c r="B350" s="29" t="n"/>
      <c r="C350" s="29" t="n"/>
      <c r="D350" s="29" t="n"/>
      <c r="E350" s="29" t="n"/>
      <c r="F350" s="29" t="n"/>
      <c r="G350" s="29" t="n"/>
      <c r="H350" s="29" t="n"/>
      <c r="I350" s="29" t="n"/>
      <c r="J350" s="29" t="n"/>
      <c r="K350" s="29" t="n"/>
      <c r="L350" s="49" t="n"/>
      <c r="M350" s="49" t="n"/>
      <c r="N350" s="29" t="n"/>
      <c r="O350" s="29" t="n"/>
      <c r="P350" s="29" t="n"/>
      <c r="Q350" s="51" t="n"/>
      <c r="R350" s="29" t="n"/>
      <c r="S350" s="52">
        <f>IF(OR(A350="",F350="",C350&lt;&gt;"Mekân"),0,IF(COUNTIFS($F$8:F350,F350,$C$8:C350,"Mekân")=1,1,0))</f>
        <v/>
      </c>
      <c r="T350" s="52">
        <f>IF(OR(A350="",F350="",C350&lt;&gt;"Kapak"),0,IF(COUNTIFS($F$8:F350,F350,$C$8:C350,"Kapak")=1,1,0))</f>
        <v/>
      </c>
    </row>
    <row r="351" ht="54" customHeight="1">
      <c r="A351" s="29" t="n"/>
      <c r="B351" s="29" t="n"/>
      <c r="C351" s="29" t="n"/>
      <c r="D351" s="29" t="n"/>
      <c r="E351" s="29" t="n"/>
      <c r="F351" s="29" t="n"/>
      <c r="G351" s="29" t="n"/>
      <c r="H351" s="29" t="n"/>
      <c r="I351" s="29" t="n"/>
      <c r="J351" s="29" t="n"/>
      <c r="K351" s="29" t="n"/>
      <c r="L351" s="49" t="n"/>
      <c r="M351" s="49" t="n"/>
      <c r="N351" s="29" t="n"/>
      <c r="O351" s="29" t="n"/>
      <c r="P351" s="29" t="n"/>
      <c r="Q351" s="51" t="n"/>
      <c r="R351" s="29" t="n"/>
      <c r="S351" s="52">
        <f>IF(OR(A351="",F351="",C351&lt;&gt;"Mekân"),0,IF(COUNTIFS($F$8:F351,F351,$C$8:C351,"Mekân")=1,1,0))</f>
        <v/>
      </c>
      <c r="T351" s="52">
        <f>IF(OR(A351="",F351="",C351&lt;&gt;"Kapak"),0,IF(COUNTIFS($F$8:F351,F351,$C$8:C351,"Kapak")=1,1,0))</f>
        <v/>
      </c>
    </row>
    <row r="352" ht="54" customHeight="1">
      <c r="A352" s="29" t="n"/>
      <c r="B352" s="29" t="n"/>
      <c r="C352" s="29" t="n"/>
      <c r="D352" s="29" t="n"/>
      <c r="E352" s="29" t="n"/>
      <c r="F352" s="29" t="n"/>
      <c r="G352" s="29" t="n"/>
      <c r="H352" s="29" t="n"/>
      <c r="I352" s="29" t="n"/>
      <c r="J352" s="29" t="n"/>
      <c r="K352" s="29" t="n"/>
      <c r="L352" s="49" t="n"/>
      <c r="M352" s="49" t="n"/>
      <c r="N352" s="29" t="n"/>
      <c r="O352" s="29" t="n"/>
      <c r="P352" s="29" t="n"/>
      <c r="Q352" s="51" t="n"/>
      <c r="R352" s="29" t="n"/>
      <c r="S352" s="52">
        <f>IF(OR(A352="",F352="",C352&lt;&gt;"Mekân"),0,IF(COUNTIFS($F$8:F352,F352,$C$8:C352,"Mekân")=1,1,0))</f>
        <v/>
      </c>
      <c r="T352" s="52">
        <f>IF(OR(A352="",F352="",C352&lt;&gt;"Kapak"),0,IF(COUNTIFS($F$8:F352,F352,$C$8:C352,"Kapak")=1,1,0))</f>
        <v/>
      </c>
    </row>
    <row r="353" ht="54" customHeight="1">
      <c r="A353" s="29" t="n"/>
      <c r="B353" s="29" t="n"/>
      <c r="C353" s="29" t="n"/>
      <c r="D353" s="29" t="n"/>
      <c r="E353" s="29" t="n"/>
      <c r="F353" s="29" t="n"/>
      <c r="G353" s="29" t="n"/>
      <c r="H353" s="29" t="n"/>
      <c r="I353" s="29" t="n"/>
      <c r="J353" s="29" t="n"/>
      <c r="K353" s="29" t="n"/>
      <c r="L353" s="49" t="n"/>
      <c r="M353" s="49" t="n"/>
      <c r="N353" s="29" t="n"/>
      <c r="O353" s="29" t="n"/>
      <c r="P353" s="29" t="n"/>
      <c r="Q353" s="51" t="n"/>
      <c r="R353" s="29" t="n"/>
      <c r="S353" s="52">
        <f>IF(OR(A353="",F353="",C353&lt;&gt;"Mekân"),0,IF(COUNTIFS($F$8:F353,F353,$C$8:C353,"Mekân")=1,1,0))</f>
        <v/>
      </c>
      <c r="T353" s="52">
        <f>IF(OR(A353="",F353="",C353&lt;&gt;"Kapak"),0,IF(COUNTIFS($F$8:F353,F353,$C$8:C353,"Kapak")=1,1,0))</f>
        <v/>
      </c>
    </row>
    <row r="354" ht="54" customHeight="1">
      <c r="A354" s="29" t="n"/>
      <c r="B354" s="29" t="n"/>
      <c r="C354" s="29" t="n"/>
      <c r="D354" s="29" t="n"/>
      <c r="E354" s="29" t="n"/>
      <c r="F354" s="29" t="n"/>
      <c r="G354" s="29" t="n"/>
      <c r="H354" s="29" t="n"/>
      <c r="I354" s="29" t="n"/>
      <c r="J354" s="29" t="n"/>
      <c r="K354" s="29" t="n"/>
      <c r="L354" s="49" t="n"/>
      <c r="M354" s="49" t="n"/>
      <c r="N354" s="29" t="n"/>
      <c r="O354" s="29" t="n"/>
      <c r="P354" s="29" t="n"/>
      <c r="Q354" s="51" t="n"/>
      <c r="R354" s="29" t="n"/>
      <c r="S354" s="52">
        <f>IF(OR(A354="",F354="",C354&lt;&gt;"Mekân"),0,IF(COUNTIFS($F$8:F354,F354,$C$8:C354,"Mekân")=1,1,0))</f>
        <v/>
      </c>
      <c r="T354" s="52">
        <f>IF(OR(A354="",F354="",C354&lt;&gt;"Kapak"),0,IF(COUNTIFS($F$8:F354,F354,$C$8:C354,"Kapak")=1,1,0))</f>
        <v/>
      </c>
    </row>
    <row r="355" ht="54" customHeight="1">
      <c r="A355" s="29" t="n"/>
      <c r="B355" s="29" t="n"/>
      <c r="C355" s="29" t="n"/>
      <c r="D355" s="29" t="n"/>
      <c r="E355" s="29" t="n"/>
      <c r="F355" s="29" t="n"/>
      <c r="G355" s="29" t="n"/>
      <c r="H355" s="29" t="n"/>
      <c r="I355" s="29" t="n"/>
      <c r="J355" s="29" t="n"/>
      <c r="K355" s="29" t="n"/>
      <c r="L355" s="49" t="n"/>
      <c r="M355" s="49" t="n"/>
      <c r="N355" s="29" t="n"/>
      <c r="O355" s="29" t="n"/>
      <c r="P355" s="29" t="n"/>
      <c r="Q355" s="51" t="n"/>
      <c r="R355" s="29" t="n"/>
      <c r="S355" s="52">
        <f>IF(OR(A355="",F355="",C355&lt;&gt;"Mekân"),0,IF(COUNTIFS($F$8:F355,F355,$C$8:C355,"Mekân")=1,1,0))</f>
        <v/>
      </c>
      <c r="T355" s="52">
        <f>IF(OR(A355="",F355="",C355&lt;&gt;"Kapak"),0,IF(COUNTIFS($F$8:F355,F355,$C$8:C355,"Kapak")=1,1,0))</f>
        <v/>
      </c>
    </row>
    <row r="356" ht="54" customHeight="1">
      <c r="A356" s="29" t="n"/>
      <c r="B356" s="29" t="n"/>
      <c r="C356" s="29" t="n"/>
      <c r="D356" s="29" t="n"/>
      <c r="E356" s="29" t="n"/>
      <c r="F356" s="29" t="n"/>
      <c r="G356" s="29" t="n"/>
      <c r="H356" s="29" t="n"/>
      <c r="I356" s="29" t="n"/>
      <c r="J356" s="29" t="n"/>
      <c r="K356" s="29" t="n"/>
      <c r="L356" s="49" t="n"/>
      <c r="M356" s="49" t="n"/>
      <c r="N356" s="29" t="n"/>
      <c r="O356" s="29" t="n"/>
      <c r="P356" s="29" t="n"/>
      <c r="Q356" s="51" t="n"/>
      <c r="R356" s="29" t="n"/>
      <c r="S356" s="52">
        <f>IF(OR(A356="",F356="",C356&lt;&gt;"Mekân"),0,IF(COUNTIFS($F$8:F356,F356,$C$8:C356,"Mekân")=1,1,0))</f>
        <v/>
      </c>
      <c r="T356" s="52">
        <f>IF(OR(A356="",F356="",C356&lt;&gt;"Kapak"),0,IF(COUNTIFS($F$8:F356,F356,$C$8:C356,"Kapak")=1,1,0))</f>
        <v/>
      </c>
    </row>
    <row r="357" ht="54" customHeight="1">
      <c r="A357" s="29" t="n"/>
      <c r="B357" s="29" t="n"/>
      <c r="C357" s="29" t="n"/>
      <c r="D357" s="29" t="n"/>
      <c r="E357" s="29" t="n"/>
      <c r="F357" s="29" t="n"/>
      <c r="G357" s="29" t="n"/>
      <c r="H357" s="29" t="n"/>
      <c r="I357" s="29" t="n"/>
      <c r="J357" s="29" t="n"/>
      <c r="K357" s="29" t="n"/>
      <c r="L357" s="49" t="n"/>
      <c r="M357" s="49" t="n"/>
      <c r="N357" s="29" t="n"/>
      <c r="O357" s="29" t="n"/>
      <c r="P357" s="29" t="n"/>
      <c r="Q357" s="51" t="n"/>
      <c r="R357" s="29" t="n"/>
      <c r="S357" s="52">
        <f>IF(OR(A357="",F357="",C357&lt;&gt;"Mekân"),0,IF(COUNTIFS($F$8:F357,F357,$C$8:C357,"Mekân")=1,1,0))</f>
        <v/>
      </c>
      <c r="T357" s="52">
        <f>IF(OR(A357="",F357="",C357&lt;&gt;"Kapak"),0,IF(COUNTIFS($F$8:F357,F357,$C$8:C357,"Kapak")=1,1,0))</f>
        <v/>
      </c>
    </row>
    <row r="358">
      <c r="S358" s="52">
        <f>IF(OR(A358="",F358="",C358&lt;&gt;"Mekân"),0,IF(COUNTIFS($F$8:F358,F358,$C$8:C358,"Mekân")=1,1,0))</f>
        <v/>
      </c>
      <c r="T358" s="52">
        <f>IF(OR(A358="",F358="",C358&lt;&gt;"Kapak"),0,IF(COUNTIFS($F$8:F358,F358,$C$8:C358,"Kapak")=1,1,0))</f>
        <v/>
      </c>
    </row>
    <row r="359">
      <c r="S359" s="52">
        <f>IF(OR(A359="",F359="",C359&lt;&gt;"Mekân"),0,IF(COUNTIFS($F$8:F359,F359,$C$8:C359,"Mekân")=1,1,0))</f>
        <v/>
      </c>
      <c r="T359" s="52">
        <f>IF(OR(A359="",F359="",C359&lt;&gt;"Kapak"),0,IF(COUNTIFS($F$8:F359,F359,$C$8:C359,"Kapak")=1,1,0))</f>
        <v/>
      </c>
    </row>
    <row r="360">
      <c r="S360" s="52">
        <f>IF(OR(A360="",F360="",C360&lt;&gt;"Mekân"),0,IF(COUNTIFS($F$8:F360,F360,$C$8:C360,"Mekân")=1,1,0))</f>
        <v/>
      </c>
      <c r="T360" s="52">
        <f>IF(OR(A360="",F360="",C360&lt;&gt;"Kapak"),0,IF(COUNTIFS($F$8:F360,F360,$C$8:C360,"Kapak")=1,1,0))</f>
        <v/>
      </c>
    </row>
    <row r="361">
      <c r="S361" s="52">
        <f>IF(OR(A361="",F361="",C361&lt;&gt;"Mekân"),0,IF(COUNTIFS($F$8:F361,F361,$C$8:C361,"Mekân")=1,1,0))</f>
        <v/>
      </c>
      <c r="T361" s="52">
        <f>IF(OR(A361="",F361="",C361&lt;&gt;"Kapak"),0,IF(COUNTIFS($F$8:F361,F361,$C$8:C361,"Kapak")=1,1,0))</f>
        <v/>
      </c>
    </row>
    <row r="362">
      <c r="S362" s="52">
        <f>IF(OR(A362="",F362="",C362&lt;&gt;"Mekân"),0,IF(COUNTIFS($F$8:F362,F362,$C$8:C362,"Mekân")=1,1,0))</f>
        <v/>
      </c>
      <c r="T362" s="52">
        <f>IF(OR(A362="",F362="",C362&lt;&gt;"Kapak"),0,IF(COUNTIFS($F$8:F362,F362,$C$8:C362,"Kapak")=1,1,0))</f>
        <v/>
      </c>
    </row>
    <row r="363">
      <c r="S363" s="52">
        <f>IF(OR(A363="",F363="",C363&lt;&gt;"Mekân"),0,IF(COUNTIFS($F$8:F363,F363,$C$8:C363,"Mekân")=1,1,0))</f>
        <v/>
      </c>
      <c r="T363" s="52">
        <f>IF(OR(A363="",F363="",C363&lt;&gt;"Kapak"),0,IF(COUNTIFS($F$8:F363,F363,$C$8:C363,"Kapak")=1,1,0))</f>
        <v/>
      </c>
    </row>
    <row r="364">
      <c r="S364" s="52">
        <f>IF(OR(A364="",F364="",C364&lt;&gt;"Mekân"),0,IF(COUNTIFS($F$8:F364,F364,$C$8:C364,"Mekân")=1,1,0))</f>
        <v/>
      </c>
      <c r="T364" s="52">
        <f>IF(OR(A364="",F364="",C364&lt;&gt;"Kapak"),0,IF(COUNTIFS($F$8:F364,F364,$C$8:C364,"Kapak")=1,1,0))</f>
        <v/>
      </c>
    </row>
    <row r="365">
      <c r="S365" s="52">
        <f>IF(OR(A365="",F365="",C365&lt;&gt;"Mekân"),0,IF(COUNTIFS($F$8:F365,F365,$C$8:C365,"Mekân")=1,1,0))</f>
        <v/>
      </c>
      <c r="T365" s="52">
        <f>IF(OR(A365="",F365="",C365&lt;&gt;"Kapak"),0,IF(COUNTIFS($F$8:F365,F365,$C$8:C365,"Kapak")=1,1,0))</f>
        <v/>
      </c>
    </row>
    <row r="366">
      <c r="S366" s="52">
        <f>IF(OR(A366="",F366="",C366&lt;&gt;"Mekân"),0,IF(COUNTIFS($F$8:F366,F366,$C$8:C366,"Mekân")=1,1,0))</f>
        <v/>
      </c>
      <c r="T366" s="52">
        <f>IF(OR(A366="",F366="",C366&lt;&gt;"Kapak"),0,IF(COUNTIFS($F$8:F366,F366,$C$8:C366,"Kapak")=1,1,0))</f>
        <v/>
      </c>
    </row>
    <row r="367">
      <c r="S367" s="52">
        <f>IF(OR(A367="",F367="",C367&lt;&gt;"Mekân"),0,IF(COUNTIFS($F$8:F367,F367,$C$8:C367,"Mekân")=1,1,0))</f>
        <v/>
      </c>
      <c r="T367" s="52">
        <f>IF(OR(A367="",F367="",C367&lt;&gt;"Kapak"),0,IF(COUNTIFS($F$8:F367,F367,$C$8:C367,"Kapak")=1,1,0))</f>
        <v/>
      </c>
    </row>
    <row r="368">
      <c r="S368" s="52">
        <f>IF(OR(A368="",F368="",C368&lt;&gt;"Mekân"),0,IF(COUNTIFS($F$8:F368,F368,$C$8:C368,"Mekân")=1,1,0))</f>
        <v/>
      </c>
      <c r="T368" s="52">
        <f>IF(OR(A368="",F368="",C368&lt;&gt;"Kapak"),0,IF(COUNTIFS($F$8:F368,F368,$C$8:C368,"Kapak")=1,1,0))</f>
        <v/>
      </c>
    </row>
    <row r="369">
      <c r="S369" s="52">
        <f>IF(OR(A369="",F369="",C369&lt;&gt;"Mekân"),0,IF(COUNTIFS($F$8:F369,F369,$C$8:C369,"Mekân")=1,1,0))</f>
        <v/>
      </c>
      <c r="T369" s="52">
        <f>IF(OR(A369="",F369="",C369&lt;&gt;"Kapak"),0,IF(COUNTIFS($F$8:F369,F369,$C$8:C369,"Kapak")=1,1,0))</f>
        <v/>
      </c>
    </row>
    <row r="370">
      <c r="S370" s="52">
        <f>IF(OR(A370="",F370="",C370&lt;&gt;"Mekân"),0,IF(COUNTIFS($F$8:F370,F370,$C$8:C370,"Mekân")=1,1,0))</f>
        <v/>
      </c>
      <c r="T370" s="52">
        <f>IF(OR(A370="",F370="",C370&lt;&gt;"Kapak"),0,IF(COUNTIFS($F$8:F370,F370,$C$8:C370,"Kapak")=1,1,0))</f>
        <v/>
      </c>
    </row>
    <row r="371">
      <c r="S371" s="52">
        <f>IF(OR(A371="",F371="",C371&lt;&gt;"Mekân"),0,IF(COUNTIFS($F$8:F371,F371,$C$8:C371,"Mekân")=1,1,0))</f>
        <v/>
      </c>
      <c r="T371" s="52">
        <f>IF(OR(A371="",F371="",C371&lt;&gt;"Kapak"),0,IF(COUNTIFS($F$8:F371,F371,$C$8:C371,"Kapak")=1,1,0))</f>
        <v/>
      </c>
    </row>
    <row r="372">
      <c r="S372" s="52">
        <f>IF(OR(A372="",F372="",C372&lt;&gt;"Mekân"),0,IF(COUNTIFS($F$8:F372,F372,$C$8:C372,"Mekân")=1,1,0))</f>
        <v/>
      </c>
      <c r="T372" s="52">
        <f>IF(OR(A372="",F372="",C372&lt;&gt;"Kapak"),0,IF(COUNTIFS($F$8:F372,F372,$C$8:C372,"Kapak")=1,1,0))</f>
        <v/>
      </c>
    </row>
    <row r="373">
      <c r="S373" s="52">
        <f>IF(OR(A373="",F373="",C373&lt;&gt;"Mekân"),0,IF(COUNTIFS($F$8:F373,F373,$C$8:C373,"Mekân")=1,1,0))</f>
        <v/>
      </c>
      <c r="T373" s="52">
        <f>IF(OR(A373="",F373="",C373&lt;&gt;"Kapak"),0,IF(COUNTIFS($F$8:F373,F373,$C$8:C373,"Kapak")=1,1,0))</f>
        <v/>
      </c>
    </row>
    <row r="374">
      <c r="S374" s="52">
        <f>IF(OR(A374="",F374="",C374&lt;&gt;"Mekân"),0,IF(COUNTIFS($F$8:F374,F374,$C$8:C374,"Mekân")=1,1,0))</f>
        <v/>
      </c>
      <c r="T374" s="52">
        <f>IF(OR(A374="",F374="",C374&lt;&gt;"Kapak"),0,IF(COUNTIFS($F$8:F374,F374,$C$8:C374,"Kapak")=1,1,0))</f>
        <v/>
      </c>
    </row>
    <row r="375">
      <c r="S375" s="52">
        <f>IF(OR(A375="",F375="",C375&lt;&gt;"Mekân"),0,IF(COUNTIFS($F$8:F375,F375,$C$8:C375,"Mekân")=1,1,0))</f>
        <v/>
      </c>
      <c r="T375" s="52">
        <f>IF(OR(A375="",F375="",C375&lt;&gt;"Kapak"),0,IF(COUNTIFS($F$8:F375,F375,$C$8:C375,"Kapak")=1,1,0))</f>
        <v/>
      </c>
    </row>
    <row r="376">
      <c r="S376" s="52">
        <f>IF(OR(A376="",F376="",C376&lt;&gt;"Mekân"),0,IF(COUNTIFS($F$8:F376,F376,$C$8:C376,"Mekân")=1,1,0))</f>
        <v/>
      </c>
      <c r="T376" s="52">
        <f>IF(OR(A376="",F376="",C376&lt;&gt;"Kapak"),0,IF(COUNTIFS($F$8:F376,F376,$C$8:C376,"Kapak")=1,1,0))</f>
        <v/>
      </c>
    </row>
    <row r="377">
      <c r="S377" s="52">
        <f>IF(OR(A377="",F377="",C377&lt;&gt;"Mekân"),0,IF(COUNTIFS($F$8:F377,F377,$C$8:C377,"Mekân")=1,1,0))</f>
        <v/>
      </c>
      <c r="T377" s="52">
        <f>IF(OR(A377="",F377="",C377&lt;&gt;"Kapak"),0,IF(COUNTIFS($F$8:F377,F377,$C$8:C377,"Kapak")=1,1,0))</f>
        <v/>
      </c>
    </row>
    <row r="378">
      <c r="S378" s="52">
        <f>IF(OR(A378="",F378="",C378&lt;&gt;"Mekân"),0,IF(COUNTIFS($F$8:F378,F378,$C$8:C378,"Mekân")=1,1,0))</f>
        <v/>
      </c>
      <c r="T378" s="52">
        <f>IF(OR(A378="",F378="",C378&lt;&gt;"Kapak"),0,IF(COUNTIFS($F$8:F378,F378,$C$8:C378,"Kapak")=1,1,0))</f>
        <v/>
      </c>
    </row>
    <row r="379">
      <c r="S379" s="52">
        <f>IF(OR(A379="",F379="",C379&lt;&gt;"Mekân"),0,IF(COUNTIFS($F$8:F379,F379,$C$8:C379,"Mekân")=1,1,0))</f>
        <v/>
      </c>
      <c r="T379" s="52">
        <f>IF(OR(A379="",F379="",C379&lt;&gt;"Kapak"),0,IF(COUNTIFS($F$8:F379,F379,$C$8:C379,"Kapak")=1,1,0))</f>
        <v/>
      </c>
    </row>
    <row r="380">
      <c r="S380" s="52">
        <f>IF(OR(A380="",F380="",C380&lt;&gt;"Mekân"),0,IF(COUNTIFS($F$8:F380,F380,$C$8:C380,"Mekân")=1,1,0))</f>
        <v/>
      </c>
      <c r="T380" s="52">
        <f>IF(OR(A380="",F380="",C380&lt;&gt;"Kapak"),0,IF(COUNTIFS($F$8:F380,F380,$C$8:C380,"Kapak")=1,1,0))</f>
        <v/>
      </c>
    </row>
    <row r="381">
      <c r="S381" s="52">
        <f>IF(OR(A381="",F381="",C381&lt;&gt;"Mekân"),0,IF(COUNTIFS($F$8:F381,F381,$C$8:C381,"Mekân")=1,1,0))</f>
        <v/>
      </c>
      <c r="T381" s="52">
        <f>IF(OR(A381="",F381="",C381&lt;&gt;"Kapak"),0,IF(COUNTIFS($F$8:F381,F381,$C$8:C381,"Kapak")=1,1,0))</f>
        <v/>
      </c>
    </row>
    <row r="382">
      <c r="S382" s="52">
        <f>IF(OR(A382="",F382="",C382&lt;&gt;"Mekân"),0,IF(COUNTIFS($F$8:F382,F382,$C$8:C382,"Mekân")=1,1,0))</f>
        <v/>
      </c>
      <c r="T382" s="52">
        <f>IF(OR(A382="",F382="",C382&lt;&gt;"Kapak"),0,IF(COUNTIFS($F$8:F382,F382,$C$8:C382,"Kapak")=1,1,0))</f>
        <v/>
      </c>
    </row>
    <row r="383">
      <c r="S383" s="52">
        <f>IF(OR(A383="",F383="",C383&lt;&gt;"Mekân"),0,IF(COUNTIFS($F$8:F383,F383,$C$8:C383,"Mekân")=1,1,0))</f>
        <v/>
      </c>
      <c r="T383" s="52">
        <f>IF(OR(A383="",F383="",C383&lt;&gt;"Kapak"),0,IF(COUNTIFS($F$8:F383,F383,$C$8:C383,"Kapak")=1,1,0))</f>
        <v/>
      </c>
    </row>
    <row r="384">
      <c r="S384" s="52">
        <f>IF(OR(A384="",F384="",C384&lt;&gt;"Mekân"),0,IF(COUNTIFS($F$8:F384,F384,$C$8:C384,"Mekân")=1,1,0))</f>
        <v/>
      </c>
      <c r="T384" s="52">
        <f>IF(OR(A384="",F384="",C384&lt;&gt;"Kapak"),0,IF(COUNTIFS($F$8:F384,F384,$C$8:C384,"Kapak")=1,1,0))</f>
        <v/>
      </c>
    </row>
    <row r="385">
      <c r="S385" s="52">
        <f>IF(OR(A385="",F385="",C385&lt;&gt;"Mekân"),0,IF(COUNTIFS($F$8:F385,F385,$C$8:C385,"Mekân")=1,1,0))</f>
        <v/>
      </c>
      <c r="T385" s="52">
        <f>IF(OR(A385="",F385="",C385&lt;&gt;"Kapak"),0,IF(COUNTIFS($F$8:F385,F385,$C$8:C385,"Kapak")=1,1,0))</f>
        <v/>
      </c>
    </row>
    <row r="386">
      <c r="S386" s="52">
        <f>IF(OR(A386="",F386="",C386&lt;&gt;"Mekân"),0,IF(COUNTIFS($F$8:F386,F386,$C$8:C386,"Mekân")=1,1,0))</f>
        <v/>
      </c>
      <c r="T386" s="52">
        <f>IF(OR(A386="",F386="",C386&lt;&gt;"Kapak"),0,IF(COUNTIFS($F$8:F386,F386,$C$8:C386,"Kapak")=1,1,0))</f>
        <v/>
      </c>
    </row>
    <row r="387">
      <c r="S387" s="52">
        <f>IF(OR(A387="",F387="",C387&lt;&gt;"Mekân"),0,IF(COUNTIFS($F$8:F387,F387,$C$8:C387,"Mekân")=1,1,0))</f>
        <v/>
      </c>
      <c r="T387" s="52">
        <f>IF(OR(A387="",F387="",C387&lt;&gt;"Kapak"),0,IF(COUNTIFS($F$8:F387,F387,$C$8:C387,"Kapak")=1,1,0))</f>
        <v/>
      </c>
    </row>
    <row r="388">
      <c r="S388" s="52">
        <f>IF(OR(A388="",F388="",C388&lt;&gt;"Mekân"),0,IF(COUNTIFS($F$8:F388,F388,$C$8:C388,"Mekân")=1,1,0))</f>
        <v/>
      </c>
      <c r="T388" s="52">
        <f>IF(OR(A388="",F388="",C388&lt;&gt;"Kapak"),0,IF(COUNTIFS($F$8:F388,F388,$C$8:C388,"Kapak")=1,1,0))</f>
        <v/>
      </c>
    </row>
    <row r="389">
      <c r="S389" s="52">
        <f>IF(OR(A389="",F389="",C389&lt;&gt;"Mekân"),0,IF(COUNTIFS($F$8:F389,F389,$C$8:C389,"Mekân")=1,1,0))</f>
        <v/>
      </c>
      <c r="T389" s="52">
        <f>IF(OR(A389="",F389="",C389&lt;&gt;"Kapak"),0,IF(COUNTIFS($F$8:F389,F389,$C$8:C389,"Kapak")=1,1,0))</f>
        <v/>
      </c>
    </row>
    <row r="390">
      <c r="S390" s="52">
        <f>IF(OR(A390="",F390="",C390&lt;&gt;"Mekân"),0,IF(COUNTIFS($F$8:F390,F390,$C$8:C390,"Mekân")=1,1,0))</f>
        <v/>
      </c>
      <c r="T390" s="52">
        <f>IF(OR(A390="",F390="",C390&lt;&gt;"Kapak"),0,IF(COUNTIFS($F$8:F390,F390,$C$8:C390,"Kapak")=1,1,0))</f>
        <v/>
      </c>
    </row>
    <row r="391">
      <c r="S391" s="52">
        <f>IF(OR(A391="",F391="",C391&lt;&gt;"Mekân"),0,IF(COUNTIFS($F$8:F391,F391,$C$8:C391,"Mekân")=1,1,0))</f>
        <v/>
      </c>
      <c r="T391" s="52">
        <f>IF(OR(A391="",F391="",C391&lt;&gt;"Kapak"),0,IF(COUNTIFS($F$8:F391,F391,$C$8:C391,"Kapak")=1,1,0))</f>
        <v/>
      </c>
    </row>
    <row r="392">
      <c r="S392" s="52">
        <f>IF(OR(A392="",F392="",C392&lt;&gt;"Mekân"),0,IF(COUNTIFS($F$8:F392,F392,$C$8:C392,"Mekân")=1,1,0))</f>
        <v/>
      </c>
      <c r="T392" s="52">
        <f>IF(OR(A392="",F392="",C392&lt;&gt;"Kapak"),0,IF(COUNTIFS($F$8:F392,F392,$C$8:C392,"Kapak")=1,1,0))</f>
        <v/>
      </c>
    </row>
    <row r="393">
      <c r="S393" s="52">
        <f>IF(OR(A393="",F393="",C393&lt;&gt;"Mekân"),0,IF(COUNTIFS($F$8:F393,F393,$C$8:C393,"Mekân")=1,1,0))</f>
        <v/>
      </c>
      <c r="T393" s="52">
        <f>IF(OR(A393="",F393="",C393&lt;&gt;"Kapak"),0,IF(COUNTIFS($F$8:F393,F393,$C$8:C393,"Kapak")=1,1,0))</f>
        <v/>
      </c>
    </row>
    <row r="394">
      <c r="S394" s="52">
        <f>IF(OR(A394="",F394="",C394&lt;&gt;"Mekân"),0,IF(COUNTIFS($F$8:F394,F394,$C$8:C394,"Mekân")=1,1,0))</f>
        <v/>
      </c>
      <c r="T394" s="52">
        <f>IF(OR(A394="",F394="",C394&lt;&gt;"Kapak"),0,IF(COUNTIFS($F$8:F394,F394,$C$8:C394,"Kapak")=1,1,0))</f>
        <v/>
      </c>
    </row>
    <row r="395">
      <c r="S395" s="52">
        <f>IF(OR(A395="",F395="",C395&lt;&gt;"Mekân"),0,IF(COUNTIFS($F$8:F395,F395,$C$8:C395,"Mekân")=1,1,0))</f>
        <v/>
      </c>
      <c r="T395" s="52">
        <f>IF(OR(A395="",F395="",C395&lt;&gt;"Kapak"),0,IF(COUNTIFS($F$8:F395,F395,$C$8:C395,"Kapak")=1,1,0))</f>
        <v/>
      </c>
    </row>
    <row r="396">
      <c r="S396" s="52">
        <f>IF(OR(A396="",F396="",C396&lt;&gt;"Mekân"),0,IF(COUNTIFS($F$8:F396,F396,$C$8:C396,"Mekân")=1,1,0))</f>
        <v/>
      </c>
      <c r="T396" s="52">
        <f>IF(OR(A396="",F396="",C396&lt;&gt;"Kapak"),0,IF(COUNTIFS($F$8:F396,F396,$C$8:C396,"Kapak")=1,1,0))</f>
        <v/>
      </c>
    </row>
    <row r="397">
      <c r="S397" s="52">
        <f>IF(OR(A397="",F397="",C397&lt;&gt;"Mekân"),0,IF(COUNTIFS($F$8:F397,F397,$C$8:C397,"Mekân")=1,1,0))</f>
        <v/>
      </c>
      <c r="T397" s="52">
        <f>IF(OR(A397="",F397="",C397&lt;&gt;"Kapak"),0,IF(COUNTIFS($F$8:F397,F397,$C$8:C397,"Kapak")=1,1,0))</f>
        <v/>
      </c>
    </row>
    <row r="398">
      <c r="S398" s="52">
        <f>IF(OR(A398="",F398="",C398&lt;&gt;"Mekân"),0,IF(COUNTIFS($F$8:F398,F398,$C$8:C398,"Mekân")=1,1,0))</f>
        <v/>
      </c>
      <c r="T398" s="52">
        <f>IF(OR(A398="",F398="",C398&lt;&gt;"Kapak"),0,IF(COUNTIFS($F$8:F398,F398,$C$8:C398,"Kapak")=1,1,0))</f>
        <v/>
      </c>
    </row>
    <row r="399">
      <c r="S399" s="52">
        <f>IF(OR(A399="",F399="",C399&lt;&gt;"Mekân"),0,IF(COUNTIFS($F$8:F399,F399,$C$8:C399,"Mekân")=1,1,0))</f>
        <v/>
      </c>
      <c r="T399" s="52">
        <f>IF(OR(A399="",F399="",C399&lt;&gt;"Kapak"),0,IF(COUNTIFS($F$8:F399,F399,$C$8:C399,"Kapak")=1,1,0))</f>
        <v/>
      </c>
    </row>
    <row r="400">
      <c r="S400" s="52">
        <f>IF(OR(A400="",F400="",C400&lt;&gt;"Mekân"),0,IF(COUNTIFS($F$8:F400,F400,$C$8:C400,"Mekân")=1,1,0))</f>
        <v/>
      </c>
      <c r="T400" s="52">
        <f>IF(OR(A400="",F400="",C400&lt;&gt;"Kapak"),0,IF(COUNTIFS($F$8:F400,F400,$C$8:C400,"Kapak")=1,1,0))</f>
        <v/>
      </c>
    </row>
    <row r="401">
      <c r="S401" s="52">
        <f>IF(OR(A401="",F401="",C401&lt;&gt;"Mekân"),0,IF(COUNTIFS($F$8:F401,F401,$C$8:C401,"Mekân")=1,1,0))</f>
        <v/>
      </c>
      <c r="T401" s="52">
        <f>IF(OR(A401="",F401="",C401&lt;&gt;"Kapak"),0,IF(COUNTIFS($F$8:F401,F401,$C$8:C401,"Kapak")=1,1,0))</f>
        <v/>
      </c>
    </row>
    <row r="402">
      <c r="S402" s="52">
        <f>IF(OR(A402="",F402="",C402&lt;&gt;"Mekân"),0,IF(COUNTIFS($F$8:F402,F402,$C$8:C402,"Mekân")=1,1,0))</f>
        <v/>
      </c>
      <c r="T402" s="52">
        <f>IF(OR(A402="",F402="",C402&lt;&gt;"Kapak"),0,IF(COUNTIFS($F$8:F402,F402,$C$8:C402,"Kapak")=1,1,0))</f>
        <v/>
      </c>
    </row>
    <row r="403">
      <c r="S403" s="52">
        <f>IF(OR(A403="",F403="",C403&lt;&gt;"Mekân"),0,IF(COUNTIFS($F$8:F403,F403,$C$8:C403,"Mekân")=1,1,0))</f>
        <v/>
      </c>
      <c r="T403" s="52">
        <f>IF(OR(A403="",F403="",C403&lt;&gt;"Kapak"),0,IF(COUNTIFS($F$8:F403,F403,$C$8:C403,"Kapak")=1,1,0))</f>
        <v/>
      </c>
    </row>
    <row r="404">
      <c r="S404" s="52">
        <f>IF(OR(A404="",F404="",C404&lt;&gt;"Mekân"),0,IF(COUNTIFS($F$8:F404,F404,$C$8:C404,"Mekân")=1,1,0))</f>
        <v/>
      </c>
      <c r="T404" s="52">
        <f>IF(OR(A404="",F404="",C404&lt;&gt;"Kapak"),0,IF(COUNTIFS($F$8:F404,F404,$C$8:C404,"Kapak")=1,1,0))</f>
        <v/>
      </c>
    </row>
    <row r="405">
      <c r="S405" s="52">
        <f>IF(OR(A405="",F405="",C405&lt;&gt;"Mekân"),0,IF(COUNTIFS($F$8:F405,F405,$C$8:C405,"Mekân")=1,1,0))</f>
        <v/>
      </c>
      <c r="T405" s="52">
        <f>IF(OR(A405="",F405="",C405&lt;&gt;"Kapak"),0,IF(COUNTIFS($F$8:F405,F405,$C$8:C405,"Kapak")=1,1,0))</f>
        <v/>
      </c>
    </row>
    <row r="406">
      <c r="S406" s="52">
        <f>IF(OR(A406="",F406="",C406&lt;&gt;"Mekân"),0,IF(COUNTIFS($F$8:F406,F406,$C$8:C406,"Mekân")=1,1,0))</f>
        <v/>
      </c>
      <c r="T406" s="52">
        <f>IF(OR(A406="",F406="",C406&lt;&gt;"Kapak"),0,IF(COUNTIFS($F$8:F406,F406,$C$8:C406,"Kapak")=1,1,0))</f>
        <v/>
      </c>
    </row>
    <row r="407">
      <c r="S407" s="52">
        <f>IF(OR(A407="",F407="",C407&lt;&gt;"Mekân"),0,IF(COUNTIFS($F$8:F407,F407,$C$8:C407,"Mekân")=1,1,0))</f>
        <v/>
      </c>
      <c r="T407" s="52">
        <f>IF(OR(A407="",F407="",C407&lt;&gt;"Kapak"),0,IF(COUNTIFS($F$8:F407,F407,$C$8:C407,"Kapak")=1,1,0))</f>
        <v/>
      </c>
    </row>
    <row r="408">
      <c r="S408" s="52">
        <f>IF(OR(A408="",F408="",C408&lt;&gt;"Mekân"),0,IF(COUNTIFS($F$8:F408,F408,$C$8:C408,"Mekân")=1,1,0))</f>
        <v/>
      </c>
      <c r="T408" s="52">
        <f>IF(OR(A408="",F408="",C408&lt;&gt;"Kapak"),0,IF(COUNTIFS($F$8:F408,F408,$C$8:C408,"Kapak")=1,1,0))</f>
        <v/>
      </c>
    </row>
    <row r="409">
      <c r="S409" s="52">
        <f>IF(OR(A409="",F409="",C409&lt;&gt;"Mekân"),0,IF(COUNTIFS($F$8:F409,F409,$C$8:C409,"Mekân")=1,1,0))</f>
        <v/>
      </c>
      <c r="T409" s="52">
        <f>IF(OR(A409="",F409="",C409&lt;&gt;"Kapak"),0,IF(COUNTIFS($F$8:F409,F409,$C$8:C409,"Kapak")=1,1,0))</f>
        <v/>
      </c>
    </row>
    <row r="410">
      <c r="S410" s="52">
        <f>IF(OR(A410="",F410="",C410&lt;&gt;"Mekân"),0,IF(COUNTIFS($F$8:F410,F410,$C$8:C410,"Mekân")=1,1,0))</f>
        <v/>
      </c>
      <c r="T410" s="52">
        <f>IF(OR(A410="",F410="",C410&lt;&gt;"Kapak"),0,IF(COUNTIFS($F$8:F410,F410,$C$8:C410,"Kapak")=1,1,0))</f>
        <v/>
      </c>
    </row>
    <row r="411">
      <c r="S411" s="52">
        <f>IF(OR(A411="",F411="",C411&lt;&gt;"Mekân"),0,IF(COUNTIFS($F$8:F411,F411,$C$8:C411,"Mekân")=1,1,0))</f>
        <v/>
      </c>
      <c r="T411" s="52">
        <f>IF(OR(A411="",F411="",C411&lt;&gt;"Kapak"),0,IF(COUNTIFS($F$8:F411,F411,$C$8:C411,"Kapak")=1,1,0))</f>
        <v/>
      </c>
    </row>
    <row r="412">
      <c r="S412" s="52">
        <f>IF(OR(A412="",F412="",C412&lt;&gt;"Mekân"),0,IF(COUNTIFS($F$8:F412,F412,$C$8:C412,"Mekân")=1,1,0))</f>
        <v/>
      </c>
      <c r="T412" s="52">
        <f>IF(OR(A412="",F412="",C412&lt;&gt;"Kapak"),0,IF(COUNTIFS($F$8:F412,F412,$C$8:C412,"Kapak")=1,1,0))</f>
        <v/>
      </c>
    </row>
    <row r="413">
      <c r="S413" s="52">
        <f>IF(OR(A413="",F413="",C413&lt;&gt;"Mekân"),0,IF(COUNTIFS($F$8:F413,F413,$C$8:C413,"Mekân")=1,1,0))</f>
        <v/>
      </c>
      <c r="T413" s="52">
        <f>IF(OR(A413="",F413="",C413&lt;&gt;"Kapak"),0,IF(COUNTIFS($F$8:F413,F413,$C$8:C413,"Kapak")=1,1,0))</f>
        <v/>
      </c>
    </row>
    <row r="414">
      <c r="S414" s="52">
        <f>IF(OR(A414="",F414="",C414&lt;&gt;"Mekân"),0,IF(COUNTIFS($F$8:F414,F414,$C$8:C414,"Mekân")=1,1,0))</f>
        <v/>
      </c>
      <c r="T414" s="52">
        <f>IF(OR(A414="",F414="",C414&lt;&gt;"Kapak"),0,IF(COUNTIFS($F$8:F414,F414,$C$8:C414,"Kapak")=1,1,0))</f>
        <v/>
      </c>
    </row>
    <row r="415">
      <c r="S415" s="52">
        <f>IF(OR(A415="",F415="",C415&lt;&gt;"Mekân"),0,IF(COUNTIFS($F$8:F415,F415,$C$8:C415,"Mekân")=1,1,0))</f>
        <v/>
      </c>
      <c r="T415" s="52">
        <f>IF(OR(A415="",F415="",C415&lt;&gt;"Kapak"),0,IF(COUNTIFS($F$8:F415,F415,$C$8:C415,"Kapak")=1,1,0))</f>
        <v/>
      </c>
    </row>
    <row r="416">
      <c r="S416" s="52">
        <f>IF(OR(A416="",F416="",C416&lt;&gt;"Mekân"),0,IF(COUNTIFS($F$8:F416,F416,$C$8:C416,"Mekân")=1,1,0))</f>
        <v/>
      </c>
      <c r="T416" s="52">
        <f>IF(OR(A416="",F416="",C416&lt;&gt;"Kapak"),0,IF(COUNTIFS($F$8:F416,F416,$C$8:C416,"Kapak")=1,1,0))</f>
        <v/>
      </c>
    </row>
    <row r="417">
      <c r="S417" s="52">
        <f>IF(OR(A417="",F417="",C417&lt;&gt;"Mekân"),0,IF(COUNTIFS($F$8:F417,F417,$C$8:C417,"Mekân")=1,1,0))</f>
        <v/>
      </c>
      <c r="T417" s="52">
        <f>IF(OR(A417="",F417="",C417&lt;&gt;"Kapak"),0,IF(COUNTIFS($F$8:F417,F417,$C$8:C417,"Kapak")=1,1,0))</f>
        <v/>
      </c>
    </row>
    <row r="418">
      <c r="S418" s="52">
        <f>IF(OR(A418="",F418="",C418&lt;&gt;"Mekân"),0,IF(COUNTIFS($F$8:F418,F418,$C$8:C418,"Mekân")=1,1,0))</f>
        <v/>
      </c>
      <c r="T418" s="52">
        <f>IF(OR(A418="",F418="",C418&lt;&gt;"Kapak"),0,IF(COUNTIFS($F$8:F418,F418,$C$8:C418,"Kapak")=1,1,0))</f>
        <v/>
      </c>
    </row>
    <row r="419">
      <c r="S419" s="52">
        <f>IF(OR(A419="",F419="",C419&lt;&gt;"Mekân"),0,IF(COUNTIFS($F$8:F419,F419,$C$8:C419,"Mekân")=1,1,0))</f>
        <v/>
      </c>
      <c r="T419" s="52">
        <f>IF(OR(A419="",F419="",C419&lt;&gt;"Kapak"),0,IF(COUNTIFS($F$8:F419,F419,$C$8:C419,"Kapak")=1,1,0))</f>
        <v/>
      </c>
    </row>
    <row r="420">
      <c r="S420" s="52">
        <f>IF(OR(A420="",F420="",C420&lt;&gt;"Mekân"),0,IF(COUNTIFS($F$8:F420,F420,$C$8:C420,"Mekân")=1,1,0))</f>
        <v/>
      </c>
      <c r="T420" s="52">
        <f>IF(OR(A420="",F420="",C420&lt;&gt;"Kapak"),0,IF(COUNTIFS($F$8:F420,F420,$C$8:C420,"Kapak")=1,1,0))</f>
        <v/>
      </c>
    </row>
    <row r="421">
      <c r="S421" s="52">
        <f>IF(OR(A421="",F421="",C421&lt;&gt;"Mekân"),0,IF(COUNTIFS($F$8:F421,F421,$C$8:C421,"Mekân")=1,1,0))</f>
        <v/>
      </c>
      <c r="T421" s="52">
        <f>IF(OR(A421="",F421="",C421&lt;&gt;"Kapak"),0,IF(COUNTIFS($F$8:F421,F421,$C$8:C421,"Kapak")=1,1,0))</f>
        <v/>
      </c>
    </row>
    <row r="422">
      <c r="S422" s="52">
        <f>IF(OR(A422="",F422="",C422&lt;&gt;"Mekân"),0,IF(COUNTIFS($F$8:F422,F422,$C$8:C422,"Mekân")=1,1,0))</f>
        <v/>
      </c>
      <c r="T422" s="52">
        <f>IF(OR(A422="",F422="",C422&lt;&gt;"Kapak"),0,IF(COUNTIFS($F$8:F422,F422,$C$8:C422,"Kapak")=1,1,0))</f>
        <v/>
      </c>
    </row>
    <row r="423">
      <c r="S423" s="52">
        <f>IF(OR(A423="",F423="",C423&lt;&gt;"Mekân"),0,IF(COUNTIFS($F$8:F423,F423,$C$8:C423,"Mekân")=1,1,0))</f>
        <v/>
      </c>
      <c r="T423" s="52">
        <f>IF(OR(A423="",F423="",C423&lt;&gt;"Kapak"),0,IF(COUNTIFS($F$8:F423,F423,$C$8:C423,"Kapak")=1,1,0))</f>
        <v/>
      </c>
    </row>
    <row r="424">
      <c r="S424" s="52">
        <f>IF(OR(A424="",F424="",C424&lt;&gt;"Mekân"),0,IF(COUNTIFS($F$8:F424,F424,$C$8:C424,"Mekân")=1,1,0))</f>
        <v/>
      </c>
      <c r="T424" s="52">
        <f>IF(OR(A424="",F424="",C424&lt;&gt;"Kapak"),0,IF(COUNTIFS($F$8:F424,F424,$C$8:C424,"Kapak")=1,1,0))</f>
        <v/>
      </c>
    </row>
    <row r="425">
      <c r="S425" s="52">
        <f>IF(OR(A425="",F425="",C425&lt;&gt;"Mekân"),0,IF(COUNTIFS($F$8:F425,F425,$C$8:C425,"Mekân")=1,1,0))</f>
        <v/>
      </c>
      <c r="T425" s="52">
        <f>IF(OR(A425="",F425="",C425&lt;&gt;"Kapak"),0,IF(COUNTIFS($F$8:F425,F425,$C$8:C425,"Kapak")=1,1,0))</f>
        <v/>
      </c>
    </row>
    <row r="426">
      <c r="S426" s="52">
        <f>IF(OR(A426="",F426="",C426&lt;&gt;"Mekân"),0,IF(COUNTIFS($F$8:F426,F426,$C$8:C426,"Mekân")=1,1,0))</f>
        <v/>
      </c>
      <c r="T426" s="52">
        <f>IF(OR(A426="",F426="",C426&lt;&gt;"Kapak"),0,IF(COUNTIFS($F$8:F426,F426,$C$8:C426,"Kapak")=1,1,0))</f>
        <v/>
      </c>
    </row>
    <row r="427">
      <c r="S427" s="52">
        <f>IF(OR(A427="",F427="",C427&lt;&gt;"Mekân"),0,IF(COUNTIFS($F$8:F427,F427,$C$8:C427,"Mekân")=1,1,0))</f>
        <v/>
      </c>
      <c r="T427" s="52">
        <f>IF(OR(A427="",F427="",C427&lt;&gt;"Kapak"),0,IF(COUNTIFS($F$8:F427,F427,$C$8:C427,"Kapak")=1,1,0))</f>
        <v/>
      </c>
    </row>
    <row r="428">
      <c r="S428" s="52">
        <f>IF(OR(A428="",F428="",C428&lt;&gt;"Mekân"),0,IF(COUNTIFS($F$8:F428,F428,$C$8:C428,"Mekân")=1,1,0))</f>
        <v/>
      </c>
      <c r="T428" s="52">
        <f>IF(OR(A428="",F428="",C428&lt;&gt;"Kapak"),0,IF(COUNTIFS($F$8:F428,F428,$C$8:C428,"Kapak")=1,1,0))</f>
        <v/>
      </c>
    </row>
    <row r="429">
      <c r="S429" s="52">
        <f>IF(OR(A429="",F429="",C429&lt;&gt;"Mekân"),0,IF(COUNTIFS($F$8:F429,F429,$C$8:C429,"Mekân")=1,1,0))</f>
        <v/>
      </c>
      <c r="T429" s="52">
        <f>IF(OR(A429="",F429="",C429&lt;&gt;"Kapak"),0,IF(COUNTIFS($F$8:F429,F429,$C$8:C429,"Kapak")=1,1,0))</f>
        <v/>
      </c>
    </row>
    <row r="430">
      <c r="S430" s="52">
        <f>IF(OR(A430="",F430="",C430&lt;&gt;"Mekân"),0,IF(COUNTIFS($F$8:F430,F430,$C$8:C430,"Mekân")=1,1,0))</f>
        <v/>
      </c>
      <c r="T430" s="52">
        <f>IF(OR(A430="",F430="",C430&lt;&gt;"Kapak"),0,IF(COUNTIFS($F$8:F430,F430,$C$8:C430,"Kapak")=1,1,0))</f>
        <v/>
      </c>
    </row>
    <row r="431">
      <c r="S431" s="52">
        <f>IF(OR(A431="",F431="",C431&lt;&gt;"Mekân"),0,IF(COUNTIFS($F$8:F431,F431,$C$8:C431,"Mekân")=1,1,0))</f>
        <v/>
      </c>
      <c r="T431" s="52">
        <f>IF(OR(A431="",F431="",C431&lt;&gt;"Kapak"),0,IF(COUNTIFS($F$8:F431,F431,$C$8:C431,"Kapak")=1,1,0))</f>
        <v/>
      </c>
    </row>
    <row r="432">
      <c r="S432" s="52">
        <f>IF(OR(A432="",F432="",C432&lt;&gt;"Mekân"),0,IF(COUNTIFS($F$8:F432,F432,$C$8:C432,"Mekân")=1,1,0))</f>
        <v/>
      </c>
      <c r="T432" s="52">
        <f>IF(OR(A432="",F432="",C432&lt;&gt;"Kapak"),0,IF(COUNTIFS($F$8:F432,F432,$C$8:C432,"Kapak")=1,1,0))</f>
        <v/>
      </c>
    </row>
    <row r="433">
      <c r="S433" s="52">
        <f>IF(OR(A433="",F433="",C433&lt;&gt;"Mekân"),0,IF(COUNTIFS($F$8:F433,F433,$C$8:C433,"Mekân")=1,1,0))</f>
        <v/>
      </c>
      <c r="T433" s="52">
        <f>IF(OR(A433="",F433="",C433&lt;&gt;"Kapak"),0,IF(COUNTIFS($F$8:F433,F433,$C$8:C433,"Kapak")=1,1,0))</f>
        <v/>
      </c>
    </row>
    <row r="434">
      <c r="S434" s="52">
        <f>IF(OR(A434="",F434="",C434&lt;&gt;"Mekân"),0,IF(COUNTIFS($F$8:F434,F434,$C$8:C434,"Mekân")=1,1,0))</f>
        <v/>
      </c>
      <c r="T434" s="52">
        <f>IF(OR(A434="",F434="",C434&lt;&gt;"Kapak"),0,IF(COUNTIFS($F$8:F434,F434,$C$8:C434,"Kapak")=1,1,0))</f>
        <v/>
      </c>
    </row>
    <row r="435">
      <c r="S435" s="52">
        <f>IF(OR(A435="",F435="",C435&lt;&gt;"Mekân"),0,IF(COUNTIFS($F$8:F435,F435,$C$8:C435,"Mekân")=1,1,0))</f>
        <v/>
      </c>
      <c r="T435" s="52">
        <f>IF(OR(A435="",F435="",C435&lt;&gt;"Kapak"),0,IF(COUNTIFS($F$8:F435,F435,$C$8:C435,"Kapak")=1,1,0))</f>
        <v/>
      </c>
    </row>
    <row r="436">
      <c r="S436" s="52">
        <f>IF(OR(A436="",F436="",C436&lt;&gt;"Mekân"),0,IF(COUNTIFS($F$8:F436,F436,$C$8:C436,"Mekân")=1,1,0))</f>
        <v/>
      </c>
      <c r="T436" s="52">
        <f>IF(OR(A436="",F436="",C436&lt;&gt;"Kapak"),0,IF(COUNTIFS($F$8:F436,F436,$C$8:C436,"Kapak")=1,1,0))</f>
        <v/>
      </c>
    </row>
    <row r="437">
      <c r="S437" s="52">
        <f>IF(OR(A437="",F437="",C437&lt;&gt;"Mekân"),0,IF(COUNTIFS($F$8:F437,F437,$C$8:C437,"Mekân")=1,1,0))</f>
        <v/>
      </c>
      <c r="T437" s="52">
        <f>IF(OR(A437="",F437="",C437&lt;&gt;"Kapak"),0,IF(COUNTIFS($F$8:F437,F437,$C$8:C437,"Kapak")=1,1,0))</f>
        <v/>
      </c>
    </row>
    <row r="438">
      <c r="S438" s="52">
        <f>IF(OR(A438="",F438="",C438&lt;&gt;"Mekân"),0,IF(COUNTIFS($F$8:F438,F438,$C$8:C438,"Mekân")=1,1,0))</f>
        <v/>
      </c>
      <c r="T438" s="52">
        <f>IF(OR(A438="",F438="",C438&lt;&gt;"Kapak"),0,IF(COUNTIFS($F$8:F438,F438,$C$8:C438,"Kapak")=1,1,0))</f>
        <v/>
      </c>
    </row>
    <row r="439">
      <c r="S439" s="52">
        <f>IF(OR(A439="",F439="",C439&lt;&gt;"Mekân"),0,IF(COUNTIFS($F$8:F439,F439,$C$8:C439,"Mekân")=1,1,0))</f>
        <v/>
      </c>
      <c r="T439" s="52">
        <f>IF(OR(A439="",F439="",C439&lt;&gt;"Kapak"),0,IF(COUNTIFS($F$8:F439,F439,$C$8:C439,"Kapak")=1,1,0))</f>
        <v/>
      </c>
    </row>
    <row r="440">
      <c r="S440" s="52">
        <f>IF(OR(A440="",F440="",C440&lt;&gt;"Mekân"),0,IF(COUNTIFS($F$8:F440,F440,$C$8:C440,"Mekân")=1,1,0))</f>
        <v/>
      </c>
      <c r="T440" s="52">
        <f>IF(OR(A440="",F440="",C440&lt;&gt;"Kapak"),0,IF(COUNTIFS($F$8:F440,F440,$C$8:C440,"Kapak")=1,1,0))</f>
        <v/>
      </c>
    </row>
    <row r="441">
      <c r="S441" s="52">
        <f>IF(OR(A441="",F441="",C441&lt;&gt;"Mekân"),0,IF(COUNTIFS($F$8:F441,F441,$C$8:C441,"Mekân")=1,1,0))</f>
        <v/>
      </c>
      <c r="T441" s="52">
        <f>IF(OR(A441="",F441="",C441&lt;&gt;"Kapak"),0,IF(COUNTIFS($F$8:F441,F441,$C$8:C441,"Kapak")=1,1,0))</f>
        <v/>
      </c>
    </row>
    <row r="442">
      <c r="S442" s="52">
        <f>IF(OR(A442="",F442="",C442&lt;&gt;"Mekân"),0,IF(COUNTIFS($F$8:F442,F442,$C$8:C442,"Mekân")=1,1,0))</f>
        <v/>
      </c>
      <c r="T442" s="52">
        <f>IF(OR(A442="",F442="",C442&lt;&gt;"Kapak"),0,IF(COUNTIFS($F$8:F442,F442,$C$8:C442,"Kapak")=1,1,0))</f>
        <v/>
      </c>
    </row>
    <row r="443">
      <c r="S443" s="52">
        <f>IF(OR(A443="",F443="",C443&lt;&gt;"Mekân"),0,IF(COUNTIFS($F$8:F443,F443,$C$8:C443,"Mekân")=1,1,0))</f>
        <v/>
      </c>
      <c r="T443" s="52">
        <f>IF(OR(A443="",F443="",C443&lt;&gt;"Kapak"),0,IF(COUNTIFS($F$8:F443,F443,$C$8:C443,"Kapak")=1,1,0))</f>
        <v/>
      </c>
    </row>
    <row r="444">
      <c r="S444" s="52">
        <f>IF(OR(A444="",F444="",C444&lt;&gt;"Mekân"),0,IF(COUNTIFS($F$8:F444,F444,$C$8:C444,"Mekân")=1,1,0))</f>
        <v/>
      </c>
      <c r="T444" s="52">
        <f>IF(OR(A444="",F444="",C444&lt;&gt;"Kapak"),0,IF(COUNTIFS($F$8:F444,F444,$C$8:C444,"Kapak")=1,1,0))</f>
        <v/>
      </c>
    </row>
    <row r="445">
      <c r="S445" s="52">
        <f>IF(OR(A445="",F445="",C445&lt;&gt;"Mekân"),0,IF(COUNTIFS($F$8:F445,F445,$C$8:C445,"Mekân")=1,1,0))</f>
        <v/>
      </c>
      <c r="T445" s="52">
        <f>IF(OR(A445="",F445="",C445&lt;&gt;"Kapak"),0,IF(COUNTIFS($F$8:F445,F445,$C$8:C445,"Kapak")=1,1,0))</f>
        <v/>
      </c>
    </row>
    <row r="446">
      <c r="S446" s="52">
        <f>IF(OR(A446="",F446="",C446&lt;&gt;"Mekân"),0,IF(COUNTIFS($F$8:F446,F446,$C$8:C446,"Mekân")=1,1,0))</f>
        <v/>
      </c>
      <c r="T446" s="52">
        <f>IF(OR(A446="",F446="",C446&lt;&gt;"Kapak"),0,IF(COUNTIFS($F$8:F446,F446,$C$8:C446,"Kapak")=1,1,0))</f>
        <v/>
      </c>
    </row>
    <row r="447">
      <c r="S447" s="52">
        <f>IF(OR(A447="",F447="",C447&lt;&gt;"Mekân"),0,IF(COUNTIFS($F$8:F447,F447,$C$8:C447,"Mekân")=1,1,0))</f>
        <v/>
      </c>
      <c r="T447" s="52">
        <f>IF(OR(A447="",F447="",C447&lt;&gt;"Kapak"),0,IF(COUNTIFS($F$8:F447,F447,$C$8:C447,"Kapak")=1,1,0))</f>
        <v/>
      </c>
    </row>
    <row r="448">
      <c r="S448" s="52">
        <f>IF(OR(A448="",F448="",C448&lt;&gt;"Mekân"),0,IF(COUNTIFS($F$8:F448,F448,$C$8:C448,"Mekân")=1,1,0))</f>
        <v/>
      </c>
      <c r="T448" s="52">
        <f>IF(OR(A448="",F448="",C448&lt;&gt;"Kapak"),0,IF(COUNTIFS($F$8:F448,F448,$C$8:C448,"Kapak")=1,1,0))</f>
        <v/>
      </c>
    </row>
    <row r="449">
      <c r="S449" s="52">
        <f>IF(OR(A449="",F449="",C449&lt;&gt;"Mekân"),0,IF(COUNTIFS($F$8:F449,F449,$C$8:C449,"Mekân")=1,1,0))</f>
        <v/>
      </c>
      <c r="T449" s="52">
        <f>IF(OR(A449="",F449="",C449&lt;&gt;"Kapak"),0,IF(COUNTIFS($F$8:F449,F449,$C$8:C449,"Kapak")=1,1,0))</f>
        <v/>
      </c>
    </row>
    <row r="450">
      <c r="S450" s="52">
        <f>IF(OR(A450="",F450="",C450&lt;&gt;"Mekân"),0,IF(COUNTIFS($F$8:F450,F450,$C$8:C450,"Mekân")=1,1,0))</f>
        <v/>
      </c>
      <c r="T450" s="52">
        <f>IF(OR(A450="",F450="",C450&lt;&gt;"Kapak"),0,IF(COUNTIFS($F$8:F450,F450,$C$8:C450,"Kapak")=1,1,0))</f>
        <v/>
      </c>
    </row>
    <row r="451">
      <c r="S451" s="52">
        <f>IF(OR(A451="",F451="",C451&lt;&gt;"Mekân"),0,IF(COUNTIFS($F$8:F451,F451,$C$8:C451,"Mekân")=1,1,0))</f>
        <v/>
      </c>
      <c r="T451" s="52">
        <f>IF(OR(A451="",F451="",C451&lt;&gt;"Kapak"),0,IF(COUNTIFS($F$8:F451,F451,$C$8:C451,"Kapak")=1,1,0))</f>
        <v/>
      </c>
    </row>
    <row r="452">
      <c r="S452" s="52">
        <f>IF(OR(A452="",F452="",C452&lt;&gt;"Mekân"),0,IF(COUNTIFS($F$8:F452,F452,$C$8:C452,"Mekân")=1,1,0))</f>
        <v/>
      </c>
      <c r="T452" s="52">
        <f>IF(OR(A452="",F452="",C452&lt;&gt;"Kapak"),0,IF(COUNTIFS($F$8:F452,F452,$C$8:C452,"Kapak")=1,1,0))</f>
        <v/>
      </c>
    </row>
    <row r="453">
      <c r="S453" s="52">
        <f>IF(OR(A453="",F453="",C453&lt;&gt;"Mekân"),0,IF(COUNTIFS($F$8:F453,F453,$C$8:C453,"Mekân")=1,1,0))</f>
        <v/>
      </c>
      <c r="T453" s="52">
        <f>IF(OR(A453="",F453="",C453&lt;&gt;"Kapak"),0,IF(COUNTIFS($F$8:F453,F453,$C$8:C453,"Kapak")=1,1,0))</f>
        <v/>
      </c>
    </row>
    <row r="454">
      <c r="S454" s="52">
        <f>IF(OR(A454="",F454="",C454&lt;&gt;"Mekân"),0,IF(COUNTIFS($F$8:F454,F454,$C$8:C454,"Mekân")=1,1,0))</f>
        <v/>
      </c>
      <c r="T454" s="52">
        <f>IF(OR(A454="",F454="",C454&lt;&gt;"Kapak"),0,IF(COUNTIFS($F$8:F454,F454,$C$8:C454,"Kapak")=1,1,0))</f>
        <v/>
      </c>
    </row>
    <row r="455">
      <c r="S455" s="52">
        <f>IF(OR(A455="",F455="",C455&lt;&gt;"Mekân"),0,IF(COUNTIFS($F$8:F455,F455,$C$8:C455,"Mekân")=1,1,0))</f>
        <v/>
      </c>
      <c r="T455" s="52">
        <f>IF(OR(A455="",F455="",C455&lt;&gt;"Kapak"),0,IF(COUNTIFS($F$8:F455,F455,$C$8:C455,"Kapak")=1,1,0))</f>
        <v/>
      </c>
    </row>
    <row r="456">
      <c r="S456" s="52">
        <f>IF(OR(A456="",F456="",C456&lt;&gt;"Mekân"),0,IF(COUNTIFS($F$8:F456,F456,$C$8:C456,"Mekân")=1,1,0))</f>
        <v/>
      </c>
      <c r="T456" s="52">
        <f>IF(OR(A456="",F456="",C456&lt;&gt;"Kapak"),0,IF(COUNTIFS($F$8:F456,F456,$C$8:C456,"Kapak")=1,1,0))</f>
        <v/>
      </c>
    </row>
    <row r="457">
      <c r="S457" s="52">
        <f>IF(OR(A457="",F457="",C457&lt;&gt;"Mekân"),0,IF(COUNTIFS($F$8:F457,F457,$C$8:C457,"Mekân")=1,1,0))</f>
        <v/>
      </c>
      <c r="T457" s="52">
        <f>IF(OR(A457="",F457="",C457&lt;&gt;"Kapak"),0,IF(COUNTIFS($F$8:F457,F457,$C$8:C457,"Kapak")=1,1,0))</f>
        <v/>
      </c>
    </row>
    <row r="458">
      <c r="S458" s="52">
        <f>IF(OR(A458="",F458="",C458&lt;&gt;"Mekân"),0,IF(COUNTIFS($F$8:F458,F458,$C$8:C458,"Mekân")=1,1,0))</f>
        <v/>
      </c>
      <c r="T458" s="52">
        <f>IF(OR(A458="",F458="",C458&lt;&gt;"Kapak"),0,IF(COUNTIFS($F$8:F458,F458,$C$8:C458,"Kapak")=1,1,0))</f>
        <v/>
      </c>
    </row>
    <row r="459">
      <c r="S459" s="52">
        <f>IF(OR(A459="",F459="",C459&lt;&gt;"Mekân"),0,IF(COUNTIFS($F$8:F459,F459,$C$8:C459,"Mekân")=1,1,0))</f>
        <v/>
      </c>
      <c r="T459" s="52">
        <f>IF(OR(A459="",F459="",C459&lt;&gt;"Kapak"),0,IF(COUNTIFS($F$8:F459,F459,$C$8:C459,"Kapak")=1,1,0))</f>
        <v/>
      </c>
    </row>
    <row r="460">
      <c r="S460" s="52">
        <f>IF(OR(A460="",F460="",C460&lt;&gt;"Mekân"),0,IF(COUNTIFS($F$8:F460,F460,$C$8:C460,"Mekân")=1,1,0))</f>
        <v/>
      </c>
      <c r="T460" s="52">
        <f>IF(OR(A460="",F460="",C460&lt;&gt;"Kapak"),0,IF(COUNTIFS($F$8:F460,F460,$C$8:C460,"Kapak")=1,1,0))</f>
        <v/>
      </c>
    </row>
    <row r="461">
      <c r="S461" s="52">
        <f>IF(OR(A461="",F461="",C461&lt;&gt;"Mekân"),0,IF(COUNTIFS($F$8:F461,F461,$C$8:C461,"Mekân")=1,1,0))</f>
        <v/>
      </c>
      <c r="T461" s="52">
        <f>IF(OR(A461="",F461="",C461&lt;&gt;"Kapak"),0,IF(COUNTIFS($F$8:F461,F461,$C$8:C461,"Kapak")=1,1,0))</f>
        <v/>
      </c>
    </row>
    <row r="462">
      <c r="S462" s="52">
        <f>IF(OR(A462="",F462="",C462&lt;&gt;"Mekân"),0,IF(COUNTIFS($F$8:F462,F462,$C$8:C462,"Mekân")=1,1,0))</f>
        <v/>
      </c>
      <c r="T462" s="52">
        <f>IF(OR(A462="",F462="",C462&lt;&gt;"Kapak"),0,IF(COUNTIFS($F$8:F462,F462,$C$8:C462,"Kapak")=1,1,0))</f>
        <v/>
      </c>
    </row>
    <row r="463">
      <c r="S463" s="52">
        <f>IF(OR(A463="",F463="",C463&lt;&gt;"Mekân"),0,IF(COUNTIFS($F$8:F463,F463,$C$8:C463,"Mekân")=1,1,0))</f>
        <v/>
      </c>
      <c r="T463" s="52">
        <f>IF(OR(A463="",F463="",C463&lt;&gt;"Kapak"),0,IF(COUNTIFS($F$8:F463,F463,$C$8:C463,"Kapak")=1,1,0))</f>
        <v/>
      </c>
    </row>
    <row r="464">
      <c r="S464" s="52">
        <f>IF(OR(A464="",F464="",C464&lt;&gt;"Mekân"),0,IF(COUNTIFS($F$8:F464,F464,$C$8:C464,"Mekân")=1,1,0))</f>
        <v/>
      </c>
      <c r="T464" s="52">
        <f>IF(OR(A464="",F464="",C464&lt;&gt;"Kapak"),0,IF(COUNTIFS($F$8:F464,F464,$C$8:C464,"Kapak")=1,1,0))</f>
        <v/>
      </c>
    </row>
    <row r="465">
      <c r="S465" s="52">
        <f>IF(OR(A465="",F465="",C465&lt;&gt;"Mekân"),0,IF(COUNTIFS($F$8:F465,F465,$C$8:C465,"Mekân")=1,1,0))</f>
        <v/>
      </c>
      <c r="T465" s="52">
        <f>IF(OR(A465="",F465="",C465&lt;&gt;"Kapak"),0,IF(COUNTIFS($F$8:F465,F465,$C$8:C465,"Kapak")=1,1,0))</f>
        <v/>
      </c>
    </row>
    <row r="466">
      <c r="S466" s="52">
        <f>IF(OR(A466="",F466="",C466&lt;&gt;"Mekân"),0,IF(COUNTIFS($F$8:F466,F466,$C$8:C466,"Mekân")=1,1,0))</f>
        <v/>
      </c>
      <c r="T466" s="52">
        <f>IF(OR(A466="",F466="",C466&lt;&gt;"Kapak"),0,IF(COUNTIFS($F$8:F466,F466,$C$8:C466,"Kapak")=1,1,0))</f>
        <v/>
      </c>
    </row>
    <row r="467">
      <c r="S467" s="52">
        <f>IF(OR(A467="",F467="",C467&lt;&gt;"Mekân"),0,IF(COUNTIFS($F$8:F467,F467,$C$8:C467,"Mekân")=1,1,0))</f>
        <v/>
      </c>
      <c r="T467" s="52">
        <f>IF(OR(A467="",F467="",C467&lt;&gt;"Kapak"),0,IF(COUNTIFS($F$8:F467,F467,$C$8:C467,"Kapak")=1,1,0))</f>
        <v/>
      </c>
    </row>
    <row r="468">
      <c r="S468" s="52">
        <f>IF(OR(A468="",F468="",C468&lt;&gt;"Mekân"),0,IF(COUNTIFS($F$8:F468,F468,$C$8:C468,"Mekân")=1,1,0))</f>
        <v/>
      </c>
      <c r="T468" s="52">
        <f>IF(OR(A468="",F468="",C468&lt;&gt;"Kapak"),0,IF(COUNTIFS($F$8:F468,F468,$C$8:C468,"Kapak")=1,1,0))</f>
        <v/>
      </c>
    </row>
    <row r="469">
      <c r="S469" s="52">
        <f>IF(OR(A469="",F469="",C469&lt;&gt;"Mekân"),0,IF(COUNTIFS($F$8:F469,F469,$C$8:C469,"Mekân")=1,1,0))</f>
        <v/>
      </c>
      <c r="T469" s="52">
        <f>IF(OR(A469="",F469="",C469&lt;&gt;"Kapak"),0,IF(COUNTIFS($F$8:F469,F469,$C$8:C469,"Kapak")=1,1,0))</f>
        <v/>
      </c>
    </row>
    <row r="470">
      <c r="S470" s="52">
        <f>IF(OR(A470="",F470="",C470&lt;&gt;"Mekân"),0,IF(COUNTIFS($F$8:F470,F470,$C$8:C470,"Mekân")=1,1,0))</f>
        <v/>
      </c>
      <c r="T470" s="52">
        <f>IF(OR(A470="",F470="",C470&lt;&gt;"Kapak"),0,IF(COUNTIFS($F$8:F470,F470,$C$8:C470,"Kapak")=1,1,0))</f>
        <v/>
      </c>
    </row>
    <row r="471">
      <c r="S471" s="52">
        <f>IF(OR(A471="",F471="",C471&lt;&gt;"Mekân"),0,IF(COUNTIFS($F$8:F471,F471,$C$8:C471,"Mekân")=1,1,0))</f>
        <v/>
      </c>
      <c r="T471" s="52">
        <f>IF(OR(A471="",F471="",C471&lt;&gt;"Kapak"),0,IF(COUNTIFS($F$8:F471,F471,$C$8:C471,"Kapak")=1,1,0))</f>
        <v/>
      </c>
    </row>
    <row r="472">
      <c r="S472" s="52">
        <f>IF(OR(A472="",F472="",C472&lt;&gt;"Mekân"),0,IF(COUNTIFS($F$8:F472,F472,$C$8:C472,"Mekân")=1,1,0))</f>
        <v/>
      </c>
      <c r="T472" s="52">
        <f>IF(OR(A472="",F472="",C472&lt;&gt;"Kapak"),0,IF(COUNTIFS($F$8:F472,F472,$C$8:C472,"Kapak")=1,1,0))</f>
        <v/>
      </c>
    </row>
    <row r="473">
      <c r="S473" s="52">
        <f>IF(OR(A473="",F473="",C473&lt;&gt;"Mekân"),0,IF(COUNTIFS($F$8:F473,F473,$C$8:C473,"Mekân")=1,1,0))</f>
        <v/>
      </c>
      <c r="T473" s="52">
        <f>IF(OR(A473="",F473="",C473&lt;&gt;"Kapak"),0,IF(COUNTIFS($F$8:F473,F473,$C$8:C473,"Kapak")=1,1,0))</f>
        <v/>
      </c>
    </row>
    <row r="474">
      <c r="S474" s="52">
        <f>IF(OR(A474="",F474="",C474&lt;&gt;"Mekân"),0,IF(COUNTIFS($F$8:F474,F474,$C$8:C474,"Mekân")=1,1,0))</f>
        <v/>
      </c>
      <c r="T474" s="52">
        <f>IF(OR(A474="",F474="",C474&lt;&gt;"Kapak"),0,IF(COUNTIFS($F$8:F474,F474,$C$8:C474,"Kapak")=1,1,0))</f>
        <v/>
      </c>
    </row>
    <row r="475">
      <c r="S475" s="52">
        <f>IF(OR(A475="",F475="",C475&lt;&gt;"Mekân"),0,IF(COUNTIFS($F$8:F475,F475,$C$8:C475,"Mekân")=1,1,0))</f>
        <v/>
      </c>
      <c r="T475" s="52">
        <f>IF(OR(A475="",F475="",C475&lt;&gt;"Kapak"),0,IF(COUNTIFS($F$8:F475,F475,$C$8:C475,"Kapak")=1,1,0))</f>
        <v/>
      </c>
    </row>
    <row r="476">
      <c r="S476" s="52">
        <f>IF(OR(A476="",F476="",C476&lt;&gt;"Mekân"),0,IF(COUNTIFS($F$8:F476,F476,$C$8:C476,"Mekân")=1,1,0))</f>
        <v/>
      </c>
      <c r="T476" s="52">
        <f>IF(OR(A476="",F476="",C476&lt;&gt;"Kapak"),0,IF(COUNTIFS($F$8:F476,F476,$C$8:C476,"Kapak")=1,1,0))</f>
        <v/>
      </c>
    </row>
    <row r="477">
      <c r="S477" s="52">
        <f>IF(OR(A477="",F477="",C477&lt;&gt;"Mekân"),0,IF(COUNTIFS($F$8:F477,F477,$C$8:C477,"Mekân")=1,1,0))</f>
        <v/>
      </c>
      <c r="T477" s="52">
        <f>IF(OR(A477="",F477="",C477&lt;&gt;"Kapak"),0,IF(COUNTIFS($F$8:F477,F477,$C$8:C477,"Kapak")=1,1,0))</f>
        <v/>
      </c>
    </row>
    <row r="478">
      <c r="S478" s="52">
        <f>IF(OR(A478="",F478="",C478&lt;&gt;"Mekân"),0,IF(COUNTIFS($F$8:F478,F478,$C$8:C478,"Mekân")=1,1,0))</f>
        <v/>
      </c>
      <c r="T478" s="52">
        <f>IF(OR(A478="",F478="",C478&lt;&gt;"Kapak"),0,IF(COUNTIFS($F$8:F478,F478,$C$8:C478,"Kapak")=1,1,0))</f>
        <v/>
      </c>
    </row>
    <row r="479">
      <c r="S479" s="52">
        <f>IF(OR(A479="",F479="",C479&lt;&gt;"Mekân"),0,IF(COUNTIFS($F$8:F479,F479,$C$8:C479,"Mekân")=1,1,0))</f>
        <v/>
      </c>
      <c r="T479" s="52">
        <f>IF(OR(A479="",F479="",C479&lt;&gt;"Kapak"),0,IF(COUNTIFS($F$8:F479,F479,$C$8:C479,"Kapak")=1,1,0))</f>
        <v/>
      </c>
    </row>
    <row r="480">
      <c r="S480" s="52">
        <f>IF(OR(A480="",F480="",C480&lt;&gt;"Mekân"),0,IF(COUNTIFS($F$8:F480,F480,$C$8:C480,"Mekân")=1,1,0))</f>
        <v/>
      </c>
      <c r="T480" s="52">
        <f>IF(OR(A480="",F480="",C480&lt;&gt;"Kapak"),0,IF(COUNTIFS($F$8:F480,F480,$C$8:C480,"Kapak")=1,1,0))</f>
        <v/>
      </c>
    </row>
    <row r="481">
      <c r="S481" s="52">
        <f>IF(OR(A481="",F481="",C481&lt;&gt;"Mekân"),0,IF(COUNTIFS($F$8:F481,F481,$C$8:C481,"Mekân")=1,1,0))</f>
        <v/>
      </c>
      <c r="T481" s="52">
        <f>IF(OR(A481="",F481="",C481&lt;&gt;"Kapak"),0,IF(COUNTIFS($F$8:F481,F481,$C$8:C481,"Kapak")=1,1,0))</f>
        <v/>
      </c>
    </row>
    <row r="482">
      <c r="S482" s="52">
        <f>IF(OR(A482="",F482="",C482&lt;&gt;"Mekân"),0,IF(COUNTIFS($F$8:F482,F482,$C$8:C482,"Mekân")=1,1,0))</f>
        <v/>
      </c>
      <c r="T482" s="52">
        <f>IF(OR(A482="",F482="",C482&lt;&gt;"Kapak"),0,IF(COUNTIFS($F$8:F482,F482,$C$8:C482,"Kapak")=1,1,0))</f>
        <v/>
      </c>
    </row>
    <row r="483">
      <c r="S483" s="52">
        <f>IF(OR(A483="",F483="",C483&lt;&gt;"Mekân"),0,IF(COUNTIFS($F$8:F483,F483,$C$8:C483,"Mekân")=1,1,0))</f>
        <v/>
      </c>
      <c r="T483" s="52">
        <f>IF(OR(A483="",F483="",C483&lt;&gt;"Kapak"),0,IF(COUNTIFS($F$8:F483,F483,$C$8:C483,"Kapak")=1,1,0))</f>
        <v/>
      </c>
    </row>
    <row r="484">
      <c r="S484" s="52">
        <f>IF(OR(A484="",F484="",C484&lt;&gt;"Mekân"),0,IF(COUNTIFS($F$8:F484,F484,$C$8:C484,"Mekân")=1,1,0))</f>
        <v/>
      </c>
      <c r="T484" s="52">
        <f>IF(OR(A484="",F484="",C484&lt;&gt;"Kapak"),0,IF(COUNTIFS($F$8:F484,F484,$C$8:C484,"Kapak")=1,1,0))</f>
        <v/>
      </c>
    </row>
    <row r="485">
      <c r="S485" s="52">
        <f>IF(OR(A485="",F485="",C485&lt;&gt;"Mekân"),0,IF(COUNTIFS($F$8:F485,F485,$C$8:C485,"Mekân")=1,1,0))</f>
        <v/>
      </c>
      <c r="T485" s="52">
        <f>IF(OR(A485="",F485="",C485&lt;&gt;"Kapak"),0,IF(COUNTIFS($F$8:F485,F485,$C$8:C485,"Kapak")=1,1,0))</f>
        <v/>
      </c>
    </row>
    <row r="486">
      <c r="S486" s="52">
        <f>IF(OR(A486="",F486="",C486&lt;&gt;"Mekân"),0,IF(COUNTIFS($F$8:F486,F486,$C$8:C486,"Mekân")=1,1,0))</f>
        <v/>
      </c>
      <c r="T486" s="52">
        <f>IF(OR(A486="",F486="",C486&lt;&gt;"Kapak"),0,IF(COUNTIFS($F$8:F486,F486,$C$8:C486,"Kapak")=1,1,0))</f>
        <v/>
      </c>
    </row>
    <row r="487">
      <c r="S487" s="52">
        <f>IF(OR(A487="",F487="",C487&lt;&gt;"Mekân"),0,IF(COUNTIFS($F$8:F487,F487,$C$8:C487,"Mekân")=1,1,0))</f>
        <v/>
      </c>
      <c r="T487" s="52">
        <f>IF(OR(A487="",F487="",C487&lt;&gt;"Kapak"),0,IF(COUNTIFS($F$8:F487,F487,$C$8:C487,"Kapak")=1,1,0))</f>
        <v/>
      </c>
    </row>
    <row r="488">
      <c r="S488" s="52">
        <f>IF(OR(A488="",F488="",C488&lt;&gt;"Mekân"),0,IF(COUNTIFS($F$8:F488,F488,$C$8:C488,"Mekân")=1,1,0))</f>
        <v/>
      </c>
      <c r="T488" s="52">
        <f>IF(OR(A488="",F488="",C488&lt;&gt;"Kapak"),0,IF(COUNTIFS($F$8:F488,F488,$C$8:C488,"Kapak")=1,1,0))</f>
        <v/>
      </c>
    </row>
    <row r="489">
      <c r="S489" s="52">
        <f>IF(OR(A489="",F489="",C489&lt;&gt;"Mekân"),0,IF(COUNTIFS($F$8:F489,F489,$C$8:C489,"Mekân")=1,1,0))</f>
        <v/>
      </c>
      <c r="T489" s="52">
        <f>IF(OR(A489="",F489="",C489&lt;&gt;"Kapak"),0,IF(COUNTIFS($F$8:F489,F489,$C$8:C489,"Kapak")=1,1,0))</f>
        <v/>
      </c>
    </row>
    <row r="490">
      <c r="S490" s="52">
        <f>IF(OR(A490="",F490="",C490&lt;&gt;"Mekân"),0,IF(COUNTIFS($F$8:F490,F490,$C$8:C490,"Mekân")=1,1,0))</f>
        <v/>
      </c>
      <c r="T490" s="52">
        <f>IF(OR(A490="",F490="",C490&lt;&gt;"Kapak"),0,IF(COUNTIFS($F$8:F490,F490,$C$8:C490,"Kapak")=1,1,0))</f>
        <v/>
      </c>
    </row>
    <row r="491">
      <c r="S491" s="52">
        <f>IF(OR(A491="",F491="",C491&lt;&gt;"Mekân"),0,IF(COUNTIFS($F$8:F491,F491,$C$8:C491,"Mekân")=1,1,0))</f>
        <v/>
      </c>
      <c r="T491" s="52">
        <f>IF(OR(A491="",F491="",C491&lt;&gt;"Kapak"),0,IF(COUNTIFS($F$8:F491,F491,$C$8:C491,"Kapak")=1,1,0))</f>
        <v/>
      </c>
    </row>
    <row r="492">
      <c r="S492" s="52">
        <f>IF(OR(A492="",F492="",C492&lt;&gt;"Mekân"),0,IF(COUNTIFS($F$8:F492,F492,$C$8:C492,"Mekân")=1,1,0))</f>
        <v/>
      </c>
      <c r="T492" s="52">
        <f>IF(OR(A492="",F492="",C492&lt;&gt;"Kapak"),0,IF(COUNTIFS($F$8:F492,F492,$C$8:C492,"Kapak")=1,1,0))</f>
        <v/>
      </c>
    </row>
    <row r="493">
      <c r="S493" s="52">
        <f>IF(OR(A493="",F493="",C493&lt;&gt;"Mekân"),0,IF(COUNTIFS($F$8:F493,F493,$C$8:C493,"Mekân")=1,1,0))</f>
        <v/>
      </c>
      <c r="T493" s="52">
        <f>IF(OR(A493="",F493="",C493&lt;&gt;"Kapak"),0,IF(COUNTIFS($F$8:F493,F493,$C$8:C493,"Kapak")=1,1,0))</f>
        <v/>
      </c>
    </row>
    <row r="494">
      <c r="S494" s="52">
        <f>IF(OR(A494="",F494="",C494&lt;&gt;"Mekân"),0,IF(COUNTIFS($F$8:F494,F494,$C$8:C494,"Mekân")=1,1,0))</f>
        <v/>
      </c>
      <c r="T494" s="52">
        <f>IF(OR(A494="",F494="",C494&lt;&gt;"Kapak"),0,IF(COUNTIFS($F$8:F494,F494,$C$8:C494,"Kapak")=1,1,0))</f>
        <v/>
      </c>
    </row>
    <row r="495">
      <c r="S495" s="52">
        <f>IF(OR(A495="",F495="",C495&lt;&gt;"Mekân"),0,IF(COUNTIFS($F$8:F495,F495,$C$8:C495,"Mekân")=1,1,0))</f>
        <v/>
      </c>
      <c r="T495" s="52">
        <f>IF(OR(A495="",F495="",C495&lt;&gt;"Kapak"),0,IF(COUNTIFS($F$8:F495,F495,$C$8:C495,"Kapak")=1,1,0))</f>
        <v/>
      </c>
    </row>
    <row r="496">
      <c r="S496" s="52">
        <f>IF(OR(A496="",F496="",C496&lt;&gt;"Mekân"),0,IF(COUNTIFS($F$8:F496,F496,$C$8:C496,"Mekân")=1,1,0))</f>
        <v/>
      </c>
      <c r="T496" s="52">
        <f>IF(OR(A496="",F496="",C496&lt;&gt;"Kapak"),0,IF(COUNTIFS($F$8:F496,F496,$C$8:C496,"Kapak")=1,1,0))</f>
        <v/>
      </c>
    </row>
    <row r="497">
      <c r="S497" s="52">
        <f>IF(OR(A497="",F497="",C497&lt;&gt;"Mekân"),0,IF(COUNTIFS($F$8:F497,F497,$C$8:C497,"Mekân")=1,1,0))</f>
        <v/>
      </c>
      <c r="T497" s="52">
        <f>IF(OR(A497="",F497="",C497&lt;&gt;"Kapak"),0,IF(COUNTIFS($F$8:F497,F497,$C$8:C497,"Kapak")=1,1,0))</f>
        <v/>
      </c>
    </row>
    <row r="498">
      <c r="S498" s="52">
        <f>IF(OR(A498="",F498="",C498&lt;&gt;"Mekân"),0,IF(COUNTIFS($F$8:F498,F498,$C$8:C498,"Mekân")=1,1,0))</f>
        <v/>
      </c>
      <c r="T498" s="52">
        <f>IF(OR(A498="",F498="",C498&lt;&gt;"Kapak"),0,IF(COUNTIFS($F$8:F498,F498,$C$8:C498,"Kapak")=1,1,0))</f>
        <v/>
      </c>
    </row>
    <row r="499">
      <c r="S499" s="52">
        <f>IF(OR(A499="",F499="",C499&lt;&gt;"Mekân"),0,IF(COUNTIFS($F$8:F499,F499,$C$8:C499,"Mekân")=1,1,0))</f>
        <v/>
      </c>
      <c r="T499" s="52">
        <f>IF(OR(A499="",F499="",C499&lt;&gt;"Kapak"),0,IF(COUNTIFS($F$8:F499,F499,$C$8:C499,"Kapak")=1,1,0))</f>
        <v/>
      </c>
    </row>
    <row r="500">
      <c r="S500" s="52">
        <f>IF(OR(A500="",F500="",C500&lt;&gt;"Mekân"),0,IF(COUNTIFS($F$8:F500,F500,$C$8:C500,"Mekân")=1,1,0))</f>
        <v/>
      </c>
      <c r="T500" s="52">
        <f>IF(OR(A500="",F500="",C500&lt;&gt;"Kapak"),0,IF(COUNTIFS($F$8:F500,F500,$C$8:C500,"Kapak")=1,1,0))</f>
        <v/>
      </c>
    </row>
    <row r="501">
      <c r="S501" s="52">
        <f>IF(OR(A501="",F501="",C501&lt;&gt;"Mekân"),0,IF(COUNTIFS($F$8:F501,F501,$C$8:C501,"Mekân")=1,1,0))</f>
        <v/>
      </c>
      <c r="T501" s="52">
        <f>IF(OR(A501="",F501="",C501&lt;&gt;"Kapak"),0,IF(COUNTIFS($F$8:F501,F501,$C$8:C501,"Kapak")=1,1,0))</f>
        <v/>
      </c>
    </row>
    <row r="502">
      <c r="S502" s="52">
        <f>IF(OR(A502="",F502="",C502&lt;&gt;"Mekân"),0,IF(COUNTIFS($F$8:F502,F502,$C$8:C502,"Mekân")=1,1,0))</f>
        <v/>
      </c>
      <c r="T502" s="52">
        <f>IF(OR(A502="",F502="",C502&lt;&gt;"Kapak"),0,IF(COUNTIFS($F$8:F502,F502,$C$8:C502,"Kapak")=1,1,0))</f>
        <v/>
      </c>
    </row>
    <row r="503">
      <c r="S503" s="52">
        <f>IF(OR(A503="",F503="",C503&lt;&gt;"Mekân"),0,IF(COUNTIFS($F$8:F503,F503,$C$8:C503,"Mekân")=1,1,0))</f>
        <v/>
      </c>
      <c r="T503" s="52">
        <f>IF(OR(A503="",F503="",C503&lt;&gt;"Kapak"),0,IF(COUNTIFS($F$8:F503,F503,$C$8:C503,"Kapak")=1,1,0))</f>
        <v/>
      </c>
    </row>
    <row r="504">
      <c r="S504" s="52">
        <f>IF(OR(A504="",F504="",C504&lt;&gt;"Mekân"),0,IF(COUNTIFS($F$8:F504,F504,$C$8:C504,"Mekân")=1,1,0))</f>
        <v/>
      </c>
      <c r="T504" s="52">
        <f>IF(OR(A504="",F504="",C504&lt;&gt;"Kapak"),0,IF(COUNTIFS($F$8:F504,F504,$C$8:C504,"Kapak")=1,1,0))</f>
        <v/>
      </c>
    </row>
    <row r="505">
      <c r="S505" s="52">
        <f>IF(OR(A505="",F505="",C505&lt;&gt;"Mekân"),0,IF(COUNTIFS($F$8:F505,F505,$C$8:C505,"Mekân")=1,1,0))</f>
        <v/>
      </c>
      <c r="T505" s="52">
        <f>IF(OR(A505="",F505="",C505&lt;&gt;"Kapak"),0,IF(COUNTIFS($F$8:F505,F505,$C$8:C505,"Kapak")=1,1,0))</f>
        <v/>
      </c>
    </row>
    <row r="506">
      <c r="S506" s="52">
        <f>IF(OR(A506="",F506="",C506&lt;&gt;"Mekân"),0,IF(COUNTIFS($F$8:F506,F506,$C$8:C506,"Mekân")=1,1,0))</f>
        <v/>
      </c>
      <c r="T506" s="52">
        <f>IF(OR(A506="",F506="",C506&lt;&gt;"Kapak"),0,IF(COUNTIFS($F$8:F506,F506,$C$8:C506,"Kapak")=1,1,0))</f>
        <v/>
      </c>
    </row>
    <row r="507">
      <c r="S507" s="52">
        <f>IF(OR(A507="",F507="",C507&lt;&gt;"Mekân"),0,IF(COUNTIFS($F$8:F507,F507,$C$8:C507,"Mekân")=1,1,0))</f>
        <v/>
      </c>
      <c r="T507" s="52">
        <f>IF(OR(A507="",F507="",C507&lt;&gt;"Kapak"),0,IF(COUNTIFS($F$8:F507,F507,$C$8:C507,"Kapak")=1,1,0))</f>
        <v/>
      </c>
    </row>
    <row r="508">
      <c r="S508" s="52">
        <f>IF(OR(A508="",F508="",C508&lt;&gt;"Mekân"),0,IF(COUNTIFS($F$8:F508,F508,$C$8:C508,"Mekân")=1,1,0))</f>
        <v/>
      </c>
      <c r="T508" s="52">
        <f>IF(OR(A508="",F508="",C508&lt;&gt;"Kapak"),0,IF(COUNTIFS($F$8:F508,F508,$C$8:C508,"Kapak")=1,1,0))</f>
        <v/>
      </c>
    </row>
    <row r="509">
      <c r="S509" s="52">
        <f>IF(OR(A509="",F509="",C509&lt;&gt;"Mekân"),0,IF(COUNTIFS($F$8:F509,F509,$C$8:C509,"Mekân")=1,1,0))</f>
        <v/>
      </c>
      <c r="T509" s="52">
        <f>IF(OR(A509="",F509="",C509&lt;&gt;"Kapak"),0,IF(COUNTIFS($F$8:F509,F509,$C$8:C509,"Kapak")=1,1,0))</f>
        <v/>
      </c>
    </row>
    <row r="510">
      <c r="S510" s="52">
        <f>IF(OR(A510="",F510="",C510&lt;&gt;"Mekân"),0,IF(COUNTIFS($F$8:F510,F510,$C$8:C510,"Mekân")=1,1,0))</f>
        <v/>
      </c>
      <c r="T510" s="52">
        <f>IF(OR(A510="",F510="",C510&lt;&gt;"Kapak"),0,IF(COUNTIFS($F$8:F510,F510,$C$8:C510,"Kapak")=1,1,0))</f>
        <v/>
      </c>
    </row>
    <row r="511">
      <c r="S511" s="52">
        <f>IF(OR(A511="",F511="",C511&lt;&gt;"Mekân"),0,IF(COUNTIFS($F$8:F511,F511,$C$8:C511,"Mekân")=1,1,0))</f>
        <v/>
      </c>
      <c r="T511" s="52">
        <f>IF(OR(A511="",F511="",C511&lt;&gt;"Kapak"),0,IF(COUNTIFS($F$8:F511,F511,$C$8:C511,"Kapak")=1,1,0))</f>
        <v/>
      </c>
    </row>
    <row r="512">
      <c r="S512" s="52">
        <f>IF(OR(A512="",F512="",C512&lt;&gt;"Mekân"),0,IF(COUNTIFS($F$8:F512,F512,$C$8:C512,"Mekân")=1,1,0))</f>
        <v/>
      </c>
      <c r="T512" s="52">
        <f>IF(OR(A512="",F512="",C512&lt;&gt;"Kapak"),0,IF(COUNTIFS($F$8:F512,F512,$C$8:C512,"Kapak")=1,1,0))</f>
        <v/>
      </c>
    </row>
    <row r="513">
      <c r="S513" s="52">
        <f>IF(OR(A513="",F513="",C513&lt;&gt;"Mekân"),0,IF(COUNTIFS($F$8:F513,F513,$C$8:C513,"Mekân")=1,1,0))</f>
        <v/>
      </c>
      <c r="T513" s="52">
        <f>IF(OR(A513="",F513="",C513&lt;&gt;"Kapak"),0,IF(COUNTIFS($F$8:F513,F513,$C$8:C513,"Kapak")=1,1,0))</f>
        <v/>
      </c>
    </row>
    <row r="514">
      <c r="S514" s="52">
        <f>IF(OR(A514="",F514="",C514&lt;&gt;"Mekân"),0,IF(COUNTIFS($F$8:F514,F514,$C$8:C514,"Mekân")=1,1,0))</f>
        <v/>
      </c>
      <c r="T514" s="52">
        <f>IF(OR(A514="",F514="",C514&lt;&gt;"Kapak"),0,IF(COUNTIFS($F$8:F514,F514,$C$8:C514,"Kapak")=1,1,0))</f>
        <v/>
      </c>
    </row>
    <row r="515">
      <c r="S515" s="52">
        <f>IF(OR(A515="",F515="",C515&lt;&gt;"Mekân"),0,IF(COUNTIFS($F$8:F515,F515,$C$8:C515,"Mekân")=1,1,0))</f>
        <v/>
      </c>
      <c r="T515" s="52">
        <f>IF(OR(A515="",F515="",C515&lt;&gt;"Kapak"),0,IF(COUNTIFS($F$8:F515,F515,$C$8:C515,"Kapak")=1,1,0))</f>
        <v/>
      </c>
    </row>
    <row r="516">
      <c r="S516" s="52">
        <f>IF(OR(A516="",F516="",C516&lt;&gt;"Mekân"),0,IF(COUNTIFS($F$8:F516,F516,$C$8:C516,"Mekân")=1,1,0))</f>
        <v/>
      </c>
      <c r="T516" s="52">
        <f>IF(OR(A516="",F516="",C516&lt;&gt;"Kapak"),0,IF(COUNTIFS($F$8:F516,F516,$C$8:C516,"Kapak")=1,1,0))</f>
        <v/>
      </c>
    </row>
    <row r="517">
      <c r="S517" s="52">
        <f>IF(OR(A517="",F517="",C517&lt;&gt;"Mekân"),0,IF(COUNTIFS($F$8:F517,F517,$C$8:C517,"Mekân")=1,1,0))</f>
        <v/>
      </c>
      <c r="T517" s="52">
        <f>IF(OR(A517="",F517="",C517&lt;&gt;"Kapak"),0,IF(COUNTIFS($F$8:F517,F517,$C$8:C517,"Kapak")=1,1,0))</f>
        <v/>
      </c>
    </row>
    <row r="518">
      <c r="S518" s="52">
        <f>IF(OR(A518="",F518="",C518&lt;&gt;"Mekân"),0,IF(COUNTIFS($F$8:F518,F518,$C$8:C518,"Mekân")=1,1,0))</f>
        <v/>
      </c>
      <c r="T518" s="52">
        <f>IF(OR(A518="",F518="",C518&lt;&gt;"Kapak"),0,IF(COUNTIFS($F$8:F518,F518,$C$8:C518,"Kapak")=1,1,0))</f>
        <v/>
      </c>
    </row>
    <row r="519">
      <c r="S519" s="52">
        <f>IF(OR(A519="",F519="",C519&lt;&gt;"Mekân"),0,IF(COUNTIFS($F$8:F519,F519,$C$8:C519,"Mekân")=1,1,0))</f>
        <v/>
      </c>
      <c r="T519" s="52">
        <f>IF(OR(A519="",F519="",C519&lt;&gt;"Kapak"),0,IF(COUNTIFS($F$8:F519,F519,$C$8:C519,"Kapak")=1,1,0))</f>
        <v/>
      </c>
    </row>
    <row r="520">
      <c r="S520" s="52">
        <f>IF(OR(A520="",F520="",C520&lt;&gt;"Mekân"),0,IF(COUNTIFS($F$8:F520,F520,$C$8:C520,"Mekân")=1,1,0))</f>
        <v/>
      </c>
      <c r="T520" s="52">
        <f>IF(OR(A520="",F520="",C520&lt;&gt;"Kapak"),0,IF(COUNTIFS($F$8:F520,F520,$C$8:C520,"Kapak")=1,1,0))</f>
        <v/>
      </c>
    </row>
    <row r="521">
      <c r="S521" s="52">
        <f>IF(OR(A521="",F521="",C521&lt;&gt;"Mekân"),0,IF(COUNTIFS($F$8:F521,F521,$C$8:C521,"Mekân")=1,1,0))</f>
        <v/>
      </c>
      <c r="T521" s="52">
        <f>IF(OR(A521="",F521="",C521&lt;&gt;"Kapak"),0,IF(COUNTIFS($F$8:F521,F521,$C$8:C521,"Kapak")=1,1,0))</f>
        <v/>
      </c>
    </row>
    <row r="522">
      <c r="S522" s="52">
        <f>IF(OR(A522="",F522="",C522&lt;&gt;"Mekân"),0,IF(COUNTIFS($F$8:F522,F522,$C$8:C522,"Mekân")=1,1,0))</f>
        <v/>
      </c>
      <c r="T522" s="52">
        <f>IF(OR(A522="",F522="",C522&lt;&gt;"Kapak"),0,IF(COUNTIFS($F$8:F522,F522,$C$8:C522,"Kapak")=1,1,0))</f>
        <v/>
      </c>
    </row>
    <row r="523">
      <c r="S523" s="52">
        <f>IF(OR(A523="",F523="",C523&lt;&gt;"Mekân"),0,IF(COUNTIFS($F$8:F523,F523,$C$8:C523,"Mekân")=1,1,0))</f>
        <v/>
      </c>
      <c r="T523" s="52">
        <f>IF(OR(A523="",F523="",C523&lt;&gt;"Kapak"),0,IF(COUNTIFS($F$8:F523,F523,$C$8:C523,"Kapak")=1,1,0))</f>
        <v/>
      </c>
    </row>
    <row r="524">
      <c r="S524" s="52">
        <f>IF(OR(A524="",F524="",C524&lt;&gt;"Mekân"),0,IF(COUNTIFS($F$8:F524,F524,$C$8:C524,"Mekân")=1,1,0))</f>
        <v/>
      </c>
      <c r="T524" s="52">
        <f>IF(OR(A524="",F524="",C524&lt;&gt;"Kapak"),0,IF(COUNTIFS($F$8:F524,F524,$C$8:C524,"Kapak")=1,1,0))</f>
        <v/>
      </c>
    </row>
    <row r="525">
      <c r="S525" s="52">
        <f>IF(OR(A525="",F525="",C525&lt;&gt;"Mekân"),0,IF(COUNTIFS($F$8:F525,F525,$C$8:C525,"Mekân")=1,1,0))</f>
        <v/>
      </c>
      <c r="T525" s="52">
        <f>IF(OR(A525="",F525="",C525&lt;&gt;"Kapak"),0,IF(COUNTIFS($F$8:F525,F525,$C$8:C525,"Kapak")=1,1,0))</f>
        <v/>
      </c>
    </row>
    <row r="526">
      <c r="S526" s="52">
        <f>IF(OR(A526="",F526="",C526&lt;&gt;"Mekân"),0,IF(COUNTIFS($F$8:F526,F526,$C$8:C526,"Mekân")=1,1,0))</f>
        <v/>
      </c>
      <c r="T526" s="52">
        <f>IF(OR(A526="",F526="",C526&lt;&gt;"Kapak"),0,IF(COUNTIFS($F$8:F526,F526,$C$8:C526,"Kapak")=1,1,0))</f>
        <v/>
      </c>
    </row>
    <row r="527">
      <c r="S527" s="52">
        <f>IF(OR(A527="",F527="",C527&lt;&gt;"Mekân"),0,IF(COUNTIFS($F$8:F527,F527,$C$8:C527,"Mekân")=1,1,0))</f>
        <v/>
      </c>
      <c r="T527" s="52">
        <f>IF(OR(A527="",F527="",C527&lt;&gt;"Kapak"),0,IF(COUNTIFS($F$8:F527,F527,$C$8:C527,"Kapak")=1,1,0))</f>
        <v/>
      </c>
    </row>
    <row r="528">
      <c r="S528" s="52">
        <f>IF(OR(A528="",F528="",C528&lt;&gt;"Mekân"),0,IF(COUNTIFS($F$8:F528,F528,$C$8:C528,"Mekân")=1,1,0))</f>
        <v/>
      </c>
      <c r="T528" s="52">
        <f>IF(OR(A528="",F528="",C528&lt;&gt;"Kapak"),0,IF(COUNTIFS($F$8:F528,F528,$C$8:C528,"Kapak")=1,1,0))</f>
        <v/>
      </c>
    </row>
    <row r="529">
      <c r="S529" s="52">
        <f>IF(OR(A529="",F529="",C529&lt;&gt;"Mekân"),0,IF(COUNTIFS($F$8:F529,F529,$C$8:C529,"Mekân")=1,1,0))</f>
        <v/>
      </c>
      <c r="T529" s="52">
        <f>IF(OR(A529="",F529="",C529&lt;&gt;"Kapak"),0,IF(COUNTIFS($F$8:F529,F529,$C$8:C529,"Kapak")=1,1,0))</f>
        <v/>
      </c>
    </row>
    <row r="530">
      <c r="S530" s="52">
        <f>IF(OR(A530="",F530="",C530&lt;&gt;"Mekân"),0,IF(COUNTIFS($F$8:F530,F530,$C$8:C530,"Mekân")=1,1,0))</f>
        <v/>
      </c>
      <c r="T530" s="52">
        <f>IF(OR(A530="",F530="",C530&lt;&gt;"Kapak"),0,IF(COUNTIFS($F$8:F530,F530,$C$8:C530,"Kapak")=1,1,0))</f>
        <v/>
      </c>
    </row>
    <row r="531">
      <c r="S531" s="52">
        <f>IF(OR(A531="",F531="",C531&lt;&gt;"Mekân"),0,IF(COUNTIFS($F$8:F531,F531,$C$8:C531,"Mekân")=1,1,0))</f>
        <v/>
      </c>
      <c r="T531" s="52">
        <f>IF(OR(A531="",F531="",C531&lt;&gt;"Kapak"),0,IF(COUNTIFS($F$8:F531,F531,$C$8:C531,"Kapak")=1,1,0))</f>
        <v/>
      </c>
    </row>
    <row r="532">
      <c r="S532" s="52">
        <f>IF(OR(A532="",F532="",C532&lt;&gt;"Mekân"),0,IF(COUNTIFS($F$8:F532,F532,$C$8:C532,"Mekân")=1,1,0))</f>
        <v/>
      </c>
      <c r="T532" s="52">
        <f>IF(OR(A532="",F532="",C532&lt;&gt;"Kapak"),0,IF(COUNTIFS($F$8:F532,F532,$C$8:C532,"Kapak")=1,1,0))</f>
        <v/>
      </c>
    </row>
    <row r="533">
      <c r="S533" s="52">
        <f>IF(OR(A533="",F533="",C533&lt;&gt;"Mekân"),0,IF(COUNTIFS($F$8:F533,F533,$C$8:C533,"Mekân")=1,1,0))</f>
        <v/>
      </c>
      <c r="T533" s="52">
        <f>IF(OR(A533="",F533="",C533&lt;&gt;"Kapak"),0,IF(COUNTIFS($F$8:F533,F533,$C$8:C533,"Kapak")=1,1,0))</f>
        <v/>
      </c>
    </row>
    <row r="534">
      <c r="S534" s="52">
        <f>IF(OR(A534="",F534="",C534&lt;&gt;"Mekân"),0,IF(COUNTIFS($F$8:F534,F534,$C$8:C534,"Mekân")=1,1,0))</f>
        <v/>
      </c>
      <c r="T534" s="52">
        <f>IF(OR(A534="",F534="",C534&lt;&gt;"Kapak"),0,IF(COUNTIFS($F$8:F534,F534,$C$8:C534,"Kapak")=1,1,0))</f>
        <v/>
      </c>
    </row>
    <row r="535">
      <c r="S535" s="52">
        <f>IF(OR(A535="",F535="",C535&lt;&gt;"Mekân"),0,IF(COUNTIFS($F$8:F535,F535,$C$8:C535,"Mekân")=1,1,0))</f>
        <v/>
      </c>
      <c r="T535" s="52">
        <f>IF(OR(A535="",F535="",C535&lt;&gt;"Kapak"),0,IF(COUNTIFS($F$8:F535,F535,$C$8:C535,"Kapak")=1,1,0))</f>
        <v/>
      </c>
    </row>
    <row r="536">
      <c r="S536" s="52">
        <f>IF(OR(A536="",F536="",C536&lt;&gt;"Mekân"),0,IF(COUNTIFS($F$8:F536,F536,$C$8:C536,"Mekân")=1,1,0))</f>
        <v/>
      </c>
      <c r="T536" s="52">
        <f>IF(OR(A536="",F536="",C536&lt;&gt;"Kapak"),0,IF(COUNTIFS($F$8:F536,F536,$C$8:C536,"Kapak")=1,1,0))</f>
        <v/>
      </c>
    </row>
    <row r="537">
      <c r="S537" s="52">
        <f>IF(OR(A537="",F537="",C537&lt;&gt;"Mekân"),0,IF(COUNTIFS($F$8:F537,F537,$C$8:C537,"Mekân")=1,1,0))</f>
        <v/>
      </c>
      <c r="T537" s="52">
        <f>IF(OR(A537="",F537="",C537&lt;&gt;"Kapak"),0,IF(COUNTIFS($F$8:F537,F537,$C$8:C537,"Kapak")=1,1,0))</f>
        <v/>
      </c>
    </row>
    <row r="538">
      <c r="S538" s="52">
        <f>IF(OR(A538="",F538="",C538&lt;&gt;"Mekân"),0,IF(COUNTIFS($F$8:F538,F538,$C$8:C538,"Mekân")=1,1,0))</f>
        <v/>
      </c>
      <c r="T538" s="52">
        <f>IF(OR(A538="",F538="",C538&lt;&gt;"Kapak"),0,IF(COUNTIFS($F$8:F538,F538,$C$8:C538,"Kapak")=1,1,0))</f>
        <v/>
      </c>
    </row>
    <row r="539">
      <c r="S539" s="52">
        <f>IF(OR(A539="",F539="",C539&lt;&gt;"Mekân"),0,IF(COUNTIFS($F$8:F539,F539,$C$8:C539,"Mekân")=1,1,0))</f>
        <v/>
      </c>
      <c r="T539" s="52">
        <f>IF(OR(A539="",F539="",C539&lt;&gt;"Kapak"),0,IF(COUNTIFS($F$8:F539,F539,$C$8:C539,"Kapak")=1,1,0))</f>
        <v/>
      </c>
    </row>
    <row r="540">
      <c r="S540" s="52">
        <f>IF(OR(A540="",F540="",C540&lt;&gt;"Mekân"),0,IF(COUNTIFS($F$8:F540,F540,$C$8:C540,"Mekân")=1,1,0))</f>
        <v/>
      </c>
      <c r="T540" s="52">
        <f>IF(OR(A540="",F540="",C540&lt;&gt;"Kapak"),0,IF(COUNTIFS($F$8:F540,F540,$C$8:C540,"Kapak")=1,1,0))</f>
        <v/>
      </c>
    </row>
    <row r="541">
      <c r="S541" s="52">
        <f>IF(OR(A541="",F541="",C541&lt;&gt;"Mekân"),0,IF(COUNTIFS($F$8:F541,F541,$C$8:C541,"Mekân")=1,1,0))</f>
        <v/>
      </c>
      <c r="T541" s="52">
        <f>IF(OR(A541="",F541="",C541&lt;&gt;"Kapak"),0,IF(COUNTIFS($F$8:F541,F541,$C$8:C541,"Kapak")=1,1,0))</f>
        <v/>
      </c>
    </row>
    <row r="542">
      <c r="S542" s="52">
        <f>IF(OR(A542="",F542="",C542&lt;&gt;"Mekân"),0,IF(COUNTIFS($F$8:F542,F542,$C$8:C542,"Mekân")=1,1,0))</f>
        <v/>
      </c>
      <c r="T542" s="52">
        <f>IF(OR(A542="",F542="",C542&lt;&gt;"Kapak"),0,IF(COUNTIFS($F$8:F542,F542,$C$8:C542,"Kapak")=1,1,0))</f>
        <v/>
      </c>
    </row>
    <row r="543">
      <c r="S543" s="52">
        <f>IF(OR(A543="",F543="",C543&lt;&gt;"Mekân"),0,IF(COUNTIFS($F$8:F543,F543,$C$8:C543,"Mekân")=1,1,0))</f>
        <v/>
      </c>
      <c r="T543" s="52">
        <f>IF(OR(A543="",F543="",C543&lt;&gt;"Kapak"),0,IF(COUNTIFS($F$8:F543,F543,$C$8:C543,"Kapak")=1,1,0))</f>
        <v/>
      </c>
    </row>
    <row r="544">
      <c r="S544" s="52">
        <f>IF(OR(A544="",F544="",C544&lt;&gt;"Mekân"),0,IF(COUNTIFS($F$8:F544,F544,$C$8:C544,"Mekân")=1,1,0))</f>
        <v/>
      </c>
      <c r="T544" s="52">
        <f>IF(OR(A544="",F544="",C544&lt;&gt;"Kapak"),0,IF(COUNTIFS($F$8:F544,F544,$C$8:C544,"Kapak")=1,1,0))</f>
        <v/>
      </c>
    </row>
    <row r="545">
      <c r="S545" s="52">
        <f>IF(OR(A545="",F545="",C545&lt;&gt;"Mekân"),0,IF(COUNTIFS($F$8:F545,F545,$C$8:C545,"Mekân")=1,1,0))</f>
        <v/>
      </c>
      <c r="T545" s="52">
        <f>IF(OR(A545="",F545="",C545&lt;&gt;"Kapak"),0,IF(COUNTIFS($F$8:F545,F545,$C$8:C545,"Kapak")=1,1,0))</f>
        <v/>
      </c>
    </row>
    <row r="546">
      <c r="S546" s="52">
        <f>IF(OR(A546="",F546="",C546&lt;&gt;"Mekân"),0,IF(COUNTIFS($F$8:F546,F546,$C$8:C546,"Mekân")=1,1,0))</f>
        <v/>
      </c>
      <c r="T546" s="52">
        <f>IF(OR(A546="",F546="",C546&lt;&gt;"Kapak"),0,IF(COUNTIFS($F$8:F546,F546,$C$8:C546,"Kapak")=1,1,0))</f>
        <v/>
      </c>
    </row>
    <row r="547">
      <c r="S547" s="52">
        <f>IF(OR(A547="",F547="",C547&lt;&gt;"Mekân"),0,IF(COUNTIFS($F$8:F547,F547,$C$8:C547,"Mekân")=1,1,0))</f>
        <v/>
      </c>
      <c r="T547" s="52">
        <f>IF(OR(A547="",F547="",C547&lt;&gt;"Kapak"),0,IF(COUNTIFS($F$8:F547,F547,$C$8:C547,"Kapak")=1,1,0))</f>
        <v/>
      </c>
    </row>
    <row r="548">
      <c r="S548" s="52">
        <f>IF(OR(A548="",F548="",C548&lt;&gt;"Mekân"),0,IF(COUNTIFS($F$8:F548,F548,$C$8:C548,"Mekân")=1,1,0))</f>
        <v/>
      </c>
      <c r="T548" s="52">
        <f>IF(OR(A548="",F548="",C548&lt;&gt;"Kapak"),0,IF(COUNTIFS($F$8:F548,F548,$C$8:C548,"Kapak")=1,1,0))</f>
        <v/>
      </c>
    </row>
    <row r="549">
      <c r="S549" s="52">
        <f>IF(OR(A549="",F549="",C549&lt;&gt;"Mekân"),0,IF(COUNTIFS($F$8:F549,F549,$C$8:C549,"Mekân")=1,1,0))</f>
        <v/>
      </c>
      <c r="T549" s="52">
        <f>IF(OR(A549="",F549="",C549&lt;&gt;"Kapak"),0,IF(COUNTIFS($F$8:F549,F549,$C$8:C549,"Kapak")=1,1,0))</f>
        <v/>
      </c>
    </row>
    <row r="550">
      <c r="S550" s="52">
        <f>IF(OR(A550="",F550="",C550&lt;&gt;"Mekân"),0,IF(COUNTIFS($F$8:F550,F550,$C$8:C550,"Mekân")=1,1,0))</f>
        <v/>
      </c>
      <c r="T550" s="52">
        <f>IF(OR(A550="",F550="",C550&lt;&gt;"Kapak"),0,IF(COUNTIFS($F$8:F550,F550,$C$8:C550,"Kapak")=1,1,0))</f>
        <v/>
      </c>
    </row>
    <row r="551">
      <c r="S551" s="52">
        <f>IF(OR(A551="",F551="",C551&lt;&gt;"Mekân"),0,IF(COUNTIFS($F$8:F551,F551,$C$8:C551,"Mekân")=1,1,0))</f>
        <v/>
      </c>
      <c r="T551" s="52">
        <f>IF(OR(A551="",F551="",C551&lt;&gt;"Kapak"),0,IF(COUNTIFS($F$8:F551,F551,$C$8:C551,"Kapak")=1,1,0))</f>
        <v/>
      </c>
    </row>
    <row r="552">
      <c r="S552" s="52">
        <f>IF(OR(A552="",F552="",C552&lt;&gt;"Mekân"),0,IF(COUNTIFS($F$8:F552,F552,$C$8:C552,"Mekân")=1,1,0))</f>
        <v/>
      </c>
      <c r="T552" s="52">
        <f>IF(OR(A552="",F552="",C552&lt;&gt;"Kapak"),0,IF(COUNTIFS($F$8:F552,F552,$C$8:C552,"Kapak")=1,1,0))</f>
        <v/>
      </c>
    </row>
    <row r="553">
      <c r="S553" s="52">
        <f>IF(OR(A553="",F553="",C553&lt;&gt;"Mekân"),0,IF(COUNTIFS($F$8:F553,F553,$C$8:C553,"Mekân")=1,1,0))</f>
        <v/>
      </c>
      <c r="T553" s="52">
        <f>IF(OR(A553="",F553="",C553&lt;&gt;"Kapak"),0,IF(COUNTIFS($F$8:F553,F553,$C$8:C553,"Kapak")=1,1,0))</f>
        <v/>
      </c>
    </row>
    <row r="554">
      <c r="S554" s="52">
        <f>IF(OR(A554="",F554="",C554&lt;&gt;"Mekân"),0,IF(COUNTIFS($F$8:F554,F554,$C$8:C554,"Mekân")=1,1,0))</f>
        <v/>
      </c>
      <c r="T554" s="52">
        <f>IF(OR(A554="",F554="",C554&lt;&gt;"Kapak"),0,IF(COUNTIFS($F$8:F554,F554,$C$8:C554,"Kapak")=1,1,0))</f>
        <v/>
      </c>
    </row>
    <row r="555">
      <c r="S555" s="52">
        <f>IF(OR(A555="",F555="",C555&lt;&gt;"Mekân"),0,IF(COUNTIFS($F$8:F555,F555,$C$8:C555,"Mekân")=1,1,0))</f>
        <v/>
      </c>
      <c r="T555" s="52">
        <f>IF(OR(A555="",F555="",C555&lt;&gt;"Kapak"),0,IF(COUNTIFS($F$8:F555,F555,$C$8:C555,"Kapak")=1,1,0))</f>
        <v/>
      </c>
    </row>
    <row r="556">
      <c r="S556" s="52">
        <f>IF(OR(A556="",F556="",C556&lt;&gt;"Mekân"),0,IF(COUNTIFS($F$8:F556,F556,$C$8:C556,"Mekân")=1,1,0))</f>
        <v/>
      </c>
      <c r="T556" s="52">
        <f>IF(OR(A556="",F556="",C556&lt;&gt;"Kapak"),0,IF(COUNTIFS($F$8:F556,F556,$C$8:C556,"Kapak")=1,1,0))</f>
        <v/>
      </c>
    </row>
    <row r="557">
      <c r="S557" s="52">
        <f>IF(OR(A557="",F557="",C557&lt;&gt;"Mekân"),0,IF(COUNTIFS($F$8:F557,F557,$C$8:C557,"Mekân")=1,1,0))</f>
        <v/>
      </c>
      <c r="T557" s="52">
        <f>IF(OR(A557="",F557="",C557&lt;&gt;"Kapak"),0,IF(COUNTIFS($F$8:F557,F557,$C$8:C557,"Kapak")=1,1,0))</f>
        <v/>
      </c>
    </row>
    <row r="558">
      <c r="S558" s="52">
        <f>IF(OR(A558="",F558="",C558&lt;&gt;"Mekân"),0,IF(COUNTIFS($F$8:F558,F558,$C$8:C558,"Mekân")=1,1,0))</f>
        <v/>
      </c>
      <c r="T558" s="52">
        <f>IF(OR(A558="",F558="",C558&lt;&gt;"Kapak"),0,IF(COUNTIFS($F$8:F558,F558,$C$8:C558,"Kapak")=1,1,0))</f>
        <v/>
      </c>
    </row>
    <row r="559">
      <c r="S559" s="52">
        <f>IF(OR(A559="",F559="",C559&lt;&gt;"Mekân"),0,IF(COUNTIFS($F$8:F559,F559,$C$8:C559,"Mekân")=1,1,0))</f>
        <v/>
      </c>
      <c r="T559" s="52">
        <f>IF(OR(A559="",F559="",C559&lt;&gt;"Kapak"),0,IF(COUNTIFS($F$8:F559,F559,$C$8:C559,"Kapak")=1,1,0))</f>
        <v/>
      </c>
    </row>
    <row r="560">
      <c r="S560" s="52">
        <f>IF(OR(A560="",F560="",C560&lt;&gt;"Mekân"),0,IF(COUNTIFS($F$8:F560,F560,$C$8:C560,"Mekân")=1,1,0))</f>
        <v/>
      </c>
      <c r="T560" s="52">
        <f>IF(OR(A560="",F560="",C560&lt;&gt;"Kapak"),0,IF(COUNTIFS($F$8:F560,F560,$C$8:C560,"Kapak")=1,1,0))</f>
        <v/>
      </c>
    </row>
    <row r="561">
      <c r="S561" s="52">
        <f>IF(OR(A561="",F561="",C561&lt;&gt;"Mekân"),0,IF(COUNTIFS($F$8:F561,F561,$C$8:C561,"Mekân")=1,1,0))</f>
        <v/>
      </c>
      <c r="T561" s="52">
        <f>IF(OR(A561="",F561="",C561&lt;&gt;"Kapak"),0,IF(COUNTIFS($F$8:F561,F561,$C$8:C561,"Kapak")=1,1,0))</f>
        <v/>
      </c>
    </row>
    <row r="562">
      <c r="S562" s="52">
        <f>IF(OR(A562="",F562="",C562&lt;&gt;"Mekân"),0,IF(COUNTIFS($F$8:F562,F562,$C$8:C562,"Mekân")=1,1,0))</f>
        <v/>
      </c>
      <c r="T562" s="52">
        <f>IF(OR(A562="",F562="",C562&lt;&gt;"Kapak"),0,IF(COUNTIFS($F$8:F562,F562,$C$8:C562,"Kapak")=1,1,0))</f>
        <v/>
      </c>
    </row>
    <row r="563">
      <c r="S563" s="52">
        <f>IF(OR(A563="",F563="",C563&lt;&gt;"Mekân"),0,IF(COUNTIFS($F$8:F563,F563,$C$8:C563,"Mekân")=1,1,0))</f>
        <v/>
      </c>
      <c r="T563" s="52">
        <f>IF(OR(A563="",F563="",C563&lt;&gt;"Kapak"),0,IF(COUNTIFS($F$8:F563,F563,$C$8:C563,"Kapak")=1,1,0))</f>
        <v/>
      </c>
    </row>
    <row r="564">
      <c r="S564" s="52">
        <f>IF(OR(A564="",F564="",C564&lt;&gt;"Mekân"),0,IF(COUNTIFS($F$8:F564,F564,$C$8:C564,"Mekân")=1,1,0))</f>
        <v/>
      </c>
      <c r="T564" s="52">
        <f>IF(OR(A564="",F564="",C564&lt;&gt;"Kapak"),0,IF(COUNTIFS($F$8:F564,F564,$C$8:C564,"Kapak")=1,1,0))</f>
        <v/>
      </c>
    </row>
    <row r="565">
      <c r="S565" s="52">
        <f>IF(OR(A565="",F565="",C565&lt;&gt;"Mekân"),0,IF(COUNTIFS($F$8:F565,F565,$C$8:C565,"Mekân")=1,1,0))</f>
        <v/>
      </c>
      <c r="T565" s="52">
        <f>IF(OR(A565="",F565="",C565&lt;&gt;"Kapak"),0,IF(COUNTIFS($F$8:F565,F565,$C$8:C565,"Kapak")=1,1,0))</f>
        <v/>
      </c>
    </row>
    <row r="566">
      <c r="S566" s="52">
        <f>IF(OR(A566="",F566="",C566&lt;&gt;"Mekân"),0,IF(COUNTIFS($F$8:F566,F566,$C$8:C566,"Mekân")=1,1,0))</f>
        <v/>
      </c>
      <c r="T566" s="52">
        <f>IF(OR(A566="",F566="",C566&lt;&gt;"Kapak"),0,IF(COUNTIFS($F$8:F566,F566,$C$8:C566,"Kapak")=1,1,0))</f>
        <v/>
      </c>
    </row>
    <row r="567">
      <c r="S567" s="52">
        <f>IF(OR(A567="",F567="",C567&lt;&gt;"Mekân"),0,IF(COUNTIFS($F$8:F567,F567,$C$8:C567,"Mekân")=1,1,0))</f>
        <v/>
      </c>
      <c r="T567" s="52">
        <f>IF(OR(A567="",F567="",C567&lt;&gt;"Kapak"),0,IF(COUNTIFS($F$8:F567,F567,$C$8:C567,"Kapak")=1,1,0))</f>
        <v/>
      </c>
    </row>
    <row r="568">
      <c r="S568" s="52">
        <f>IF(OR(A568="",F568="",C568&lt;&gt;"Mekân"),0,IF(COUNTIFS($F$8:F568,F568,$C$8:C568,"Mekân")=1,1,0))</f>
        <v/>
      </c>
      <c r="T568" s="52">
        <f>IF(OR(A568="",F568="",C568&lt;&gt;"Kapak"),0,IF(COUNTIFS($F$8:F568,F568,$C$8:C568,"Kapak")=1,1,0))</f>
        <v/>
      </c>
    </row>
    <row r="569">
      <c r="S569" s="52">
        <f>IF(OR(A569="",F569="",C569&lt;&gt;"Mekân"),0,IF(COUNTIFS($F$8:F569,F569,$C$8:C569,"Mekân")=1,1,0))</f>
        <v/>
      </c>
      <c r="T569" s="52">
        <f>IF(OR(A569="",F569="",C569&lt;&gt;"Kapak"),0,IF(COUNTIFS($F$8:F569,F569,$C$8:C569,"Kapak")=1,1,0))</f>
        <v/>
      </c>
    </row>
    <row r="570">
      <c r="S570" s="52">
        <f>IF(OR(A570="",F570="",C570&lt;&gt;"Mekân"),0,IF(COUNTIFS($F$8:F570,F570,$C$8:C570,"Mekân")=1,1,0))</f>
        <v/>
      </c>
      <c r="T570" s="52">
        <f>IF(OR(A570="",F570="",C570&lt;&gt;"Kapak"),0,IF(COUNTIFS($F$8:F570,F570,$C$8:C570,"Kapak")=1,1,0))</f>
        <v/>
      </c>
    </row>
    <row r="571">
      <c r="S571" s="52">
        <f>IF(OR(A571="",F571="",C571&lt;&gt;"Mekân"),0,IF(COUNTIFS($F$8:F571,F571,$C$8:C571,"Mekân")=1,1,0))</f>
        <v/>
      </c>
      <c r="T571" s="52">
        <f>IF(OR(A571="",F571="",C571&lt;&gt;"Kapak"),0,IF(COUNTIFS($F$8:F571,F571,$C$8:C571,"Kapak")=1,1,0))</f>
        <v/>
      </c>
    </row>
    <row r="572">
      <c r="S572" s="52">
        <f>IF(OR(A572="",F572="",C572&lt;&gt;"Mekân"),0,IF(COUNTIFS($F$8:F572,F572,$C$8:C572,"Mekân")=1,1,0))</f>
        <v/>
      </c>
      <c r="T572" s="52">
        <f>IF(OR(A572="",F572="",C572&lt;&gt;"Kapak"),0,IF(COUNTIFS($F$8:F572,F572,$C$8:C572,"Kapak")=1,1,0))</f>
        <v/>
      </c>
    </row>
    <row r="573">
      <c r="S573" s="52">
        <f>IF(OR(A573="",F573="",C573&lt;&gt;"Mekân"),0,IF(COUNTIFS($F$8:F573,F573,$C$8:C573,"Mekân")=1,1,0))</f>
        <v/>
      </c>
      <c r="T573" s="52">
        <f>IF(OR(A573="",F573="",C573&lt;&gt;"Kapak"),0,IF(COUNTIFS($F$8:F573,F573,$C$8:C573,"Kapak")=1,1,0))</f>
        <v/>
      </c>
    </row>
    <row r="574">
      <c r="S574" s="52">
        <f>IF(OR(A574="",F574="",C574&lt;&gt;"Mekân"),0,IF(COUNTIFS($F$8:F574,F574,$C$8:C574,"Mekân")=1,1,0))</f>
        <v/>
      </c>
      <c r="T574" s="52">
        <f>IF(OR(A574="",F574="",C574&lt;&gt;"Kapak"),0,IF(COUNTIFS($F$8:F574,F574,$C$8:C574,"Kapak")=1,1,0))</f>
        <v/>
      </c>
    </row>
    <row r="575">
      <c r="S575" s="52">
        <f>IF(OR(A575="",F575="",C575&lt;&gt;"Mekân"),0,IF(COUNTIFS($F$8:F575,F575,$C$8:C575,"Mekân")=1,1,0))</f>
        <v/>
      </c>
      <c r="T575" s="52">
        <f>IF(OR(A575="",F575="",C575&lt;&gt;"Kapak"),0,IF(COUNTIFS($F$8:F575,F575,$C$8:C575,"Kapak")=1,1,0))</f>
        <v/>
      </c>
    </row>
    <row r="576">
      <c r="S576" s="52">
        <f>IF(OR(A576="",F576="",C576&lt;&gt;"Mekân"),0,IF(COUNTIFS($F$8:F576,F576,$C$8:C576,"Mekân")=1,1,0))</f>
        <v/>
      </c>
      <c r="T576" s="52">
        <f>IF(OR(A576="",F576="",C576&lt;&gt;"Kapak"),0,IF(COUNTIFS($F$8:F576,F576,$C$8:C576,"Kapak")=1,1,0))</f>
        <v/>
      </c>
    </row>
    <row r="577">
      <c r="S577" s="52">
        <f>IF(OR(A577="",F577="",C577&lt;&gt;"Mekân"),0,IF(COUNTIFS($F$8:F577,F577,$C$8:C577,"Mekân")=1,1,0))</f>
        <v/>
      </c>
      <c r="T577" s="52">
        <f>IF(OR(A577="",F577="",C577&lt;&gt;"Kapak"),0,IF(COUNTIFS($F$8:F577,F577,$C$8:C577,"Kapak")=1,1,0))</f>
        <v/>
      </c>
    </row>
    <row r="578">
      <c r="S578" s="52">
        <f>IF(OR(A578="",F578="",C578&lt;&gt;"Mekân"),0,IF(COUNTIFS($F$8:F578,F578,$C$8:C578,"Mekân")=1,1,0))</f>
        <v/>
      </c>
      <c r="T578" s="52">
        <f>IF(OR(A578="",F578="",C578&lt;&gt;"Kapak"),0,IF(COUNTIFS($F$8:F578,F578,$C$8:C578,"Kapak")=1,1,0))</f>
        <v/>
      </c>
    </row>
    <row r="579">
      <c r="S579" s="52">
        <f>IF(OR(A579="",F579="",C579&lt;&gt;"Mekân"),0,IF(COUNTIFS($F$8:F579,F579,$C$8:C579,"Mekân")=1,1,0))</f>
        <v/>
      </c>
      <c r="T579" s="52">
        <f>IF(OR(A579="",F579="",C579&lt;&gt;"Kapak"),0,IF(COUNTIFS($F$8:F579,F579,$C$8:C579,"Kapak")=1,1,0))</f>
        <v/>
      </c>
    </row>
    <row r="580">
      <c r="S580" s="52">
        <f>IF(OR(A580="",F580="",C580&lt;&gt;"Mekân"),0,IF(COUNTIFS($F$8:F580,F580,$C$8:C580,"Mekân")=1,1,0))</f>
        <v/>
      </c>
      <c r="T580" s="52">
        <f>IF(OR(A580="",F580="",C580&lt;&gt;"Kapak"),0,IF(COUNTIFS($F$8:F580,F580,$C$8:C580,"Kapak")=1,1,0))</f>
        <v/>
      </c>
    </row>
    <row r="581">
      <c r="S581" s="52">
        <f>IF(OR(A581="",F581="",C581&lt;&gt;"Mekân"),0,IF(COUNTIFS($F$8:F581,F581,$C$8:C581,"Mekân")=1,1,0))</f>
        <v/>
      </c>
      <c r="T581" s="52">
        <f>IF(OR(A581="",F581="",C581&lt;&gt;"Kapak"),0,IF(COUNTIFS($F$8:F581,F581,$C$8:C581,"Kapak")=1,1,0))</f>
        <v/>
      </c>
    </row>
    <row r="582">
      <c r="S582" s="52">
        <f>IF(OR(A582="",F582="",C582&lt;&gt;"Mekân"),0,IF(COUNTIFS($F$8:F582,F582,$C$8:C582,"Mekân")=1,1,0))</f>
        <v/>
      </c>
      <c r="T582" s="52">
        <f>IF(OR(A582="",F582="",C582&lt;&gt;"Kapak"),0,IF(COUNTIFS($F$8:F582,F582,$C$8:C582,"Kapak")=1,1,0))</f>
        <v/>
      </c>
    </row>
    <row r="583">
      <c r="S583" s="52">
        <f>IF(OR(A583="",F583="",C583&lt;&gt;"Mekân"),0,IF(COUNTIFS($F$8:F583,F583,$C$8:C583,"Mekân")=1,1,0))</f>
        <v/>
      </c>
      <c r="T583" s="52">
        <f>IF(OR(A583="",F583="",C583&lt;&gt;"Kapak"),0,IF(COUNTIFS($F$8:F583,F583,$C$8:C583,"Kapak")=1,1,0))</f>
        <v/>
      </c>
    </row>
    <row r="584">
      <c r="S584" s="52">
        <f>IF(OR(A584="",F584="",C584&lt;&gt;"Mekân"),0,IF(COUNTIFS($F$8:F584,F584,$C$8:C584,"Mekân")=1,1,0))</f>
        <v/>
      </c>
      <c r="T584" s="52">
        <f>IF(OR(A584="",F584="",C584&lt;&gt;"Kapak"),0,IF(COUNTIFS($F$8:F584,F584,$C$8:C584,"Kapak")=1,1,0))</f>
        <v/>
      </c>
    </row>
    <row r="585">
      <c r="S585" s="52">
        <f>IF(OR(A585="",F585="",C585&lt;&gt;"Mekân"),0,IF(COUNTIFS($F$8:F585,F585,$C$8:C585,"Mekân")=1,1,0))</f>
        <v/>
      </c>
      <c r="T585" s="52">
        <f>IF(OR(A585="",F585="",C585&lt;&gt;"Kapak"),0,IF(COUNTIFS($F$8:F585,F585,$C$8:C585,"Kapak")=1,1,0))</f>
        <v/>
      </c>
    </row>
    <row r="586">
      <c r="S586" s="52">
        <f>IF(OR(A586="",F586="",C586&lt;&gt;"Mekân"),0,IF(COUNTIFS($F$8:F586,F586,$C$8:C586,"Mekân")=1,1,0))</f>
        <v/>
      </c>
      <c r="T586" s="52">
        <f>IF(OR(A586="",F586="",C586&lt;&gt;"Kapak"),0,IF(COUNTIFS($F$8:F586,F586,$C$8:C586,"Kapak")=1,1,0))</f>
        <v/>
      </c>
    </row>
    <row r="587">
      <c r="S587" s="52">
        <f>IF(OR(A587="",F587="",C587&lt;&gt;"Mekân"),0,IF(COUNTIFS($F$8:F587,F587,$C$8:C587,"Mekân")=1,1,0))</f>
        <v/>
      </c>
      <c r="T587" s="52">
        <f>IF(OR(A587="",F587="",C587&lt;&gt;"Kapak"),0,IF(COUNTIFS($F$8:F587,F587,$C$8:C587,"Kapak")=1,1,0))</f>
        <v/>
      </c>
    </row>
    <row r="588">
      <c r="S588" s="52">
        <f>IF(OR(A588="",F588="",C588&lt;&gt;"Mekân"),0,IF(COUNTIFS($F$8:F588,F588,$C$8:C588,"Mekân")=1,1,0))</f>
        <v/>
      </c>
      <c r="T588" s="52">
        <f>IF(OR(A588="",F588="",C588&lt;&gt;"Kapak"),0,IF(COUNTIFS($F$8:F588,F588,$C$8:C588,"Kapak")=1,1,0))</f>
        <v/>
      </c>
    </row>
    <row r="589">
      <c r="S589" s="52">
        <f>IF(OR(A589="",F589="",C589&lt;&gt;"Mekân"),0,IF(COUNTIFS($F$8:F589,F589,$C$8:C589,"Mekân")=1,1,0))</f>
        <v/>
      </c>
      <c r="T589" s="52">
        <f>IF(OR(A589="",F589="",C589&lt;&gt;"Kapak"),0,IF(COUNTIFS($F$8:F589,F589,$C$8:C589,"Kapak")=1,1,0))</f>
        <v/>
      </c>
    </row>
    <row r="590">
      <c r="S590" s="52">
        <f>IF(OR(A590="",F590="",C590&lt;&gt;"Mekân"),0,IF(COUNTIFS($F$8:F590,F590,$C$8:C590,"Mekân")=1,1,0))</f>
        <v/>
      </c>
      <c r="T590" s="52">
        <f>IF(OR(A590="",F590="",C590&lt;&gt;"Kapak"),0,IF(COUNTIFS($F$8:F590,F590,$C$8:C590,"Kapak")=1,1,0))</f>
        <v/>
      </c>
    </row>
    <row r="591">
      <c r="S591" s="52">
        <f>IF(OR(A591="",F591="",C591&lt;&gt;"Mekân"),0,IF(COUNTIFS($F$8:F591,F591,$C$8:C591,"Mekân")=1,1,0))</f>
        <v/>
      </c>
      <c r="T591" s="52">
        <f>IF(OR(A591="",F591="",C591&lt;&gt;"Kapak"),0,IF(COUNTIFS($F$8:F591,F591,$C$8:C591,"Kapak")=1,1,0))</f>
        <v/>
      </c>
    </row>
    <row r="592">
      <c r="S592" s="52">
        <f>IF(OR(A592="",F592="",C592&lt;&gt;"Mekân"),0,IF(COUNTIFS($F$8:F592,F592,$C$8:C592,"Mekân")=1,1,0))</f>
        <v/>
      </c>
      <c r="T592" s="52">
        <f>IF(OR(A592="",F592="",C592&lt;&gt;"Kapak"),0,IF(COUNTIFS($F$8:F592,F592,$C$8:C592,"Kapak")=1,1,0))</f>
        <v/>
      </c>
    </row>
    <row r="593">
      <c r="S593" s="52">
        <f>IF(OR(A593="",F593="",C593&lt;&gt;"Mekân"),0,IF(COUNTIFS($F$8:F593,F593,$C$8:C593,"Mekân")=1,1,0))</f>
        <v/>
      </c>
      <c r="T593" s="52">
        <f>IF(OR(A593="",F593="",C593&lt;&gt;"Kapak"),0,IF(COUNTIFS($F$8:F593,F593,$C$8:C593,"Kapak")=1,1,0))</f>
        <v/>
      </c>
    </row>
    <row r="594">
      <c r="S594" s="52">
        <f>IF(OR(A594="",F594="",C594&lt;&gt;"Mekân"),0,IF(COUNTIFS($F$8:F594,F594,$C$8:C594,"Mekân")=1,1,0))</f>
        <v/>
      </c>
      <c r="T594" s="52">
        <f>IF(OR(A594="",F594="",C594&lt;&gt;"Kapak"),0,IF(COUNTIFS($F$8:F594,F594,$C$8:C594,"Kapak")=1,1,0))</f>
        <v/>
      </c>
    </row>
    <row r="595">
      <c r="S595" s="52">
        <f>IF(OR(A595="",F595="",C595&lt;&gt;"Mekân"),0,IF(COUNTIFS($F$8:F595,F595,$C$8:C595,"Mekân")=1,1,0))</f>
        <v/>
      </c>
      <c r="T595" s="52">
        <f>IF(OR(A595="",F595="",C595&lt;&gt;"Kapak"),0,IF(COUNTIFS($F$8:F595,F595,$C$8:C595,"Kapak")=1,1,0))</f>
        <v/>
      </c>
    </row>
    <row r="596">
      <c r="S596" s="52">
        <f>IF(OR(A596="",F596="",C596&lt;&gt;"Mekân"),0,IF(COUNTIFS($F$8:F596,F596,$C$8:C596,"Mekân")=1,1,0))</f>
        <v/>
      </c>
      <c r="T596" s="52">
        <f>IF(OR(A596="",F596="",C596&lt;&gt;"Kapak"),0,IF(COUNTIFS($F$8:F596,F596,$C$8:C596,"Kapak")=1,1,0))</f>
        <v/>
      </c>
    </row>
    <row r="597">
      <c r="S597" s="52">
        <f>IF(OR(A597="",F597="",C597&lt;&gt;"Mekân"),0,IF(COUNTIFS($F$8:F597,F597,$C$8:C597,"Mekân")=1,1,0))</f>
        <v/>
      </c>
      <c r="T597" s="52">
        <f>IF(OR(A597="",F597="",C597&lt;&gt;"Kapak"),0,IF(COUNTIFS($F$8:F597,F597,$C$8:C597,"Kapak")=1,1,0))</f>
        <v/>
      </c>
    </row>
    <row r="598">
      <c r="S598" s="52">
        <f>IF(OR(A598="",F598="",C598&lt;&gt;"Mekân"),0,IF(COUNTIFS($F$8:F598,F598,$C$8:C598,"Mekân")=1,1,0))</f>
        <v/>
      </c>
      <c r="T598" s="52">
        <f>IF(OR(A598="",F598="",C598&lt;&gt;"Kapak"),0,IF(COUNTIFS($F$8:F598,F598,$C$8:C598,"Kapak")=1,1,0))</f>
        <v/>
      </c>
    </row>
    <row r="599">
      <c r="S599" s="52">
        <f>IF(OR(A599="",F599="",C599&lt;&gt;"Mekân"),0,IF(COUNTIFS($F$8:F599,F599,$C$8:C599,"Mekân")=1,1,0))</f>
        <v/>
      </c>
      <c r="T599" s="52">
        <f>IF(OR(A599="",F599="",C599&lt;&gt;"Kapak"),0,IF(COUNTIFS($F$8:F599,F599,$C$8:C599,"Kapak")=1,1,0))</f>
        <v/>
      </c>
    </row>
    <row r="600">
      <c r="S600" s="52">
        <f>IF(OR(A600="",F600="",C600&lt;&gt;"Mekân"),0,IF(COUNTIFS($F$8:F600,F600,$C$8:C600,"Mekân")=1,1,0))</f>
        <v/>
      </c>
      <c r="T600" s="52">
        <f>IF(OR(A600="",F600="",C600&lt;&gt;"Kapak"),0,IF(COUNTIFS($F$8:F600,F600,$C$8:C600,"Kapak")=1,1,0))</f>
        <v/>
      </c>
    </row>
    <row r="601">
      <c r="S601" s="52">
        <f>IF(OR(A601="",F601="",C601&lt;&gt;"Mekân"),0,IF(COUNTIFS($F$8:F601,F601,$C$8:C601,"Mekân")=1,1,0))</f>
        <v/>
      </c>
      <c r="T601" s="52">
        <f>IF(OR(A601="",F601="",C601&lt;&gt;"Kapak"),0,IF(COUNTIFS($F$8:F601,F601,$C$8:C601,"Kapak")=1,1,0))</f>
        <v/>
      </c>
    </row>
    <row r="602">
      <c r="S602" s="52">
        <f>IF(OR(A602="",F602="",C602&lt;&gt;"Mekân"),0,IF(COUNTIFS($F$8:F602,F602,$C$8:C602,"Mekân")=1,1,0))</f>
        <v/>
      </c>
      <c r="T602" s="52">
        <f>IF(OR(A602="",F602="",C602&lt;&gt;"Kapak"),0,IF(COUNTIFS($F$8:F602,F602,$C$8:C602,"Kapak")=1,1,0))</f>
        <v/>
      </c>
    </row>
    <row r="603">
      <c r="S603" s="52">
        <f>IF(OR(A603="",F603="",C603&lt;&gt;"Mekân"),0,IF(COUNTIFS($F$8:F603,F603,$C$8:C603,"Mekân")=1,1,0))</f>
        <v/>
      </c>
      <c r="T603" s="52">
        <f>IF(OR(A603="",F603="",C603&lt;&gt;"Kapak"),0,IF(COUNTIFS($F$8:F603,F603,$C$8:C603,"Kapak")=1,1,0))</f>
        <v/>
      </c>
    </row>
    <row r="604">
      <c r="S604" s="52">
        <f>IF(OR(A604="",F604="",C604&lt;&gt;"Mekân"),0,IF(COUNTIFS($F$8:F604,F604,$C$8:C604,"Mekân")=1,1,0))</f>
        <v/>
      </c>
      <c r="T604" s="52">
        <f>IF(OR(A604="",F604="",C604&lt;&gt;"Kapak"),0,IF(COUNTIFS($F$8:F604,F604,$C$8:C604,"Kapak")=1,1,0))</f>
        <v/>
      </c>
    </row>
    <row r="605">
      <c r="S605" s="52">
        <f>IF(OR(A605="",F605="",C605&lt;&gt;"Mekân"),0,IF(COUNTIFS($F$8:F605,F605,$C$8:C605,"Mekân")=1,1,0))</f>
        <v/>
      </c>
      <c r="T605" s="52">
        <f>IF(OR(A605="",F605="",C605&lt;&gt;"Kapak"),0,IF(COUNTIFS($F$8:F605,F605,$C$8:C605,"Kapak")=1,1,0))</f>
        <v/>
      </c>
    </row>
    <row r="606">
      <c r="S606" s="52">
        <f>IF(OR(A606="",F606="",C606&lt;&gt;"Mekân"),0,IF(COUNTIFS($F$8:F606,F606,$C$8:C606,"Mekân")=1,1,0))</f>
        <v/>
      </c>
      <c r="T606" s="52">
        <f>IF(OR(A606="",F606="",C606&lt;&gt;"Kapak"),0,IF(COUNTIFS($F$8:F606,F606,$C$8:C606,"Kapak")=1,1,0))</f>
        <v/>
      </c>
    </row>
    <row r="607">
      <c r="S607" s="52">
        <f>IF(OR(A607="",F607="",C607&lt;&gt;"Mekân"),0,IF(COUNTIFS($F$8:F607,F607,$C$8:C607,"Mekân")=1,1,0))</f>
        <v/>
      </c>
      <c r="T607" s="52">
        <f>IF(OR(A607="",F607="",C607&lt;&gt;"Kapak"),0,IF(COUNTIFS($F$8:F607,F607,$C$8:C607,"Kapak")=1,1,0))</f>
        <v/>
      </c>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E8:E357">
    <cfRule type="expression" priority="4" dxfId="1">
      <formula>AND($A8&lt;&gt;"",ISBLANK(E8))</formula>
    </cfRule>
  </conditionalFormatting>
  <conditionalFormatting sqref="F8:F357">
    <cfRule type="expression" priority="5" dxfId="1">
      <formula>AND($A8&lt;&gt;"",ISBLANK(F8))</formula>
    </cfRule>
  </conditionalFormatting>
  <conditionalFormatting sqref="G8:G357">
    <cfRule type="expression" priority="6" dxfId="1">
      <formula>AND($A8&lt;&gt;"",ISBLANK(G8))</formula>
    </cfRule>
  </conditionalFormatting>
  <conditionalFormatting sqref="H8:H357">
    <cfRule type="expression" priority="7" dxfId="1">
      <formula>AND($A8&lt;&gt;"",ISBLANK(H8))</formula>
    </cfRule>
  </conditionalFormatting>
  <conditionalFormatting sqref="I8:I357">
    <cfRule type="expression" priority="8" dxfId="1">
      <formula>AND($A8&lt;&gt;"",ISBLANK(I8))</formula>
    </cfRule>
  </conditionalFormatting>
  <conditionalFormatting sqref="J8:J357">
    <cfRule type="expression" priority="9" dxfId="1">
      <formula>AND($A8&lt;&gt;"",ISBLANK(J8))</formula>
    </cfRule>
  </conditionalFormatting>
  <conditionalFormatting sqref="K8:K357">
    <cfRule type="expression" priority="10" dxfId="1">
      <formula>AND($A8&lt;&gt;"",ISBLANK(K8))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O8:O357">
    <cfRule type="expression" priority="13" dxfId="1">
      <formula>AND($A8&lt;&gt;"",ISBLANK(O8))</formula>
    </cfRule>
  </conditionalFormatting>
  <conditionalFormatting sqref="P8:P357">
    <cfRule type="expression" priority="14" dxfId="1">
      <formula>AND($A8&lt;&gt;"",ISBLANK(P8))</formula>
    </cfRule>
  </conditionalFormatting>
  <conditionalFormatting sqref="Q8:Q357">
    <cfRule type="expression" priority="15" dxfId="1">
      <formula>AND($A8&lt;&gt;"",ISBLANK(Q8))</formula>
    </cfRule>
  </conditionalFormatting>
  <conditionalFormatting sqref="R8:R357">
    <cfRule type="expression" priority="16" dxfId="1">
      <formula>AND($A8&lt;&gt;"",ISBLANK(R8))</formula>
    </cfRule>
  </conditionalFormatting>
  <dataValidations count="3">
    <dataValidation sqref="C8:C357" showDropDown="0" showInputMessage="0" showErrorMessage="0" allowBlank="0" type="list">
      <formula1>"Mekân,Kapak"</formula1>
    </dataValidation>
    <dataValidation sqref="P8:P357" showDropDown="0" showInputMessage="0" showErrorMessage="0" allowBlank="0" type="list">
      <formula1>"Evet,Hayır"</formula1>
    </dataValidation>
    <dataValidation sqref="R8:R35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W35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48" customWidth="1" min="4" max="4"/>
    <col width="28" customWidth="1" min="5" max="5"/>
    <col width="28" customWidth="1" min="6" max="6"/>
    <col width="28" customWidth="1" min="7" max="7"/>
    <col width="48" customWidth="1" min="8" max="8"/>
    <col width="58" customWidth="1" min="9" max="9"/>
    <col width="28" customWidth="1" min="10" max="10"/>
    <col width="28" customWidth="1" min="11" max="11"/>
    <col width="20" customWidth="1" min="12" max="12"/>
    <col width="28" customWidth="1" min="13" max="13"/>
    <col width="28" customWidth="1" min="14" max="14"/>
    <col width="28" customWidth="1" min="15" max="15"/>
    <col width="58" customWidth="1" min="16" max="16"/>
    <col width="28" customWidth="1" min="17" max="17"/>
    <col width="58" customWidth="1" min="18" max="18"/>
    <col width="28" customWidth="1" min="19" max="19"/>
    <col width="28" customWidth="1" min="20" max="20"/>
    <col width="28" customWidth="1" min="21" max="21"/>
    <col width="28" customWidth="1" min="22" max="22"/>
    <col width="4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Fotoğraf kaynak ve hak kanıtı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 · tarih</t>
        </is>
      </c>
      <c r="M5" s="22" t="inlineStr">
        <is>
          <t>Zorunlu</t>
        </is>
      </c>
      <c r="N5" s="22" t="inlineStr">
        <is>
          <t>Zorunlu</t>
        </is>
      </c>
      <c r="O5" s="22" t="inlineStr">
        <is>
          <t>İsteğe bağlı</t>
        </is>
      </c>
      <c r="P5" s="22" t="inlineStr">
        <is>
          <t>İsteğe bağlı</t>
        </is>
      </c>
      <c r="Q5" s="22" t="inlineStr">
        <is>
          <t>Zorunlu</t>
        </is>
      </c>
      <c r="R5" s="22" t="inlineStr">
        <is>
          <t>İsteğe bağlı</t>
        </is>
      </c>
      <c r="S5" s="22" t="inlineStr">
        <is>
          <t>İsteğe bağlı</t>
        </is>
      </c>
      <c r="T5" s="22" t="inlineStr">
        <is>
          <t>İsteğe bağlı</t>
        </is>
      </c>
      <c r="U5" s="22" t="inlineStr">
        <is>
          <t>İsteğe bağlı</t>
        </is>
      </c>
      <c r="V5" s="22" t="inlineStr">
        <is>
          <t>İsteğe bağlı</t>
        </is>
      </c>
      <c r="W5" s="22" t="inlineStr">
        <is>
          <t>İsteğe bağlı · JSON</t>
        </is>
      </c>
    </row>
    <row r="6" ht="44" customHeight="1">
      <c r="A6" s="25" t="inlineStr">
        <is>
          <t>Kanıt kimliği</t>
        </is>
      </c>
      <c r="B6" s="25" t="inlineStr">
        <is>
          <t>Şehir kimliği</t>
        </is>
      </c>
      <c r="C6" s="25" t="inlineStr">
        <is>
          <t>Fotoğraf kimliği</t>
        </is>
      </c>
      <c r="D6" s="25" t="inlineStr">
        <is>
          <t>Kaynak sayfası</t>
        </is>
      </c>
      <c r="E6" s="25" t="inlineStr">
        <is>
          <t>Kaynak görsel başlığı</t>
        </is>
      </c>
      <c r="F6" s="25" t="inlineStr">
        <is>
          <t>Kaynak fotoğrafçısı</t>
        </is>
      </c>
      <c r="G6" s="25" t="inlineStr">
        <is>
          <t>Kaynak lisansı</t>
        </is>
      </c>
      <c r="H6" s="25" t="inlineStr">
        <is>
          <t>Kaynak lisans bağlantısı</t>
        </is>
      </c>
      <c r="I6" s="25" t="inlineStr">
        <is>
          <t>Kullanım koşulları</t>
        </is>
      </c>
      <c r="J6" s="25" t="inlineStr">
        <is>
          <t>Gerekli atıf metni</t>
        </is>
      </c>
      <c r="K6" s="25" t="inlineStr">
        <is>
          <t>Kısıt / üçüncü kişi hakkı</t>
        </is>
      </c>
      <c r="L6" s="25" t="inlineStr">
        <is>
          <t>Kanıt kontrol tarihi</t>
        </is>
      </c>
      <c r="M6" s="25" t="inlineStr">
        <is>
          <t>Kaynak bilgisi incelemesi</t>
        </is>
      </c>
      <c r="N6" s="25" t="inlineStr">
        <is>
          <t>Kare / mekân incelemesi</t>
        </is>
      </c>
      <c r="O6" s="25" t="inlineStr">
        <is>
          <t>İncelenen görsel dosyası</t>
        </is>
      </c>
      <c r="P6" s="25" t="inlineStr">
        <is>
          <t>Mekân eşleşmesi ve kare notu</t>
        </is>
      </c>
      <c r="Q6" s="25" t="inlineStr">
        <is>
          <t>Üçüncü kişi hak incelemesi</t>
        </is>
      </c>
      <c r="R6" s="25" t="inlineStr">
        <is>
          <t>Hak değerlendirmesi gerekçesi</t>
        </is>
      </c>
      <c r="S6" s="25" t="inlineStr">
        <is>
          <t>Kaynak sayfası kanıt dosyası</t>
        </is>
      </c>
      <c r="T6" s="25" t="inlineStr">
        <is>
          <t>Kaynak kanıt SHA-256</t>
        </is>
      </c>
      <c r="U6" s="25" t="inlineStr">
        <is>
          <t>Lisans kanıt dosyası</t>
        </is>
      </c>
      <c r="V6" s="25" t="inlineStr">
        <is>
          <t>Lisans kanıt SHA-256</t>
        </is>
      </c>
      <c r="W6" s="25" t="inlineStr">
        <is>
          <t>Tam özgün kanıt yapısı (JSON)</t>
        </is>
      </c>
    </row>
    <row r="7" ht="32" customHeight="1">
      <c r="A7" s="28" t="inlineStr">
        <is>
          <t>evidence_id</t>
        </is>
      </c>
      <c r="B7" s="28" t="inlineStr">
        <is>
          <t>city_id</t>
        </is>
      </c>
      <c r="C7" s="28" t="inlineStr">
        <is>
          <t>photo_id</t>
        </is>
      </c>
      <c r="D7" s="28" t="inlineStr">
        <is>
          <t>source_url</t>
        </is>
      </c>
      <c r="E7" s="28" t="inlineStr">
        <is>
          <t>source_title</t>
        </is>
      </c>
      <c r="F7" s="28" t="inlineStr">
        <is>
          <t>author</t>
        </is>
      </c>
      <c r="G7" s="28" t="inlineStr">
        <is>
          <t>license</t>
        </is>
      </c>
      <c r="H7" s="28" t="inlineStr">
        <is>
          <t>license_url</t>
        </is>
      </c>
      <c r="I7" s="28" t="inlineStr">
        <is>
          <t>usage_terms</t>
        </is>
      </c>
      <c r="J7" s="28" t="inlineStr">
        <is>
          <t>attribution</t>
        </is>
      </c>
      <c r="K7" s="28" t="inlineStr">
        <is>
          <t>restrictions</t>
        </is>
      </c>
      <c r="L7" s="28" t="inlineStr">
        <is>
          <t>checked_on</t>
        </is>
      </c>
      <c r="M7" s="28" t="inlineStr">
        <is>
          <t>metadata_review_status</t>
        </is>
      </c>
      <c r="N7" s="28" t="inlineStr">
        <is>
          <t>pixel_review_status</t>
        </is>
      </c>
      <c r="O7" s="28" t="inlineStr">
        <is>
          <t>pixel_review_file</t>
        </is>
      </c>
      <c r="P7" s="28" t="inlineStr">
        <is>
          <t>pixel_review_note</t>
        </is>
      </c>
      <c r="Q7" s="28" t="inlineStr">
        <is>
          <t>rights_status</t>
        </is>
      </c>
      <c r="R7" s="28" t="inlineStr">
        <is>
          <t>rights_basis</t>
        </is>
      </c>
      <c r="S7" s="28" t="inlineStr">
        <is>
          <t>source_snapshot_file</t>
        </is>
      </c>
      <c r="T7" s="28" t="inlineStr">
        <is>
          <t>source_snapshot_sha256</t>
        </is>
      </c>
      <c r="U7" s="28" t="inlineStr">
        <is>
          <t>license_snapshot_file</t>
        </is>
      </c>
      <c r="V7" s="28" t="inlineStr">
        <is>
          <t>license_snapshot_sha256</t>
        </is>
      </c>
      <c r="W7" s="28" t="inlineStr">
        <is>
          <t>source_evidence_json</t>
        </is>
      </c>
    </row>
    <row r="8" ht="54" customHeight="1">
      <c r="A8" s="29" t="n"/>
      <c r="B8" s="29" t="n"/>
      <c r="C8" s="29" t="n"/>
      <c r="D8" s="29" t="n"/>
      <c r="E8" s="29" t="n"/>
      <c r="F8" s="29" t="n"/>
      <c r="G8" s="29" t="n"/>
      <c r="H8" s="29" t="n"/>
      <c r="I8" s="29" t="n"/>
      <c r="J8" s="29" t="n"/>
      <c r="K8" s="29" t="n"/>
      <c r="L8" s="49" t="n"/>
      <c r="M8" s="29" t="n"/>
      <c r="N8" s="29" t="n"/>
      <c r="O8" s="29" t="n"/>
      <c r="P8" s="29" t="n"/>
      <c r="Q8" s="29" t="n"/>
      <c r="R8" s="29" t="n"/>
      <c r="S8" s="29" t="n"/>
      <c r="T8" s="29" t="n"/>
      <c r="U8" s="29" t="n"/>
      <c r="V8" s="29" t="n"/>
      <c r="W8" s="29" t="n"/>
    </row>
    <row r="9" ht="54" customHeight="1">
      <c r="A9" s="29" t="n"/>
      <c r="B9" s="29" t="n"/>
      <c r="C9" s="29" t="n"/>
      <c r="D9" s="29" t="n"/>
      <c r="E9" s="29" t="n"/>
      <c r="F9" s="29" t="n"/>
      <c r="G9" s="29" t="n"/>
      <c r="H9" s="29" t="n"/>
      <c r="I9" s="29" t="n"/>
      <c r="J9" s="29" t="n"/>
      <c r="K9" s="29" t="n"/>
      <c r="L9" s="49" t="n"/>
      <c r="M9" s="29" t="n"/>
      <c r="N9" s="29" t="n"/>
      <c r="O9" s="29" t="n"/>
      <c r="P9" s="29" t="n"/>
      <c r="Q9" s="29" t="n"/>
      <c r="R9" s="29" t="n"/>
      <c r="S9" s="29" t="n"/>
      <c r="T9" s="29" t="n"/>
      <c r="U9" s="29" t="n"/>
      <c r="V9" s="29" t="n"/>
      <c r="W9" s="29" t="n"/>
    </row>
    <row r="10" ht="54" customHeight="1">
      <c r="A10" s="29" t="n"/>
      <c r="B10" s="29" t="n"/>
      <c r="C10" s="29" t="n"/>
      <c r="D10" s="29" t="n"/>
      <c r="E10" s="29" t="n"/>
      <c r="F10" s="29" t="n"/>
      <c r="G10" s="29" t="n"/>
      <c r="H10" s="29" t="n"/>
      <c r="I10" s="29" t="n"/>
      <c r="J10" s="29" t="n"/>
      <c r="K10" s="29" t="n"/>
      <c r="L10" s="49" t="n"/>
      <c r="M10" s="29" t="n"/>
      <c r="N10" s="29" t="n"/>
      <c r="O10" s="29" t="n"/>
      <c r="P10" s="29" t="n"/>
      <c r="Q10" s="29" t="n"/>
      <c r="R10" s="29" t="n"/>
      <c r="S10" s="29" t="n"/>
      <c r="T10" s="29" t="n"/>
      <c r="U10" s="29" t="n"/>
      <c r="V10" s="29" t="n"/>
      <c r="W10" s="29" t="n"/>
    </row>
    <row r="11" ht="54" customHeight="1">
      <c r="A11" s="29" t="n"/>
      <c r="B11" s="29" t="n"/>
      <c r="C11" s="29" t="n"/>
      <c r="D11" s="29" t="n"/>
      <c r="E11" s="29" t="n"/>
      <c r="F11" s="29" t="n"/>
      <c r="G11" s="29" t="n"/>
      <c r="H11" s="29" t="n"/>
      <c r="I11" s="29" t="n"/>
      <c r="J11" s="29" t="n"/>
      <c r="K11" s="29" t="n"/>
      <c r="L11" s="49" t="n"/>
      <c r="M11" s="29" t="n"/>
      <c r="N11" s="29" t="n"/>
      <c r="O11" s="29" t="n"/>
      <c r="P11" s="29" t="n"/>
      <c r="Q11" s="29" t="n"/>
      <c r="R11" s="29" t="n"/>
      <c r="S11" s="29" t="n"/>
      <c r="T11" s="29" t="n"/>
      <c r="U11" s="29" t="n"/>
      <c r="V11" s="29" t="n"/>
      <c r="W11" s="29" t="n"/>
    </row>
    <row r="12" ht="54" customHeight="1">
      <c r="A12" s="29" t="n"/>
      <c r="B12" s="29" t="n"/>
      <c r="C12" s="29" t="n"/>
      <c r="D12" s="29" t="n"/>
      <c r="E12" s="29" t="n"/>
      <c r="F12" s="29" t="n"/>
      <c r="G12" s="29" t="n"/>
      <c r="H12" s="29" t="n"/>
      <c r="I12" s="29" t="n"/>
      <c r="J12" s="29" t="n"/>
      <c r="K12" s="29" t="n"/>
      <c r="L12" s="49" t="n"/>
      <c r="M12" s="29" t="n"/>
      <c r="N12" s="29" t="n"/>
      <c r="O12" s="29" t="n"/>
      <c r="P12" s="29" t="n"/>
      <c r="Q12" s="29" t="n"/>
      <c r="R12" s="29" t="n"/>
      <c r="S12" s="29" t="n"/>
      <c r="T12" s="29" t="n"/>
      <c r="U12" s="29" t="n"/>
      <c r="V12" s="29" t="n"/>
      <c r="W12" s="29" t="n"/>
    </row>
    <row r="13" ht="54" customHeight="1">
      <c r="A13" s="29" t="n"/>
      <c r="B13" s="29" t="n"/>
      <c r="C13" s="29" t="n"/>
      <c r="D13" s="29" t="n"/>
      <c r="E13" s="29" t="n"/>
      <c r="F13" s="29" t="n"/>
      <c r="G13" s="29" t="n"/>
      <c r="H13" s="29" t="n"/>
      <c r="I13" s="29" t="n"/>
      <c r="J13" s="29" t="n"/>
      <c r="K13" s="29" t="n"/>
      <c r="L13" s="49" t="n"/>
      <c r="M13" s="29" t="n"/>
      <c r="N13" s="29" t="n"/>
      <c r="O13" s="29" t="n"/>
      <c r="P13" s="29" t="n"/>
      <c r="Q13" s="29" t="n"/>
      <c r="R13" s="29" t="n"/>
      <c r="S13" s="29" t="n"/>
      <c r="T13" s="29" t="n"/>
      <c r="U13" s="29" t="n"/>
      <c r="V13" s="29" t="n"/>
      <c r="W13" s="29" t="n"/>
    </row>
    <row r="14" ht="54" customHeight="1">
      <c r="A14" s="29" t="n"/>
      <c r="B14" s="29" t="n"/>
      <c r="C14" s="29" t="n"/>
      <c r="D14" s="29" t="n"/>
      <c r="E14" s="29" t="n"/>
      <c r="F14" s="29" t="n"/>
      <c r="G14" s="29" t="n"/>
      <c r="H14" s="29" t="n"/>
      <c r="I14" s="29" t="n"/>
      <c r="J14" s="29" t="n"/>
      <c r="K14" s="29" t="n"/>
      <c r="L14" s="49" t="n"/>
      <c r="M14" s="29" t="n"/>
      <c r="N14" s="29" t="n"/>
      <c r="O14" s="29" t="n"/>
      <c r="P14" s="29" t="n"/>
      <c r="Q14" s="29" t="n"/>
      <c r="R14" s="29" t="n"/>
      <c r="S14" s="29" t="n"/>
      <c r="T14" s="29" t="n"/>
      <c r="U14" s="29" t="n"/>
      <c r="V14" s="29" t="n"/>
      <c r="W14" s="29" t="n"/>
    </row>
    <row r="15" ht="54" customHeight="1">
      <c r="A15" s="29" t="n"/>
      <c r="B15" s="29" t="n"/>
      <c r="C15" s="29" t="n"/>
      <c r="D15" s="29" t="n"/>
      <c r="E15" s="29" t="n"/>
      <c r="F15" s="29" t="n"/>
      <c r="G15" s="29" t="n"/>
      <c r="H15" s="29" t="n"/>
      <c r="I15" s="29" t="n"/>
      <c r="J15" s="29" t="n"/>
      <c r="K15" s="29" t="n"/>
      <c r="L15" s="49" t="n"/>
      <c r="M15" s="29" t="n"/>
      <c r="N15" s="29" t="n"/>
      <c r="O15" s="29" t="n"/>
      <c r="P15" s="29" t="n"/>
      <c r="Q15" s="29" t="n"/>
      <c r="R15" s="29" t="n"/>
      <c r="S15" s="29" t="n"/>
      <c r="T15" s="29" t="n"/>
      <c r="U15" s="29" t="n"/>
      <c r="V15" s="29" t="n"/>
      <c r="W15" s="29" t="n"/>
    </row>
    <row r="16" ht="54" customHeight="1">
      <c r="A16" s="29" t="n"/>
      <c r="B16" s="29" t="n"/>
      <c r="C16" s="29" t="n"/>
      <c r="D16" s="29" t="n"/>
      <c r="E16" s="29" t="n"/>
      <c r="F16" s="29" t="n"/>
      <c r="G16" s="29" t="n"/>
      <c r="H16" s="29" t="n"/>
      <c r="I16" s="29" t="n"/>
      <c r="J16" s="29" t="n"/>
      <c r="K16" s="29" t="n"/>
      <c r="L16" s="49" t="n"/>
      <c r="M16" s="29" t="n"/>
      <c r="N16" s="29" t="n"/>
      <c r="O16" s="29" t="n"/>
      <c r="P16" s="29" t="n"/>
      <c r="Q16" s="29" t="n"/>
      <c r="R16" s="29" t="n"/>
      <c r="S16" s="29" t="n"/>
      <c r="T16" s="29" t="n"/>
      <c r="U16" s="29" t="n"/>
      <c r="V16" s="29" t="n"/>
      <c r="W16" s="29" t="n"/>
    </row>
    <row r="17" ht="54" customHeight="1">
      <c r="A17" s="29" t="n"/>
      <c r="B17" s="29" t="n"/>
      <c r="C17" s="29" t="n"/>
      <c r="D17" s="29" t="n"/>
      <c r="E17" s="29" t="n"/>
      <c r="F17" s="29" t="n"/>
      <c r="G17" s="29" t="n"/>
      <c r="H17" s="29" t="n"/>
      <c r="I17" s="29" t="n"/>
      <c r="J17" s="29" t="n"/>
      <c r="K17" s="29" t="n"/>
      <c r="L17" s="49" t="n"/>
      <c r="M17" s="29" t="n"/>
      <c r="N17" s="29" t="n"/>
      <c r="O17" s="29" t="n"/>
      <c r="P17" s="29" t="n"/>
      <c r="Q17" s="29" t="n"/>
      <c r="R17" s="29" t="n"/>
      <c r="S17" s="29" t="n"/>
      <c r="T17" s="29" t="n"/>
      <c r="U17" s="29" t="n"/>
      <c r="V17" s="29" t="n"/>
      <c r="W17" s="29" t="n"/>
    </row>
    <row r="18" ht="54" customHeight="1">
      <c r="A18" s="29" t="n"/>
      <c r="B18" s="29" t="n"/>
      <c r="C18" s="29" t="n"/>
      <c r="D18" s="29" t="n"/>
      <c r="E18" s="29" t="n"/>
      <c r="F18" s="29" t="n"/>
      <c r="G18" s="29" t="n"/>
      <c r="H18" s="29" t="n"/>
      <c r="I18" s="29" t="n"/>
      <c r="J18" s="29" t="n"/>
      <c r="K18" s="29" t="n"/>
      <c r="L18" s="49" t="n"/>
      <c r="M18" s="29" t="n"/>
      <c r="N18" s="29" t="n"/>
      <c r="O18" s="29" t="n"/>
      <c r="P18" s="29" t="n"/>
      <c r="Q18" s="29" t="n"/>
      <c r="R18" s="29" t="n"/>
      <c r="S18" s="29" t="n"/>
      <c r="T18" s="29" t="n"/>
      <c r="U18" s="29" t="n"/>
      <c r="V18" s="29" t="n"/>
      <c r="W18" s="29" t="n"/>
    </row>
    <row r="19" ht="54" customHeight="1">
      <c r="A19" s="29" t="n"/>
      <c r="B19" s="29" t="n"/>
      <c r="C19" s="29" t="n"/>
      <c r="D19" s="29" t="n"/>
      <c r="E19" s="29" t="n"/>
      <c r="F19" s="29" t="n"/>
      <c r="G19" s="29" t="n"/>
      <c r="H19" s="29" t="n"/>
      <c r="I19" s="29" t="n"/>
      <c r="J19" s="29" t="n"/>
      <c r="K19" s="29" t="n"/>
      <c r="L19" s="49" t="n"/>
      <c r="M19" s="29" t="n"/>
      <c r="N19" s="29" t="n"/>
      <c r="O19" s="29" t="n"/>
      <c r="P19" s="29" t="n"/>
      <c r="Q19" s="29" t="n"/>
      <c r="R19" s="29" t="n"/>
      <c r="S19" s="29" t="n"/>
      <c r="T19" s="29" t="n"/>
      <c r="U19" s="29" t="n"/>
      <c r="V19" s="29" t="n"/>
      <c r="W19" s="29" t="n"/>
    </row>
    <row r="20" ht="54" customHeight="1">
      <c r="A20" s="29" t="n"/>
      <c r="B20" s="29" t="n"/>
      <c r="C20" s="29" t="n"/>
      <c r="D20" s="29" t="n"/>
      <c r="E20" s="29" t="n"/>
      <c r="F20" s="29" t="n"/>
      <c r="G20" s="29" t="n"/>
      <c r="H20" s="29" t="n"/>
      <c r="I20" s="29" t="n"/>
      <c r="J20" s="29" t="n"/>
      <c r="K20" s="29" t="n"/>
      <c r="L20" s="49" t="n"/>
      <c r="M20" s="29" t="n"/>
      <c r="N20" s="29" t="n"/>
      <c r="O20" s="29" t="n"/>
      <c r="P20" s="29" t="n"/>
      <c r="Q20" s="29" t="n"/>
      <c r="R20" s="29" t="n"/>
      <c r="S20" s="29" t="n"/>
      <c r="T20" s="29" t="n"/>
      <c r="U20" s="29" t="n"/>
      <c r="V20" s="29" t="n"/>
      <c r="W20" s="29" t="n"/>
    </row>
    <row r="21" ht="54" customHeight="1">
      <c r="A21" s="29" t="n"/>
      <c r="B21" s="29" t="n"/>
      <c r="C21" s="29" t="n"/>
      <c r="D21" s="29" t="n"/>
      <c r="E21" s="29" t="n"/>
      <c r="F21" s="29" t="n"/>
      <c r="G21" s="29" t="n"/>
      <c r="H21" s="29" t="n"/>
      <c r="I21" s="29" t="n"/>
      <c r="J21" s="29" t="n"/>
      <c r="K21" s="29" t="n"/>
      <c r="L21" s="49" t="n"/>
      <c r="M21" s="29" t="n"/>
      <c r="N21" s="29" t="n"/>
      <c r="O21" s="29" t="n"/>
      <c r="P21" s="29" t="n"/>
      <c r="Q21" s="29" t="n"/>
      <c r="R21" s="29" t="n"/>
      <c r="S21" s="29" t="n"/>
      <c r="T21" s="29" t="n"/>
      <c r="U21" s="29" t="n"/>
      <c r="V21" s="29" t="n"/>
      <c r="W21" s="29" t="n"/>
    </row>
    <row r="22" ht="54" customHeight="1">
      <c r="A22" s="29" t="n"/>
      <c r="B22" s="29" t="n"/>
      <c r="C22" s="29" t="n"/>
      <c r="D22" s="29" t="n"/>
      <c r="E22" s="29" t="n"/>
      <c r="F22" s="29" t="n"/>
      <c r="G22" s="29" t="n"/>
      <c r="H22" s="29" t="n"/>
      <c r="I22" s="29" t="n"/>
      <c r="J22" s="29" t="n"/>
      <c r="K22" s="29" t="n"/>
      <c r="L22" s="49" t="n"/>
      <c r="M22" s="29" t="n"/>
      <c r="N22" s="29" t="n"/>
      <c r="O22" s="29" t="n"/>
      <c r="P22" s="29" t="n"/>
      <c r="Q22" s="29" t="n"/>
      <c r="R22" s="29" t="n"/>
      <c r="S22" s="29" t="n"/>
      <c r="T22" s="29" t="n"/>
      <c r="U22" s="29" t="n"/>
      <c r="V22" s="29" t="n"/>
      <c r="W22" s="29" t="n"/>
    </row>
    <row r="23" ht="54" customHeight="1">
      <c r="A23" s="29" t="n"/>
      <c r="B23" s="29" t="n"/>
      <c r="C23" s="29" t="n"/>
      <c r="D23" s="29" t="n"/>
      <c r="E23" s="29" t="n"/>
      <c r="F23" s="29" t="n"/>
      <c r="G23" s="29" t="n"/>
      <c r="H23" s="29" t="n"/>
      <c r="I23" s="29" t="n"/>
      <c r="J23" s="29" t="n"/>
      <c r="K23" s="29" t="n"/>
      <c r="L23" s="49" t="n"/>
      <c r="M23" s="29" t="n"/>
      <c r="N23" s="29" t="n"/>
      <c r="O23" s="29" t="n"/>
      <c r="P23" s="29" t="n"/>
      <c r="Q23" s="29" t="n"/>
      <c r="R23" s="29" t="n"/>
      <c r="S23" s="29" t="n"/>
      <c r="T23" s="29" t="n"/>
      <c r="U23" s="29" t="n"/>
      <c r="V23" s="29" t="n"/>
      <c r="W23" s="29" t="n"/>
    </row>
    <row r="24" ht="54" customHeight="1">
      <c r="A24" s="29" t="n"/>
      <c r="B24" s="29" t="n"/>
      <c r="C24" s="29" t="n"/>
      <c r="D24" s="29" t="n"/>
      <c r="E24" s="29" t="n"/>
      <c r="F24" s="29" t="n"/>
      <c r="G24" s="29" t="n"/>
      <c r="H24" s="29" t="n"/>
      <c r="I24" s="29" t="n"/>
      <c r="J24" s="29" t="n"/>
      <c r="K24" s="29" t="n"/>
      <c r="L24" s="49" t="n"/>
      <c r="M24" s="29" t="n"/>
      <c r="N24" s="29" t="n"/>
      <c r="O24" s="29" t="n"/>
      <c r="P24" s="29" t="n"/>
      <c r="Q24" s="29" t="n"/>
      <c r="R24" s="29" t="n"/>
      <c r="S24" s="29" t="n"/>
      <c r="T24" s="29" t="n"/>
      <c r="U24" s="29" t="n"/>
      <c r="V24" s="29" t="n"/>
      <c r="W24" s="29" t="n"/>
    </row>
    <row r="25" ht="54" customHeight="1">
      <c r="A25" s="29" t="n"/>
      <c r="B25" s="29" t="n"/>
      <c r="C25" s="29" t="n"/>
      <c r="D25" s="29" t="n"/>
      <c r="E25" s="29" t="n"/>
      <c r="F25" s="29" t="n"/>
      <c r="G25" s="29" t="n"/>
      <c r="H25" s="29" t="n"/>
      <c r="I25" s="29" t="n"/>
      <c r="J25" s="29" t="n"/>
      <c r="K25" s="29" t="n"/>
      <c r="L25" s="49" t="n"/>
      <c r="M25" s="29" t="n"/>
      <c r="N25" s="29" t="n"/>
      <c r="O25" s="29" t="n"/>
      <c r="P25" s="29" t="n"/>
      <c r="Q25" s="29" t="n"/>
      <c r="R25" s="29" t="n"/>
      <c r="S25" s="29" t="n"/>
      <c r="T25" s="29" t="n"/>
      <c r="U25" s="29" t="n"/>
      <c r="V25" s="29" t="n"/>
      <c r="W25" s="29" t="n"/>
    </row>
    <row r="26" ht="54" customHeight="1">
      <c r="A26" s="29" t="n"/>
      <c r="B26" s="29" t="n"/>
      <c r="C26" s="29" t="n"/>
      <c r="D26" s="29" t="n"/>
      <c r="E26" s="29" t="n"/>
      <c r="F26" s="29" t="n"/>
      <c r="G26" s="29" t="n"/>
      <c r="H26" s="29" t="n"/>
      <c r="I26" s="29" t="n"/>
      <c r="J26" s="29" t="n"/>
      <c r="K26" s="29" t="n"/>
      <c r="L26" s="49" t="n"/>
      <c r="M26" s="29" t="n"/>
      <c r="N26" s="29" t="n"/>
      <c r="O26" s="29" t="n"/>
      <c r="P26" s="29" t="n"/>
      <c r="Q26" s="29" t="n"/>
      <c r="R26" s="29" t="n"/>
      <c r="S26" s="29" t="n"/>
      <c r="T26" s="29" t="n"/>
      <c r="U26" s="29" t="n"/>
      <c r="V26" s="29" t="n"/>
      <c r="W26" s="29" t="n"/>
    </row>
    <row r="27" ht="54" customHeight="1">
      <c r="A27" s="29" t="n"/>
      <c r="B27" s="29" t="n"/>
      <c r="C27" s="29" t="n"/>
      <c r="D27" s="29" t="n"/>
      <c r="E27" s="29" t="n"/>
      <c r="F27" s="29" t="n"/>
      <c r="G27" s="29" t="n"/>
      <c r="H27" s="29" t="n"/>
      <c r="I27" s="29" t="n"/>
      <c r="J27" s="29" t="n"/>
      <c r="K27" s="29" t="n"/>
      <c r="L27" s="49" t="n"/>
      <c r="M27" s="29" t="n"/>
      <c r="N27" s="29" t="n"/>
      <c r="O27" s="29" t="n"/>
      <c r="P27" s="29" t="n"/>
      <c r="Q27" s="29" t="n"/>
      <c r="R27" s="29" t="n"/>
      <c r="S27" s="29" t="n"/>
      <c r="T27" s="29" t="n"/>
      <c r="U27" s="29" t="n"/>
      <c r="V27" s="29" t="n"/>
      <c r="W27" s="29" t="n"/>
    </row>
    <row r="28" ht="54" customHeight="1">
      <c r="A28" s="29" t="n"/>
      <c r="B28" s="29" t="n"/>
      <c r="C28" s="29" t="n"/>
      <c r="D28" s="29" t="n"/>
      <c r="E28" s="29" t="n"/>
      <c r="F28" s="29" t="n"/>
      <c r="G28" s="29" t="n"/>
      <c r="H28" s="29" t="n"/>
      <c r="I28" s="29" t="n"/>
      <c r="J28" s="29" t="n"/>
      <c r="K28" s="29" t="n"/>
      <c r="L28" s="49" t="n"/>
      <c r="M28" s="29" t="n"/>
      <c r="N28" s="29" t="n"/>
      <c r="O28" s="29" t="n"/>
      <c r="P28" s="29" t="n"/>
      <c r="Q28" s="29" t="n"/>
      <c r="R28" s="29" t="n"/>
      <c r="S28" s="29" t="n"/>
      <c r="T28" s="29" t="n"/>
      <c r="U28" s="29" t="n"/>
      <c r="V28" s="29" t="n"/>
      <c r="W28" s="29" t="n"/>
    </row>
    <row r="29" ht="54" customHeight="1">
      <c r="A29" s="29" t="n"/>
      <c r="B29" s="29" t="n"/>
      <c r="C29" s="29" t="n"/>
      <c r="D29" s="29" t="n"/>
      <c r="E29" s="29" t="n"/>
      <c r="F29" s="29" t="n"/>
      <c r="G29" s="29" t="n"/>
      <c r="H29" s="29" t="n"/>
      <c r="I29" s="29" t="n"/>
      <c r="J29" s="29" t="n"/>
      <c r="K29" s="29" t="n"/>
      <c r="L29" s="49" t="n"/>
      <c r="M29" s="29" t="n"/>
      <c r="N29" s="29" t="n"/>
      <c r="O29" s="29" t="n"/>
      <c r="P29" s="29" t="n"/>
      <c r="Q29" s="29" t="n"/>
      <c r="R29" s="29" t="n"/>
      <c r="S29" s="29" t="n"/>
      <c r="T29" s="29" t="n"/>
      <c r="U29" s="29" t="n"/>
      <c r="V29" s="29" t="n"/>
      <c r="W29" s="29" t="n"/>
    </row>
    <row r="30" ht="54" customHeight="1">
      <c r="A30" s="29" t="n"/>
      <c r="B30" s="29" t="n"/>
      <c r="C30" s="29" t="n"/>
      <c r="D30" s="29" t="n"/>
      <c r="E30" s="29" t="n"/>
      <c r="F30" s="29" t="n"/>
      <c r="G30" s="29" t="n"/>
      <c r="H30" s="29" t="n"/>
      <c r="I30" s="29" t="n"/>
      <c r="J30" s="29" t="n"/>
      <c r="K30" s="29" t="n"/>
      <c r="L30" s="49" t="n"/>
      <c r="M30" s="29" t="n"/>
      <c r="N30" s="29" t="n"/>
      <c r="O30" s="29" t="n"/>
      <c r="P30" s="29" t="n"/>
      <c r="Q30" s="29" t="n"/>
      <c r="R30" s="29" t="n"/>
      <c r="S30" s="29" t="n"/>
      <c r="T30" s="29" t="n"/>
      <c r="U30" s="29" t="n"/>
      <c r="V30" s="29" t="n"/>
      <c r="W30" s="29" t="n"/>
    </row>
    <row r="31" ht="54" customHeight="1">
      <c r="A31" s="29" t="n"/>
      <c r="B31" s="29" t="n"/>
      <c r="C31" s="29" t="n"/>
      <c r="D31" s="29" t="n"/>
      <c r="E31" s="29" t="n"/>
      <c r="F31" s="29" t="n"/>
      <c r="G31" s="29" t="n"/>
      <c r="H31" s="29" t="n"/>
      <c r="I31" s="29" t="n"/>
      <c r="J31" s="29" t="n"/>
      <c r="K31" s="29" t="n"/>
      <c r="L31" s="49" t="n"/>
      <c r="M31" s="29" t="n"/>
      <c r="N31" s="29" t="n"/>
      <c r="O31" s="29" t="n"/>
      <c r="P31" s="29" t="n"/>
      <c r="Q31" s="29" t="n"/>
      <c r="R31" s="29" t="n"/>
      <c r="S31" s="29" t="n"/>
      <c r="T31" s="29" t="n"/>
      <c r="U31" s="29" t="n"/>
      <c r="V31" s="29" t="n"/>
      <c r="W31" s="29" t="n"/>
    </row>
    <row r="32" ht="54" customHeight="1">
      <c r="A32" s="29" t="n"/>
      <c r="B32" s="29" t="n"/>
      <c r="C32" s="29" t="n"/>
      <c r="D32" s="29" t="n"/>
      <c r="E32" s="29" t="n"/>
      <c r="F32" s="29" t="n"/>
      <c r="G32" s="29" t="n"/>
      <c r="H32" s="29" t="n"/>
      <c r="I32" s="29" t="n"/>
      <c r="J32" s="29" t="n"/>
      <c r="K32" s="29" t="n"/>
      <c r="L32" s="49" t="n"/>
      <c r="M32" s="29" t="n"/>
      <c r="N32" s="29" t="n"/>
      <c r="O32" s="29" t="n"/>
      <c r="P32" s="29" t="n"/>
      <c r="Q32" s="29" t="n"/>
      <c r="R32" s="29" t="n"/>
      <c r="S32" s="29" t="n"/>
      <c r="T32" s="29" t="n"/>
      <c r="U32" s="29" t="n"/>
      <c r="V32" s="29" t="n"/>
      <c r="W32" s="29" t="n"/>
    </row>
    <row r="33" ht="54" customHeight="1">
      <c r="A33" s="29" t="n"/>
      <c r="B33" s="29" t="n"/>
      <c r="C33" s="29" t="n"/>
      <c r="D33" s="29" t="n"/>
      <c r="E33" s="29" t="n"/>
      <c r="F33" s="29" t="n"/>
      <c r="G33" s="29" t="n"/>
      <c r="H33" s="29" t="n"/>
      <c r="I33" s="29" t="n"/>
      <c r="J33" s="29" t="n"/>
      <c r="K33" s="29" t="n"/>
      <c r="L33" s="49" t="n"/>
      <c r="M33" s="29" t="n"/>
      <c r="N33" s="29" t="n"/>
      <c r="O33" s="29" t="n"/>
      <c r="P33" s="29" t="n"/>
      <c r="Q33" s="29" t="n"/>
      <c r="R33" s="29" t="n"/>
      <c r="S33" s="29" t="n"/>
      <c r="T33" s="29" t="n"/>
      <c r="U33" s="29" t="n"/>
      <c r="V33" s="29" t="n"/>
      <c r="W33" s="29" t="n"/>
    </row>
    <row r="34" ht="54" customHeight="1">
      <c r="A34" s="29" t="n"/>
      <c r="B34" s="29" t="n"/>
      <c r="C34" s="29" t="n"/>
      <c r="D34" s="29" t="n"/>
      <c r="E34" s="29" t="n"/>
      <c r="F34" s="29" t="n"/>
      <c r="G34" s="29" t="n"/>
      <c r="H34" s="29" t="n"/>
      <c r="I34" s="29" t="n"/>
      <c r="J34" s="29" t="n"/>
      <c r="K34" s="29" t="n"/>
      <c r="L34" s="49" t="n"/>
      <c r="M34" s="29" t="n"/>
      <c r="N34" s="29" t="n"/>
      <c r="O34" s="29" t="n"/>
      <c r="P34" s="29" t="n"/>
      <c r="Q34" s="29" t="n"/>
      <c r="R34" s="29" t="n"/>
      <c r="S34" s="29" t="n"/>
      <c r="T34" s="29" t="n"/>
      <c r="U34" s="29" t="n"/>
      <c r="V34" s="29" t="n"/>
      <c r="W34" s="29" t="n"/>
    </row>
    <row r="35" ht="54" customHeight="1">
      <c r="A35" s="29" t="n"/>
      <c r="B35" s="29" t="n"/>
      <c r="C35" s="29" t="n"/>
      <c r="D35" s="29" t="n"/>
      <c r="E35" s="29" t="n"/>
      <c r="F35" s="29" t="n"/>
      <c r="G35" s="29" t="n"/>
      <c r="H35" s="29" t="n"/>
      <c r="I35" s="29" t="n"/>
      <c r="J35" s="29" t="n"/>
      <c r="K35" s="29" t="n"/>
      <c r="L35" s="49" t="n"/>
      <c r="M35" s="29" t="n"/>
      <c r="N35" s="29" t="n"/>
      <c r="O35" s="29" t="n"/>
      <c r="P35" s="29" t="n"/>
      <c r="Q35" s="29" t="n"/>
      <c r="R35" s="29" t="n"/>
      <c r="S35" s="29" t="n"/>
      <c r="T35" s="29" t="n"/>
      <c r="U35" s="29" t="n"/>
      <c r="V35" s="29" t="n"/>
      <c r="W35" s="29" t="n"/>
    </row>
    <row r="36" ht="54" customHeight="1">
      <c r="A36" s="29" t="n"/>
      <c r="B36" s="29" t="n"/>
      <c r="C36" s="29" t="n"/>
      <c r="D36" s="29" t="n"/>
      <c r="E36" s="29" t="n"/>
      <c r="F36" s="29" t="n"/>
      <c r="G36" s="29" t="n"/>
      <c r="H36" s="29" t="n"/>
      <c r="I36" s="29" t="n"/>
      <c r="J36" s="29" t="n"/>
      <c r="K36" s="29" t="n"/>
      <c r="L36" s="49" t="n"/>
      <c r="M36" s="29" t="n"/>
      <c r="N36" s="29" t="n"/>
      <c r="O36" s="29" t="n"/>
      <c r="P36" s="29" t="n"/>
      <c r="Q36" s="29" t="n"/>
      <c r="R36" s="29" t="n"/>
      <c r="S36" s="29" t="n"/>
      <c r="T36" s="29" t="n"/>
      <c r="U36" s="29" t="n"/>
      <c r="V36" s="29" t="n"/>
      <c r="W36" s="29" t="n"/>
    </row>
    <row r="37" ht="54" customHeight="1">
      <c r="A37" s="29" t="n"/>
      <c r="B37" s="29" t="n"/>
      <c r="C37" s="29" t="n"/>
      <c r="D37" s="29" t="n"/>
      <c r="E37" s="29" t="n"/>
      <c r="F37" s="29" t="n"/>
      <c r="G37" s="29" t="n"/>
      <c r="H37" s="29" t="n"/>
      <c r="I37" s="29" t="n"/>
      <c r="J37" s="29" t="n"/>
      <c r="K37" s="29" t="n"/>
      <c r="L37" s="49" t="n"/>
      <c r="M37" s="29" t="n"/>
      <c r="N37" s="29" t="n"/>
      <c r="O37" s="29" t="n"/>
      <c r="P37" s="29" t="n"/>
      <c r="Q37" s="29" t="n"/>
      <c r="R37" s="29" t="n"/>
      <c r="S37" s="29" t="n"/>
      <c r="T37" s="29" t="n"/>
      <c r="U37" s="29" t="n"/>
      <c r="V37" s="29" t="n"/>
      <c r="W37" s="29" t="n"/>
    </row>
    <row r="38" ht="54" customHeight="1">
      <c r="A38" s="29" t="n"/>
      <c r="B38" s="29" t="n"/>
      <c r="C38" s="29" t="n"/>
      <c r="D38" s="29" t="n"/>
      <c r="E38" s="29" t="n"/>
      <c r="F38" s="29" t="n"/>
      <c r="G38" s="29" t="n"/>
      <c r="H38" s="29" t="n"/>
      <c r="I38" s="29" t="n"/>
      <c r="J38" s="29" t="n"/>
      <c r="K38" s="29" t="n"/>
      <c r="L38" s="49" t="n"/>
      <c r="M38" s="29" t="n"/>
      <c r="N38" s="29" t="n"/>
      <c r="O38" s="29" t="n"/>
      <c r="P38" s="29" t="n"/>
      <c r="Q38" s="29" t="n"/>
      <c r="R38" s="29" t="n"/>
      <c r="S38" s="29" t="n"/>
      <c r="T38" s="29" t="n"/>
      <c r="U38" s="29" t="n"/>
      <c r="V38" s="29" t="n"/>
      <c r="W38" s="29" t="n"/>
    </row>
    <row r="39" ht="54" customHeight="1">
      <c r="A39" s="29" t="n"/>
      <c r="B39" s="29" t="n"/>
      <c r="C39" s="29" t="n"/>
      <c r="D39" s="29" t="n"/>
      <c r="E39" s="29" t="n"/>
      <c r="F39" s="29" t="n"/>
      <c r="G39" s="29" t="n"/>
      <c r="H39" s="29" t="n"/>
      <c r="I39" s="29" t="n"/>
      <c r="J39" s="29" t="n"/>
      <c r="K39" s="29" t="n"/>
      <c r="L39" s="49" t="n"/>
      <c r="M39" s="29" t="n"/>
      <c r="N39" s="29" t="n"/>
      <c r="O39" s="29" t="n"/>
      <c r="P39" s="29" t="n"/>
      <c r="Q39" s="29" t="n"/>
      <c r="R39" s="29" t="n"/>
      <c r="S39" s="29" t="n"/>
      <c r="T39" s="29" t="n"/>
      <c r="U39" s="29" t="n"/>
      <c r="V39" s="29" t="n"/>
      <c r="W39" s="29" t="n"/>
    </row>
    <row r="40" ht="54" customHeight="1">
      <c r="A40" s="29" t="n"/>
      <c r="B40" s="29" t="n"/>
      <c r="C40" s="29" t="n"/>
      <c r="D40" s="29" t="n"/>
      <c r="E40" s="29" t="n"/>
      <c r="F40" s="29" t="n"/>
      <c r="G40" s="29" t="n"/>
      <c r="H40" s="29" t="n"/>
      <c r="I40" s="29" t="n"/>
      <c r="J40" s="29" t="n"/>
      <c r="K40" s="29" t="n"/>
      <c r="L40" s="49" t="n"/>
      <c r="M40" s="29" t="n"/>
      <c r="N40" s="29" t="n"/>
      <c r="O40" s="29" t="n"/>
      <c r="P40" s="29" t="n"/>
      <c r="Q40" s="29" t="n"/>
      <c r="R40" s="29" t="n"/>
      <c r="S40" s="29" t="n"/>
      <c r="T40" s="29" t="n"/>
      <c r="U40" s="29" t="n"/>
      <c r="V40" s="29" t="n"/>
      <c r="W40" s="29" t="n"/>
    </row>
    <row r="41" ht="54" customHeight="1">
      <c r="A41" s="29" t="n"/>
      <c r="B41" s="29" t="n"/>
      <c r="C41" s="29" t="n"/>
      <c r="D41" s="29" t="n"/>
      <c r="E41" s="29" t="n"/>
      <c r="F41" s="29" t="n"/>
      <c r="G41" s="29" t="n"/>
      <c r="H41" s="29" t="n"/>
      <c r="I41" s="29" t="n"/>
      <c r="J41" s="29" t="n"/>
      <c r="K41" s="29" t="n"/>
      <c r="L41" s="49" t="n"/>
      <c r="M41" s="29" t="n"/>
      <c r="N41" s="29" t="n"/>
      <c r="O41" s="29" t="n"/>
      <c r="P41" s="29" t="n"/>
      <c r="Q41" s="29" t="n"/>
      <c r="R41" s="29" t="n"/>
      <c r="S41" s="29" t="n"/>
      <c r="T41" s="29" t="n"/>
      <c r="U41" s="29" t="n"/>
      <c r="V41" s="29" t="n"/>
      <c r="W41" s="29" t="n"/>
    </row>
    <row r="42" ht="54" customHeight="1">
      <c r="A42" s="29" t="n"/>
      <c r="B42" s="29" t="n"/>
      <c r="C42" s="29" t="n"/>
      <c r="D42" s="29" t="n"/>
      <c r="E42" s="29" t="n"/>
      <c r="F42" s="29" t="n"/>
      <c r="G42" s="29" t="n"/>
      <c r="H42" s="29" t="n"/>
      <c r="I42" s="29" t="n"/>
      <c r="J42" s="29" t="n"/>
      <c r="K42" s="29" t="n"/>
      <c r="L42" s="49" t="n"/>
      <c r="M42" s="29" t="n"/>
      <c r="N42" s="29" t="n"/>
      <c r="O42" s="29" t="n"/>
      <c r="P42" s="29" t="n"/>
      <c r="Q42" s="29" t="n"/>
      <c r="R42" s="29" t="n"/>
      <c r="S42" s="29" t="n"/>
      <c r="T42" s="29" t="n"/>
      <c r="U42" s="29" t="n"/>
      <c r="V42" s="29" t="n"/>
      <c r="W42" s="29" t="n"/>
    </row>
    <row r="43" ht="54" customHeight="1">
      <c r="A43" s="29" t="n"/>
      <c r="B43" s="29" t="n"/>
      <c r="C43" s="29" t="n"/>
      <c r="D43" s="29" t="n"/>
      <c r="E43" s="29" t="n"/>
      <c r="F43" s="29" t="n"/>
      <c r="G43" s="29" t="n"/>
      <c r="H43" s="29" t="n"/>
      <c r="I43" s="29" t="n"/>
      <c r="J43" s="29" t="n"/>
      <c r="K43" s="29" t="n"/>
      <c r="L43" s="49" t="n"/>
      <c r="M43" s="29" t="n"/>
      <c r="N43" s="29" t="n"/>
      <c r="O43" s="29" t="n"/>
      <c r="P43" s="29" t="n"/>
      <c r="Q43" s="29" t="n"/>
      <c r="R43" s="29" t="n"/>
      <c r="S43" s="29" t="n"/>
      <c r="T43" s="29" t="n"/>
      <c r="U43" s="29" t="n"/>
      <c r="V43" s="29" t="n"/>
      <c r="W43" s="29" t="n"/>
    </row>
    <row r="44" ht="54" customHeight="1">
      <c r="A44" s="29" t="n"/>
      <c r="B44" s="29" t="n"/>
      <c r="C44" s="29" t="n"/>
      <c r="D44" s="29" t="n"/>
      <c r="E44" s="29" t="n"/>
      <c r="F44" s="29" t="n"/>
      <c r="G44" s="29" t="n"/>
      <c r="H44" s="29" t="n"/>
      <c r="I44" s="29" t="n"/>
      <c r="J44" s="29" t="n"/>
      <c r="K44" s="29" t="n"/>
      <c r="L44" s="49" t="n"/>
      <c r="M44" s="29" t="n"/>
      <c r="N44" s="29" t="n"/>
      <c r="O44" s="29" t="n"/>
      <c r="P44" s="29" t="n"/>
      <c r="Q44" s="29" t="n"/>
      <c r="R44" s="29" t="n"/>
      <c r="S44" s="29" t="n"/>
      <c r="T44" s="29" t="n"/>
      <c r="U44" s="29" t="n"/>
      <c r="V44" s="29" t="n"/>
      <c r="W44" s="29" t="n"/>
    </row>
    <row r="45" ht="54" customHeight="1">
      <c r="A45" s="29" t="n"/>
      <c r="B45" s="29" t="n"/>
      <c r="C45" s="29" t="n"/>
      <c r="D45" s="29" t="n"/>
      <c r="E45" s="29" t="n"/>
      <c r="F45" s="29" t="n"/>
      <c r="G45" s="29" t="n"/>
      <c r="H45" s="29" t="n"/>
      <c r="I45" s="29" t="n"/>
      <c r="J45" s="29" t="n"/>
      <c r="K45" s="29" t="n"/>
      <c r="L45" s="49" t="n"/>
      <c r="M45" s="29" t="n"/>
      <c r="N45" s="29" t="n"/>
      <c r="O45" s="29" t="n"/>
      <c r="P45" s="29" t="n"/>
      <c r="Q45" s="29" t="n"/>
      <c r="R45" s="29" t="n"/>
      <c r="S45" s="29" t="n"/>
      <c r="T45" s="29" t="n"/>
      <c r="U45" s="29" t="n"/>
      <c r="V45" s="29" t="n"/>
      <c r="W45" s="29" t="n"/>
    </row>
    <row r="46" ht="54" customHeight="1">
      <c r="A46" s="29" t="n"/>
      <c r="B46" s="29" t="n"/>
      <c r="C46" s="29" t="n"/>
      <c r="D46" s="29" t="n"/>
      <c r="E46" s="29" t="n"/>
      <c r="F46" s="29" t="n"/>
      <c r="G46" s="29" t="n"/>
      <c r="H46" s="29" t="n"/>
      <c r="I46" s="29" t="n"/>
      <c r="J46" s="29" t="n"/>
      <c r="K46" s="29" t="n"/>
      <c r="L46" s="49" t="n"/>
      <c r="M46" s="29" t="n"/>
      <c r="N46" s="29" t="n"/>
      <c r="O46" s="29" t="n"/>
      <c r="P46" s="29" t="n"/>
      <c r="Q46" s="29" t="n"/>
      <c r="R46" s="29" t="n"/>
      <c r="S46" s="29" t="n"/>
      <c r="T46" s="29" t="n"/>
      <c r="U46" s="29" t="n"/>
      <c r="V46" s="29" t="n"/>
      <c r="W46" s="29" t="n"/>
    </row>
    <row r="47" ht="54" customHeight="1">
      <c r="A47" s="29" t="n"/>
      <c r="B47" s="29" t="n"/>
      <c r="C47" s="29" t="n"/>
      <c r="D47" s="29" t="n"/>
      <c r="E47" s="29" t="n"/>
      <c r="F47" s="29" t="n"/>
      <c r="G47" s="29" t="n"/>
      <c r="H47" s="29" t="n"/>
      <c r="I47" s="29" t="n"/>
      <c r="J47" s="29" t="n"/>
      <c r="K47" s="29" t="n"/>
      <c r="L47" s="49" t="n"/>
      <c r="M47" s="29" t="n"/>
      <c r="N47" s="29" t="n"/>
      <c r="O47" s="29" t="n"/>
      <c r="P47" s="29" t="n"/>
      <c r="Q47" s="29" t="n"/>
      <c r="R47" s="29" t="n"/>
      <c r="S47" s="29" t="n"/>
      <c r="T47" s="29" t="n"/>
      <c r="U47" s="29" t="n"/>
      <c r="V47" s="29" t="n"/>
      <c r="W47" s="29" t="n"/>
    </row>
    <row r="48" ht="54" customHeight="1">
      <c r="A48" s="29" t="n"/>
      <c r="B48" s="29" t="n"/>
      <c r="C48" s="29" t="n"/>
      <c r="D48" s="29" t="n"/>
      <c r="E48" s="29" t="n"/>
      <c r="F48" s="29" t="n"/>
      <c r="G48" s="29" t="n"/>
      <c r="H48" s="29" t="n"/>
      <c r="I48" s="29" t="n"/>
      <c r="J48" s="29" t="n"/>
      <c r="K48" s="29" t="n"/>
      <c r="L48" s="49" t="n"/>
      <c r="M48" s="29" t="n"/>
      <c r="N48" s="29" t="n"/>
      <c r="O48" s="29" t="n"/>
      <c r="P48" s="29" t="n"/>
      <c r="Q48" s="29" t="n"/>
      <c r="R48" s="29" t="n"/>
      <c r="S48" s="29" t="n"/>
      <c r="T48" s="29" t="n"/>
      <c r="U48" s="29" t="n"/>
      <c r="V48" s="29" t="n"/>
      <c r="W48" s="29" t="n"/>
    </row>
    <row r="49" ht="54" customHeight="1">
      <c r="A49" s="29" t="n"/>
      <c r="B49" s="29" t="n"/>
      <c r="C49" s="29" t="n"/>
      <c r="D49" s="29" t="n"/>
      <c r="E49" s="29" t="n"/>
      <c r="F49" s="29" t="n"/>
      <c r="G49" s="29" t="n"/>
      <c r="H49" s="29" t="n"/>
      <c r="I49" s="29" t="n"/>
      <c r="J49" s="29" t="n"/>
      <c r="K49" s="29" t="n"/>
      <c r="L49" s="49" t="n"/>
      <c r="M49" s="29" t="n"/>
      <c r="N49" s="29" t="n"/>
      <c r="O49" s="29" t="n"/>
      <c r="P49" s="29" t="n"/>
      <c r="Q49" s="29" t="n"/>
      <c r="R49" s="29" t="n"/>
      <c r="S49" s="29" t="n"/>
      <c r="T49" s="29" t="n"/>
      <c r="U49" s="29" t="n"/>
      <c r="V49" s="29" t="n"/>
      <c r="W49" s="29" t="n"/>
    </row>
    <row r="50" ht="54" customHeight="1">
      <c r="A50" s="29" t="n"/>
      <c r="B50" s="29" t="n"/>
      <c r="C50" s="29" t="n"/>
      <c r="D50" s="29" t="n"/>
      <c r="E50" s="29" t="n"/>
      <c r="F50" s="29" t="n"/>
      <c r="G50" s="29" t="n"/>
      <c r="H50" s="29" t="n"/>
      <c r="I50" s="29" t="n"/>
      <c r="J50" s="29" t="n"/>
      <c r="K50" s="29" t="n"/>
      <c r="L50" s="49" t="n"/>
      <c r="M50" s="29" t="n"/>
      <c r="N50" s="29" t="n"/>
      <c r="O50" s="29" t="n"/>
      <c r="P50" s="29" t="n"/>
      <c r="Q50" s="29" t="n"/>
      <c r="R50" s="29" t="n"/>
      <c r="S50" s="29" t="n"/>
      <c r="T50" s="29" t="n"/>
      <c r="U50" s="29" t="n"/>
      <c r="V50" s="29" t="n"/>
      <c r="W50" s="29" t="n"/>
    </row>
    <row r="51" ht="54" customHeight="1">
      <c r="A51" s="29" t="n"/>
      <c r="B51" s="29" t="n"/>
      <c r="C51" s="29" t="n"/>
      <c r="D51" s="29" t="n"/>
      <c r="E51" s="29" t="n"/>
      <c r="F51" s="29" t="n"/>
      <c r="G51" s="29" t="n"/>
      <c r="H51" s="29" t="n"/>
      <c r="I51" s="29" t="n"/>
      <c r="J51" s="29" t="n"/>
      <c r="K51" s="29" t="n"/>
      <c r="L51" s="49" t="n"/>
      <c r="M51" s="29" t="n"/>
      <c r="N51" s="29" t="n"/>
      <c r="O51" s="29" t="n"/>
      <c r="P51" s="29" t="n"/>
      <c r="Q51" s="29" t="n"/>
      <c r="R51" s="29" t="n"/>
      <c r="S51" s="29" t="n"/>
      <c r="T51" s="29" t="n"/>
      <c r="U51" s="29" t="n"/>
      <c r="V51" s="29" t="n"/>
      <c r="W51" s="29" t="n"/>
    </row>
    <row r="52" ht="54" customHeight="1">
      <c r="A52" s="29" t="n"/>
      <c r="B52" s="29" t="n"/>
      <c r="C52" s="29" t="n"/>
      <c r="D52" s="29" t="n"/>
      <c r="E52" s="29" t="n"/>
      <c r="F52" s="29" t="n"/>
      <c r="G52" s="29" t="n"/>
      <c r="H52" s="29" t="n"/>
      <c r="I52" s="29" t="n"/>
      <c r="J52" s="29" t="n"/>
      <c r="K52" s="29" t="n"/>
      <c r="L52" s="49" t="n"/>
      <c r="M52" s="29" t="n"/>
      <c r="N52" s="29" t="n"/>
      <c r="O52" s="29" t="n"/>
      <c r="P52" s="29" t="n"/>
      <c r="Q52" s="29" t="n"/>
      <c r="R52" s="29" t="n"/>
      <c r="S52" s="29" t="n"/>
      <c r="T52" s="29" t="n"/>
      <c r="U52" s="29" t="n"/>
      <c r="V52" s="29" t="n"/>
      <c r="W52" s="29" t="n"/>
    </row>
    <row r="53" ht="54" customHeight="1">
      <c r="A53" s="29" t="n"/>
      <c r="B53" s="29" t="n"/>
      <c r="C53" s="29" t="n"/>
      <c r="D53" s="29" t="n"/>
      <c r="E53" s="29" t="n"/>
      <c r="F53" s="29" t="n"/>
      <c r="G53" s="29" t="n"/>
      <c r="H53" s="29" t="n"/>
      <c r="I53" s="29" t="n"/>
      <c r="J53" s="29" t="n"/>
      <c r="K53" s="29" t="n"/>
      <c r="L53" s="49" t="n"/>
      <c r="M53" s="29" t="n"/>
      <c r="N53" s="29" t="n"/>
      <c r="O53" s="29" t="n"/>
      <c r="P53" s="29" t="n"/>
      <c r="Q53" s="29" t="n"/>
      <c r="R53" s="29" t="n"/>
      <c r="S53" s="29" t="n"/>
      <c r="T53" s="29" t="n"/>
      <c r="U53" s="29" t="n"/>
      <c r="V53" s="29" t="n"/>
      <c r="W53" s="29" t="n"/>
    </row>
    <row r="54" ht="54" customHeight="1">
      <c r="A54" s="29" t="n"/>
      <c r="B54" s="29" t="n"/>
      <c r="C54" s="29" t="n"/>
      <c r="D54" s="29" t="n"/>
      <c r="E54" s="29" t="n"/>
      <c r="F54" s="29" t="n"/>
      <c r="G54" s="29" t="n"/>
      <c r="H54" s="29" t="n"/>
      <c r="I54" s="29" t="n"/>
      <c r="J54" s="29" t="n"/>
      <c r="K54" s="29" t="n"/>
      <c r="L54" s="49" t="n"/>
      <c r="M54" s="29" t="n"/>
      <c r="N54" s="29" t="n"/>
      <c r="O54" s="29" t="n"/>
      <c r="P54" s="29" t="n"/>
      <c r="Q54" s="29" t="n"/>
      <c r="R54" s="29" t="n"/>
      <c r="S54" s="29" t="n"/>
      <c r="T54" s="29" t="n"/>
      <c r="U54" s="29" t="n"/>
      <c r="V54" s="29" t="n"/>
      <c r="W54" s="29" t="n"/>
    </row>
    <row r="55" ht="54" customHeight="1">
      <c r="A55" s="29" t="n"/>
      <c r="B55" s="29" t="n"/>
      <c r="C55" s="29" t="n"/>
      <c r="D55" s="29" t="n"/>
      <c r="E55" s="29" t="n"/>
      <c r="F55" s="29" t="n"/>
      <c r="G55" s="29" t="n"/>
      <c r="H55" s="29" t="n"/>
      <c r="I55" s="29" t="n"/>
      <c r="J55" s="29" t="n"/>
      <c r="K55" s="29" t="n"/>
      <c r="L55" s="49" t="n"/>
      <c r="M55" s="29" t="n"/>
      <c r="N55" s="29" t="n"/>
      <c r="O55" s="29" t="n"/>
      <c r="P55" s="29" t="n"/>
      <c r="Q55" s="29" t="n"/>
      <c r="R55" s="29" t="n"/>
      <c r="S55" s="29" t="n"/>
      <c r="T55" s="29" t="n"/>
      <c r="U55" s="29" t="n"/>
      <c r="V55" s="29" t="n"/>
      <c r="W55" s="29" t="n"/>
    </row>
    <row r="56" ht="54" customHeight="1">
      <c r="A56" s="29" t="n"/>
      <c r="B56" s="29" t="n"/>
      <c r="C56" s="29" t="n"/>
      <c r="D56" s="29" t="n"/>
      <c r="E56" s="29" t="n"/>
      <c r="F56" s="29" t="n"/>
      <c r="G56" s="29" t="n"/>
      <c r="H56" s="29" t="n"/>
      <c r="I56" s="29" t="n"/>
      <c r="J56" s="29" t="n"/>
      <c r="K56" s="29" t="n"/>
      <c r="L56" s="49" t="n"/>
      <c r="M56" s="29" t="n"/>
      <c r="N56" s="29" t="n"/>
      <c r="O56" s="29" t="n"/>
      <c r="P56" s="29" t="n"/>
      <c r="Q56" s="29" t="n"/>
      <c r="R56" s="29" t="n"/>
      <c r="S56" s="29" t="n"/>
      <c r="T56" s="29" t="n"/>
      <c r="U56" s="29" t="n"/>
      <c r="V56" s="29" t="n"/>
      <c r="W56" s="29" t="n"/>
    </row>
    <row r="57" ht="54" customHeight="1">
      <c r="A57" s="29" t="n"/>
      <c r="B57" s="29" t="n"/>
      <c r="C57" s="29" t="n"/>
      <c r="D57" s="29" t="n"/>
      <c r="E57" s="29" t="n"/>
      <c r="F57" s="29" t="n"/>
      <c r="G57" s="29" t="n"/>
      <c r="H57" s="29" t="n"/>
      <c r="I57" s="29" t="n"/>
      <c r="J57" s="29" t="n"/>
      <c r="K57" s="29" t="n"/>
      <c r="L57" s="49" t="n"/>
      <c r="M57" s="29" t="n"/>
      <c r="N57" s="29" t="n"/>
      <c r="O57" s="29" t="n"/>
      <c r="P57" s="29" t="n"/>
      <c r="Q57" s="29" t="n"/>
      <c r="R57" s="29" t="n"/>
      <c r="S57" s="29" t="n"/>
      <c r="T57" s="29" t="n"/>
      <c r="U57" s="29" t="n"/>
      <c r="V57" s="29" t="n"/>
      <c r="W57" s="29" t="n"/>
    </row>
    <row r="58" ht="54" customHeight="1">
      <c r="A58" s="29" t="n"/>
      <c r="B58" s="29" t="n"/>
      <c r="C58" s="29" t="n"/>
      <c r="D58" s="29" t="n"/>
      <c r="E58" s="29" t="n"/>
      <c r="F58" s="29" t="n"/>
      <c r="G58" s="29" t="n"/>
      <c r="H58" s="29" t="n"/>
      <c r="I58" s="29" t="n"/>
      <c r="J58" s="29" t="n"/>
      <c r="K58" s="29" t="n"/>
      <c r="L58" s="49" t="n"/>
      <c r="M58" s="29" t="n"/>
      <c r="N58" s="29" t="n"/>
      <c r="O58" s="29" t="n"/>
      <c r="P58" s="29" t="n"/>
      <c r="Q58" s="29" t="n"/>
      <c r="R58" s="29" t="n"/>
      <c r="S58" s="29" t="n"/>
      <c r="T58" s="29" t="n"/>
      <c r="U58" s="29" t="n"/>
      <c r="V58" s="29" t="n"/>
      <c r="W58" s="29" t="n"/>
    </row>
    <row r="59" ht="54" customHeight="1">
      <c r="A59" s="29" t="n"/>
      <c r="B59" s="29" t="n"/>
      <c r="C59" s="29" t="n"/>
      <c r="D59" s="29" t="n"/>
      <c r="E59" s="29" t="n"/>
      <c r="F59" s="29" t="n"/>
      <c r="G59" s="29" t="n"/>
      <c r="H59" s="29" t="n"/>
      <c r="I59" s="29" t="n"/>
      <c r="J59" s="29" t="n"/>
      <c r="K59" s="29" t="n"/>
      <c r="L59" s="49" t="n"/>
      <c r="M59" s="29" t="n"/>
      <c r="N59" s="29" t="n"/>
      <c r="O59" s="29" t="n"/>
      <c r="P59" s="29" t="n"/>
      <c r="Q59" s="29" t="n"/>
      <c r="R59" s="29" t="n"/>
      <c r="S59" s="29" t="n"/>
      <c r="T59" s="29" t="n"/>
      <c r="U59" s="29" t="n"/>
      <c r="V59" s="29" t="n"/>
      <c r="W59" s="29" t="n"/>
    </row>
    <row r="60" ht="54" customHeight="1">
      <c r="A60" s="29" t="n"/>
      <c r="B60" s="29" t="n"/>
      <c r="C60" s="29" t="n"/>
      <c r="D60" s="29" t="n"/>
      <c r="E60" s="29" t="n"/>
      <c r="F60" s="29" t="n"/>
      <c r="G60" s="29" t="n"/>
      <c r="H60" s="29" t="n"/>
      <c r="I60" s="29" t="n"/>
      <c r="J60" s="29" t="n"/>
      <c r="K60" s="29" t="n"/>
      <c r="L60" s="49" t="n"/>
      <c r="M60" s="29" t="n"/>
      <c r="N60" s="29" t="n"/>
      <c r="O60" s="29" t="n"/>
      <c r="P60" s="29" t="n"/>
      <c r="Q60" s="29" t="n"/>
      <c r="R60" s="29" t="n"/>
      <c r="S60" s="29" t="n"/>
      <c r="T60" s="29" t="n"/>
      <c r="U60" s="29" t="n"/>
      <c r="V60" s="29" t="n"/>
      <c r="W60" s="29" t="n"/>
    </row>
    <row r="61" ht="54" customHeight="1">
      <c r="A61" s="29" t="n"/>
      <c r="B61" s="29" t="n"/>
      <c r="C61" s="29" t="n"/>
      <c r="D61" s="29" t="n"/>
      <c r="E61" s="29" t="n"/>
      <c r="F61" s="29" t="n"/>
      <c r="G61" s="29" t="n"/>
      <c r="H61" s="29" t="n"/>
      <c r="I61" s="29" t="n"/>
      <c r="J61" s="29" t="n"/>
      <c r="K61" s="29" t="n"/>
      <c r="L61" s="49" t="n"/>
      <c r="M61" s="29" t="n"/>
      <c r="N61" s="29" t="n"/>
      <c r="O61" s="29" t="n"/>
      <c r="P61" s="29" t="n"/>
      <c r="Q61" s="29" t="n"/>
      <c r="R61" s="29" t="n"/>
      <c r="S61" s="29" t="n"/>
      <c r="T61" s="29" t="n"/>
      <c r="U61" s="29" t="n"/>
      <c r="V61" s="29" t="n"/>
      <c r="W61" s="29" t="n"/>
    </row>
    <row r="62" ht="54" customHeight="1">
      <c r="A62" s="29" t="n"/>
      <c r="B62" s="29" t="n"/>
      <c r="C62" s="29" t="n"/>
      <c r="D62" s="29" t="n"/>
      <c r="E62" s="29" t="n"/>
      <c r="F62" s="29" t="n"/>
      <c r="G62" s="29" t="n"/>
      <c r="H62" s="29" t="n"/>
      <c r="I62" s="29" t="n"/>
      <c r="J62" s="29" t="n"/>
      <c r="K62" s="29" t="n"/>
      <c r="L62" s="49" t="n"/>
      <c r="M62" s="29" t="n"/>
      <c r="N62" s="29" t="n"/>
      <c r="O62" s="29" t="n"/>
      <c r="P62" s="29" t="n"/>
      <c r="Q62" s="29" t="n"/>
      <c r="R62" s="29" t="n"/>
      <c r="S62" s="29" t="n"/>
      <c r="T62" s="29" t="n"/>
      <c r="U62" s="29" t="n"/>
      <c r="V62" s="29" t="n"/>
      <c r="W62" s="29" t="n"/>
    </row>
    <row r="63" ht="54" customHeight="1">
      <c r="A63" s="29" t="n"/>
      <c r="B63" s="29" t="n"/>
      <c r="C63" s="29" t="n"/>
      <c r="D63" s="29" t="n"/>
      <c r="E63" s="29" t="n"/>
      <c r="F63" s="29" t="n"/>
      <c r="G63" s="29" t="n"/>
      <c r="H63" s="29" t="n"/>
      <c r="I63" s="29" t="n"/>
      <c r="J63" s="29" t="n"/>
      <c r="K63" s="29" t="n"/>
      <c r="L63" s="49" t="n"/>
      <c r="M63" s="29" t="n"/>
      <c r="N63" s="29" t="n"/>
      <c r="O63" s="29" t="n"/>
      <c r="P63" s="29" t="n"/>
      <c r="Q63" s="29" t="n"/>
      <c r="R63" s="29" t="n"/>
      <c r="S63" s="29" t="n"/>
      <c r="T63" s="29" t="n"/>
      <c r="U63" s="29" t="n"/>
      <c r="V63" s="29" t="n"/>
      <c r="W63" s="29" t="n"/>
    </row>
    <row r="64" ht="54" customHeight="1">
      <c r="A64" s="29" t="n"/>
      <c r="B64" s="29" t="n"/>
      <c r="C64" s="29" t="n"/>
      <c r="D64" s="29" t="n"/>
      <c r="E64" s="29" t="n"/>
      <c r="F64" s="29" t="n"/>
      <c r="G64" s="29" t="n"/>
      <c r="H64" s="29" t="n"/>
      <c r="I64" s="29" t="n"/>
      <c r="J64" s="29" t="n"/>
      <c r="K64" s="29" t="n"/>
      <c r="L64" s="49" t="n"/>
      <c r="M64" s="29" t="n"/>
      <c r="N64" s="29" t="n"/>
      <c r="O64" s="29" t="n"/>
      <c r="P64" s="29" t="n"/>
      <c r="Q64" s="29" t="n"/>
      <c r="R64" s="29" t="n"/>
      <c r="S64" s="29" t="n"/>
      <c r="T64" s="29" t="n"/>
      <c r="U64" s="29" t="n"/>
      <c r="V64" s="29" t="n"/>
      <c r="W64" s="29" t="n"/>
    </row>
    <row r="65" ht="54" customHeight="1">
      <c r="A65" s="29" t="n"/>
      <c r="B65" s="29" t="n"/>
      <c r="C65" s="29" t="n"/>
      <c r="D65" s="29" t="n"/>
      <c r="E65" s="29" t="n"/>
      <c r="F65" s="29" t="n"/>
      <c r="G65" s="29" t="n"/>
      <c r="H65" s="29" t="n"/>
      <c r="I65" s="29" t="n"/>
      <c r="J65" s="29" t="n"/>
      <c r="K65" s="29" t="n"/>
      <c r="L65" s="49" t="n"/>
      <c r="M65" s="29" t="n"/>
      <c r="N65" s="29" t="n"/>
      <c r="O65" s="29" t="n"/>
      <c r="P65" s="29" t="n"/>
      <c r="Q65" s="29" t="n"/>
      <c r="R65" s="29" t="n"/>
      <c r="S65" s="29" t="n"/>
      <c r="T65" s="29" t="n"/>
      <c r="U65" s="29" t="n"/>
      <c r="V65" s="29" t="n"/>
      <c r="W65" s="29" t="n"/>
    </row>
    <row r="66" ht="54" customHeight="1">
      <c r="A66" s="29" t="n"/>
      <c r="B66" s="29" t="n"/>
      <c r="C66" s="29" t="n"/>
      <c r="D66" s="29" t="n"/>
      <c r="E66" s="29" t="n"/>
      <c r="F66" s="29" t="n"/>
      <c r="G66" s="29" t="n"/>
      <c r="H66" s="29" t="n"/>
      <c r="I66" s="29" t="n"/>
      <c r="J66" s="29" t="n"/>
      <c r="K66" s="29" t="n"/>
      <c r="L66" s="49" t="n"/>
      <c r="M66" s="29" t="n"/>
      <c r="N66" s="29" t="n"/>
      <c r="O66" s="29" t="n"/>
      <c r="P66" s="29" t="n"/>
      <c r="Q66" s="29" t="n"/>
      <c r="R66" s="29" t="n"/>
      <c r="S66" s="29" t="n"/>
      <c r="T66" s="29" t="n"/>
      <c r="U66" s="29" t="n"/>
      <c r="V66" s="29" t="n"/>
      <c r="W66" s="29" t="n"/>
    </row>
    <row r="67" ht="54" customHeight="1">
      <c r="A67" s="29" t="n"/>
      <c r="B67" s="29" t="n"/>
      <c r="C67" s="29" t="n"/>
      <c r="D67" s="29" t="n"/>
      <c r="E67" s="29" t="n"/>
      <c r="F67" s="29" t="n"/>
      <c r="G67" s="29" t="n"/>
      <c r="H67" s="29" t="n"/>
      <c r="I67" s="29" t="n"/>
      <c r="J67" s="29" t="n"/>
      <c r="K67" s="29" t="n"/>
      <c r="L67" s="49" t="n"/>
      <c r="M67" s="29" t="n"/>
      <c r="N67" s="29" t="n"/>
      <c r="O67" s="29" t="n"/>
      <c r="P67" s="29" t="n"/>
      <c r="Q67" s="29" t="n"/>
      <c r="R67" s="29" t="n"/>
      <c r="S67" s="29" t="n"/>
      <c r="T67" s="29" t="n"/>
      <c r="U67" s="29" t="n"/>
      <c r="V67" s="29" t="n"/>
      <c r="W67" s="29" t="n"/>
    </row>
    <row r="68" ht="54" customHeight="1">
      <c r="A68" s="29" t="n"/>
      <c r="B68" s="29" t="n"/>
      <c r="C68" s="29" t="n"/>
      <c r="D68" s="29" t="n"/>
      <c r="E68" s="29" t="n"/>
      <c r="F68" s="29" t="n"/>
      <c r="G68" s="29" t="n"/>
      <c r="H68" s="29" t="n"/>
      <c r="I68" s="29" t="n"/>
      <c r="J68" s="29" t="n"/>
      <c r="K68" s="29" t="n"/>
      <c r="L68" s="49" t="n"/>
      <c r="M68" s="29" t="n"/>
      <c r="N68" s="29" t="n"/>
      <c r="O68" s="29" t="n"/>
      <c r="P68" s="29" t="n"/>
      <c r="Q68" s="29" t="n"/>
      <c r="R68" s="29" t="n"/>
      <c r="S68" s="29" t="n"/>
      <c r="T68" s="29" t="n"/>
      <c r="U68" s="29" t="n"/>
      <c r="V68" s="29" t="n"/>
      <c r="W68" s="29" t="n"/>
    </row>
    <row r="69" ht="54" customHeight="1">
      <c r="A69" s="29" t="n"/>
      <c r="B69" s="29" t="n"/>
      <c r="C69" s="29" t="n"/>
      <c r="D69" s="29" t="n"/>
      <c r="E69" s="29" t="n"/>
      <c r="F69" s="29" t="n"/>
      <c r="G69" s="29" t="n"/>
      <c r="H69" s="29" t="n"/>
      <c r="I69" s="29" t="n"/>
      <c r="J69" s="29" t="n"/>
      <c r="K69" s="29" t="n"/>
      <c r="L69" s="49" t="n"/>
      <c r="M69" s="29" t="n"/>
      <c r="N69" s="29" t="n"/>
      <c r="O69" s="29" t="n"/>
      <c r="P69" s="29" t="n"/>
      <c r="Q69" s="29" t="n"/>
      <c r="R69" s="29" t="n"/>
      <c r="S69" s="29" t="n"/>
      <c r="T69" s="29" t="n"/>
      <c r="U69" s="29" t="n"/>
      <c r="V69" s="29" t="n"/>
      <c r="W69" s="29" t="n"/>
    </row>
    <row r="70" ht="54" customHeight="1">
      <c r="A70" s="29" t="n"/>
      <c r="B70" s="29" t="n"/>
      <c r="C70" s="29" t="n"/>
      <c r="D70" s="29" t="n"/>
      <c r="E70" s="29" t="n"/>
      <c r="F70" s="29" t="n"/>
      <c r="G70" s="29" t="n"/>
      <c r="H70" s="29" t="n"/>
      <c r="I70" s="29" t="n"/>
      <c r="J70" s="29" t="n"/>
      <c r="K70" s="29" t="n"/>
      <c r="L70" s="49" t="n"/>
      <c r="M70" s="29" t="n"/>
      <c r="N70" s="29" t="n"/>
      <c r="O70" s="29" t="n"/>
      <c r="P70" s="29" t="n"/>
      <c r="Q70" s="29" t="n"/>
      <c r="R70" s="29" t="n"/>
      <c r="S70" s="29" t="n"/>
      <c r="T70" s="29" t="n"/>
      <c r="U70" s="29" t="n"/>
      <c r="V70" s="29" t="n"/>
      <c r="W70" s="29" t="n"/>
    </row>
    <row r="71" ht="54" customHeight="1">
      <c r="A71" s="29" t="n"/>
      <c r="B71" s="29" t="n"/>
      <c r="C71" s="29" t="n"/>
      <c r="D71" s="29" t="n"/>
      <c r="E71" s="29" t="n"/>
      <c r="F71" s="29" t="n"/>
      <c r="G71" s="29" t="n"/>
      <c r="H71" s="29" t="n"/>
      <c r="I71" s="29" t="n"/>
      <c r="J71" s="29" t="n"/>
      <c r="K71" s="29" t="n"/>
      <c r="L71" s="49" t="n"/>
      <c r="M71" s="29" t="n"/>
      <c r="N71" s="29" t="n"/>
      <c r="O71" s="29" t="n"/>
      <c r="P71" s="29" t="n"/>
      <c r="Q71" s="29" t="n"/>
      <c r="R71" s="29" t="n"/>
      <c r="S71" s="29" t="n"/>
      <c r="T71" s="29" t="n"/>
      <c r="U71" s="29" t="n"/>
      <c r="V71" s="29" t="n"/>
      <c r="W71" s="29" t="n"/>
    </row>
    <row r="72" ht="54" customHeight="1">
      <c r="A72" s="29" t="n"/>
      <c r="B72" s="29" t="n"/>
      <c r="C72" s="29" t="n"/>
      <c r="D72" s="29" t="n"/>
      <c r="E72" s="29" t="n"/>
      <c r="F72" s="29" t="n"/>
      <c r="G72" s="29" t="n"/>
      <c r="H72" s="29" t="n"/>
      <c r="I72" s="29" t="n"/>
      <c r="J72" s="29" t="n"/>
      <c r="K72" s="29" t="n"/>
      <c r="L72" s="49" t="n"/>
      <c r="M72" s="29" t="n"/>
      <c r="N72" s="29" t="n"/>
      <c r="O72" s="29" t="n"/>
      <c r="P72" s="29" t="n"/>
      <c r="Q72" s="29" t="n"/>
      <c r="R72" s="29" t="n"/>
      <c r="S72" s="29" t="n"/>
      <c r="T72" s="29" t="n"/>
      <c r="U72" s="29" t="n"/>
      <c r="V72" s="29" t="n"/>
      <c r="W72" s="29" t="n"/>
    </row>
    <row r="73" ht="54" customHeight="1">
      <c r="A73" s="29" t="n"/>
      <c r="B73" s="29" t="n"/>
      <c r="C73" s="29" t="n"/>
      <c r="D73" s="29" t="n"/>
      <c r="E73" s="29" t="n"/>
      <c r="F73" s="29" t="n"/>
      <c r="G73" s="29" t="n"/>
      <c r="H73" s="29" t="n"/>
      <c r="I73" s="29" t="n"/>
      <c r="J73" s="29" t="n"/>
      <c r="K73" s="29" t="n"/>
      <c r="L73" s="49" t="n"/>
      <c r="M73" s="29" t="n"/>
      <c r="N73" s="29" t="n"/>
      <c r="O73" s="29" t="n"/>
      <c r="P73" s="29" t="n"/>
      <c r="Q73" s="29" t="n"/>
      <c r="R73" s="29" t="n"/>
      <c r="S73" s="29" t="n"/>
      <c r="T73" s="29" t="n"/>
      <c r="U73" s="29" t="n"/>
      <c r="V73" s="29" t="n"/>
      <c r="W73" s="29" t="n"/>
    </row>
    <row r="74" ht="54" customHeight="1">
      <c r="A74" s="29" t="n"/>
      <c r="B74" s="29" t="n"/>
      <c r="C74" s="29" t="n"/>
      <c r="D74" s="29" t="n"/>
      <c r="E74" s="29" t="n"/>
      <c r="F74" s="29" t="n"/>
      <c r="G74" s="29" t="n"/>
      <c r="H74" s="29" t="n"/>
      <c r="I74" s="29" t="n"/>
      <c r="J74" s="29" t="n"/>
      <c r="K74" s="29" t="n"/>
      <c r="L74" s="49" t="n"/>
      <c r="M74" s="29" t="n"/>
      <c r="N74" s="29" t="n"/>
      <c r="O74" s="29" t="n"/>
      <c r="P74" s="29" t="n"/>
      <c r="Q74" s="29" t="n"/>
      <c r="R74" s="29" t="n"/>
      <c r="S74" s="29" t="n"/>
      <c r="T74" s="29" t="n"/>
      <c r="U74" s="29" t="n"/>
      <c r="V74" s="29" t="n"/>
      <c r="W74" s="29" t="n"/>
    </row>
    <row r="75" ht="54" customHeight="1">
      <c r="A75" s="29" t="n"/>
      <c r="B75" s="29" t="n"/>
      <c r="C75" s="29" t="n"/>
      <c r="D75" s="29" t="n"/>
      <c r="E75" s="29" t="n"/>
      <c r="F75" s="29" t="n"/>
      <c r="G75" s="29" t="n"/>
      <c r="H75" s="29" t="n"/>
      <c r="I75" s="29" t="n"/>
      <c r="J75" s="29" t="n"/>
      <c r="K75" s="29" t="n"/>
      <c r="L75" s="49" t="n"/>
      <c r="M75" s="29" t="n"/>
      <c r="N75" s="29" t="n"/>
      <c r="O75" s="29" t="n"/>
      <c r="P75" s="29" t="n"/>
      <c r="Q75" s="29" t="n"/>
      <c r="R75" s="29" t="n"/>
      <c r="S75" s="29" t="n"/>
      <c r="T75" s="29" t="n"/>
      <c r="U75" s="29" t="n"/>
      <c r="V75" s="29" t="n"/>
      <c r="W75" s="29" t="n"/>
    </row>
    <row r="76" ht="54" customHeight="1">
      <c r="A76" s="29" t="n"/>
      <c r="B76" s="29" t="n"/>
      <c r="C76" s="29" t="n"/>
      <c r="D76" s="29" t="n"/>
      <c r="E76" s="29" t="n"/>
      <c r="F76" s="29" t="n"/>
      <c r="G76" s="29" t="n"/>
      <c r="H76" s="29" t="n"/>
      <c r="I76" s="29" t="n"/>
      <c r="J76" s="29" t="n"/>
      <c r="K76" s="29" t="n"/>
      <c r="L76" s="49" t="n"/>
      <c r="M76" s="29" t="n"/>
      <c r="N76" s="29" t="n"/>
      <c r="O76" s="29" t="n"/>
      <c r="P76" s="29" t="n"/>
      <c r="Q76" s="29" t="n"/>
      <c r="R76" s="29" t="n"/>
      <c r="S76" s="29" t="n"/>
      <c r="T76" s="29" t="n"/>
      <c r="U76" s="29" t="n"/>
      <c r="V76" s="29" t="n"/>
      <c r="W76" s="29" t="n"/>
    </row>
    <row r="77" ht="54" customHeight="1">
      <c r="A77" s="29" t="n"/>
      <c r="B77" s="29" t="n"/>
      <c r="C77" s="29" t="n"/>
      <c r="D77" s="29" t="n"/>
      <c r="E77" s="29" t="n"/>
      <c r="F77" s="29" t="n"/>
      <c r="G77" s="29" t="n"/>
      <c r="H77" s="29" t="n"/>
      <c r="I77" s="29" t="n"/>
      <c r="J77" s="29" t="n"/>
      <c r="K77" s="29" t="n"/>
      <c r="L77" s="49" t="n"/>
      <c r="M77" s="29" t="n"/>
      <c r="N77" s="29" t="n"/>
      <c r="O77" s="29" t="n"/>
      <c r="P77" s="29" t="n"/>
      <c r="Q77" s="29" t="n"/>
      <c r="R77" s="29" t="n"/>
      <c r="S77" s="29" t="n"/>
      <c r="T77" s="29" t="n"/>
      <c r="U77" s="29" t="n"/>
      <c r="V77" s="29" t="n"/>
      <c r="W77" s="29" t="n"/>
    </row>
    <row r="78" ht="54" customHeight="1">
      <c r="A78" s="29" t="n"/>
      <c r="B78" s="29" t="n"/>
      <c r="C78" s="29" t="n"/>
      <c r="D78" s="29" t="n"/>
      <c r="E78" s="29" t="n"/>
      <c r="F78" s="29" t="n"/>
      <c r="G78" s="29" t="n"/>
      <c r="H78" s="29" t="n"/>
      <c r="I78" s="29" t="n"/>
      <c r="J78" s="29" t="n"/>
      <c r="K78" s="29" t="n"/>
      <c r="L78" s="49" t="n"/>
      <c r="M78" s="29" t="n"/>
      <c r="N78" s="29" t="n"/>
      <c r="O78" s="29" t="n"/>
      <c r="P78" s="29" t="n"/>
      <c r="Q78" s="29" t="n"/>
      <c r="R78" s="29" t="n"/>
      <c r="S78" s="29" t="n"/>
      <c r="T78" s="29" t="n"/>
      <c r="U78" s="29" t="n"/>
      <c r="V78" s="29" t="n"/>
      <c r="W78" s="29" t="n"/>
    </row>
    <row r="79" ht="54" customHeight="1">
      <c r="A79" s="29" t="n"/>
      <c r="B79" s="29" t="n"/>
      <c r="C79" s="29" t="n"/>
      <c r="D79" s="29" t="n"/>
      <c r="E79" s="29" t="n"/>
      <c r="F79" s="29" t="n"/>
      <c r="G79" s="29" t="n"/>
      <c r="H79" s="29" t="n"/>
      <c r="I79" s="29" t="n"/>
      <c r="J79" s="29" t="n"/>
      <c r="K79" s="29" t="n"/>
      <c r="L79" s="49" t="n"/>
      <c r="M79" s="29" t="n"/>
      <c r="N79" s="29" t="n"/>
      <c r="O79" s="29" t="n"/>
      <c r="P79" s="29" t="n"/>
      <c r="Q79" s="29" t="n"/>
      <c r="R79" s="29" t="n"/>
      <c r="S79" s="29" t="n"/>
      <c r="T79" s="29" t="n"/>
      <c r="U79" s="29" t="n"/>
      <c r="V79" s="29" t="n"/>
      <c r="W79" s="29" t="n"/>
    </row>
    <row r="80" ht="54" customHeight="1">
      <c r="A80" s="29" t="n"/>
      <c r="B80" s="29" t="n"/>
      <c r="C80" s="29" t="n"/>
      <c r="D80" s="29" t="n"/>
      <c r="E80" s="29" t="n"/>
      <c r="F80" s="29" t="n"/>
      <c r="G80" s="29" t="n"/>
      <c r="H80" s="29" t="n"/>
      <c r="I80" s="29" t="n"/>
      <c r="J80" s="29" t="n"/>
      <c r="K80" s="29" t="n"/>
      <c r="L80" s="49" t="n"/>
      <c r="M80" s="29" t="n"/>
      <c r="N80" s="29" t="n"/>
      <c r="O80" s="29" t="n"/>
      <c r="P80" s="29" t="n"/>
      <c r="Q80" s="29" t="n"/>
      <c r="R80" s="29" t="n"/>
      <c r="S80" s="29" t="n"/>
      <c r="T80" s="29" t="n"/>
      <c r="U80" s="29" t="n"/>
      <c r="V80" s="29" t="n"/>
      <c r="W80" s="29" t="n"/>
    </row>
    <row r="81" ht="54" customHeight="1">
      <c r="A81" s="29" t="n"/>
      <c r="B81" s="29" t="n"/>
      <c r="C81" s="29" t="n"/>
      <c r="D81" s="29" t="n"/>
      <c r="E81" s="29" t="n"/>
      <c r="F81" s="29" t="n"/>
      <c r="G81" s="29" t="n"/>
      <c r="H81" s="29" t="n"/>
      <c r="I81" s="29" t="n"/>
      <c r="J81" s="29" t="n"/>
      <c r="K81" s="29" t="n"/>
      <c r="L81" s="49" t="n"/>
      <c r="M81" s="29" t="n"/>
      <c r="N81" s="29" t="n"/>
      <c r="O81" s="29" t="n"/>
      <c r="P81" s="29" t="n"/>
      <c r="Q81" s="29" t="n"/>
      <c r="R81" s="29" t="n"/>
      <c r="S81" s="29" t="n"/>
      <c r="T81" s="29" t="n"/>
      <c r="U81" s="29" t="n"/>
      <c r="V81" s="29" t="n"/>
      <c r="W81" s="29" t="n"/>
    </row>
    <row r="82" ht="54" customHeight="1">
      <c r="A82" s="29" t="n"/>
      <c r="B82" s="29" t="n"/>
      <c r="C82" s="29" t="n"/>
      <c r="D82" s="29" t="n"/>
      <c r="E82" s="29" t="n"/>
      <c r="F82" s="29" t="n"/>
      <c r="G82" s="29" t="n"/>
      <c r="H82" s="29" t="n"/>
      <c r="I82" s="29" t="n"/>
      <c r="J82" s="29" t="n"/>
      <c r="K82" s="29" t="n"/>
      <c r="L82" s="49" t="n"/>
      <c r="M82" s="29" t="n"/>
      <c r="N82" s="29" t="n"/>
      <c r="O82" s="29" t="n"/>
      <c r="P82" s="29" t="n"/>
      <c r="Q82" s="29" t="n"/>
      <c r="R82" s="29" t="n"/>
      <c r="S82" s="29" t="n"/>
      <c r="T82" s="29" t="n"/>
      <c r="U82" s="29" t="n"/>
      <c r="V82" s="29" t="n"/>
      <c r="W82" s="29" t="n"/>
    </row>
    <row r="83" ht="54" customHeight="1">
      <c r="A83" s="29" t="n"/>
      <c r="B83" s="29" t="n"/>
      <c r="C83" s="29" t="n"/>
      <c r="D83" s="29" t="n"/>
      <c r="E83" s="29" t="n"/>
      <c r="F83" s="29" t="n"/>
      <c r="G83" s="29" t="n"/>
      <c r="H83" s="29" t="n"/>
      <c r="I83" s="29" t="n"/>
      <c r="J83" s="29" t="n"/>
      <c r="K83" s="29" t="n"/>
      <c r="L83" s="49" t="n"/>
      <c r="M83" s="29" t="n"/>
      <c r="N83" s="29" t="n"/>
      <c r="O83" s="29" t="n"/>
      <c r="P83" s="29" t="n"/>
      <c r="Q83" s="29" t="n"/>
      <c r="R83" s="29" t="n"/>
      <c r="S83" s="29" t="n"/>
      <c r="T83" s="29" t="n"/>
      <c r="U83" s="29" t="n"/>
      <c r="V83" s="29" t="n"/>
      <c r="W83" s="29" t="n"/>
    </row>
    <row r="84" ht="54" customHeight="1">
      <c r="A84" s="29" t="n"/>
      <c r="B84" s="29" t="n"/>
      <c r="C84" s="29" t="n"/>
      <c r="D84" s="29" t="n"/>
      <c r="E84" s="29" t="n"/>
      <c r="F84" s="29" t="n"/>
      <c r="G84" s="29" t="n"/>
      <c r="H84" s="29" t="n"/>
      <c r="I84" s="29" t="n"/>
      <c r="J84" s="29" t="n"/>
      <c r="K84" s="29" t="n"/>
      <c r="L84" s="49" t="n"/>
      <c r="M84" s="29" t="n"/>
      <c r="N84" s="29" t="n"/>
      <c r="O84" s="29" t="n"/>
      <c r="P84" s="29" t="n"/>
      <c r="Q84" s="29" t="n"/>
      <c r="R84" s="29" t="n"/>
      <c r="S84" s="29" t="n"/>
      <c r="T84" s="29" t="n"/>
      <c r="U84" s="29" t="n"/>
      <c r="V84" s="29" t="n"/>
      <c r="W84" s="29" t="n"/>
    </row>
    <row r="85" ht="54" customHeight="1">
      <c r="A85" s="29" t="n"/>
      <c r="B85" s="29" t="n"/>
      <c r="C85" s="29" t="n"/>
      <c r="D85" s="29" t="n"/>
      <c r="E85" s="29" t="n"/>
      <c r="F85" s="29" t="n"/>
      <c r="G85" s="29" t="n"/>
      <c r="H85" s="29" t="n"/>
      <c r="I85" s="29" t="n"/>
      <c r="J85" s="29" t="n"/>
      <c r="K85" s="29" t="n"/>
      <c r="L85" s="49" t="n"/>
      <c r="M85" s="29" t="n"/>
      <c r="N85" s="29" t="n"/>
      <c r="O85" s="29" t="n"/>
      <c r="P85" s="29" t="n"/>
      <c r="Q85" s="29" t="n"/>
      <c r="R85" s="29" t="n"/>
      <c r="S85" s="29" t="n"/>
      <c r="T85" s="29" t="n"/>
      <c r="U85" s="29" t="n"/>
      <c r="V85" s="29" t="n"/>
      <c r="W85" s="29" t="n"/>
    </row>
    <row r="86" ht="54" customHeight="1">
      <c r="A86" s="29" t="n"/>
      <c r="B86" s="29" t="n"/>
      <c r="C86" s="29" t="n"/>
      <c r="D86" s="29" t="n"/>
      <c r="E86" s="29" t="n"/>
      <c r="F86" s="29" t="n"/>
      <c r="G86" s="29" t="n"/>
      <c r="H86" s="29" t="n"/>
      <c r="I86" s="29" t="n"/>
      <c r="J86" s="29" t="n"/>
      <c r="K86" s="29" t="n"/>
      <c r="L86" s="49" t="n"/>
      <c r="M86" s="29" t="n"/>
      <c r="N86" s="29" t="n"/>
      <c r="O86" s="29" t="n"/>
      <c r="P86" s="29" t="n"/>
      <c r="Q86" s="29" t="n"/>
      <c r="R86" s="29" t="n"/>
      <c r="S86" s="29" t="n"/>
      <c r="T86" s="29" t="n"/>
      <c r="U86" s="29" t="n"/>
      <c r="V86" s="29" t="n"/>
      <c r="W86" s="29" t="n"/>
    </row>
    <row r="87" ht="54" customHeight="1">
      <c r="A87" s="29" t="n"/>
      <c r="B87" s="29" t="n"/>
      <c r="C87" s="29" t="n"/>
      <c r="D87" s="29" t="n"/>
      <c r="E87" s="29" t="n"/>
      <c r="F87" s="29" t="n"/>
      <c r="G87" s="29" t="n"/>
      <c r="H87" s="29" t="n"/>
      <c r="I87" s="29" t="n"/>
      <c r="J87" s="29" t="n"/>
      <c r="K87" s="29" t="n"/>
      <c r="L87" s="49" t="n"/>
      <c r="M87" s="29" t="n"/>
      <c r="N87" s="29" t="n"/>
      <c r="O87" s="29" t="n"/>
      <c r="P87" s="29" t="n"/>
      <c r="Q87" s="29" t="n"/>
      <c r="R87" s="29" t="n"/>
      <c r="S87" s="29" t="n"/>
      <c r="T87" s="29" t="n"/>
      <c r="U87" s="29" t="n"/>
      <c r="V87" s="29" t="n"/>
      <c r="W87" s="29" t="n"/>
    </row>
    <row r="88" ht="54" customHeight="1">
      <c r="A88" s="29" t="n"/>
      <c r="B88" s="29" t="n"/>
      <c r="C88" s="29" t="n"/>
      <c r="D88" s="29" t="n"/>
      <c r="E88" s="29" t="n"/>
      <c r="F88" s="29" t="n"/>
      <c r="G88" s="29" t="n"/>
      <c r="H88" s="29" t="n"/>
      <c r="I88" s="29" t="n"/>
      <c r="J88" s="29" t="n"/>
      <c r="K88" s="29" t="n"/>
      <c r="L88" s="49" t="n"/>
      <c r="M88" s="29" t="n"/>
      <c r="N88" s="29" t="n"/>
      <c r="O88" s="29" t="n"/>
      <c r="P88" s="29" t="n"/>
      <c r="Q88" s="29" t="n"/>
      <c r="R88" s="29" t="n"/>
      <c r="S88" s="29" t="n"/>
      <c r="T88" s="29" t="n"/>
      <c r="U88" s="29" t="n"/>
      <c r="V88" s="29" t="n"/>
      <c r="W88" s="29" t="n"/>
    </row>
    <row r="89" ht="54" customHeight="1">
      <c r="A89" s="29" t="n"/>
      <c r="B89" s="29" t="n"/>
      <c r="C89" s="29" t="n"/>
      <c r="D89" s="29" t="n"/>
      <c r="E89" s="29" t="n"/>
      <c r="F89" s="29" t="n"/>
      <c r="G89" s="29" t="n"/>
      <c r="H89" s="29" t="n"/>
      <c r="I89" s="29" t="n"/>
      <c r="J89" s="29" t="n"/>
      <c r="K89" s="29" t="n"/>
      <c r="L89" s="49" t="n"/>
      <c r="M89" s="29" t="n"/>
      <c r="N89" s="29" t="n"/>
      <c r="O89" s="29" t="n"/>
      <c r="P89" s="29" t="n"/>
      <c r="Q89" s="29" t="n"/>
      <c r="R89" s="29" t="n"/>
      <c r="S89" s="29" t="n"/>
      <c r="T89" s="29" t="n"/>
      <c r="U89" s="29" t="n"/>
      <c r="V89" s="29" t="n"/>
      <c r="W89" s="29" t="n"/>
    </row>
    <row r="90" ht="54" customHeight="1">
      <c r="A90" s="29" t="n"/>
      <c r="B90" s="29" t="n"/>
      <c r="C90" s="29" t="n"/>
      <c r="D90" s="29" t="n"/>
      <c r="E90" s="29" t="n"/>
      <c r="F90" s="29" t="n"/>
      <c r="G90" s="29" t="n"/>
      <c r="H90" s="29" t="n"/>
      <c r="I90" s="29" t="n"/>
      <c r="J90" s="29" t="n"/>
      <c r="K90" s="29" t="n"/>
      <c r="L90" s="49" t="n"/>
      <c r="M90" s="29" t="n"/>
      <c r="N90" s="29" t="n"/>
      <c r="O90" s="29" t="n"/>
      <c r="P90" s="29" t="n"/>
      <c r="Q90" s="29" t="n"/>
      <c r="R90" s="29" t="n"/>
      <c r="S90" s="29" t="n"/>
      <c r="T90" s="29" t="n"/>
      <c r="U90" s="29" t="n"/>
      <c r="V90" s="29" t="n"/>
      <c r="W90" s="29" t="n"/>
    </row>
    <row r="91" ht="54" customHeight="1">
      <c r="A91" s="29" t="n"/>
      <c r="B91" s="29" t="n"/>
      <c r="C91" s="29" t="n"/>
      <c r="D91" s="29" t="n"/>
      <c r="E91" s="29" t="n"/>
      <c r="F91" s="29" t="n"/>
      <c r="G91" s="29" t="n"/>
      <c r="H91" s="29" t="n"/>
      <c r="I91" s="29" t="n"/>
      <c r="J91" s="29" t="n"/>
      <c r="K91" s="29" t="n"/>
      <c r="L91" s="49" t="n"/>
      <c r="M91" s="29" t="n"/>
      <c r="N91" s="29" t="n"/>
      <c r="O91" s="29" t="n"/>
      <c r="P91" s="29" t="n"/>
      <c r="Q91" s="29" t="n"/>
      <c r="R91" s="29" t="n"/>
      <c r="S91" s="29" t="n"/>
      <c r="T91" s="29" t="n"/>
      <c r="U91" s="29" t="n"/>
      <c r="V91" s="29" t="n"/>
      <c r="W91" s="29" t="n"/>
    </row>
    <row r="92" ht="54" customHeight="1">
      <c r="A92" s="29" t="n"/>
      <c r="B92" s="29" t="n"/>
      <c r="C92" s="29" t="n"/>
      <c r="D92" s="29" t="n"/>
      <c r="E92" s="29" t="n"/>
      <c r="F92" s="29" t="n"/>
      <c r="G92" s="29" t="n"/>
      <c r="H92" s="29" t="n"/>
      <c r="I92" s="29" t="n"/>
      <c r="J92" s="29" t="n"/>
      <c r="K92" s="29" t="n"/>
      <c r="L92" s="49" t="n"/>
      <c r="M92" s="29" t="n"/>
      <c r="N92" s="29" t="n"/>
      <c r="O92" s="29" t="n"/>
      <c r="P92" s="29" t="n"/>
      <c r="Q92" s="29" t="n"/>
      <c r="R92" s="29" t="n"/>
      <c r="S92" s="29" t="n"/>
      <c r="T92" s="29" t="n"/>
      <c r="U92" s="29" t="n"/>
      <c r="V92" s="29" t="n"/>
      <c r="W92" s="29" t="n"/>
    </row>
    <row r="93" ht="54" customHeight="1">
      <c r="A93" s="29" t="n"/>
      <c r="B93" s="29" t="n"/>
      <c r="C93" s="29" t="n"/>
      <c r="D93" s="29" t="n"/>
      <c r="E93" s="29" t="n"/>
      <c r="F93" s="29" t="n"/>
      <c r="G93" s="29" t="n"/>
      <c r="H93" s="29" t="n"/>
      <c r="I93" s="29" t="n"/>
      <c r="J93" s="29" t="n"/>
      <c r="K93" s="29" t="n"/>
      <c r="L93" s="49" t="n"/>
      <c r="M93" s="29" t="n"/>
      <c r="N93" s="29" t="n"/>
      <c r="O93" s="29" t="n"/>
      <c r="P93" s="29" t="n"/>
      <c r="Q93" s="29" t="n"/>
      <c r="R93" s="29" t="n"/>
      <c r="S93" s="29" t="n"/>
      <c r="T93" s="29" t="n"/>
      <c r="U93" s="29" t="n"/>
      <c r="V93" s="29" t="n"/>
      <c r="W93" s="29" t="n"/>
    </row>
    <row r="94" ht="54" customHeight="1">
      <c r="A94" s="29" t="n"/>
      <c r="B94" s="29" t="n"/>
      <c r="C94" s="29" t="n"/>
      <c r="D94" s="29" t="n"/>
      <c r="E94" s="29" t="n"/>
      <c r="F94" s="29" t="n"/>
      <c r="G94" s="29" t="n"/>
      <c r="H94" s="29" t="n"/>
      <c r="I94" s="29" t="n"/>
      <c r="J94" s="29" t="n"/>
      <c r="K94" s="29" t="n"/>
      <c r="L94" s="49" t="n"/>
      <c r="M94" s="29" t="n"/>
      <c r="N94" s="29" t="n"/>
      <c r="O94" s="29" t="n"/>
      <c r="P94" s="29" t="n"/>
      <c r="Q94" s="29" t="n"/>
      <c r="R94" s="29" t="n"/>
      <c r="S94" s="29" t="n"/>
      <c r="T94" s="29" t="n"/>
      <c r="U94" s="29" t="n"/>
      <c r="V94" s="29" t="n"/>
      <c r="W94" s="29" t="n"/>
    </row>
    <row r="95" ht="54" customHeight="1">
      <c r="A95" s="29" t="n"/>
      <c r="B95" s="29" t="n"/>
      <c r="C95" s="29" t="n"/>
      <c r="D95" s="29" t="n"/>
      <c r="E95" s="29" t="n"/>
      <c r="F95" s="29" t="n"/>
      <c r="G95" s="29" t="n"/>
      <c r="H95" s="29" t="n"/>
      <c r="I95" s="29" t="n"/>
      <c r="J95" s="29" t="n"/>
      <c r="K95" s="29" t="n"/>
      <c r="L95" s="49" t="n"/>
      <c r="M95" s="29" t="n"/>
      <c r="N95" s="29" t="n"/>
      <c r="O95" s="29" t="n"/>
      <c r="P95" s="29" t="n"/>
      <c r="Q95" s="29" t="n"/>
      <c r="R95" s="29" t="n"/>
      <c r="S95" s="29" t="n"/>
      <c r="T95" s="29" t="n"/>
      <c r="U95" s="29" t="n"/>
      <c r="V95" s="29" t="n"/>
      <c r="W95" s="29" t="n"/>
    </row>
    <row r="96" ht="54" customHeight="1">
      <c r="A96" s="29" t="n"/>
      <c r="B96" s="29" t="n"/>
      <c r="C96" s="29" t="n"/>
      <c r="D96" s="29" t="n"/>
      <c r="E96" s="29" t="n"/>
      <c r="F96" s="29" t="n"/>
      <c r="G96" s="29" t="n"/>
      <c r="H96" s="29" t="n"/>
      <c r="I96" s="29" t="n"/>
      <c r="J96" s="29" t="n"/>
      <c r="K96" s="29" t="n"/>
      <c r="L96" s="49" t="n"/>
      <c r="M96" s="29" t="n"/>
      <c r="N96" s="29" t="n"/>
      <c r="O96" s="29" t="n"/>
      <c r="P96" s="29" t="n"/>
      <c r="Q96" s="29" t="n"/>
      <c r="R96" s="29" t="n"/>
      <c r="S96" s="29" t="n"/>
      <c r="T96" s="29" t="n"/>
      <c r="U96" s="29" t="n"/>
      <c r="V96" s="29" t="n"/>
      <c r="W96" s="29" t="n"/>
    </row>
    <row r="97" ht="54" customHeight="1">
      <c r="A97" s="29" t="n"/>
      <c r="B97" s="29" t="n"/>
      <c r="C97" s="29" t="n"/>
      <c r="D97" s="29" t="n"/>
      <c r="E97" s="29" t="n"/>
      <c r="F97" s="29" t="n"/>
      <c r="G97" s="29" t="n"/>
      <c r="H97" s="29" t="n"/>
      <c r="I97" s="29" t="n"/>
      <c r="J97" s="29" t="n"/>
      <c r="K97" s="29" t="n"/>
      <c r="L97" s="49" t="n"/>
      <c r="M97" s="29" t="n"/>
      <c r="N97" s="29" t="n"/>
      <c r="O97" s="29" t="n"/>
      <c r="P97" s="29" t="n"/>
      <c r="Q97" s="29" t="n"/>
      <c r="R97" s="29" t="n"/>
      <c r="S97" s="29" t="n"/>
      <c r="T97" s="29" t="n"/>
      <c r="U97" s="29" t="n"/>
      <c r="V97" s="29" t="n"/>
      <c r="W97" s="29" t="n"/>
    </row>
    <row r="98" ht="54" customHeight="1">
      <c r="A98" s="29" t="n"/>
      <c r="B98" s="29" t="n"/>
      <c r="C98" s="29" t="n"/>
      <c r="D98" s="29" t="n"/>
      <c r="E98" s="29" t="n"/>
      <c r="F98" s="29" t="n"/>
      <c r="G98" s="29" t="n"/>
      <c r="H98" s="29" t="n"/>
      <c r="I98" s="29" t="n"/>
      <c r="J98" s="29" t="n"/>
      <c r="K98" s="29" t="n"/>
      <c r="L98" s="49" t="n"/>
      <c r="M98" s="29" t="n"/>
      <c r="N98" s="29" t="n"/>
      <c r="O98" s="29" t="n"/>
      <c r="P98" s="29" t="n"/>
      <c r="Q98" s="29" t="n"/>
      <c r="R98" s="29" t="n"/>
      <c r="S98" s="29" t="n"/>
      <c r="T98" s="29" t="n"/>
      <c r="U98" s="29" t="n"/>
      <c r="V98" s="29" t="n"/>
      <c r="W98" s="29" t="n"/>
    </row>
    <row r="99" ht="54" customHeight="1">
      <c r="A99" s="29" t="n"/>
      <c r="B99" s="29" t="n"/>
      <c r="C99" s="29" t="n"/>
      <c r="D99" s="29" t="n"/>
      <c r="E99" s="29" t="n"/>
      <c r="F99" s="29" t="n"/>
      <c r="G99" s="29" t="n"/>
      <c r="H99" s="29" t="n"/>
      <c r="I99" s="29" t="n"/>
      <c r="J99" s="29" t="n"/>
      <c r="K99" s="29" t="n"/>
      <c r="L99" s="49" t="n"/>
      <c r="M99" s="29" t="n"/>
      <c r="N99" s="29" t="n"/>
      <c r="O99" s="29" t="n"/>
      <c r="P99" s="29" t="n"/>
      <c r="Q99" s="29" t="n"/>
      <c r="R99" s="29" t="n"/>
      <c r="S99" s="29" t="n"/>
      <c r="T99" s="29" t="n"/>
      <c r="U99" s="29" t="n"/>
      <c r="V99" s="29" t="n"/>
      <c r="W99" s="29" t="n"/>
    </row>
    <row r="100" ht="54" customHeight="1">
      <c r="A100" s="29" t="n"/>
      <c r="B100" s="29" t="n"/>
      <c r="C100" s="29" t="n"/>
      <c r="D100" s="29" t="n"/>
      <c r="E100" s="29" t="n"/>
      <c r="F100" s="29" t="n"/>
      <c r="G100" s="29" t="n"/>
      <c r="H100" s="29" t="n"/>
      <c r="I100" s="29" t="n"/>
      <c r="J100" s="29" t="n"/>
      <c r="K100" s="29" t="n"/>
      <c r="L100" s="49" t="n"/>
      <c r="M100" s="29" t="n"/>
      <c r="N100" s="29" t="n"/>
      <c r="O100" s="29" t="n"/>
      <c r="P100" s="29" t="n"/>
      <c r="Q100" s="29" t="n"/>
      <c r="R100" s="29" t="n"/>
      <c r="S100" s="29" t="n"/>
      <c r="T100" s="29" t="n"/>
      <c r="U100" s="29" t="n"/>
      <c r="V100" s="29" t="n"/>
      <c r="W100" s="29" t="n"/>
    </row>
    <row r="101" ht="54" customHeight="1">
      <c r="A101" s="29" t="n"/>
      <c r="B101" s="29" t="n"/>
      <c r="C101" s="29" t="n"/>
      <c r="D101" s="29" t="n"/>
      <c r="E101" s="29" t="n"/>
      <c r="F101" s="29" t="n"/>
      <c r="G101" s="29" t="n"/>
      <c r="H101" s="29" t="n"/>
      <c r="I101" s="29" t="n"/>
      <c r="J101" s="29" t="n"/>
      <c r="K101" s="29" t="n"/>
      <c r="L101" s="49" t="n"/>
      <c r="M101" s="29" t="n"/>
      <c r="N101" s="29" t="n"/>
      <c r="O101" s="29" t="n"/>
      <c r="P101" s="29" t="n"/>
      <c r="Q101" s="29" t="n"/>
      <c r="R101" s="29" t="n"/>
      <c r="S101" s="29" t="n"/>
      <c r="T101" s="29" t="n"/>
      <c r="U101" s="29" t="n"/>
      <c r="V101" s="29" t="n"/>
      <c r="W101" s="29" t="n"/>
    </row>
    <row r="102" ht="54" customHeight="1">
      <c r="A102" s="29" t="n"/>
      <c r="B102" s="29" t="n"/>
      <c r="C102" s="29" t="n"/>
      <c r="D102" s="29" t="n"/>
      <c r="E102" s="29" t="n"/>
      <c r="F102" s="29" t="n"/>
      <c r="G102" s="29" t="n"/>
      <c r="H102" s="29" t="n"/>
      <c r="I102" s="29" t="n"/>
      <c r="J102" s="29" t="n"/>
      <c r="K102" s="29" t="n"/>
      <c r="L102" s="49" t="n"/>
      <c r="M102" s="29" t="n"/>
      <c r="N102" s="29" t="n"/>
      <c r="O102" s="29" t="n"/>
      <c r="P102" s="29" t="n"/>
      <c r="Q102" s="29" t="n"/>
      <c r="R102" s="29" t="n"/>
      <c r="S102" s="29" t="n"/>
      <c r="T102" s="29" t="n"/>
      <c r="U102" s="29" t="n"/>
      <c r="V102" s="29" t="n"/>
      <c r="W102" s="29" t="n"/>
    </row>
    <row r="103" ht="54" customHeight="1">
      <c r="A103" s="29" t="n"/>
      <c r="B103" s="29" t="n"/>
      <c r="C103" s="29" t="n"/>
      <c r="D103" s="29" t="n"/>
      <c r="E103" s="29" t="n"/>
      <c r="F103" s="29" t="n"/>
      <c r="G103" s="29" t="n"/>
      <c r="H103" s="29" t="n"/>
      <c r="I103" s="29" t="n"/>
      <c r="J103" s="29" t="n"/>
      <c r="K103" s="29" t="n"/>
      <c r="L103" s="49" t="n"/>
      <c r="M103" s="29" t="n"/>
      <c r="N103" s="29" t="n"/>
      <c r="O103" s="29" t="n"/>
      <c r="P103" s="29" t="n"/>
      <c r="Q103" s="29" t="n"/>
      <c r="R103" s="29" t="n"/>
      <c r="S103" s="29" t="n"/>
      <c r="T103" s="29" t="n"/>
      <c r="U103" s="29" t="n"/>
      <c r="V103" s="29" t="n"/>
      <c r="W103" s="29" t="n"/>
    </row>
    <row r="104" ht="54" customHeight="1">
      <c r="A104" s="29" t="n"/>
      <c r="B104" s="29" t="n"/>
      <c r="C104" s="29" t="n"/>
      <c r="D104" s="29" t="n"/>
      <c r="E104" s="29" t="n"/>
      <c r="F104" s="29" t="n"/>
      <c r="G104" s="29" t="n"/>
      <c r="H104" s="29" t="n"/>
      <c r="I104" s="29" t="n"/>
      <c r="J104" s="29" t="n"/>
      <c r="K104" s="29" t="n"/>
      <c r="L104" s="49" t="n"/>
      <c r="M104" s="29" t="n"/>
      <c r="N104" s="29" t="n"/>
      <c r="O104" s="29" t="n"/>
      <c r="P104" s="29" t="n"/>
      <c r="Q104" s="29" t="n"/>
      <c r="R104" s="29" t="n"/>
      <c r="S104" s="29" t="n"/>
      <c r="T104" s="29" t="n"/>
      <c r="U104" s="29" t="n"/>
      <c r="V104" s="29" t="n"/>
      <c r="W104" s="29" t="n"/>
    </row>
    <row r="105" ht="54" customHeight="1">
      <c r="A105" s="29" t="n"/>
      <c r="B105" s="29" t="n"/>
      <c r="C105" s="29" t="n"/>
      <c r="D105" s="29" t="n"/>
      <c r="E105" s="29" t="n"/>
      <c r="F105" s="29" t="n"/>
      <c r="G105" s="29" t="n"/>
      <c r="H105" s="29" t="n"/>
      <c r="I105" s="29" t="n"/>
      <c r="J105" s="29" t="n"/>
      <c r="K105" s="29" t="n"/>
      <c r="L105" s="49" t="n"/>
      <c r="M105" s="29" t="n"/>
      <c r="N105" s="29" t="n"/>
      <c r="O105" s="29" t="n"/>
      <c r="P105" s="29" t="n"/>
      <c r="Q105" s="29" t="n"/>
      <c r="R105" s="29" t="n"/>
      <c r="S105" s="29" t="n"/>
      <c r="T105" s="29" t="n"/>
      <c r="U105" s="29" t="n"/>
      <c r="V105" s="29" t="n"/>
      <c r="W105" s="29" t="n"/>
    </row>
    <row r="106" ht="54" customHeight="1">
      <c r="A106" s="29" t="n"/>
      <c r="B106" s="29" t="n"/>
      <c r="C106" s="29" t="n"/>
      <c r="D106" s="29" t="n"/>
      <c r="E106" s="29" t="n"/>
      <c r="F106" s="29" t="n"/>
      <c r="G106" s="29" t="n"/>
      <c r="H106" s="29" t="n"/>
      <c r="I106" s="29" t="n"/>
      <c r="J106" s="29" t="n"/>
      <c r="K106" s="29" t="n"/>
      <c r="L106" s="49" t="n"/>
      <c r="M106" s="29" t="n"/>
      <c r="N106" s="29" t="n"/>
      <c r="O106" s="29" t="n"/>
      <c r="P106" s="29" t="n"/>
      <c r="Q106" s="29" t="n"/>
      <c r="R106" s="29" t="n"/>
      <c r="S106" s="29" t="n"/>
      <c r="T106" s="29" t="n"/>
      <c r="U106" s="29" t="n"/>
      <c r="V106" s="29" t="n"/>
      <c r="W106" s="29" t="n"/>
    </row>
    <row r="107" ht="54" customHeight="1">
      <c r="A107" s="29" t="n"/>
      <c r="B107" s="29" t="n"/>
      <c r="C107" s="29" t="n"/>
      <c r="D107" s="29" t="n"/>
      <c r="E107" s="29" t="n"/>
      <c r="F107" s="29" t="n"/>
      <c r="G107" s="29" t="n"/>
      <c r="H107" s="29" t="n"/>
      <c r="I107" s="29" t="n"/>
      <c r="J107" s="29" t="n"/>
      <c r="K107" s="29" t="n"/>
      <c r="L107" s="49" t="n"/>
      <c r="M107" s="29" t="n"/>
      <c r="N107" s="29" t="n"/>
      <c r="O107" s="29" t="n"/>
      <c r="P107" s="29" t="n"/>
      <c r="Q107" s="29" t="n"/>
      <c r="R107" s="29" t="n"/>
      <c r="S107" s="29" t="n"/>
      <c r="T107" s="29" t="n"/>
      <c r="U107" s="29" t="n"/>
      <c r="V107" s="29" t="n"/>
      <c r="W107" s="29" t="n"/>
    </row>
    <row r="108" ht="54" customHeight="1">
      <c r="A108" s="29" t="n"/>
      <c r="B108" s="29" t="n"/>
      <c r="C108" s="29" t="n"/>
      <c r="D108" s="29" t="n"/>
      <c r="E108" s="29" t="n"/>
      <c r="F108" s="29" t="n"/>
      <c r="G108" s="29" t="n"/>
      <c r="H108" s="29" t="n"/>
      <c r="I108" s="29" t="n"/>
      <c r="J108" s="29" t="n"/>
      <c r="K108" s="29" t="n"/>
      <c r="L108" s="49" t="n"/>
      <c r="M108" s="29" t="n"/>
      <c r="N108" s="29" t="n"/>
      <c r="O108" s="29" t="n"/>
      <c r="P108" s="29" t="n"/>
      <c r="Q108" s="29" t="n"/>
      <c r="R108" s="29" t="n"/>
      <c r="S108" s="29" t="n"/>
      <c r="T108" s="29" t="n"/>
      <c r="U108" s="29" t="n"/>
      <c r="V108" s="29" t="n"/>
      <c r="W108" s="29" t="n"/>
    </row>
    <row r="109" ht="54" customHeight="1">
      <c r="A109" s="29" t="n"/>
      <c r="B109" s="29" t="n"/>
      <c r="C109" s="29" t="n"/>
      <c r="D109" s="29" t="n"/>
      <c r="E109" s="29" t="n"/>
      <c r="F109" s="29" t="n"/>
      <c r="G109" s="29" t="n"/>
      <c r="H109" s="29" t="n"/>
      <c r="I109" s="29" t="n"/>
      <c r="J109" s="29" t="n"/>
      <c r="K109" s="29" t="n"/>
      <c r="L109" s="49" t="n"/>
      <c r="M109" s="29" t="n"/>
      <c r="N109" s="29" t="n"/>
      <c r="O109" s="29" t="n"/>
      <c r="P109" s="29" t="n"/>
      <c r="Q109" s="29" t="n"/>
      <c r="R109" s="29" t="n"/>
      <c r="S109" s="29" t="n"/>
      <c r="T109" s="29" t="n"/>
      <c r="U109" s="29" t="n"/>
      <c r="V109" s="29" t="n"/>
      <c r="W109" s="29" t="n"/>
    </row>
    <row r="110" ht="54" customHeight="1">
      <c r="A110" s="29" t="n"/>
      <c r="B110" s="29" t="n"/>
      <c r="C110" s="29" t="n"/>
      <c r="D110" s="29" t="n"/>
      <c r="E110" s="29" t="n"/>
      <c r="F110" s="29" t="n"/>
      <c r="G110" s="29" t="n"/>
      <c r="H110" s="29" t="n"/>
      <c r="I110" s="29" t="n"/>
      <c r="J110" s="29" t="n"/>
      <c r="K110" s="29" t="n"/>
      <c r="L110" s="49" t="n"/>
      <c r="M110" s="29" t="n"/>
      <c r="N110" s="29" t="n"/>
      <c r="O110" s="29" t="n"/>
      <c r="P110" s="29" t="n"/>
      <c r="Q110" s="29" t="n"/>
      <c r="R110" s="29" t="n"/>
      <c r="S110" s="29" t="n"/>
      <c r="T110" s="29" t="n"/>
      <c r="U110" s="29" t="n"/>
      <c r="V110" s="29" t="n"/>
      <c r="W110" s="29" t="n"/>
    </row>
    <row r="111" ht="54" customHeight="1">
      <c r="A111" s="29" t="n"/>
      <c r="B111" s="29" t="n"/>
      <c r="C111" s="29" t="n"/>
      <c r="D111" s="29" t="n"/>
      <c r="E111" s="29" t="n"/>
      <c r="F111" s="29" t="n"/>
      <c r="G111" s="29" t="n"/>
      <c r="H111" s="29" t="n"/>
      <c r="I111" s="29" t="n"/>
      <c r="J111" s="29" t="n"/>
      <c r="K111" s="29" t="n"/>
      <c r="L111" s="49" t="n"/>
      <c r="M111" s="29" t="n"/>
      <c r="N111" s="29" t="n"/>
      <c r="O111" s="29" t="n"/>
      <c r="P111" s="29" t="n"/>
      <c r="Q111" s="29" t="n"/>
      <c r="R111" s="29" t="n"/>
      <c r="S111" s="29" t="n"/>
      <c r="T111" s="29" t="n"/>
      <c r="U111" s="29" t="n"/>
      <c r="V111" s="29" t="n"/>
      <c r="W111" s="29" t="n"/>
    </row>
    <row r="112" ht="54" customHeight="1">
      <c r="A112" s="29" t="n"/>
      <c r="B112" s="29" t="n"/>
      <c r="C112" s="29" t="n"/>
      <c r="D112" s="29" t="n"/>
      <c r="E112" s="29" t="n"/>
      <c r="F112" s="29" t="n"/>
      <c r="G112" s="29" t="n"/>
      <c r="H112" s="29" t="n"/>
      <c r="I112" s="29" t="n"/>
      <c r="J112" s="29" t="n"/>
      <c r="K112" s="29" t="n"/>
      <c r="L112" s="49" t="n"/>
      <c r="M112" s="29" t="n"/>
      <c r="N112" s="29" t="n"/>
      <c r="O112" s="29" t="n"/>
      <c r="P112" s="29" t="n"/>
      <c r="Q112" s="29" t="n"/>
      <c r="R112" s="29" t="n"/>
      <c r="S112" s="29" t="n"/>
      <c r="T112" s="29" t="n"/>
      <c r="U112" s="29" t="n"/>
      <c r="V112" s="29" t="n"/>
      <c r="W112" s="29" t="n"/>
    </row>
    <row r="113" ht="54" customHeight="1">
      <c r="A113" s="29" t="n"/>
      <c r="B113" s="29" t="n"/>
      <c r="C113" s="29" t="n"/>
      <c r="D113" s="29" t="n"/>
      <c r="E113" s="29" t="n"/>
      <c r="F113" s="29" t="n"/>
      <c r="G113" s="29" t="n"/>
      <c r="H113" s="29" t="n"/>
      <c r="I113" s="29" t="n"/>
      <c r="J113" s="29" t="n"/>
      <c r="K113" s="29" t="n"/>
      <c r="L113" s="49" t="n"/>
      <c r="M113" s="29" t="n"/>
      <c r="N113" s="29" t="n"/>
      <c r="O113" s="29" t="n"/>
      <c r="P113" s="29" t="n"/>
      <c r="Q113" s="29" t="n"/>
      <c r="R113" s="29" t="n"/>
      <c r="S113" s="29" t="n"/>
      <c r="T113" s="29" t="n"/>
      <c r="U113" s="29" t="n"/>
      <c r="V113" s="29" t="n"/>
      <c r="W113" s="29" t="n"/>
    </row>
    <row r="114" ht="54" customHeight="1">
      <c r="A114" s="29" t="n"/>
      <c r="B114" s="29" t="n"/>
      <c r="C114" s="29" t="n"/>
      <c r="D114" s="29" t="n"/>
      <c r="E114" s="29" t="n"/>
      <c r="F114" s="29" t="n"/>
      <c r="G114" s="29" t="n"/>
      <c r="H114" s="29" t="n"/>
      <c r="I114" s="29" t="n"/>
      <c r="J114" s="29" t="n"/>
      <c r="K114" s="29" t="n"/>
      <c r="L114" s="49" t="n"/>
      <c r="M114" s="29" t="n"/>
      <c r="N114" s="29" t="n"/>
      <c r="O114" s="29" t="n"/>
      <c r="P114" s="29" t="n"/>
      <c r="Q114" s="29" t="n"/>
      <c r="R114" s="29" t="n"/>
      <c r="S114" s="29" t="n"/>
      <c r="T114" s="29" t="n"/>
      <c r="U114" s="29" t="n"/>
      <c r="V114" s="29" t="n"/>
      <c r="W114" s="29" t="n"/>
    </row>
    <row r="115" ht="54" customHeight="1">
      <c r="A115" s="29" t="n"/>
      <c r="B115" s="29" t="n"/>
      <c r="C115" s="29" t="n"/>
      <c r="D115" s="29" t="n"/>
      <c r="E115" s="29" t="n"/>
      <c r="F115" s="29" t="n"/>
      <c r="G115" s="29" t="n"/>
      <c r="H115" s="29" t="n"/>
      <c r="I115" s="29" t="n"/>
      <c r="J115" s="29" t="n"/>
      <c r="K115" s="29" t="n"/>
      <c r="L115" s="49" t="n"/>
      <c r="M115" s="29" t="n"/>
      <c r="N115" s="29" t="n"/>
      <c r="O115" s="29" t="n"/>
      <c r="P115" s="29" t="n"/>
      <c r="Q115" s="29" t="n"/>
      <c r="R115" s="29" t="n"/>
      <c r="S115" s="29" t="n"/>
      <c r="T115" s="29" t="n"/>
      <c r="U115" s="29" t="n"/>
      <c r="V115" s="29" t="n"/>
      <c r="W115" s="29" t="n"/>
    </row>
    <row r="116" ht="54" customHeight="1">
      <c r="A116" s="29" t="n"/>
      <c r="B116" s="29" t="n"/>
      <c r="C116" s="29" t="n"/>
      <c r="D116" s="29" t="n"/>
      <c r="E116" s="29" t="n"/>
      <c r="F116" s="29" t="n"/>
      <c r="G116" s="29" t="n"/>
      <c r="H116" s="29" t="n"/>
      <c r="I116" s="29" t="n"/>
      <c r="J116" s="29" t="n"/>
      <c r="K116" s="29" t="n"/>
      <c r="L116" s="49" t="n"/>
      <c r="M116" s="29" t="n"/>
      <c r="N116" s="29" t="n"/>
      <c r="O116" s="29" t="n"/>
      <c r="P116" s="29" t="n"/>
      <c r="Q116" s="29" t="n"/>
      <c r="R116" s="29" t="n"/>
      <c r="S116" s="29" t="n"/>
      <c r="T116" s="29" t="n"/>
      <c r="U116" s="29" t="n"/>
      <c r="V116" s="29" t="n"/>
      <c r="W116" s="29" t="n"/>
    </row>
    <row r="117" ht="54" customHeight="1">
      <c r="A117" s="29" t="n"/>
      <c r="B117" s="29" t="n"/>
      <c r="C117" s="29" t="n"/>
      <c r="D117" s="29" t="n"/>
      <c r="E117" s="29" t="n"/>
      <c r="F117" s="29" t="n"/>
      <c r="G117" s="29" t="n"/>
      <c r="H117" s="29" t="n"/>
      <c r="I117" s="29" t="n"/>
      <c r="J117" s="29" t="n"/>
      <c r="K117" s="29" t="n"/>
      <c r="L117" s="49" t="n"/>
      <c r="M117" s="29" t="n"/>
      <c r="N117" s="29" t="n"/>
      <c r="O117" s="29" t="n"/>
      <c r="P117" s="29" t="n"/>
      <c r="Q117" s="29" t="n"/>
      <c r="R117" s="29" t="n"/>
      <c r="S117" s="29" t="n"/>
      <c r="T117" s="29" t="n"/>
      <c r="U117" s="29" t="n"/>
      <c r="V117" s="29" t="n"/>
      <c r="W117" s="29" t="n"/>
    </row>
    <row r="118" ht="54" customHeight="1">
      <c r="A118" s="29" t="n"/>
      <c r="B118" s="29" t="n"/>
      <c r="C118" s="29" t="n"/>
      <c r="D118" s="29" t="n"/>
      <c r="E118" s="29" t="n"/>
      <c r="F118" s="29" t="n"/>
      <c r="G118" s="29" t="n"/>
      <c r="H118" s="29" t="n"/>
      <c r="I118" s="29" t="n"/>
      <c r="J118" s="29" t="n"/>
      <c r="K118" s="29" t="n"/>
      <c r="L118" s="49" t="n"/>
      <c r="M118" s="29" t="n"/>
      <c r="N118" s="29" t="n"/>
      <c r="O118" s="29" t="n"/>
      <c r="P118" s="29" t="n"/>
      <c r="Q118" s="29" t="n"/>
      <c r="R118" s="29" t="n"/>
      <c r="S118" s="29" t="n"/>
      <c r="T118" s="29" t="n"/>
      <c r="U118" s="29" t="n"/>
      <c r="V118" s="29" t="n"/>
      <c r="W118" s="29" t="n"/>
    </row>
    <row r="119" ht="54" customHeight="1">
      <c r="A119" s="29" t="n"/>
      <c r="B119" s="29" t="n"/>
      <c r="C119" s="29" t="n"/>
      <c r="D119" s="29" t="n"/>
      <c r="E119" s="29" t="n"/>
      <c r="F119" s="29" t="n"/>
      <c r="G119" s="29" t="n"/>
      <c r="H119" s="29" t="n"/>
      <c r="I119" s="29" t="n"/>
      <c r="J119" s="29" t="n"/>
      <c r="K119" s="29" t="n"/>
      <c r="L119" s="49" t="n"/>
      <c r="M119" s="29" t="n"/>
      <c r="N119" s="29" t="n"/>
      <c r="O119" s="29" t="n"/>
      <c r="P119" s="29" t="n"/>
      <c r="Q119" s="29" t="n"/>
      <c r="R119" s="29" t="n"/>
      <c r="S119" s="29" t="n"/>
      <c r="T119" s="29" t="n"/>
      <c r="U119" s="29" t="n"/>
      <c r="V119" s="29" t="n"/>
      <c r="W119" s="29" t="n"/>
    </row>
    <row r="120" ht="54" customHeight="1">
      <c r="A120" s="29" t="n"/>
      <c r="B120" s="29" t="n"/>
      <c r="C120" s="29" t="n"/>
      <c r="D120" s="29" t="n"/>
      <c r="E120" s="29" t="n"/>
      <c r="F120" s="29" t="n"/>
      <c r="G120" s="29" t="n"/>
      <c r="H120" s="29" t="n"/>
      <c r="I120" s="29" t="n"/>
      <c r="J120" s="29" t="n"/>
      <c r="K120" s="29" t="n"/>
      <c r="L120" s="49" t="n"/>
      <c r="M120" s="29" t="n"/>
      <c r="N120" s="29" t="n"/>
      <c r="O120" s="29" t="n"/>
      <c r="P120" s="29" t="n"/>
      <c r="Q120" s="29" t="n"/>
      <c r="R120" s="29" t="n"/>
      <c r="S120" s="29" t="n"/>
      <c r="T120" s="29" t="n"/>
      <c r="U120" s="29" t="n"/>
      <c r="V120" s="29" t="n"/>
      <c r="W120" s="29" t="n"/>
    </row>
    <row r="121" ht="54" customHeight="1">
      <c r="A121" s="29" t="n"/>
      <c r="B121" s="29" t="n"/>
      <c r="C121" s="29" t="n"/>
      <c r="D121" s="29" t="n"/>
      <c r="E121" s="29" t="n"/>
      <c r="F121" s="29" t="n"/>
      <c r="G121" s="29" t="n"/>
      <c r="H121" s="29" t="n"/>
      <c r="I121" s="29" t="n"/>
      <c r="J121" s="29" t="n"/>
      <c r="K121" s="29" t="n"/>
      <c r="L121" s="49" t="n"/>
      <c r="M121" s="29" t="n"/>
      <c r="N121" s="29" t="n"/>
      <c r="O121" s="29" t="n"/>
      <c r="P121" s="29" t="n"/>
      <c r="Q121" s="29" t="n"/>
      <c r="R121" s="29" t="n"/>
      <c r="S121" s="29" t="n"/>
      <c r="T121" s="29" t="n"/>
      <c r="U121" s="29" t="n"/>
      <c r="V121" s="29" t="n"/>
      <c r="W121" s="29" t="n"/>
    </row>
    <row r="122" ht="54" customHeight="1">
      <c r="A122" s="29" t="n"/>
      <c r="B122" s="29" t="n"/>
      <c r="C122" s="29" t="n"/>
      <c r="D122" s="29" t="n"/>
      <c r="E122" s="29" t="n"/>
      <c r="F122" s="29" t="n"/>
      <c r="G122" s="29" t="n"/>
      <c r="H122" s="29" t="n"/>
      <c r="I122" s="29" t="n"/>
      <c r="J122" s="29" t="n"/>
      <c r="K122" s="29" t="n"/>
      <c r="L122" s="49" t="n"/>
      <c r="M122" s="29" t="n"/>
      <c r="N122" s="29" t="n"/>
      <c r="O122" s="29" t="n"/>
      <c r="P122" s="29" t="n"/>
      <c r="Q122" s="29" t="n"/>
      <c r="R122" s="29" t="n"/>
      <c r="S122" s="29" t="n"/>
      <c r="T122" s="29" t="n"/>
      <c r="U122" s="29" t="n"/>
      <c r="V122" s="29" t="n"/>
      <c r="W122" s="29" t="n"/>
    </row>
    <row r="123" ht="54" customHeight="1">
      <c r="A123" s="29" t="n"/>
      <c r="B123" s="29" t="n"/>
      <c r="C123" s="29" t="n"/>
      <c r="D123" s="29" t="n"/>
      <c r="E123" s="29" t="n"/>
      <c r="F123" s="29" t="n"/>
      <c r="G123" s="29" t="n"/>
      <c r="H123" s="29" t="n"/>
      <c r="I123" s="29" t="n"/>
      <c r="J123" s="29" t="n"/>
      <c r="K123" s="29" t="n"/>
      <c r="L123" s="49" t="n"/>
      <c r="M123" s="29" t="n"/>
      <c r="N123" s="29" t="n"/>
      <c r="O123" s="29" t="n"/>
      <c r="P123" s="29" t="n"/>
      <c r="Q123" s="29" t="n"/>
      <c r="R123" s="29" t="n"/>
      <c r="S123" s="29" t="n"/>
      <c r="T123" s="29" t="n"/>
      <c r="U123" s="29" t="n"/>
      <c r="V123" s="29" t="n"/>
      <c r="W123" s="29" t="n"/>
    </row>
    <row r="124" ht="54" customHeight="1">
      <c r="A124" s="29" t="n"/>
      <c r="B124" s="29" t="n"/>
      <c r="C124" s="29" t="n"/>
      <c r="D124" s="29" t="n"/>
      <c r="E124" s="29" t="n"/>
      <c r="F124" s="29" t="n"/>
      <c r="G124" s="29" t="n"/>
      <c r="H124" s="29" t="n"/>
      <c r="I124" s="29" t="n"/>
      <c r="J124" s="29" t="n"/>
      <c r="K124" s="29" t="n"/>
      <c r="L124" s="49" t="n"/>
      <c r="M124" s="29" t="n"/>
      <c r="N124" s="29" t="n"/>
      <c r="O124" s="29" t="n"/>
      <c r="P124" s="29" t="n"/>
      <c r="Q124" s="29" t="n"/>
      <c r="R124" s="29" t="n"/>
      <c r="S124" s="29" t="n"/>
      <c r="T124" s="29" t="n"/>
      <c r="U124" s="29" t="n"/>
      <c r="V124" s="29" t="n"/>
      <c r="W124" s="29" t="n"/>
    </row>
    <row r="125" ht="54" customHeight="1">
      <c r="A125" s="29" t="n"/>
      <c r="B125" s="29" t="n"/>
      <c r="C125" s="29" t="n"/>
      <c r="D125" s="29" t="n"/>
      <c r="E125" s="29" t="n"/>
      <c r="F125" s="29" t="n"/>
      <c r="G125" s="29" t="n"/>
      <c r="H125" s="29" t="n"/>
      <c r="I125" s="29" t="n"/>
      <c r="J125" s="29" t="n"/>
      <c r="K125" s="29" t="n"/>
      <c r="L125" s="49" t="n"/>
      <c r="M125" s="29" t="n"/>
      <c r="N125" s="29" t="n"/>
      <c r="O125" s="29" t="n"/>
      <c r="P125" s="29" t="n"/>
      <c r="Q125" s="29" t="n"/>
      <c r="R125" s="29" t="n"/>
      <c r="S125" s="29" t="n"/>
      <c r="T125" s="29" t="n"/>
      <c r="U125" s="29" t="n"/>
      <c r="V125" s="29" t="n"/>
      <c r="W125" s="29" t="n"/>
    </row>
    <row r="126" ht="54" customHeight="1">
      <c r="A126" s="29" t="n"/>
      <c r="B126" s="29" t="n"/>
      <c r="C126" s="29" t="n"/>
      <c r="D126" s="29" t="n"/>
      <c r="E126" s="29" t="n"/>
      <c r="F126" s="29" t="n"/>
      <c r="G126" s="29" t="n"/>
      <c r="H126" s="29" t="n"/>
      <c r="I126" s="29" t="n"/>
      <c r="J126" s="29" t="n"/>
      <c r="K126" s="29" t="n"/>
      <c r="L126" s="49" t="n"/>
      <c r="M126" s="29" t="n"/>
      <c r="N126" s="29" t="n"/>
      <c r="O126" s="29" t="n"/>
      <c r="P126" s="29" t="n"/>
      <c r="Q126" s="29" t="n"/>
      <c r="R126" s="29" t="n"/>
      <c r="S126" s="29" t="n"/>
      <c r="T126" s="29" t="n"/>
      <c r="U126" s="29" t="n"/>
      <c r="V126" s="29" t="n"/>
      <c r="W126" s="29" t="n"/>
    </row>
    <row r="127" ht="54" customHeight="1">
      <c r="A127" s="29" t="n"/>
      <c r="B127" s="29" t="n"/>
      <c r="C127" s="29" t="n"/>
      <c r="D127" s="29" t="n"/>
      <c r="E127" s="29" t="n"/>
      <c r="F127" s="29" t="n"/>
      <c r="G127" s="29" t="n"/>
      <c r="H127" s="29" t="n"/>
      <c r="I127" s="29" t="n"/>
      <c r="J127" s="29" t="n"/>
      <c r="K127" s="29" t="n"/>
      <c r="L127" s="49" t="n"/>
      <c r="M127" s="29" t="n"/>
      <c r="N127" s="29" t="n"/>
      <c r="O127" s="29" t="n"/>
      <c r="P127" s="29" t="n"/>
      <c r="Q127" s="29" t="n"/>
      <c r="R127" s="29" t="n"/>
      <c r="S127" s="29" t="n"/>
      <c r="T127" s="29" t="n"/>
      <c r="U127" s="29" t="n"/>
      <c r="V127" s="29" t="n"/>
      <c r="W127" s="29" t="n"/>
    </row>
    <row r="128" ht="54" customHeight="1">
      <c r="A128" s="29" t="n"/>
      <c r="B128" s="29" t="n"/>
      <c r="C128" s="29" t="n"/>
      <c r="D128" s="29" t="n"/>
      <c r="E128" s="29" t="n"/>
      <c r="F128" s="29" t="n"/>
      <c r="G128" s="29" t="n"/>
      <c r="H128" s="29" t="n"/>
      <c r="I128" s="29" t="n"/>
      <c r="J128" s="29" t="n"/>
      <c r="K128" s="29" t="n"/>
      <c r="L128" s="49" t="n"/>
      <c r="M128" s="29" t="n"/>
      <c r="N128" s="29" t="n"/>
      <c r="O128" s="29" t="n"/>
      <c r="P128" s="29" t="n"/>
      <c r="Q128" s="29" t="n"/>
      <c r="R128" s="29" t="n"/>
      <c r="S128" s="29" t="n"/>
      <c r="T128" s="29" t="n"/>
      <c r="U128" s="29" t="n"/>
      <c r="V128" s="29" t="n"/>
      <c r="W128" s="29" t="n"/>
    </row>
    <row r="129" ht="54" customHeight="1">
      <c r="A129" s="29" t="n"/>
      <c r="B129" s="29" t="n"/>
      <c r="C129" s="29" t="n"/>
      <c r="D129" s="29" t="n"/>
      <c r="E129" s="29" t="n"/>
      <c r="F129" s="29" t="n"/>
      <c r="G129" s="29" t="n"/>
      <c r="H129" s="29" t="n"/>
      <c r="I129" s="29" t="n"/>
      <c r="J129" s="29" t="n"/>
      <c r="K129" s="29" t="n"/>
      <c r="L129" s="49" t="n"/>
      <c r="M129" s="29" t="n"/>
      <c r="N129" s="29" t="n"/>
      <c r="O129" s="29" t="n"/>
      <c r="P129" s="29" t="n"/>
      <c r="Q129" s="29" t="n"/>
      <c r="R129" s="29" t="n"/>
      <c r="S129" s="29" t="n"/>
      <c r="T129" s="29" t="n"/>
      <c r="U129" s="29" t="n"/>
      <c r="V129" s="29" t="n"/>
      <c r="W129" s="29" t="n"/>
    </row>
    <row r="130" ht="54" customHeight="1">
      <c r="A130" s="29" t="n"/>
      <c r="B130" s="29" t="n"/>
      <c r="C130" s="29" t="n"/>
      <c r="D130" s="29" t="n"/>
      <c r="E130" s="29" t="n"/>
      <c r="F130" s="29" t="n"/>
      <c r="G130" s="29" t="n"/>
      <c r="H130" s="29" t="n"/>
      <c r="I130" s="29" t="n"/>
      <c r="J130" s="29" t="n"/>
      <c r="K130" s="29" t="n"/>
      <c r="L130" s="49" t="n"/>
      <c r="M130" s="29" t="n"/>
      <c r="N130" s="29" t="n"/>
      <c r="O130" s="29" t="n"/>
      <c r="P130" s="29" t="n"/>
      <c r="Q130" s="29" t="n"/>
      <c r="R130" s="29" t="n"/>
      <c r="S130" s="29" t="n"/>
      <c r="T130" s="29" t="n"/>
      <c r="U130" s="29" t="n"/>
      <c r="V130" s="29" t="n"/>
      <c r="W130" s="29" t="n"/>
    </row>
    <row r="131" ht="54" customHeight="1">
      <c r="A131" s="29" t="n"/>
      <c r="B131" s="29" t="n"/>
      <c r="C131" s="29" t="n"/>
      <c r="D131" s="29" t="n"/>
      <c r="E131" s="29" t="n"/>
      <c r="F131" s="29" t="n"/>
      <c r="G131" s="29" t="n"/>
      <c r="H131" s="29" t="n"/>
      <c r="I131" s="29" t="n"/>
      <c r="J131" s="29" t="n"/>
      <c r="K131" s="29" t="n"/>
      <c r="L131" s="49" t="n"/>
      <c r="M131" s="29" t="n"/>
      <c r="N131" s="29" t="n"/>
      <c r="O131" s="29" t="n"/>
      <c r="P131" s="29" t="n"/>
      <c r="Q131" s="29" t="n"/>
      <c r="R131" s="29" t="n"/>
      <c r="S131" s="29" t="n"/>
      <c r="T131" s="29" t="n"/>
      <c r="U131" s="29" t="n"/>
      <c r="V131" s="29" t="n"/>
      <c r="W131" s="29" t="n"/>
    </row>
    <row r="132" ht="54" customHeight="1">
      <c r="A132" s="29" t="n"/>
      <c r="B132" s="29" t="n"/>
      <c r="C132" s="29" t="n"/>
      <c r="D132" s="29" t="n"/>
      <c r="E132" s="29" t="n"/>
      <c r="F132" s="29" t="n"/>
      <c r="G132" s="29" t="n"/>
      <c r="H132" s="29" t="n"/>
      <c r="I132" s="29" t="n"/>
      <c r="J132" s="29" t="n"/>
      <c r="K132" s="29" t="n"/>
      <c r="L132" s="49" t="n"/>
      <c r="M132" s="29" t="n"/>
      <c r="N132" s="29" t="n"/>
      <c r="O132" s="29" t="n"/>
      <c r="P132" s="29" t="n"/>
      <c r="Q132" s="29" t="n"/>
      <c r="R132" s="29" t="n"/>
      <c r="S132" s="29" t="n"/>
      <c r="T132" s="29" t="n"/>
      <c r="U132" s="29" t="n"/>
      <c r="V132" s="29" t="n"/>
      <c r="W132" s="29" t="n"/>
    </row>
    <row r="133" ht="54" customHeight="1">
      <c r="A133" s="29" t="n"/>
      <c r="B133" s="29" t="n"/>
      <c r="C133" s="29" t="n"/>
      <c r="D133" s="29" t="n"/>
      <c r="E133" s="29" t="n"/>
      <c r="F133" s="29" t="n"/>
      <c r="G133" s="29" t="n"/>
      <c r="H133" s="29" t="n"/>
      <c r="I133" s="29" t="n"/>
      <c r="J133" s="29" t="n"/>
      <c r="K133" s="29" t="n"/>
      <c r="L133" s="49" t="n"/>
      <c r="M133" s="29" t="n"/>
      <c r="N133" s="29" t="n"/>
      <c r="O133" s="29" t="n"/>
      <c r="P133" s="29" t="n"/>
      <c r="Q133" s="29" t="n"/>
      <c r="R133" s="29" t="n"/>
      <c r="S133" s="29" t="n"/>
      <c r="T133" s="29" t="n"/>
      <c r="U133" s="29" t="n"/>
      <c r="V133" s="29" t="n"/>
      <c r="W133" s="29" t="n"/>
    </row>
    <row r="134" ht="54" customHeight="1">
      <c r="A134" s="29" t="n"/>
      <c r="B134" s="29" t="n"/>
      <c r="C134" s="29" t="n"/>
      <c r="D134" s="29" t="n"/>
      <c r="E134" s="29" t="n"/>
      <c r="F134" s="29" t="n"/>
      <c r="G134" s="29" t="n"/>
      <c r="H134" s="29" t="n"/>
      <c r="I134" s="29" t="n"/>
      <c r="J134" s="29" t="n"/>
      <c r="K134" s="29" t="n"/>
      <c r="L134" s="49" t="n"/>
      <c r="M134" s="29" t="n"/>
      <c r="N134" s="29" t="n"/>
      <c r="O134" s="29" t="n"/>
      <c r="P134" s="29" t="n"/>
      <c r="Q134" s="29" t="n"/>
      <c r="R134" s="29" t="n"/>
      <c r="S134" s="29" t="n"/>
      <c r="T134" s="29" t="n"/>
      <c r="U134" s="29" t="n"/>
      <c r="V134" s="29" t="n"/>
      <c r="W134" s="29" t="n"/>
    </row>
    <row r="135" ht="54" customHeight="1">
      <c r="A135" s="29" t="n"/>
      <c r="B135" s="29" t="n"/>
      <c r="C135" s="29" t="n"/>
      <c r="D135" s="29" t="n"/>
      <c r="E135" s="29" t="n"/>
      <c r="F135" s="29" t="n"/>
      <c r="G135" s="29" t="n"/>
      <c r="H135" s="29" t="n"/>
      <c r="I135" s="29" t="n"/>
      <c r="J135" s="29" t="n"/>
      <c r="K135" s="29" t="n"/>
      <c r="L135" s="49" t="n"/>
      <c r="M135" s="29" t="n"/>
      <c r="N135" s="29" t="n"/>
      <c r="O135" s="29" t="n"/>
      <c r="P135" s="29" t="n"/>
      <c r="Q135" s="29" t="n"/>
      <c r="R135" s="29" t="n"/>
      <c r="S135" s="29" t="n"/>
      <c r="T135" s="29" t="n"/>
      <c r="U135" s="29" t="n"/>
      <c r="V135" s="29" t="n"/>
      <c r="W135" s="29" t="n"/>
    </row>
    <row r="136" ht="54" customHeight="1">
      <c r="A136" s="29" t="n"/>
      <c r="B136" s="29" t="n"/>
      <c r="C136" s="29" t="n"/>
      <c r="D136" s="29" t="n"/>
      <c r="E136" s="29" t="n"/>
      <c r="F136" s="29" t="n"/>
      <c r="G136" s="29" t="n"/>
      <c r="H136" s="29" t="n"/>
      <c r="I136" s="29" t="n"/>
      <c r="J136" s="29" t="n"/>
      <c r="K136" s="29" t="n"/>
      <c r="L136" s="49" t="n"/>
      <c r="M136" s="29" t="n"/>
      <c r="N136" s="29" t="n"/>
      <c r="O136" s="29" t="n"/>
      <c r="P136" s="29" t="n"/>
      <c r="Q136" s="29" t="n"/>
      <c r="R136" s="29" t="n"/>
      <c r="S136" s="29" t="n"/>
      <c r="T136" s="29" t="n"/>
      <c r="U136" s="29" t="n"/>
      <c r="V136" s="29" t="n"/>
      <c r="W136" s="29" t="n"/>
    </row>
    <row r="137" ht="54" customHeight="1">
      <c r="A137" s="29" t="n"/>
      <c r="B137" s="29" t="n"/>
      <c r="C137" s="29" t="n"/>
      <c r="D137" s="29" t="n"/>
      <c r="E137" s="29" t="n"/>
      <c r="F137" s="29" t="n"/>
      <c r="G137" s="29" t="n"/>
      <c r="H137" s="29" t="n"/>
      <c r="I137" s="29" t="n"/>
      <c r="J137" s="29" t="n"/>
      <c r="K137" s="29" t="n"/>
      <c r="L137" s="49" t="n"/>
      <c r="M137" s="29" t="n"/>
      <c r="N137" s="29" t="n"/>
      <c r="O137" s="29" t="n"/>
      <c r="P137" s="29" t="n"/>
      <c r="Q137" s="29" t="n"/>
      <c r="R137" s="29" t="n"/>
      <c r="S137" s="29" t="n"/>
      <c r="T137" s="29" t="n"/>
      <c r="U137" s="29" t="n"/>
      <c r="V137" s="29" t="n"/>
      <c r="W137" s="29" t="n"/>
    </row>
    <row r="138" ht="54" customHeight="1">
      <c r="A138" s="29" t="n"/>
      <c r="B138" s="29" t="n"/>
      <c r="C138" s="29" t="n"/>
      <c r="D138" s="29" t="n"/>
      <c r="E138" s="29" t="n"/>
      <c r="F138" s="29" t="n"/>
      <c r="G138" s="29" t="n"/>
      <c r="H138" s="29" t="n"/>
      <c r="I138" s="29" t="n"/>
      <c r="J138" s="29" t="n"/>
      <c r="K138" s="29" t="n"/>
      <c r="L138" s="49" t="n"/>
      <c r="M138" s="29" t="n"/>
      <c r="N138" s="29" t="n"/>
      <c r="O138" s="29" t="n"/>
      <c r="P138" s="29" t="n"/>
      <c r="Q138" s="29" t="n"/>
      <c r="R138" s="29" t="n"/>
      <c r="S138" s="29" t="n"/>
      <c r="T138" s="29" t="n"/>
      <c r="U138" s="29" t="n"/>
      <c r="V138" s="29" t="n"/>
      <c r="W138" s="29" t="n"/>
    </row>
    <row r="139" ht="54" customHeight="1">
      <c r="A139" s="29" t="n"/>
      <c r="B139" s="29" t="n"/>
      <c r="C139" s="29" t="n"/>
      <c r="D139" s="29" t="n"/>
      <c r="E139" s="29" t="n"/>
      <c r="F139" s="29" t="n"/>
      <c r="G139" s="29" t="n"/>
      <c r="H139" s="29" t="n"/>
      <c r="I139" s="29" t="n"/>
      <c r="J139" s="29" t="n"/>
      <c r="K139" s="29" t="n"/>
      <c r="L139" s="49" t="n"/>
      <c r="M139" s="29" t="n"/>
      <c r="N139" s="29" t="n"/>
      <c r="O139" s="29" t="n"/>
      <c r="P139" s="29" t="n"/>
      <c r="Q139" s="29" t="n"/>
      <c r="R139" s="29" t="n"/>
      <c r="S139" s="29" t="n"/>
      <c r="T139" s="29" t="n"/>
      <c r="U139" s="29" t="n"/>
      <c r="V139" s="29" t="n"/>
      <c r="W139" s="29" t="n"/>
    </row>
    <row r="140" ht="54" customHeight="1">
      <c r="A140" s="29" t="n"/>
      <c r="B140" s="29" t="n"/>
      <c r="C140" s="29" t="n"/>
      <c r="D140" s="29" t="n"/>
      <c r="E140" s="29" t="n"/>
      <c r="F140" s="29" t="n"/>
      <c r="G140" s="29" t="n"/>
      <c r="H140" s="29" t="n"/>
      <c r="I140" s="29" t="n"/>
      <c r="J140" s="29" t="n"/>
      <c r="K140" s="29" t="n"/>
      <c r="L140" s="49" t="n"/>
      <c r="M140" s="29" t="n"/>
      <c r="N140" s="29" t="n"/>
      <c r="O140" s="29" t="n"/>
      <c r="P140" s="29" t="n"/>
      <c r="Q140" s="29" t="n"/>
      <c r="R140" s="29" t="n"/>
      <c r="S140" s="29" t="n"/>
      <c r="T140" s="29" t="n"/>
      <c r="U140" s="29" t="n"/>
      <c r="V140" s="29" t="n"/>
      <c r="W140" s="29" t="n"/>
    </row>
    <row r="141" ht="54" customHeight="1">
      <c r="A141" s="29" t="n"/>
      <c r="B141" s="29" t="n"/>
      <c r="C141" s="29" t="n"/>
      <c r="D141" s="29" t="n"/>
      <c r="E141" s="29" t="n"/>
      <c r="F141" s="29" t="n"/>
      <c r="G141" s="29" t="n"/>
      <c r="H141" s="29" t="n"/>
      <c r="I141" s="29" t="n"/>
      <c r="J141" s="29" t="n"/>
      <c r="K141" s="29" t="n"/>
      <c r="L141" s="49" t="n"/>
      <c r="M141" s="29" t="n"/>
      <c r="N141" s="29" t="n"/>
      <c r="O141" s="29" t="n"/>
      <c r="P141" s="29" t="n"/>
      <c r="Q141" s="29" t="n"/>
      <c r="R141" s="29" t="n"/>
      <c r="S141" s="29" t="n"/>
      <c r="T141" s="29" t="n"/>
      <c r="U141" s="29" t="n"/>
      <c r="V141" s="29" t="n"/>
      <c r="W141" s="29" t="n"/>
    </row>
    <row r="142" ht="54" customHeight="1">
      <c r="A142" s="29" t="n"/>
      <c r="B142" s="29" t="n"/>
      <c r="C142" s="29" t="n"/>
      <c r="D142" s="29" t="n"/>
      <c r="E142" s="29" t="n"/>
      <c r="F142" s="29" t="n"/>
      <c r="G142" s="29" t="n"/>
      <c r="H142" s="29" t="n"/>
      <c r="I142" s="29" t="n"/>
      <c r="J142" s="29" t="n"/>
      <c r="K142" s="29" t="n"/>
      <c r="L142" s="49" t="n"/>
      <c r="M142" s="29" t="n"/>
      <c r="N142" s="29" t="n"/>
      <c r="O142" s="29" t="n"/>
      <c r="P142" s="29" t="n"/>
      <c r="Q142" s="29" t="n"/>
      <c r="R142" s="29" t="n"/>
      <c r="S142" s="29" t="n"/>
      <c r="T142" s="29" t="n"/>
      <c r="U142" s="29" t="n"/>
      <c r="V142" s="29" t="n"/>
      <c r="W142" s="29" t="n"/>
    </row>
    <row r="143" ht="54" customHeight="1">
      <c r="A143" s="29" t="n"/>
      <c r="B143" s="29" t="n"/>
      <c r="C143" s="29" t="n"/>
      <c r="D143" s="29" t="n"/>
      <c r="E143" s="29" t="n"/>
      <c r="F143" s="29" t="n"/>
      <c r="G143" s="29" t="n"/>
      <c r="H143" s="29" t="n"/>
      <c r="I143" s="29" t="n"/>
      <c r="J143" s="29" t="n"/>
      <c r="K143" s="29" t="n"/>
      <c r="L143" s="49" t="n"/>
      <c r="M143" s="29" t="n"/>
      <c r="N143" s="29" t="n"/>
      <c r="O143" s="29" t="n"/>
      <c r="P143" s="29" t="n"/>
      <c r="Q143" s="29" t="n"/>
      <c r="R143" s="29" t="n"/>
      <c r="S143" s="29" t="n"/>
      <c r="T143" s="29" t="n"/>
      <c r="U143" s="29" t="n"/>
      <c r="V143" s="29" t="n"/>
      <c r="W143" s="29" t="n"/>
    </row>
    <row r="144" ht="54" customHeight="1">
      <c r="A144" s="29" t="n"/>
      <c r="B144" s="29" t="n"/>
      <c r="C144" s="29" t="n"/>
      <c r="D144" s="29" t="n"/>
      <c r="E144" s="29" t="n"/>
      <c r="F144" s="29" t="n"/>
      <c r="G144" s="29" t="n"/>
      <c r="H144" s="29" t="n"/>
      <c r="I144" s="29" t="n"/>
      <c r="J144" s="29" t="n"/>
      <c r="K144" s="29" t="n"/>
      <c r="L144" s="49" t="n"/>
      <c r="M144" s="29" t="n"/>
      <c r="N144" s="29" t="n"/>
      <c r="O144" s="29" t="n"/>
      <c r="P144" s="29" t="n"/>
      <c r="Q144" s="29" t="n"/>
      <c r="R144" s="29" t="n"/>
      <c r="S144" s="29" t="n"/>
      <c r="T144" s="29" t="n"/>
      <c r="U144" s="29" t="n"/>
      <c r="V144" s="29" t="n"/>
      <c r="W144" s="29" t="n"/>
    </row>
    <row r="145" ht="54" customHeight="1">
      <c r="A145" s="29" t="n"/>
      <c r="B145" s="29" t="n"/>
      <c r="C145" s="29" t="n"/>
      <c r="D145" s="29" t="n"/>
      <c r="E145" s="29" t="n"/>
      <c r="F145" s="29" t="n"/>
      <c r="G145" s="29" t="n"/>
      <c r="H145" s="29" t="n"/>
      <c r="I145" s="29" t="n"/>
      <c r="J145" s="29" t="n"/>
      <c r="K145" s="29" t="n"/>
      <c r="L145" s="49" t="n"/>
      <c r="M145" s="29" t="n"/>
      <c r="N145" s="29" t="n"/>
      <c r="O145" s="29" t="n"/>
      <c r="P145" s="29" t="n"/>
      <c r="Q145" s="29" t="n"/>
      <c r="R145" s="29" t="n"/>
      <c r="S145" s="29" t="n"/>
      <c r="T145" s="29" t="n"/>
      <c r="U145" s="29" t="n"/>
      <c r="V145" s="29" t="n"/>
      <c r="W145" s="29" t="n"/>
    </row>
    <row r="146" ht="54" customHeight="1">
      <c r="A146" s="29" t="n"/>
      <c r="B146" s="29" t="n"/>
      <c r="C146" s="29" t="n"/>
      <c r="D146" s="29" t="n"/>
      <c r="E146" s="29" t="n"/>
      <c r="F146" s="29" t="n"/>
      <c r="G146" s="29" t="n"/>
      <c r="H146" s="29" t="n"/>
      <c r="I146" s="29" t="n"/>
      <c r="J146" s="29" t="n"/>
      <c r="K146" s="29" t="n"/>
      <c r="L146" s="49" t="n"/>
      <c r="M146" s="29" t="n"/>
      <c r="N146" s="29" t="n"/>
      <c r="O146" s="29" t="n"/>
      <c r="P146" s="29" t="n"/>
      <c r="Q146" s="29" t="n"/>
      <c r="R146" s="29" t="n"/>
      <c r="S146" s="29" t="n"/>
      <c r="T146" s="29" t="n"/>
      <c r="U146" s="29" t="n"/>
      <c r="V146" s="29" t="n"/>
      <c r="W146" s="29" t="n"/>
    </row>
    <row r="147" ht="54" customHeight="1">
      <c r="A147" s="29" t="n"/>
      <c r="B147" s="29" t="n"/>
      <c r="C147" s="29" t="n"/>
      <c r="D147" s="29" t="n"/>
      <c r="E147" s="29" t="n"/>
      <c r="F147" s="29" t="n"/>
      <c r="G147" s="29" t="n"/>
      <c r="H147" s="29" t="n"/>
      <c r="I147" s="29" t="n"/>
      <c r="J147" s="29" t="n"/>
      <c r="K147" s="29" t="n"/>
      <c r="L147" s="49" t="n"/>
      <c r="M147" s="29" t="n"/>
      <c r="N147" s="29" t="n"/>
      <c r="O147" s="29" t="n"/>
      <c r="P147" s="29" t="n"/>
      <c r="Q147" s="29" t="n"/>
      <c r="R147" s="29" t="n"/>
      <c r="S147" s="29" t="n"/>
      <c r="T147" s="29" t="n"/>
      <c r="U147" s="29" t="n"/>
      <c r="V147" s="29" t="n"/>
      <c r="W147" s="29" t="n"/>
    </row>
    <row r="148" ht="54" customHeight="1">
      <c r="A148" s="29" t="n"/>
      <c r="B148" s="29" t="n"/>
      <c r="C148" s="29" t="n"/>
      <c r="D148" s="29" t="n"/>
      <c r="E148" s="29" t="n"/>
      <c r="F148" s="29" t="n"/>
      <c r="G148" s="29" t="n"/>
      <c r="H148" s="29" t="n"/>
      <c r="I148" s="29" t="n"/>
      <c r="J148" s="29" t="n"/>
      <c r="K148" s="29" t="n"/>
      <c r="L148" s="49" t="n"/>
      <c r="M148" s="29" t="n"/>
      <c r="N148" s="29" t="n"/>
      <c r="O148" s="29" t="n"/>
      <c r="P148" s="29" t="n"/>
      <c r="Q148" s="29" t="n"/>
      <c r="R148" s="29" t="n"/>
      <c r="S148" s="29" t="n"/>
      <c r="T148" s="29" t="n"/>
      <c r="U148" s="29" t="n"/>
      <c r="V148" s="29" t="n"/>
      <c r="W148" s="29" t="n"/>
    </row>
    <row r="149" ht="54" customHeight="1">
      <c r="A149" s="29" t="n"/>
      <c r="B149" s="29" t="n"/>
      <c r="C149" s="29" t="n"/>
      <c r="D149" s="29" t="n"/>
      <c r="E149" s="29" t="n"/>
      <c r="F149" s="29" t="n"/>
      <c r="G149" s="29" t="n"/>
      <c r="H149" s="29" t="n"/>
      <c r="I149" s="29" t="n"/>
      <c r="J149" s="29" t="n"/>
      <c r="K149" s="29" t="n"/>
      <c r="L149" s="49" t="n"/>
      <c r="M149" s="29" t="n"/>
      <c r="N149" s="29" t="n"/>
      <c r="O149" s="29" t="n"/>
      <c r="P149" s="29" t="n"/>
      <c r="Q149" s="29" t="n"/>
      <c r="R149" s="29" t="n"/>
      <c r="S149" s="29" t="n"/>
      <c r="T149" s="29" t="n"/>
      <c r="U149" s="29" t="n"/>
      <c r="V149" s="29" t="n"/>
      <c r="W149" s="29" t="n"/>
    </row>
    <row r="150" ht="54" customHeight="1">
      <c r="A150" s="29" t="n"/>
      <c r="B150" s="29" t="n"/>
      <c r="C150" s="29" t="n"/>
      <c r="D150" s="29" t="n"/>
      <c r="E150" s="29" t="n"/>
      <c r="F150" s="29" t="n"/>
      <c r="G150" s="29" t="n"/>
      <c r="H150" s="29" t="n"/>
      <c r="I150" s="29" t="n"/>
      <c r="J150" s="29" t="n"/>
      <c r="K150" s="29" t="n"/>
      <c r="L150" s="49" t="n"/>
      <c r="M150" s="29" t="n"/>
      <c r="N150" s="29" t="n"/>
      <c r="O150" s="29" t="n"/>
      <c r="P150" s="29" t="n"/>
      <c r="Q150" s="29" t="n"/>
      <c r="R150" s="29" t="n"/>
      <c r="S150" s="29" t="n"/>
      <c r="T150" s="29" t="n"/>
      <c r="U150" s="29" t="n"/>
      <c r="V150" s="29" t="n"/>
      <c r="W150" s="29" t="n"/>
    </row>
    <row r="151" ht="54" customHeight="1">
      <c r="A151" s="29" t="n"/>
      <c r="B151" s="29" t="n"/>
      <c r="C151" s="29" t="n"/>
      <c r="D151" s="29" t="n"/>
      <c r="E151" s="29" t="n"/>
      <c r="F151" s="29" t="n"/>
      <c r="G151" s="29" t="n"/>
      <c r="H151" s="29" t="n"/>
      <c r="I151" s="29" t="n"/>
      <c r="J151" s="29" t="n"/>
      <c r="K151" s="29" t="n"/>
      <c r="L151" s="49" t="n"/>
      <c r="M151" s="29" t="n"/>
      <c r="N151" s="29" t="n"/>
      <c r="O151" s="29" t="n"/>
      <c r="P151" s="29" t="n"/>
      <c r="Q151" s="29" t="n"/>
      <c r="R151" s="29" t="n"/>
      <c r="S151" s="29" t="n"/>
      <c r="T151" s="29" t="n"/>
      <c r="U151" s="29" t="n"/>
      <c r="V151" s="29" t="n"/>
      <c r="W151" s="29" t="n"/>
    </row>
    <row r="152" ht="54" customHeight="1">
      <c r="A152" s="29" t="n"/>
      <c r="B152" s="29" t="n"/>
      <c r="C152" s="29" t="n"/>
      <c r="D152" s="29" t="n"/>
      <c r="E152" s="29" t="n"/>
      <c r="F152" s="29" t="n"/>
      <c r="G152" s="29" t="n"/>
      <c r="H152" s="29" t="n"/>
      <c r="I152" s="29" t="n"/>
      <c r="J152" s="29" t="n"/>
      <c r="K152" s="29" t="n"/>
      <c r="L152" s="49" t="n"/>
      <c r="M152" s="29" t="n"/>
      <c r="N152" s="29" t="n"/>
      <c r="O152" s="29" t="n"/>
      <c r="P152" s="29" t="n"/>
      <c r="Q152" s="29" t="n"/>
      <c r="R152" s="29" t="n"/>
      <c r="S152" s="29" t="n"/>
      <c r="T152" s="29" t="n"/>
      <c r="U152" s="29" t="n"/>
      <c r="V152" s="29" t="n"/>
      <c r="W152" s="29" t="n"/>
    </row>
    <row r="153" ht="54" customHeight="1">
      <c r="A153" s="29" t="n"/>
      <c r="B153" s="29" t="n"/>
      <c r="C153" s="29" t="n"/>
      <c r="D153" s="29" t="n"/>
      <c r="E153" s="29" t="n"/>
      <c r="F153" s="29" t="n"/>
      <c r="G153" s="29" t="n"/>
      <c r="H153" s="29" t="n"/>
      <c r="I153" s="29" t="n"/>
      <c r="J153" s="29" t="n"/>
      <c r="K153" s="29" t="n"/>
      <c r="L153" s="49" t="n"/>
      <c r="M153" s="29" t="n"/>
      <c r="N153" s="29" t="n"/>
      <c r="O153" s="29" t="n"/>
      <c r="P153" s="29" t="n"/>
      <c r="Q153" s="29" t="n"/>
      <c r="R153" s="29" t="n"/>
      <c r="S153" s="29" t="n"/>
      <c r="T153" s="29" t="n"/>
      <c r="U153" s="29" t="n"/>
      <c r="V153" s="29" t="n"/>
      <c r="W153" s="29" t="n"/>
    </row>
    <row r="154" ht="54" customHeight="1">
      <c r="A154" s="29" t="n"/>
      <c r="B154" s="29" t="n"/>
      <c r="C154" s="29" t="n"/>
      <c r="D154" s="29" t="n"/>
      <c r="E154" s="29" t="n"/>
      <c r="F154" s="29" t="n"/>
      <c r="G154" s="29" t="n"/>
      <c r="H154" s="29" t="n"/>
      <c r="I154" s="29" t="n"/>
      <c r="J154" s="29" t="n"/>
      <c r="K154" s="29" t="n"/>
      <c r="L154" s="49" t="n"/>
      <c r="M154" s="29" t="n"/>
      <c r="N154" s="29" t="n"/>
      <c r="O154" s="29" t="n"/>
      <c r="P154" s="29" t="n"/>
      <c r="Q154" s="29" t="n"/>
      <c r="R154" s="29" t="n"/>
      <c r="S154" s="29" t="n"/>
      <c r="T154" s="29" t="n"/>
      <c r="U154" s="29" t="n"/>
      <c r="V154" s="29" t="n"/>
      <c r="W154" s="29" t="n"/>
    </row>
    <row r="155" ht="54" customHeight="1">
      <c r="A155" s="29" t="n"/>
      <c r="B155" s="29" t="n"/>
      <c r="C155" s="29" t="n"/>
      <c r="D155" s="29" t="n"/>
      <c r="E155" s="29" t="n"/>
      <c r="F155" s="29" t="n"/>
      <c r="G155" s="29" t="n"/>
      <c r="H155" s="29" t="n"/>
      <c r="I155" s="29" t="n"/>
      <c r="J155" s="29" t="n"/>
      <c r="K155" s="29" t="n"/>
      <c r="L155" s="49" t="n"/>
      <c r="M155" s="29" t="n"/>
      <c r="N155" s="29" t="n"/>
      <c r="O155" s="29" t="n"/>
      <c r="P155" s="29" t="n"/>
      <c r="Q155" s="29" t="n"/>
      <c r="R155" s="29" t="n"/>
      <c r="S155" s="29" t="n"/>
      <c r="T155" s="29" t="n"/>
      <c r="U155" s="29" t="n"/>
      <c r="V155" s="29" t="n"/>
      <c r="W155" s="29" t="n"/>
    </row>
    <row r="156" ht="54" customHeight="1">
      <c r="A156" s="29" t="n"/>
      <c r="B156" s="29" t="n"/>
      <c r="C156" s="29" t="n"/>
      <c r="D156" s="29" t="n"/>
      <c r="E156" s="29" t="n"/>
      <c r="F156" s="29" t="n"/>
      <c r="G156" s="29" t="n"/>
      <c r="H156" s="29" t="n"/>
      <c r="I156" s="29" t="n"/>
      <c r="J156" s="29" t="n"/>
      <c r="K156" s="29" t="n"/>
      <c r="L156" s="49" t="n"/>
      <c r="M156" s="29" t="n"/>
      <c r="N156" s="29" t="n"/>
      <c r="O156" s="29" t="n"/>
      <c r="P156" s="29" t="n"/>
      <c r="Q156" s="29" t="n"/>
      <c r="R156" s="29" t="n"/>
      <c r="S156" s="29" t="n"/>
      <c r="T156" s="29" t="n"/>
      <c r="U156" s="29" t="n"/>
      <c r="V156" s="29" t="n"/>
      <c r="W156" s="29" t="n"/>
    </row>
    <row r="157" ht="54" customHeight="1">
      <c r="A157" s="29" t="n"/>
      <c r="B157" s="29" t="n"/>
      <c r="C157" s="29" t="n"/>
      <c r="D157" s="29" t="n"/>
      <c r="E157" s="29" t="n"/>
      <c r="F157" s="29" t="n"/>
      <c r="G157" s="29" t="n"/>
      <c r="H157" s="29" t="n"/>
      <c r="I157" s="29" t="n"/>
      <c r="J157" s="29" t="n"/>
      <c r="K157" s="29" t="n"/>
      <c r="L157" s="49" t="n"/>
      <c r="M157" s="29" t="n"/>
      <c r="N157" s="29" t="n"/>
      <c r="O157" s="29" t="n"/>
      <c r="P157" s="29" t="n"/>
      <c r="Q157" s="29" t="n"/>
      <c r="R157" s="29" t="n"/>
      <c r="S157" s="29" t="n"/>
      <c r="T157" s="29" t="n"/>
      <c r="U157" s="29" t="n"/>
      <c r="V157" s="29" t="n"/>
      <c r="W157" s="29" t="n"/>
    </row>
    <row r="158" ht="54" customHeight="1">
      <c r="A158" s="29" t="n"/>
      <c r="B158" s="29" t="n"/>
      <c r="C158" s="29" t="n"/>
      <c r="D158" s="29" t="n"/>
      <c r="E158" s="29" t="n"/>
      <c r="F158" s="29" t="n"/>
      <c r="G158" s="29" t="n"/>
      <c r="H158" s="29" t="n"/>
      <c r="I158" s="29" t="n"/>
      <c r="J158" s="29" t="n"/>
      <c r="K158" s="29" t="n"/>
      <c r="L158" s="49" t="n"/>
      <c r="M158" s="29" t="n"/>
      <c r="N158" s="29" t="n"/>
      <c r="O158" s="29" t="n"/>
      <c r="P158" s="29" t="n"/>
      <c r="Q158" s="29" t="n"/>
      <c r="R158" s="29" t="n"/>
      <c r="S158" s="29" t="n"/>
      <c r="T158" s="29" t="n"/>
      <c r="U158" s="29" t="n"/>
      <c r="V158" s="29" t="n"/>
      <c r="W158" s="29" t="n"/>
    </row>
    <row r="159" ht="54" customHeight="1">
      <c r="A159" s="29" t="n"/>
      <c r="B159" s="29" t="n"/>
      <c r="C159" s="29" t="n"/>
      <c r="D159" s="29" t="n"/>
      <c r="E159" s="29" t="n"/>
      <c r="F159" s="29" t="n"/>
      <c r="G159" s="29" t="n"/>
      <c r="H159" s="29" t="n"/>
      <c r="I159" s="29" t="n"/>
      <c r="J159" s="29" t="n"/>
      <c r="K159" s="29" t="n"/>
      <c r="L159" s="49" t="n"/>
      <c r="M159" s="29" t="n"/>
      <c r="N159" s="29" t="n"/>
      <c r="O159" s="29" t="n"/>
      <c r="P159" s="29" t="n"/>
      <c r="Q159" s="29" t="n"/>
      <c r="R159" s="29" t="n"/>
      <c r="S159" s="29" t="n"/>
      <c r="T159" s="29" t="n"/>
      <c r="U159" s="29" t="n"/>
      <c r="V159" s="29" t="n"/>
      <c r="W159" s="29" t="n"/>
    </row>
    <row r="160" ht="54" customHeight="1">
      <c r="A160" s="29" t="n"/>
      <c r="B160" s="29" t="n"/>
      <c r="C160" s="29" t="n"/>
      <c r="D160" s="29" t="n"/>
      <c r="E160" s="29" t="n"/>
      <c r="F160" s="29" t="n"/>
      <c r="G160" s="29" t="n"/>
      <c r="H160" s="29" t="n"/>
      <c r="I160" s="29" t="n"/>
      <c r="J160" s="29" t="n"/>
      <c r="K160" s="29" t="n"/>
      <c r="L160" s="49" t="n"/>
      <c r="M160" s="29" t="n"/>
      <c r="N160" s="29" t="n"/>
      <c r="O160" s="29" t="n"/>
      <c r="P160" s="29" t="n"/>
      <c r="Q160" s="29" t="n"/>
      <c r="R160" s="29" t="n"/>
      <c r="S160" s="29" t="n"/>
      <c r="T160" s="29" t="n"/>
      <c r="U160" s="29" t="n"/>
      <c r="V160" s="29" t="n"/>
      <c r="W160" s="29" t="n"/>
    </row>
    <row r="161" ht="54" customHeight="1">
      <c r="A161" s="29" t="n"/>
      <c r="B161" s="29" t="n"/>
      <c r="C161" s="29" t="n"/>
      <c r="D161" s="29" t="n"/>
      <c r="E161" s="29" t="n"/>
      <c r="F161" s="29" t="n"/>
      <c r="G161" s="29" t="n"/>
      <c r="H161" s="29" t="n"/>
      <c r="I161" s="29" t="n"/>
      <c r="J161" s="29" t="n"/>
      <c r="K161" s="29" t="n"/>
      <c r="L161" s="49" t="n"/>
      <c r="M161" s="29" t="n"/>
      <c r="N161" s="29" t="n"/>
      <c r="O161" s="29" t="n"/>
      <c r="P161" s="29" t="n"/>
      <c r="Q161" s="29" t="n"/>
      <c r="R161" s="29" t="n"/>
      <c r="S161" s="29" t="n"/>
      <c r="T161" s="29" t="n"/>
      <c r="U161" s="29" t="n"/>
      <c r="V161" s="29" t="n"/>
      <c r="W161" s="29" t="n"/>
    </row>
    <row r="162" ht="54" customHeight="1">
      <c r="A162" s="29" t="n"/>
      <c r="B162" s="29" t="n"/>
      <c r="C162" s="29" t="n"/>
      <c r="D162" s="29" t="n"/>
      <c r="E162" s="29" t="n"/>
      <c r="F162" s="29" t="n"/>
      <c r="G162" s="29" t="n"/>
      <c r="H162" s="29" t="n"/>
      <c r="I162" s="29" t="n"/>
      <c r="J162" s="29" t="n"/>
      <c r="K162" s="29" t="n"/>
      <c r="L162" s="49" t="n"/>
      <c r="M162" s="29" t="n"/>
      <c r="N162" s="29" t="n"/>
      <c r="O162" s="29" t="n"/>
      <c r="P162" s="29" t="n"/>
      <c r="Q162" s="29" t="n"/>
      <c r="R162" s="29" t="n"/>
      <c r="S162" s="29" t="n"/>
      <c r="T162" s="29" t="n"/>
      <c r="U162" s="29" t="n"/>
      <c r="V162" s="29" t="n"/>
      <c r="W162" s="29" t="n"/>
    </row>
    <row r="163" ht="54" customHeight="1">
      <c r="A163" s="29" t="n"/>
      <c r="B163" s="29" t="n"/>
      <c r="C163" s="29" t="n"/>
      <c r="D163" s="29" t="n"/>
      <c r="E163" s="29" t="n"/>
      <c r="F163" s="29" t="n"/>
      <c r="G163" s="29" t="n"/>
      <c r="H163" s="29" t="n"/>
      <c r="I163" s="29" t="n"/>
      <c r="J163" s="29" t="n"/>
      <c r="K163" s="29" t="n"/>
      <c r="L163" s="49" t="n"/>
      <c r="M163" s="29" t="n"/>
      <c r="N163" s="29" t="n"/>
      <c r="O163" s="29" t="n"/>
      <c r="P163" s="29" t="n"/>
      <c r="Q163" s="29" t="n"/>
      <c r="R163" s="29" t="n"/>
      <c r="S163" s="29" t="n"/>
      <c r="T163" s="29" t="n"/>
      <c r="U163" s="29" t="n"/>
      <c r="V163" s="29" t="n"/>
      <c r="W163" s="29" t="n"/>
    </row>
    <row r="164" ht="54" customHeight="1">
      <c r="A164" s="29" t="n"/>
      <c r="B164" s="29" t="n"/>
      <c r="C164" s="29" t="n"/>
      <c r="D164" s="29" t="n"/>
      <c r="E164" s="29" t="n"/>
      <c r="F164" s="29" t="n"/>
      <c r="G164" s="29" t="n"/>
      <c r="H164" s="29" t="n"/>
      <c r="I164" s="29" t="n"/>
      <c r="J164" s="29" t="n"/>
      <c r="K164" s="29" t="n"/>
      <c r="L164" s="49" t="n"/>
      <c r="M164" s="29" t="n"/>
      <c r="N164" s="29" t="n"/>
      <c r="O164" s="29" t="n"/>
      <c r="P164" s="29" t="n"/>
      <c r="Q164" s="29" t="n"/>
      <c r="R164" s="29" t="n"/>
      <c r="S164" s="29" t="n"/>
      <c r="T164" s="29" t="n"/>
      <c r="U164" s="29" t="n"/>
      <c r="V164" s="29" t="n"/>
      <c r="W164" s="29" t="n"/>
    </row>
    <row r="165" ht="54" customHeight="1">
      <c r="A165" s="29" t="n"/>
      <c r="B165" s="29" t="n"/>
      <c r="C165" s="29" t="n"/>
      <c r="D165" s="29" t="n"/>
      <c r="E165" s="29" t="n"/>
      <c r="F165" s="29" t="n"/>
      <c r="G165" s="29" t="n"/>
      <c r="H165" s="29" t="n"/>
      <c r="I165" s="29" t="n"/>
      <c r="J165" s="29" t="n"/>
      <c r="K165" s="29" t="n"/>
      <c r="L165" s="49" t="n"/>
      <c r="M165" s="29" t="n"/>
      <c r="N165" s="29" t="n"/>
      <c r="O165" s="29" t="n"/>
      <c r="P165" s="29" t="n"/>
      <c r="Q165" s="29" t="n"/>
      <c r="R165" s="29" t="n"/>
      <c r="S165" s="29" t="n"/>
      <c r="T165" s="29" t="n"/>
      <c r="U165" s="29" t="n"/>
      <c r="V165" s="29" t="n"/>
      <c r="W165" s="29" t="n"/>
    </row>
    <row r="166" ht="54" customHeight="1">
      <c r="A166" s="29" t="n"/>
      <c r="B166" s="29" t="n"/>
      <c r="C166" s="29" t="n"/>
      <c r="D166" s="29" t="n"/>
      <c r="E166" s="29" t="n"/>
      <c r="F166" s="29" t="n"/>
      <c r="G166" s="29" t="n"/>
      <c r="H166" s="29" t="n"/>
      <c r="I166" s="29" t="n"/>
      <c r="J166" s="29" t="n"/>
      <c r="K166" s="29" t="n"/>
      <c r="L166" s="49" t="n"/>
      <c r="M166" s="29" t="n"/>
      <c r="N166" s="29" t="n"/>
      <c r="O166" s="29" t="n"/>
      <c r="P166" s="29" t="n"/>
      <c r="Q166" s="29" t="n"/>
      <c r="R166" s="29" t="n"/>
      <c r="S166" s="29" t="n"/>
      <c r="T166" s="29" t="n"/>
      <c r="U166" s="29" t="n"/>
      <c r="V166" s="29" t="n"/>
      <c r="W166" s="29" t="n"/>
    </row>
    <row r="167" ht="54" customHeight="1">
      <c r="A167" s="29" t="n"/>
      <c r="B167" s="29" t="n"/>
      <c r="C167" s="29" t="n"/>
      <c r="D167" s="29" t="n"/>
      <c r="E167" s="29" t="n"/>
      <c r="F167" s="29" t="n"/>
      <c r="G167" s="29" t="n"/>
      <c r="H167" s="29" t="n"/>
      <c r="I167" s="29" t="n"/>
      <c r="J167" s="29" t="n"/>
      <c r="K167" s="29" t="n"/>
      <c r="L167" s="49" t="n"/>
      <c r="M167" s="29" t="n"/>
      <c r="N167" s="29" t="n"/>
      <c r="O167" s="29" t="n"/>
      <c r="P167" s="29" t="n"/>
      <c r="Q167" s="29" t="n"/>
      <c r="R167" s="29" t="n"/>
      <c r="S167" s="29" t="n"/>
      <c r="T167" s="29" t="n"/>
      <c r="U167" s="29" t="n"/>
      <c r="V167" s="29" t="n"/>
      <c r="W167" s="29" t="n"/>
    </row>
    <row r="168" ht="54" customHeight="1">
      <c r="A168" s="29" t="n"/>
      <c r="B168" s="29" t="n"/>
      <c r="C168" s="29" t="n"/>
      <c r="D168" s="29" t="n"/>
      <c r="E168" s="29" t="n"/>
      <c r="F168" s="29" t="n"/>
      <c r="G168" s="29" t="n"/>
      <c r="H168" s="29" t="n"/>
      <c r="I168" s="29" t="n"/>
      <c r="J168" s="29" t="n"/>
      <c r="K168" s="29" t="n"/>
      <c r="L168" s="49" t="n"/>
      <c r="M168" s="29" t="n"/>
      <c r="N168" s="29" t="n"/>
      <c r="O168" s="29" t="n"/>
      <c r="P168" s="29" t="n"/>
      <c r="Q168" s="29" t="n"/>
      <c r="R168" s="29" t="n"/>
      <c r="S168" s="29" t="n"/>
      <c r="T168" s="29" t="n"/>
      <c r="U168" s="29" t="n"/>
      <c r="V168" s="29" t="n"/>
      <c r="W168" s="29" t="n"/>
    </row>
    <row r="169" ht="54" customHeight="1">
      <c r="A169" s="29" t="n"/>
      <c r="B169" s="29" t="n"/>
      <c r="C169" s="29" t="n"/>
      <c r="D169" s="29" t="n"/>
      <c r="E169" s="29" t="n"/>
      <c r="F169" s="29" t="n"/>
      <c r="G169" s="29" t="n"/>
      <c r="H169" s="29" t="n"/>
      <c r="I169" s="29" t="n"/>
      <c r="J169" s="29" t="n"/>
      <c r="K169" s="29" t="n"/>
      <c r="L169" s="49" t="n"/>
      <c r="M169" s="29" t="n"/>
      <c r="N169" s="29" t="n"/>
      <c r="O169" s="29" t="n"/>
      <c r="P169" s="29" t="n"/>
      <c r="Q169" s="29" t="n"/>
      <c r="R169" s="29" t="n"/>
      <c r="S169" s="29" t="n"/>
      <c r="T169" s="29" t="n"/>
      <c r="U169" s="29" t="n"/>
      <c r="V169" s="29" t="n"/>
      <c r="W169" s="29" t="n"/>
    </row>
    <row r="170" ht="54" customHeight="1">
      <c r="A170" s="29" t="n"/>
      <c r="B170" s="29" t="n"/>
      <c r="C170" s="29" t="n"/>
      <c r="D170" s="29" t="n"/>
      <c r="E170" s="29" t="n"/>
      <c r="F170" s="29" t="n"/>
      <c r="G170" s="29" t="n"/>
      <c r="H170" s="29" t="n"/>
      <c r="I170" s="29" t="n"/>
      <c r="J170" s="29" t="n"/>
      <c r="K170" s="29" t="n"/>
      <c r="L170" s="49" t="n"/>
      <c r="M170" s="29" t="n"/>
      <c r="N170" s="29" t="n"/>
      <c r="O170" s="29" t="n"/>
      <c r="P170" s="29" t="n"/>
      <c r="Q170" s="29" t="n"/>
      <c r="R170" s="29" t="n"/>
      <c r="S170" s="29" t="n"/>
      <c r="T170" s="29" t="n"/>
      <c r="U170" s="29" t="n"/>
      <c r="V170" s="29" t="n"/>
      <c r="W170" s="29" t="n"/>
    </row>
    <row r="171" ht="54" customHeight="1">
      <c r="A171" s="29" t="n"/>
      <c r="B171" s="29" t="n"/>
      <c r="C171" s="29" t="n"/>
      <c r="D171" s="29" t="n"/>
      <c r="E171" s="29" t="n"/>
      <c r="F171" s="29" t="n"/>
      <c r="G171" s="29" t="n"/>
      <c r="H171" s="29" t="n"/>
      <c r="I171" s="29" t="n"/>
      <c r="J171" s="29" t="n"/>
      <c r="K171" s="29" t="n"/>
      <c r="L171" s="49" t="n"/>
      <c r="M171" s="29" t="n"/>
      <c r="N171" s="29" t="n"/>
      <c r="O171" s="29" t="n"/>
      <c r="P171" s="29" t="n"/>
      <c r="Q171" s="29" t="n"/>
      <c r="R171" s="29" t="n"/>
      <c r="S171" s="29" t="n"/>
      <c r="T171" s="29" t="n"/>
      <c r="U171" s="29" t="n"/>
      <c r="V171" s="29" t="n"/>
      <c r="W171" s="29" t="n"/>
    </row>
    <row r="172" ht="54" customHeight="1">
      <c r="A172" s="29" t="n"/>
      <c r="B172" s="29" t="n"/>
      <c r="C172" s="29" t="n"/>
      <c r="D172" s="29" t="n"/>
      <c r="E172" s="29" t="n"/>
      <c r="F172" s="29" t="n"/>
      <c r="G172" s="29" t="n"/>
      <c r="H172" s="29" t="n"/>
      <c r="I172" s="29" t="n"/>
      <c r="J172" s="29" t="n"/>
      <c r="K172" s="29" t="n"/>
      <c r="L172" s="49" t="n"/>
      <c r="M172" s="29" t="n"/>
      <c r="N172" s="29" t="n"/>
      <c r="O172" s="29" t="n"/>
      <c r="P172" s="29" t="n"/>
      <c r="Q172" s="29" t="n"/>
      <c r="R172" s="29" t="n"/>
      <c r="S172" s="29" t="n"/>
      <c r="T172" s="29" t="n"/>
      <c r="U172" s="29" t="n"/>
      <c r="V172" s="29" t="n"/>
      <c r="W172" s="29" t="n"/>
    </row>
    <row r="173" ht="54" customHeight="1">
      <c r="A173" s="29" t="n"/>
      <c r="B173" s="29" t="n"/>
      <c r="C173" s="29" t="n"/>
      <c r="D173" s="29" t="n"/>
      <c r="E173" s="29" t="n"/>
      <c r="F173" s="29" t="n"/>
      <c r="G173" s="29" t="n"/>
      <c r="H173" s="29" t="n"/>
      <c r="I173" s="29" t="n"/>
      <c r="J173" s="29" t="n"/>
      <c r="K173" s="29" t="n"/>
      <c r="L173" s="49" t="n"/>
      <c r="M173" s="29" t="n"/>
      <c r="N173" s="29" t="n"/>
      <c r="O173" s="29" t="n"/>
      <c r="P173" s="29" t="n"/>
      <c r="Q173" s="29" t="n"/>
      <c r="R173" s="29" t="n"/>
      <c r="S173" s="29" t="n"/>
      <c r="T173" s="29" t="n"/>
      <c r="U173" s="29" t="n"/>
      <c r="V173" s="29" t="n"/>
      <c r="W173" s="29" t="n"/>
    </row>
    <row r="174" ht="54" customHeight="1">
      <c r="A174" s="29" t="n"/>
      <c r="B174" s="29" t="n"/>
      <c r="C174" s="29" t="n"/>
      <c r="D174" s="29" t="n"/>
      <c r="E174" s="29" t="n"/>
      <c r="F174" s="29" t="n"/>
      <c r="G174" s="29" t="n"/>
      <c r="H174" s="29" t="n"/>
      <c r="I174" s="29" t="n"/>
      <c r="J174" s="29" t="n"/>
      <c r="K174" s="29" t="n"/>
      <c r="L174" s="49" t="n"/>
      <c r="M174" s="29" t="n"/>
      <c r="N174" s="29" t="n"/>
      <c r="O174" s="29" t="n"/>
      <c r="P174" s="29" t="n"/>
      <c r="Q174" s="29" t="n"/>
      <c r="R174" s="29" t="n"/>
      <c r="S174" s="29" t="n"/>
      <c r="T174" s="29" t="n"/>
      <c r="U174" s="29" t="n"/>
      <c r="V174" s="29" t="n"/>
      <c r="W174" s="29" t="n"/>
    </row>
    <row r="175" ht="54" customHeight="1">
      <c r="A175" s="29" t="n"/>
      <c r="B175" s="29" t="n"/>
      <c r="C175" s="29" t="n"/>
      <c r="D175" s="29" t="n"/>
      <c r="E175" s="29" t="n"/>
      <c r="F175" s="29" t="n"/>
      <c r="G175" s="29" t="n"/>
      <c r="H175" s="29" t="n"/>
      <c r="I175" s="29" t="n"/>
      <c r="J175" s="29" t="n"/>
      <c r="K175" s="29" t="n"/>
      <c r="L175" s="49" t="n"/>
      <c r="M175" s="29" t="n"/>
      <c r="N175" s="29" t="n"/>
      <c r="O175" s="29" t="n"/>
      <c r="P175" s="29" t="n"/>
      <c r="Q175" s="29" t="n"/>
      <c r="R175" s="29" t="n"/>
      <c r="S175" s="29" t="n"/>
      <c r="T175" s="29" t="n"/>
      <c r="U175" s="29" t="n"/>
      <c r="V175" s="29" t="n"/>
      <c r="W175" s="29" t="n"/>
    </row>
    <row r="176" ht="54" customHeight="1">
      <c r="A176" s="29" t="n"/>
      <c r="B176" s="29" t="n"/>
      <c r="C176" s="29" t="n"/>
      <c r="D176" s="29" t="n"/>
      <c r="E176" s="29" t="n"/>
      <c r="F176" s="29" t="n"/>
      <c r="G176" s="29" t="n"/>
      <c r="H176" s="29" t="n"/>
      <c r="I176" s="29" t="n"/>
      <c r="J176" s="29" t="n"/>
      <c r="K176" s="29" t="n"/>
      <c r="L176" s="49" t="n"/>
      <c r="M176" s="29" t="n"/>
      <c r="N176" s="29" t="n"/>
      <c r="O176" s="29" t="n"/>
      <c r="P176" s="29" t="n"/>
      <c r="Q176" s="29" t="n"/>
      <c r="R176" s="29" t="n"/>
      <c r="S176" s="29" t="n"/>
      <c r="T176" s="29" t="n"/>
      <c r="U176" s="29" t="n"/>
      <c r="V176" s="29" t="n"/>
      <c r="W176" s="29" t="n"/>
    </row>
    <row r="177" ht="54" customHeight="1">
      <c r="A177" s="29" t="n"/>
      <c r="B177" s="29" t="n"/>
      <c r="C177" s="29" t="n"/>
      <c r="D177" s="29" t="n"/>
      <c r="E177" s="29" t="n"/>
      <c r="F177" s="29" t="n"/>
      <c r="G177" s="29" t="n"/>
      <c r="H177" s="29" t="n"/>
      <c r="I177" s="29" t="n"/>
      <c r="J177" s="29" t="n"/>
      <c r="K177" s="29" t="n"/>
      <c r="L177" s="49" t="n"/>
      <c r="M177" s="29" t="n"/>
      <c r="N177" s="29" t="n"/>
      <c r="O177" s="29" t="n"/>
      <c r="P177" s="29" t="n"/>
      <c r="Q177" s="29" t="n"/>
      <c r="R177" s="29" t="n"/>
      <c r="S177" s="29" t="n"/>
      <c r="T177" s="29" t="n"/>
      <c r="U177" s="29" t="n"/>
      <c r="V177" s="29" t="n"/>
      <c r="W177" s="29" t="n"/>
    </row>
    <row r="178" ht="54" customHeight="1">
      <c r="A178" s="29" t="n"/>
      <c r="B178" s="29" t="n"/>
      <c r="C178" s="29" t="n"/>
      <c r="D178" s="29" t="n"/>
      <c r="E178" s="29" t="n"/>
      <c r="F178" s="29" t="n"/>
      <c r="G178" s="29" t="n"/>
      <c r="H178" s="29" t="n"/>
      <c r="I178" s="29" t="n"/>
      <c r="J178" s="29" t="n"/>
      <c r="K178" s="29" t="n"/>
      <c r="L178" s="49" t="n"/>
      <c r="M178" s="29" t="n"/>
      <c r="N178" s="29" t="n"/>
      <c r="O178" s="29" t="n"/>
      <c r="P178" s="29" t="n"/>
      <c r="Q178" s="29" t="n"/>
      <c r="R178" s="29" t="n"/>
      <c r="S178" s="29" t="n"/>
      <c r="T178" s="29" t="n"/>
      <c r="U178" s="29" t="n"/>
      <c r="V178" s="29" t="n"/>
      <c r="W178" s="29" t="n"/>
    </row>
    <row r="179" ht="54" customHeight="1">
      <c r="A179" s="29" t="n"/>
      <c r="B179" s="29" t="n"/>
      <c r="C179" s="29" t="n"/>
      <c r="D179" s="29" t="n"/>
      <c r="E179" s="29" t="n"/>
      <c r="F179" s="29" t="n"/>
      <c r="G179" s="29" t="n"/>
      <c r="H179" s="29" t="n"/>
      <c r="I179" s="29" t="n"/>
      <c r="J179" s="29" t="n"/>
      <c r="K179" s="29" t="n"/>
      <c r="L179" s="49" t="n"/>
      <c r="M179" s="29" t="n"/>
      <c r="N179" s="29" t="n"/>
      <c r="O179" s="29" t="n"/>
      <c r="P179" s="29" t="n"/>
      <c r="Q179" s="29" t="n"/>
      <c r="R179" s="29" t="n"/>
      <c r="S179" s="29" t="n"/>
      <c r="T179" s="29" t="n"/>
      <c r="U179" s="29" t="n"/>
      <c r="V179" s="29" t="n"/>
      <c r="W179" s="29" t="n"/>
    </row>
    <row r="180" ht="54" customHeight="1">
      <c r="A180" s="29" t="n"/>
      <c r="B180" s="29" t="n"/>
      <c r="C180" s="29" t="n"/>
      <c r="D180" s="29" t="n"/>
      <c r="E180" s="29" t="n"/>
      <c r="F180" s="29" t="n"/>
      <c r="G180" s="29" t="n"/>
      <c r="H180" s="29" t="n"/>
      <c r="I180" s="29" t="n"/>
      <c r="J180" s="29" t="n"/>
      <c r="K180" s="29" t="n"/>
      <c r="L180" s="49" t="n"/>
      <c r="M180" s="29" t="n"/>
      <c r="N180" s="29" t="n"/>
      <c r="O180" s="29" t="n"/>
      <c r="P180" s="29" t="n"/>
      <c r="Q180" s="29" t="n"/>
      <c r="R180" s="29" t="n"/>
      <c r="S180" s="29" t="n"/>
      <c r="T180" s="29" t="n"/>
      <c r="U180" s="29" t="n"/>
      <c r="V180" s="29" t="n"/>
      <c r="W180" s="29" t="n"/>
    </row>
    <row r="181" ht="54" customHeight="1">
      <c r="A181" s="29" t="n"/>
      <c r="B181" s="29" t="n"/>
      <c r="C181" s="29" t="n"/>
      <c r="D181" s="29" t="n"/>
      <c r="E181" s="29" t="n"/>
      <c r="F181" s="29" t="n"/>
      <c r="G181" s="29" t="n"/>
      <c r="H181" s="29" t="n"/>
      <c r="I181" s="29" t="n"/>
      <c r="J181" s="29" t="n"/>
      <c r="K181" s="29" t="n"/>
      <c r="L181" s="49" t="n"/>
      <c r="M181" s="29" t="n"/>
      <c r="N181" s="29" t="n"/>
      <c r="O181" s="29" t="n"/>
      <c r="P181" s="29" t="n"/>
      <c r="Q181" s="29" t="n"/>
      <c r="R181" s="29" t="n"/>
      <c r="S181" s="29" t="n"/>
      <c r="T181" s="29" t="n"/>
      <c r="U181" s="29" t="n"/>
      <c r="V181" s="29" t="n"/>
      <c r="W181" s="29" t="n"/>
    </row>
    <row r="182" ht="54" customHeight="1">
      <c r="A182" s="29" t="n"/>
      <c r="B182" s="29" t="n"/>
      <c r="C182" s="29" t="n"/>
      <c r="D182" s="29" t="n"/>
      <c r="E182" s="29" t="n"/>
      <c r="F182" s="29" t="n"/>
      <c r="G182" s="29" t="n"/>
      <c r="H182" s="29" t="n"/>
      <c r="I182" s="29" t="n"/>
      <c r="J182" s="29" t="n"/>
      <c r="K182" s="29" t="n"/>
      <c r="L182" s="49" t="n"/>
      <c r="M182" s="29" t="n"/>
      <c r="N182" s="29" t="n"/>
      <c r="O182" s="29" t="n"/>
      <c r="P182" s="29" t="n"/>
      <c r="Q182" s="29" t="n"/>
      <c r="R182" s="29" t="n"/>
      <c r="S182" s="29" t="n"/>
      <c r="T182" s="29" t="n"/>
      <c r="U182" s="29" t="n"/>
      <c r="V182" s="29" t="n"/>
      <c r="W182" s="29" t="n"/>
    </row>
    <row r="183" ht="54" customHeight="1">
      <c r="A183" s="29" t="n"/>
      <c r="B183" s="29" t="n"/>
      <c r="C183" s="29" t="n"/>
      <c r="D183" s="29" t="n"/>
      <c r="E183" s="29" t="n"/>
      <c r="F183" s="29" t="n"/>
      <c r="G183" s="29" t="n"/>
      <c r="H183" s="29" t="n"/>
      <c r="I183" s="29" t="n"/>
      <c r="J183" s="29" t="n"/>
      <c r="K183" s="29" t="n"/>
      <c r="L183" s="49" t="n"/>
      <c r="M183" s="29" t="n"/>
      <c r="N183" s="29" t="n"/>
      <c r="O183" s="29" t="n"/>
      <c r="P183" s="29" t="n"/>
      <c r="Q183" s="29" t="n"/>
      <c r="R183" s="29" t="n"/>
      <c r="S183" s="29" t="n"/>
      <c r="T183" s="29" t="n"/>
      <c r="U183" s="29" t="n"/>
      <c r="V183" s="29" t="n"/>
      <c r="W183" s="29" t="n"/>
    </row>
    <row r="184" ht="54" customHeight="1">
      <c r="A184" s="29" t="n"/>
      <c r="B184" s="29" t="n"/>
      <c r="C184" s="29" t="n"/>
      <c r="D184" s="29" t="n"/>
      <c r="E184" s="29" t="n"/>
      <c r="F184" s="29" t="n"/>
      <c r="G184" s="29" t="n"/>
      <c r="H184" s="29" t="n"/>
      <c r="I184" s="29" t="n"/>
      <c r="J184" s="29" t="n"/>
      <c r="K184" s="29" t="n"/>
      <c r="L184" s="49" t="n"/>
      <c r="M184" s="29" t="n"/>
      <c r="N184" s="29" t="n"/>
      <c r="O184" s="29" t="n"/>
      <c r="P184" s="29" t="n"/>
      <c r="Q184" s="29" t="n"/>
      <c r="R184" s="29" t="n"/>
      <c r="S184" s="29" t="n"/>
      <c r="T184" s="29" t="n"/>
      <c r="U184" s="29" t="n"/>
      <c r="V184" s="29" t="n"/>
      <c r="W184" s="29" t="n"/>
    </row>
    <row r="185" ht="54" customHeight="1">
      <c r="A185" s="29" t="n"/>
      <c r="B185" s="29" t="n"/>
      <c r="C185" s="29" t="n"/>
      <c r="D185" s="29" t="n"/>
      <c r="E185" s="29" t="n"/>
      <c r="F185" s="29" t="n"/>
      <c r="G185" s="29" t="n"/>
      <c r="H185" s="29" t="n"/>
      <c r="I185" s="29" t="n"/>
      <c r="J185" s="29" t="n"/>
      <c r="K185" s="29" t="n"/>
      <c r="L185" s="49" t="n"/>
      <c r="M185" s="29" t="n"/>
      <c r="N185" s="29" t="n"/>
      <c r="O185" s="29" t="n"/>
      <c r="P185" s="29" t="n"/>
      <c r="Q185" s="29" t="n"/>
      <c r="R185" s="29" t="n"/>
      <c r="S185" s="29" t="n"/>
      <c r="T185" s="29" t="n"/>
      <c r="U185" s="29" t="n"/>
      <c r="V185" s="29" t="n"/>
      <c r="W185" s="29" t="n"/>
    </row>
    <row r="186" ht="54" customHeight="1">
      <c r="A186" s="29" t="n"/>
      <c r="B186" s="29" t="n"/>
      <c r="C186" s="29" t="n"/>
      <c r="D186" s="29" t="n"/>
      <c r="E186" s="29" t="n"/>
      <c r="F186" s="29" t="n"/>
      <c r="G186" s="29" t="n"/>
      <c r="H186" s="29" t="n"/>
      <c r="I186" s="29" t="n"/>
      <c r="J186" s="29" t="n"/>
      <c r="K186" s="29" t="n"/>
      <c r="L186" s="49" t="n"/>
      <c r="M186" s="29" t="n"/>
      <c r="N186" s="29" t="n"/>
      <c r="O186" s="29" t="n"/>
      <c r="P186" s="29" t="n"/>
      <c r="Q186" s="29" t="n"/>
      <c r="R186" s="29" t="n"/>
      <c r="S186" s="29" t="n"/>
      <c r="T186" s="29" t="n"/>
      <c r="U186" s="29" t="n"/>
      <c r="V186" s="29" t="n"/>
      <c r="W186" s="29" t="n"/>
    </row>
    <row r="187" ht="54" customHeight="1">
      <c r="A187" s="29" t="n"/>
      <c r="B187" s="29" t="n"/>
      <c r="C187" s="29" t="n"/>
      <c r="D187" s="29" t="n"/>
      <c r="E187" s="29" t="n"/>
      <c r="F187" s="29" t="n"/>
      <c r="G187" s="29" t="n"/>
      <c r="H187" s="29" t="n"/>
      <c r="I187" s="29" t="n"/>
      <c r="J187" s="29" t="n"/>
      <c r="K187" s="29" t="n"/>
      <c r="L187" s="49" t="n"/>
      <c r="M187" s="29" t="n"/>
      <c r="N187" s="29" t="n"/>
      <c r="O187" s="29" t="n"/>
      <c r="P187" s="29" t="n"/>
      <c r="Q187" s="29" t="n"/>
      <c r="R187" s="29" t="n"/>
      <c r="S187" s="29" t="n"/>
      <c r="T187" s="29" t="n"/>
      <c r="U187" s="29" t="n"/>
      <c r="V187" s="29" t="n"/>
      <c r="W187" s="29" t="n"/>
    </row>
    <row r="188" ht="54" customHeight="1">
      <c r="A188" s="29" t="n"/>
      <c r="B188" s="29" t="n"/>
      <c r="C188" s="29" t="n"/>
      <c r="D188" s="29" t="n"/>
      <c r="E188" s="29" t="n"/>
      <c r="F188" s="29" t="n"/>
      <c r="G188" s="29" t="n"/>
      <c r="H188" s="29" t="n"/>
      <c r="I188" s="29" t="n"/>
      <c r="J188" s="29" t="n"/>
      <c r="K188" s="29" t="n"/>
      <c r="L188" s="49" t="n"/>
      <c r="M188" s="29" t="n"/>
      <c r="N188" s="29" t="n"/>
      <c r="O188" s="29" t="n"/>
      <c r="P188" s="29" t="n"/>
      <c r="Q188" s="29" t="n"/>
      <c r="R188" s="29" t="n"/>
      <c r="S188" s="29" t="n"/>
      <c r="T188" s="29" t="n"/>
      <c r="U188" s="29" t="n"/>
      <c r="V188" s="29" t="n"/>
      <c r="W188" s="29" t="n"/>
    </row>
    <row r="189" ht="54" customHeight="1">
      <c r="A189" s="29" t="n"/>
      <c r="B189" s="29" t="n"/>
      <c r="C189" s="29" t="n"/>
      <c r="D189" s="29" t="n"/>
      <c r="E189" s="29" t="n"/>
      <c r="F189" s="29" t="n"/>
      <c r="G189" s="29" t="n"/>
      <c r="H189" s="29" t="n"/>
      <c r="I189" s="29" t="n"/>
      <c r="J189" s="29" t="n"/>
      <c r="K189" s="29" t="n"/>
      <c r="L189" s="49" t="n"/>
      <c r="M189" s="29" t="n"/>
      <c r="N189" s="29" t="n"/>
      <c r="O189" s="29" t="n"/>
      <c r="P189" s="29" t="n"/>
      <c r="Q189" s="29" t="n"/>
      <c r="R189" s="29" t="n"/>
      <c r="S189" s="29" t="n"/>
      <c r="T189" s="29" t="n"/>
      <c r="U189" s="29" t="n"/>
      <c r="V189" s="29" t="n"/>
      <c r="W189" s="29" t="n"/>
    </row>
    <row r="190" ht="54" customHeight="1">
      <c r="A190" s="29" t="n"/>
      <c r="B190" s="29" t="n"/>
      <c r="C190" s="29" t="n"/>
      <c r="D190" s="29" t="n"/>
      <c r="E190" s="29" t="n"/>
      <c r="F190" s="29" t="n"/>
      <c r="G190" s="29" t="n"/>
      <c r="H190" s="29" t="n"/>
      <c r="I190" s="29" t="n"/>
      <c r="J190" s="29" t="n"/>
      <c r="K190" s="29" t="n"/>
      <c r="L190" s="49" t="n"/>
      <c r="M190" s="29" t="n"/>
      <c r="N190" s="29" t="n"/>
      <c r="O190" s="29" t="n"/>
      <c r="P190" s="29" t="n"/>
      <c r="Q190" s="29" t="n"/>
      <c r="R190" s="29" t="n"/>
      <c r="S190" s="29" t="n"/>
      <c r="T190" s="29" t="n"/>
      <c r="U190" s="29" t="n"/>
      <c r="V190" s="29" t="n"/>
      <c r="W190" s="29" t="n"/>
    </row>
    <row r="191" ht="54" customHeight="1">
      <c r="A191" s="29" t="n"/>
      <c r="B191" s="29" t="n"/>
      <c r="C191" s="29" t="n"/>
      <c r="D191" s="29" t="n"/>
      <c r="E191" s="29" t="n"/>
      <c r="F191" s="29" t="n"/>
      <c r="G191" s="29" t="n"/>
      <c r="H191" s="29" t="n"/>
      <c r="I191" s="29" t="n"/>
      <c r="J191" s="29" t="n"/>
      <c r="K191" s="29" t="n"/>
      <c r="L191" s="49" t="n"/>
      <c r="M191" s="29" t="n"/>
      <c r="N191" s="29" t="n"/>
      <c r="O191" s="29" t="n"/>
      <c r="P191" s="29" t="n"/>
      <c r="Q191" s="29" t="n"/>
      <c r="R191" s="29" t="n"/>
      <c r="S191" s="29" t="n"/>
      <c r="T191" s="29" t="n"/>
      <c r="U191" s="29" t="n"/>
      <c r="V191" s="29" t="n"/>
      <c r="W191" s="29" t="n"/>
    </row>
    <row r="192" ht="54" customHeight="1">
      <c r="A192" s="29" t="n"/>
      <c r="B192" s="29" t="n"/>
      <c r="C192" s="29" t="n"/>
      <c r="D192" s="29" t="n"/>
      <c r="E192" s="29" t="n"/>
      <c r="F192" s="29" t="n"/>
      <c r="G192" s="29" t="n"/>
      <c r="H192" s="29" t="n"/>
      <c r="I192" s="29" t="n"/>
      <c r="J192" s="29" t="n"/>
      <c r="K192" s="29" t="n"/>
      <c r="L192" s="49" t="n"/>
      <c r="M192" s="29" t="n"/>
      <c r="N192" s="29" t="n"/>
      <c r="O192" s="29" t="n"/>
      <c r="P192" s="29" t="n"/>
      <c r="Q192" s="29" t="n"/>
      <c r="R192" s="29" t="n"/>
      <c r="S192" s="29" t="n"/>
      <c r="T192" s="29" t="n"/>
      <c r="U192" s="29" t="n"/>
      <c r="V192" s="29" t="n"/>
      <c r="W192" s="29" t="n"/>
    </row>
    <row r="193" ht="54" customHeight="1">
      <c r="A193" s="29" t="n"/>
      <c r="B193" s="29" t="n"/>
      <c r="C193" s="29" t="n"/>
      <c r="D193" s="29" t="n"/>
      <c r="E193" s="29" t="n"/>
      <c r="F193" s="29" t="n"/>
      <c r="G193" s="29" t="n"/>
      <c r="H193" s="29" t="n"/>
      <c r="I193" s="29" t="n"/>
      <c r="J193" s="29" t="n"/>
      <c r="K193" s="29" t="n"/>
      <c r="L193" s="49" t="n"/>
      <c r="M193" s="29" t="n"/>
      <c r="N193" s="29" t="n"/>
      <c r="O193" s="29" t="n"/>
      <c r="P193" s="29" t="n"/>
      <c r="Q193" s="29" t="n"/>
      <c r="R193" s="29" t="n"/>
      <c r="S193" s="29" t="n"/>
      <c r="T193" s="29" t="n"/>
      <c r="U193" s="29" t="n"/>
      <c r="V193" s="29" t="n"/>
      <c r="W193" s="29" t="n"/>
    </row>
    <row r="194" ht="54" customHeight="1">
      <c r="A194" s="29" t="n"/>
      <c r="B194" s="29" t="n"/>
      <c r="C194" s="29" t="n"/>
      <c r="D194" s="29" t="n"/>
      <c r="E194" s="29" t="n"/>
      <c r="F194" s="29" t="n"/>
      <c r="G194" s="29" t="n"/>
      <c r="H194" s="29" t="n"/>
      <c r="I194" s="29" t="n"/>
      <c r="J194" s="29" t="n"/>
      <c r="K194" s="29" t="n"/>
      <c r="L194" s="49" t="n"/>
      <c r="M194" s="29" t="n"/>
      <c r="N194" s="29" t="n"/>
      <c r="O194" s="29" t="n"/>
      <c r="P194" s="29" t="n"/>
      <c r="Q194" s="29" t="n"/>
      <c r="R194" s="29" t="n"/>
      <c r="S194" s="29" t="n"/>
      <c r="T194" s="29" t="n"/>
      <c r="U194" s="29" t="n"/>
      <c r="V194" s="29" t="n"/>
      <c r="W194" s="29" t="n"/>
    </row>
    <row r="195" ht="54" customHeight="1">
      <c r="A195" s="29" t="n"/>
      <c r="B195" s="29" t="n"/>
      <c r="C195" s="29" t="n"/>
      <c r="D195" s="29" t="n"/>
      <c r="E195" s="29" t="n"/>
      <c r="F195" s="29" t="n"/>
      <c r="G195" s="29" t="n"/>
      <c r="H195" s="29" t="n"/>
      <c r="I195" s="29" t="n"/>
      <c r="J195" s="29" t="n"/>
      <c r="K195" s="29" t="n"/>
      <c r="L195" s="49" t="n"/>
      <c r="M195" s="29" t="n"/>
      <c r="N195" s="29" t="n"/>
      <c r="O195" s="29" t="n"/>
      <c r="P195" s="29" t="n"/>
      <c r="Q195" s="29" t="n"/>
      <c r="R195" s="29" t="n"/>
      <c r="S195" s="29" t="n"/>
      <c r="T195" s="29" t="n"/>
      <c r="U195" s="29" t="n"/>
      <c r="V195" s="29" t="n"/>
      <c r="W195" s="29" t="n"/>
    </row>
    <row r="196" ht="54" customHeight="1">
      <c r="A196" s="29" t="n"/>
      <c r="B196" s="29" t="n"/>
      <c r="C196" s="29" t="n"/>
      <c r="D196" s="29" t="n"/>
      <c r="E196" s="29" t="n"/>
      <c r="F196" s="29" t="n"/>
      <c r="G196" s="29" t="n"/>
      <c r="H196" s="29" t="n"/>
      <c r="I196" s="29" t="n"/>
      <c r="J196" s="29" t="n"/>
      <c r="K196" s="29" t="n"/>
      <c r="L196" s="49" t="n"/>
      <c r="M196" s="29" t="n"/>
      <c r="N196" s="29" t="n"/>
      <c r="O196" s="29" t="n"/>
      <c r="P196" s="29" t="n"/>
      <c r="Q196" s="29" t="n"/>
      <c r="R196" s="29" t="n"/>
      <c r="S196" s="29" t="n"/>
      <c r="T196" s="29" t="n"/>
      <c r="U196" s="29" t="n"/>
      <c r="V196" s="29" t="n"/>
      <c r="W196" s="29" t="n"/>
    </row>
    <row r="197" ht="54" customHeight="1">
      <c r="A197" s="29" t="n"/>
      <c r="B197" s="29" t="n"/>
      <c r="C197" s="29" t="n"/>
      <c r="D197" s="29" t="n"/>
      <c r="E197" s="29" t="n"/>
      <c r="F197" s="29" t="n"/>
      <c r="G197" s="29" t="n"/>
      <c r="H197" s="29" t="n"/>
      <c r="I197" s="29" t="n"/>
      <c r="J197" s="29" t="n"/>
      <c r="K197" s="29" t="n"/>
      <c r="L197" s="49" t="n"/>
      <c r="M197" s="29" t="n"/>
      <c r="N197" s="29" t="n"/>
      <c r="O197" s="29" t="n"/>
      <c r="P197" s="29" t="n"/>
      <c r="Q197" s="29" t="n"/>
      <c r="R197" s="29" t="n"/>
      <c r="S197" s="29" t="n"/>
      <c r="T197" s="29" t="n"/>
      <c r="U197" s="29" t="n"/>
      <c r="V197" s="29" t="n"/>
      <c r="W197" s="29" t="n"/>
    </row>
    <row r="198" ht="54" customHeight="1">
      <c r="A198" s="29" t="n"/>
      <c r="B198" s="29" t="n"/>
      <c r="C198" s="29" t="n"/>
      <c r="D198" s="29" t="n"/>
      <c r="E198" s="29" t="n"/>
      <c r="F198" s="29" t="n"/>
      <c r="G198" s="29" t="n"/>
      <c r="H198" s="29" t="n"/>
      <c r="I198" s="29" t="n"/>
      <c r="J198" s="29" t="n"/>
      <c r="K198" s="29" t="n"/>
      <c r="L198" s="49" t="n"/>
      <c r="M198" s="29" t="n"/>
      <c r="N198" s="29" t="n"/>
      <c r="O198" s="29" t="n"/>
      <c r="P198" s="29" t="n"/>
      <c r="Q198" s="29" t="n"/>
      <c r="R198" s="29" t="n"/>
      <c r="S198" s="29" t="n"/>
      <c r="T198" s="29" t="n"/>
      <c r="U198" s="29" t="n"/>
      <c r="V198" s="29" t="n"/>
      <c r="W198" s="29" t="n"/>
    </row>
    <row r="199" ht="54" customHeight="1">
      <c r="A199" s="29" t="n"/>
      <c r="B199" s="29" t="n"/>
      <c r="C199" s="29" t="n"/>
      <c r="D199" s="29" t="n"/>
      <c r="E199" s="29" t="n"/>
      <c r="F199" s="29" t="n"/>
      <c r="G199" s="29" t="n"/>
      <c r="H199" s="29" t="n"/>
      <c r="I199" s="29" t="n"/>
      <c r="J199" s="29" t="n"/>
      <c r="K199" s="29" t="n"/>
      <c r="L199" s="49" t="n"/>
      <c r="M199" s="29" t="n"/>
      <c r="N199" s="29" t="n"/>
      <c r="O199" s="29" t="n"/>
      <c r="P199" s="29" t="n"/>
      <c r="Q199" s="29" t="n"/>
      <c r="R199" s="29" t="n"/>
      <c r="S199" s="29" t="n"/>
      <c r="T199" s="29" t="n"/>
      <c r="U199" s="29" t="n"/>
      <c r="V199" s="29" t="n"/>
      <c r="W199" s="29" t="n"/>
    </row>
    <row r="200" ht="54" customHeight="1">
      <c r="A200" s="29" t="n"/>
      <c r="B200" s="29" t="n"/>
      <c r="C200" s="29" t="n"/>
      <c r="D200" s="29" t="n"/>
      <c r="E200" s="29" t="n"/>
      <c r="F200" s="29" t="n"/>
      <c r="G200" s="29" t="n"/>
      <c r="H200" s="29" t="n"/>
      <c r="I200" s="29" t="n"/>
      <c r="J200" s="29" t="n"/>
      <c r="K200" s="29" t="n"/>
      <c r="L200" s="49" t="n"/>
      <c r="M200" s="29" t="n"/>
      <c r="N200" s="29" t="n"/>
      <c r="O200" s="29" t="n"/>
      <c r="P200" s="29" t="n"/>
      <c r="Q200" s="29" t="n"/>
      <c r="R200" s="29" t="n"/>
      <c r="S200" s="29" t="n"/>
      <c r="T200" s="29" t="n"/>
      <c r="U200" s="29" t="n"/>
      <c r="V200" s="29" t="n"/>
      <c r="W200" s="29" t="n"/>
    </row>
    <row r="201" ht="54" customHeight="1">
      <c r="A201" s="29" t="n"/>
      <c r="B201" s="29" t="n"/>
      <c r="C201" s="29" t="n"/>
      <c r="D201" s="29" t="n"/>
      <c r="E201" s="29" t="n"/>
      <c r="F201" s="29" t="n"/>
      <c r="G201" s="29" t="n"/>
      <c r="H201" s="29" t="n"/>
      <c r="I201" s="29" t="n"/>
      <c r="J201" s="29" t="n"/>
      <c r="K201" s="29" t="n"/>
      <c r="L201" s="49" t="n"/>
      <c r="M201" s="29" t="n"/>
      <c r="N201" s="29" t="n"/>
      <c r="O201" s="29" t="n"/>
      <c r="P201" s="29" t="n"/>
      <c r="Q201" s="29" t="n"/>
      <c r="R201" s="29" t="n"/>
      <c r="S201" s="29" t="n"/>
      <c r="T201" s="29" t="n"/>
      <c r="U201" s="29" t="n"/>
      <c r="V201" s="29" t="n"/>
      <c r="W201" s="29" t="n"/>
    </row>
    <row r="202" ht="54" customHeight="1">
      <c r="A202" s="29" t="n"/>
      <c r="B202" s="29" t="n"/>
      <c r="C202" s="29" t="n"/>
      <c r="D202" s="29" t="n"/>
      <c r="E202" s="29" t="n"/>
      <c r="F202" s="29" t="n"/>
      <c r="G202" s="29" t="n"/>
      <c r="H202" s="29" t="n"/>
      <c r="I202" s="29" t="n"/>
      <c r="J202" s="29" t="n"/>
      <c r="K202" s="29" t="n"/>
      <c r="L202" s="49" t="n"/>
      <c r="M202" s="29" t="n"/>
      <c r="N202" s="29" t="n"/>
      <c r="O202" s="29" t="n"/>
      <c r="P202" s="29" t="n"/>
      <c r="Q202" s="29" t="n"/>
      <c r="R202" s="29" t="n"/>
      <c r="S202" s="29" t="n"/>
      <c r="T202" s="29" t="n"/>
      <c r="U202" s="29" t="n"/>
      <c r="V202" s="29" t="n"/>
      <c r="W202" s="29" t="n"/>
    </row>
    <row r="203" ht="54" customHeight="1">
      <c r="A203" s="29" t="n"/>
      <c r="B203" s="29" t="n"/>
      <c r="C203" s="29" t="n"/>
      <c r="D203" s="29" t="n"/>
      <c r="E203" s="29" t="n"/>
      <c r="F203" s="29" t="n"/>
      <c r="G203" s="29" t="n"/>
      <c r="H203" s="29" t="n"/>
      <c r="I203" s="29" t="n"/>
      <c r="J203" s="29" t="n"/>
      <c r="K203" s="29" t="n"/>
      <c r="L203" s="49" t="n"/>
      <c r="M203" s="29" t="n"/>
      <c r="N203" s="29" t="n"/>
      <c r="O203" s="29" t="n"/>
      <c r="P203" s="29" t="n"/>
      <c r="Q203" s="29" t="n"/>
      <c r="R203" s="29" t="n"/>
      <c r="S203" s="29" t="n"/>
      <c r="T203" s="29" t="n"/>
      <c r="U203" s="29" t="n"/>
      <c r="V203" s="29" t="n"/>
      <c r="W203" s="29" t="n"/>
    </row>
    <row r="204" ht="54" customHeight="1">
      <c r="A204" s="29" t="n"/>
      <c r="B204" s="29" t="n"/>
      <c r="C204" s="29" t="n"/>
      <c r="D204" s="29" t="n"/>
      <c r="E204" s="29" t="n"/>
      <c r="F204" s="29" t="n"/>
      <c r="G204" s="29" t="n"/>
      <c r="H204" s="29" t="n"/>
      <c r="I204" s="29" t="n"/>
      <c r="J204" s="29" t="n"/>
      <c r="K204" s="29" t="n"/>
      <c r="L204" s="49" t="n"/>
      <c r="M204" s="29" t="n"/>
      <c r="N204" s="29" t="n"/>
      <c r="O204" s="29" t="n"/>
      <c r="P204" s="29" t="n"/>
      <c r="Q204" s="29" t="n"/>
      <c r="R204" s="29" t="n"/>
      <c r="S204" s="29" t="n"/>
      <c r="T204" s="29" t="n"/>
      <c r="U204" s="29" t="n"/>
      <c r="V204" s="29" t="n"/>
      <c r="W204" s="29" t="n"/>
    </row>
    <row r="205" ht="54" customHeight="1">
      <c r="A205" s="29" t="n"/>
      <c r="B205" s="29" t="n"/>
      <c r="C205" s="29" t="n"/>
      <c r="D205" s="29" t="n"/>
      <c r="E205" s="29" t="n"/>
      <c r="F205" s="29" t="n"/>
      <c r="G205" s="29" t="n"/>
      <c r="H205" s="29" t="n"/>
      <c r="I205" s="29" t="n"/>
      <c r="J205" s="29" t="n"/>
      <c r="K205" s="29" t="n"/>
      <c r="L205" s="49" t="n"/>
      <c r="M205" s="29" t="n"/>
      <c r="N205" s="29" t="n"/>
      <c r="O205" s="29" t="n"/>
      <c r="P205" s="29" t="n"/>
      <c r="Q205" s="29" t="n"/>
      <c r="R205" s="29" t="n"/>
      <c r="S205" s="29" t="n"/>
      <c r="T205" s="29" t="n"/>
      <c r="U205" s="29" t="n"/>
      <c r="V205" s="29" t="n"/>
      <c r="W205" s="29" t="n"/>
    </row>
    <row r="206" ht="54" customHeight="1">
      <c r="A206" s="29" t="n"/>
      <c r="B206" s="29" t="n"/>
      <c r="C206" s="29" t="n"/>
      <c r="D206" s="29" t="n"/>
      <c r="E206" s="29" t="n"/>
      <c r="F206" s="29" t="n"/>
      <c r="G206" s="29" t="n"/>
      <c r="H206" s="29" t="n"/>
      <c r="I206" s="29" t="n"/>
      <c r="J206" s="29" t="n"/>
      <c r="K206" s="29" t="n"/>
      <c r="L206" s="49" t="n"/>
      <c r="M206" s="29" t="n"/>
      <c r="N206" s="29" t="n"/>
      <c r="O206" s="29" t="n"/>
      <c r="P206" s="29" t="n"/>
      <c r="Q206" s="29" t="n"/>
      <c r="R206" s="29" t="n"/>
      <c r="S206" s="29" t="n"/>
      <c r="T206" s="29" t="n"/>
      <c r="U206" s="29" t="n"/>
      <c r="V206" s="29" t="n"/>
      <c r="W206" s="29" t="n"/>
    </row>
    <row r="207" ht="54" customHeight="1">
      <c r="A207" s="29" t="n"/>
      <c r="B207" s="29" t="n"/>
      <c r="C207" s="29" t="n"/>
      <c r="D207" s="29" t="n"/>
      <c r="E207" s="29" t="n"/>
      <c r="F207" s="29" t="n"/>
      <c r="G207" s="29" t="n"/>
      <c r="H207" s="29" t="n"/>
      <c r="I207" s="29" t="n"/>
      <c r="J207" s="29" t="n"/>
      <c r="K207" s="29" t="n"/>
      <c r="L207" s="49" t="n"/>
      <c r="M207" s="29" t="n"/>
      <c r="N207" s="29" t="n"/>
      <c r="O207" s="29" t="n"/>
      <c r="P207" s="29" t="n"/>
      <c r="Q207" s="29" t="n"/>
      <c r="R207" s="29" t="n"/>
      <c r="S207" s="29" t="n"/>
      <c r="T207" s="29" t="n"/>
      <c r="U207" s="29" t="n"/>
      <c r="V207" s="29" t="n"/>
      <c r="W207" s="29" t="n"/>
    </row>
    <row r="208" ht="54" customHeight="1">
      <c r="A208" s="29" t="n"/>
      <c r="B208" s="29" t="n"/>
      <c r="C208" s="29" t="n"/>
      <c r="D208" s="29" t="n"/>
      <c r="E208" s="29" t="n"/>
      <c r="F208" s="29" t="n"/>
      <c r="G208" s="29" t="n"/>
      <c r="H208" s="29" t="n"/>
      <c r="I208" s="29" t="n"/>
      <c r="J208" s="29" t="n"/>
      <c r="K208" s="29" t="n"/>
      <c r="L208" s="49" t="n"/>
      <c r="M208" s="29" t="n"/>
      <c r="N208" s="29" t="n"/>
      <c r="O208" s="29" t="n"/>
      <c r="P208" s="29" t="n"/>
      <c r="Q208" s="29" t="n"/>
      <c r="R208" s="29" t="n"/>
      <c r="S208" s="29" t="n"/>
      <c r="T208" s="29" t="n"/>
      <c r="U208" s="29" t="n"/>
      <c r="V208" s="29" t="n"/>
      <c r="W208" s="29" t="n"/>
    </row>
    <row r="209" ht="54" customHeight="1">
      <c r="A209" s="29" t="n"/>
      <c r="B209" s="29" t="n"/>
      <c r="C209" s="29" t="n"/>
      <c r="D209" s="29" t="n"/>
      <c r="E209" s="29" t="n"/>
      <c r="F209" s="29" t="n"/>
      <c r="G209" s="29" t="n"/>
      <c r="H209" s="29" t="n"/>
      <c r="I209" s="29" t="n"/>
      <c r="J209" s="29" t="n"/>
      <c r="K209" s="29" t="n"/>
      <c r="L209" s="49" t="n"/>
      <c r="M209" s="29" t="n"/>
      <c r="N209" s="29" t="n"/>
      <c r="O209" s="29" t="n"/>
      <c r="P209" s="29" t="n"/>
      <c r="Q209" s="29" t="n"/>
      <c r="R209" s="29" t="n"/>
      <c r="S209" s="29" t="n"/>
      <c r="T209" s="29" t="n"/>
      <c r="U209" s="29" t="n"/>
      <c r="V209" s="29" t="n"/>
      <c r="W209" s="29" t="n"/>
    </row>
    <row r="210" ht="54" customHeight="1">
      <c r="A210" s="29" t="n"/>
      <c r="B210" s="29" t="n"/>
      <c r="C210" s="29" t="n"/>
      <c r="D210" s="29" t="n"/>
      <c r="E210" s="29" t="n"/>
      <c r="F210" s="29" t="n"/>
      <c r="G210" s="29" t="n"/>
      <c r="H210" s="29" t="n"/>
      <c r="I210" s="29" t="n"/>
      <c r="J210" s="29" t="n"/>
      <c r="K210" s="29" t="n"/>
      <c r="L210" s="49" t="n"/>
      <c r="M210" s="29" t="n"/>
      <c r="N210" s="29" t="n"/>
      <c r="O210" s="29" t="n"/>
      <c r="P210" s="29" t="n"/>
      <c r="Q210" s="29" t="n"/>
      <c r="R210" s="29" t="n"/>
      <c r="S210" s="29" t="n"/>
      <c r="T210" s="29" t="n"/>
      <c r="U210" s="29" t="n"/>
      <c r="V210" s="29" t="n"/>
      <c r="W210" s="29" t="n"/>
    </row>
    <row r="211" ht="54" customHeight="1">
      <c r="A211" s="29" t="n"/>
      <c r="B211" s="29" t="n"/>
      <c r="C211" s="29" t="n"/>
      <c r="D211" s="29" t="n"/>
      <c r="E211" s="29" t="n"/>
      <c r="F211" s="29" t="n"/>
      <c r="G211" s="29" t="n"/>
      <c r="H211" s="29" t="n"/>
      <c r="I211" s="29" t="n"/>
      <c r="J211" s="29" t="n"/>
      <c r="K211" s="29" t="n"/>
      <c r="L211" s="49" t="n"/>
      <c r="M211" s="29" t="n"/>
      <c r="N211" s="29" t="n"/>
      <c r="O211" s="29" t="n"/>
      <c r="P211" s="29" t="n"/>
      <c r="Q211" s="29" t="n"/>
      <c r="R211" s="29" t="n"/>
      <c r="S211" s="29" t="n"/>
      <c r="T211" s="29" t="n"/>
      <c r="U211" s="29" t="n"/>
      <c r="V211" s="29" t="n"/>
      <c r="W211" s="29" t="n"/>
    </row>
    <row r="212" ht="54" customHeight="1">
      <c r="A212" s="29" t="n"/>
      <c r="B212" s="29" t="n"/>
      <c r="C212" s="29" t="n"/>
      <c r="D212" s="29" t="n"/>
      <c r="E212" s="29" t="n"/>
      <c r="F212" s="29" t="n"/>
      <c r="G212" s="29" t="n"/>
      <c r="H212" s="29" t="n"/>
      <c r="I212" s="29" t="n"/>
      <c r="J212" s="29" t="n"/>
      <c r="K212" s="29" t="n"/>
      <c r="L212" s="49" t="n"/>
      <c r="M212" s="29" t="n"/>
      <c r="N212" s="29" t="n"/>
      <c r="O212" s="29" t="n"/>
      <c r="P212" s="29" t="n"/>
      <c r="Q212" s="29" t="n"/>
      <c r="R212" s="29" t="n"/>
      <c r="S212" s="29" t="n"/>
      <c r="T212" s="29" t="n"/>
      <c r="U212" s="29" t="n"/>
      <c r="V212" s="29" t="n"/>
      <c r="W212" s="29" t="n"/>
    </row>
    <row r="213" ht="54" customHeight="1">
      <c r="A213" s="29" t="n"/>
      <c r="B213" s="29" t="n"/>
      <c r="C213" s="29" t="n"/>
      <c r="D213" s="29" t="n"/>
      <c r="E213" s="29" t="n"/>
      <c r="F213" s="29" t="n"/>
      <c r="G213" s="29" t="n"/>
      <c r="H213" s="29" t="n"/>
      <c r="I213" s="29" t="n"/>
      <c r="J213" s="29" t="n"/>
      <c r="K213" s="29" t="n"/>
      <c r="L213" s="49" t="n"/>
      <c r="M213" s="29" t="n"/>
      <c r="N213" s="29" t="n"/>
      <c r="O213" s="29" t="n"/>
      <c r="P213" s="29" t="n"/>
      <c r="Q213" s="29" t="n"/>
      <c r="R213" s="29" t="n"/>
      <c r="S213" s="29" t="n"/>
      <c r="T213" s="29" t="n"/>
      <c r="U213" s="29" t="n"/>
      <c r="V213" s="29" t="n"/>
      <c r="W213" s="29" t="n"/>
    </row>
    <row r="214" ht="54" customHeight="1">
      <c r="A214" s="29" t="n"/>
      <c r="B214" s="29" t="n"/>
      <c r="C214" s="29" t="n"/>
      <c r="D214" s="29" t="n"/>
      <c r="E214" s="29" t="n"/>
      <c r="F214" s="29" t="n"/>
      <c r="G214" s="29" t="n"/>
      <c r="H214" s="29" t="n"/>
      <c r="I214" s="29" t="n"/>
      <c r="J214" s="29" t="n"/>
      <c r="K214" s="29" t="n"/>
      <c r="L214" s="49" t="n"/>
      <c r="M214" s="29" t="n"/>
      <c r="N214" s="29" t="n"/>
      <c r="O214" s="29" t="n"/>
      <c r="P214" s="29" t="n"/>
      <c r="Q214" s="29" t="n"/>
      <c r="R214" s="29" t="n"/>
      <c r="S214" s="29" t="n"/>
      <c r="T214" s="29" t="n"/>
      <c r="U214" s="29" t="n"/>
      <c r="V214" s="29" t="n"/>
      <c r="W214" s="29" t="n"/>
    </row>
    <row r="215" ht="54" customHeight="1">
      <c r="A215" s="29" t="n"/>
      <c r="B215" s="29" t="n"/>
      <c r="C215" s="29" t="n"/>
      <c r="D215" s="29" t="n"/>
      <c r="E215" s="29" t="n"/>
      <c r="F215" s="29" t="n"/>
      <c r="G215" s="29" t="n"/>
      <c r="H215" s="29" t="n"/>
      <c r="I215" s="29" t="n"/>
      <c r="J215" s="29" t="n"/>
      <c r="K215" s="29" t="n"/>
      <c r="L215" s="49" t="n"/>
      <c r="M215" s="29" t="n"/>
      <c r="N215" s="29" t="n"/>
      <c r="O215" s="29" t="n"/>
      <c r="P215" s="29" t="n"/>
      <c r="Q215" s="29" t="n"/>
      <c r="R215" s="29" t="n"/>
      <c r="S215" s="29" t="n"/>
      <c r="T215" s="29" t="n"/>
      <c r="U215" s="29" t="n"/>
      <c r="V215" s="29" t="n"/>
      <c r="W215" s="29" t="n"/>
    </row>
    <row r="216" ht="54" customHeight="1">
      <c r="A216" s="29" t="n"/>
      <c r="B216" s="29" t="n"/>
      <c r="C216" s="29" t="n"/>
      <c r="D216" s="29" t="n"/>
      <c r="E216" s="29" t="n"/>
      <c r="F216" s="29" t="n"/>
      <c r="G216" s="29" t="n"/>
      <c r="H216" s="29" t="n"/>
      <c r="I216" s="29" t="n"/>
      <c r="J216" s="29" t="n"/>
      <c r="K216" s="29" t="n"/>
      <c r="L216" s="49" t="n"/>
      <c r="M216" s="29" t="n"/>
      <c r="N216" s="29" t="n"/>
      <c r="O216" s="29" t="n"/>
      <c r="P216" s="29" t="n"/>
      <c r="Q216" s="29" t="n"/>
      <c r="R216" s="29" t="n"/>
      <c r="S216" s="29" t="n"/>
      <c r="T216" s="29" t="n"/>
      <c r="U216" s="29" t="n"/>
      <c r="V216" s="29" t="n"/>
      <c r="W216" s="29" t="n"/>
    </row>
    <row r="217" ht="54" customHeight="1">
      <c r="A217" s="29" t="n"/>
      <c r="B217" s="29" t="n"/>
      <c r="C217" s="29" t="n"/>
      <c r="D217" s="29" t="n"/>
      <c r="E217" s="29" t="n"/>
      <c r="F217" s="29" t="n"/>
      <c r="G217" s="29" t="n"/>
      <c r="H217" s="29" t="n"/>
      <c r="I217" s="29" t="n"/>
      <c r="J217" s="29" t="n"/>
      <c r="K217" s="29" t="n"/>
      <c r="L217" s="49" t="n"/>
      <c r="M217" s="29" t="n"/>
      <c r="N217" s="29" t="n"/>
      <c r="O217" s="29" t="n"/>
      <c r="P217" s="29" t="n"/>
      <c r="Q217" s="29" t="n"/>
      <c r="R217" s="29" t="n"/>
      <c r="S217" s="29" t="n"/>
      <c r="T217" s="29" t="n"/>
      <c r="U217" s="29" t="n"/>
      <c r="V217" s="29" t="n"/>
      <c r="W217" s="29" t="n"/>
    </row>
    <row r="218" ht="54" customHeight="1">
      <c r="A218" s="29" t="n"/>
      <c r="B218" s="29" t="n"/>
      <c r="C218" s="29" t="n"/>
      <c r="D218" s="29" t="n"/>
      <c r="E218" s="29" t="n"/>
      <c r="F218" s="29" t="n"/>
      <c r="G218" s="29" t="n"/>
      <c r="H218" s="29" t="n"/>
      <c r="I218" s="29" t="n"/>
      <c r="J218" s="29" t="n"/>
      <c r="K218" s="29" t="n"/>
      <c r="L218" s="49" t="n"/>
      <c r="M218" s="29" t="n"/>
      <c r="N218" s="29" t="n"/>
      <c r="O218" s="29" t="n"/>
      <c r="P218" s="29" t="n"/>
      <c r="Q218" s="29" t="n"/>
      <c r="R218" s="29" t="n"/>
      <c r="S218" s="29" t="n"/>
      <c r="T218" s="29" t="n"/>
      <c r="U218" s="29" t="n"/>
      <c r="V218" s="29" t="n"/>
      <c r="W218" s="29" t="n"/>
    </row>
    <row r="219" ht="54" customHeight="1">
      <c r="A219" s="29" t="n"/>
      <c r="B219" s="29" t="n"/>
      <c r="C219" s="29" t="n"/>
      <c r="D219" s="29" t="n"/>
      <c r="E219" s="29" t="n"/>
      <c r="F219" s="29" t="n"/>
      <c r="G219" s="29" t="n"/>
      <c r="H219" s="29" t="n"/>
      <c r="I219" s="29" t="n"/>
      <c r="J219" s="29" t="n"/>
      <c r="K219" s="29" t="n"/>
      <c r="L219" s="49" t="n"/>
      <c r="M219" s="29" t="n"/>
      <c r="N219" s="29" t="n"/>
      <c r="O219" s="29" t="n"/>
      <c r="P219" s="29" t="n"/>
      <c r="Q219" s="29" t="n"/>
      <c r="R219" s="29" t="n"/>
      <c r="S219" s="29" t="n"/>
      <c r="T219" s="29" t="n"/>
      <c r="U219" s="29" t="n"/>
      <c r="V219" s="29" t="n"/>
      <c r="W219" s="29" t="n"/>
    </row>
    <row r="220" ht="54" customHeight="1">
      <c r="A220" s="29" t="n"/>
      <c r="B220" s="29" t="n"/>
      <c r="C220" s="29" t="n"/>
      <c r="D220" s="29" t="n"/>
      <c r="E220" s="29" t="n"/>
      <c r="F220" s="29" t="n"/>
      <c r="G220" s="29" t="n"/>
      <c r="H220" s="29" t="n"/>
      <c r="I220" s="29" t="n"/>
      <c r="J220" s="29" t="n"/>
      <c r="K220" s="29" t="n"/>
      <c r="L220" s="49" t="n"/>
      <c r="M220" s="29" t="n"/>
      <c r="N220" s="29" t="n"/>
      <c r="O220" s="29" t="n"/>
      <c r="P220" s="29" t="n"/>
      <c r="Q220" s="29" t="n"/>
      <c r="R220" s="29" t="n"/>
      <c r="S220" s="29" t="n"/>
      <c r="T220" s="29" t="n"/>
      <c r="U220" s="29" t="n"/>
      <c r="V220" s="29" t="n"/>
      <c r="W220" s="29" t="n"/>
    </row>
    <row r="221" ht="54" customHeight="1">
      <c r="A221" s="29" t="n"/>
      <c r="B221" s="29" t="n"/>
      <c r="C221" s="29" t="n"/>
      <c r="D221" s="29" t="n"/>
      <c r="E221" s="29" t="n"/>
      <c r="F221" s="29" t="n"/>
      <c r="G221" s="29" t="n"/>
      <c r="H221" s="29" t="n"/>
      <c r="I221" s="29" t="n"/>
      <c r="J221" s="29" t="n"/>
      <c r="K221" s="29" t="n"/>
      <c r="L221" s="49" t="n"/>
      <c r="M221" s="29" t="n"/>
      <c r="N221" s="29" t="n"/>
      <c r="O221" s="29" t="n"/>
      <c r="P221" s="29" t="n"/>
      <c r="Q221" s="29" t="n"/>
      <c r="R221" s="29" t="n"/>
      <c r="S221" s="29" t="n"/>
      <c r="T221" s="29" t="n"/>
      <c r="U221" s="29" t="n"/>
      <c r="V221" s="29" t="n"/>
      <c r="W221" s="29" t="n"/>
    </row>
    <row r="222" ht="54" customHeight="1">
      <c r="A222" s="29" t="n"/>
      <c r="B222" s="29" t="n"/>
      <c r="C222" s="29" t="n"/>
      <c r="D222" s="29" t="n"/>
      <c r="E222" s="29" t="n"/>
      <c r="F222" s="29" t="n"/>
      <c r="G222" s="29" t="n"/>
      <c r="H222" s="29" t="n"/>
      <c r="I222" s="29" t="n"/>
      <c r="J222" s="29" t="n"/>
      <c r="K222" s="29" t="n"/>
      <c r="L222" s="49" t="n"/>
      <c r="M222" s="29" t="n"/>
      <c r="N222" s="29" t="n"/>
      <c r="O222" s="29" t="n"/>
      <c r="P222" s="29" t="n"/>
      <c r="Q222" s="29" t="n"/>
      <c r="R222" s="29" t="n"/>
      <c r="S222" s="29" t="n"/>
      <c r="T222" s="29" t="n"/>
      <c r="U222" s="29" t="n"/>
      <c r="V222" s="29" t="n"/>
      <c r="W222" s="29" t="n"/>
    </row>
    <row r="223" ht="54" customHeight="1">
      <c r="A223" s="29" t="n"/>
      <c r="B223" s="29" t="n"/>
      <c r="C223" s="29" t="n"/>
      <c r="D223" s="29" t="n"/>
      <c r="E223" s="29" t="n"/>
      <c r="F223" s="29" t="n"/>
      <c r="G223" s="29" t="n"/>
      <c r="H223" s="29" t="n"/>
      <c r="I223" s="29" t="n"/>
      <c r="J223" s="29" t="n"/>
      <c r="K223" s="29" t="n"/>
      <c r="L223" s="49" t="n"/>
      <c r="M223" s="29" t="n"/>
      <c r="N223" s="29" t="n"/>
      <c r="O223" s="29" t="n"/>
      <c r="P223" s="29" t="n"/>
      <c r="Q223" s="29" t="n"/>
      <c r="R223" s="29" t="n"/>
      <c r="S223" s="29" t="n"/>
      <c r="T223" s="29" t="n"/>
      <c r="U223" s="29" t="n"/>
      <c r="V223" s="29" t="n"/>
      <c r="W223" s="29" t="n"/>
    </row>
    <row r="224" ht="54" customHeight="1">
      <c r="A224" s="29" t="n"/>
      <c r="B224" s="29" t="n"/>
      <c r="C224" s="29" t="n"/>
      <c r="D224" s="29" t="n"/>
      <c r="E224" s="29" t="n"/>
      <c r="F224" s="29" t="n"/>
      <c r="G224" s="29" t="n"/>
      <c r="H224" s="29" t="n"/>
      <c r="I224" s="29" t="n"/>
      <c r="J224" s="29" t="n"/>
      <c r="K224" s="29" t="n"/>
      <c r="L224" s="49" t="n"/>
      <c r="M224" s="29" t="n"/>
      <c r="N224" s="29" t="n"/>
      <c r="O224" s="29" t="n"/>
      <c r="P224" s="29" t="n"/>
      <c r="Q224" s="29" t="n"/>
      <c r="R224" s="29" t="n"/>
      <c r="S224" s="29" t="n"/>
      <c r="T224" s="29" t="n"/>
      <c r="U224" s="29" t="n"/>
      <c r="V224" s="29" t="n"/>
      <c r="W224" s="29" t="n"/>
    </row>
    <row r="225" ht="54" customHeight="1">
      <c r="A225" s="29" t="n"/>
      <c r="B225" s="29" t="n"/>
      <c r="C225" s="29" t="n"/>
      <c r="D225" s="29" t="n"/>
      <c r="E225" s="29" t="n"/>
      <c r="F225" s="29" t="n"/>
      <c r="G225" s="29" t="n"/>
      <c r="H225" s="29" t="n"/>
      <c r="I225" s="29" t="n"/>
      <c r="J225" s="29" t="n"/>
      <c r="K225" s="29" t="n"/>
      <c r="L225" s="49" t="n"/>
      <c r="M225" s="29" t="n"/>
      <c r="N225" s="29" t="n"/>
      <c r="O225" s="29" t="n"/>
      <c r="P225" s="29" t="n"/>
      <c r="Q225" s="29" t="n"/>
      <c r="R225" s="29" t="n"/>
      <c r="S225" s="29" t="n"/>
      <c r="T225" s="29" t="n"/>
      <c r="U225" s="29" t="n"/>
      <c r="V225" s="29" t="n"/>
      <c r="W225" s="29" t="n"/>
    </row>
    <row r="226" ht="54" customHeight="1">
      <c r="A226" s="29" t="n"/>
      <c r="B226" s="29" t="n"/>
      <c r="C226" s="29" t="n"/>
      <c r="D226" s="29" t="n"/>
      <c r="E226" s="29" t="n"/>
      <c r="F226" s="29" t="n"/>
      <c r="G226" s="29" t="n"/>
      <c r="H226" s="29" t="n"/>
      <c r="I226" s="29" t="n"/>
      <c r="J226" s="29" t="n"/>
      <c r="K226" s="29" t="n"/>
      <c r="L226" s="49" t="n"/>
      <c r="M226" s="29" t="n"/>
      <c r="N226" s="29" t="n"/>
      <c r="O226" s="29" t="n"/>
      <c r="P226" s="29" t="n"/>
      <c r="Q226" s="29" t="n"/>
      <c r="R226" s="29" t="n"/>
      <c r="S226" s="29" t="n"/>
      <c r="T226" s="29" t="n"/>
      <c r="U226" s="29" t="n"/>
      <c r="V226" s="29" t="n"/>
      <c r="W226" s="29" t="n"/>
    </row>
    <row r="227" ht="54" customHeight="1">
      <c r="A227" s="29" t="n"/>
      <c r="B227" s="29" t="n"/>
      <c r="C227" s="29" t="n"/>
      <c r="D227" s="29" t="n"/>
      <c r="E227" s="29" t="n"/>
      <c r="F227" s="29" t="n"/>
      <c r="G227" s="29" t="n"/>
      <c r="H227" s="29" t="n"/>
      <c r="I227" s="29" t="n"/>
      <c r="J227" s="29" t="n"/>
      <c r="K227" s="29" t="n"/>
      <c r="L227" s="49" t="n"/>
      <c r="M227" s="29" t="n"/>
      <c r="N227" s="29" t="n"/>
      <c r="O227" s="29" t="n"/>
      <c r="P227" s="29" t="n"/>
      <c r="Q227" s="29" t="n"/>
      <c r="R227" s="29" t="n"/>
      <c r="S227" s="29" t="n"/>
      <c r="T227" s="29" t="n"/>
      <c r="U227" s="29" t="n"/>
      <c r="V227" s="29" t="n"/>
      <c r="W227" s="29" t="n"/>
    </row>
    <row r="228" ht="54" customHeight="1">
      <c r="A228" s="29" t="n"/>
      <c r="B228" s="29" t="n"/>
      <c r="C228" s="29" t="n"/>
      <c r="D228" s="29" t="n"/>
      <c r="E228" s="29" t="n"/>
      <c r="F228" s="29" t="n"/>
      <c r="G228" s="29" t="n"/>
      <c r="H228" s="29" t="n"/>
      <c r="I228" s="29" t="n"/>
      <c r="J228" s="29" t="n"/>
      <c r="K228" s="29" t="n"/>
      <c r="L228" s="49" t="n"/>
      <c r="M228" s="29" t="n"/>
      <c r="N228" s="29" t="n"/>
      <c r="O228" s="29" t="n"/>
      <c r="P228" s="29" t="n"/>
      <c r="Q228" s="29" t="n"/>
      <c r="R228" s="29" t="n"/>
      <c r="S228" s="29" t="n"/>
      <c r="T228" s="29" t="n"/>
      <c r="U228" s="29" t="n"/>
      <c r="V228" s="29" t="n"/>
      <c r="W228" s="29" t="n"/>
    </row>
    <row r="229" ht="54" customHeight="1">
      <c r="A229" s="29" t="n"/>
      <c r="B229" s="29" t="n"/>
      <c r="C229" s="29" t="n"/>
      <c r="D229" s="29" t="n"/>
      <c r="E229" s="29" t="n"/>
      <c r="F229" s="29" t="n"/>
      <c r="G229" s="29" t="n"/>
      <c r="H229" s="29" t="n"/>
      <c r="I229" s="29" t="n"/>
      <c r="J229" s="29" t="n"/>
      <c r="K229" s="29" t="n"/>
      <c r="L229" s="49" t="n"/>
      <c r="M229" s="29" t="n"/>
      <c r="N229" s="29" t="n"/>
      <c r="O229" s="29" t="n"/>
      <c r="P229" s="29" t="n"/>
      <c r="Q229" s="29" t="n"/>
      <c r="R229" s="29" t="n"/>
      <c r="S229" s="29" t="n"/>
      <c r="T229" s="29" t="n"/>
      <c r="U229" s="29" t="n"/>
      <c r="V229" s="29" t="n"/>
      <c r="W229" s="29" t="n"/>
    </row>
    <row r="230" ht="54" customHeight="1">
      <c r="A230" s="29" t="n"/>
      <c r="B230" s="29" t="n"/>
      <c r="C230" s="29" t="n"/>
      <c r="D230" s="29" t="n"/>
      <c r="E230" s="29" t="n"/>
      <c r="F230" s="29" t="n"/>
      <c r="G230" s="29" t="n"/>
      <c r="H230" s="29" t="n"/>
      <c r="I230" s="29" t="n"/>
      <c r="J230" s="29" t="n"/>
      <c r="K230" s="29" t="n"/>
      <c r="L230" s="49" t="n"/>
      <c r="M230" s="29" t="n"/>
      <c r="N230" s="29" t="n"/>
      <c r="O230" s="29" t="n"/>
      <c r="P230" s="29" t="n"/>
      <c r="Q230" s="29" t="n"/>
      <c r="R230" s="29" t="n"/>
      <c r="S230" s="29" t="n"/>
      <c r="T230" s="29" t="n"/>
      <c r="U230" s="29" t="n"/>
      <c r="V230" s="29" t="n"/>
      <c r="W230" s="29" t="n"/>
    </row>
    <row r="231" ht="54" customHeight="1">
      <c r="A231" s="29" t="n"/>
      <c r="B231" s="29" t="n"/>
      <c r="C231" s="29" t="n"/>
      <c r="D231" s="29" t="n"/>
      <c r="E231" s="29" t="n"/>
      <c r="F231" s="29" t="n"/>
      <c r="G231" s="29" t="n"/>
      <c r="H231" s="29" t="n"/>
      <c r="I231" s="29" t="n"/>
      <c r="J231" s="29" t="n"/>
      <c r="K231" s="29" t="n"/>
      <c r="L231" s="49" t="n"/>
      <c r="M231" s="29" t="n"/>
      <c r="N231" s="29" t="n"/>
      <c r="O231" s="29" t="n"/>
      <c r="P231" s="29" t="n"/>
      <c r="Q231" s="29" t="n"/>
      <c r="R231" s="29" t="n"/>
      <c r="S231" s="29" t="n"/>
      <c r="T231" s="29" t="n"/>
      <c r="U231" s="29" t="n"/>
      <c r="V231" s="29" t="n"/>
      <c r="W231" s="29" t="n"/>
    </row>
    <row r="232" ht="54" customHeight="1">
      <c r="A232" s="29" t="n"/>
      <c r="B232" s="29" t="n"/>
      <c r="C232" s="29" t="n"/>
      <c r="D232" s="29" t="n"/>
      <c r="E232" s="29" t="n"/>
      <c r="F232" s="29" t="n"/>
      <c r="G232" s="29" t="n"/>
      <c r="H232" s="29" t="n"/>
      <c r="I232" s="29" t="n"/>
      <c r="J232" s="29" t="n"/>
      <c r="K232" s="29" t="n"/>
      <c r="L232" s="49" t="n"/>
      <c r="M232" s="29" t="n"/>
      <c r="N232" s="29" t="n"/>
      <c r="O232" s="29" t="n"/>
      <c r="P232" s="29" t="n"/>
      <c r="Q232" s="29" t="n"/>
      <c r="R232" s="29" t="n"/>
      <c r="S232" s="29" t="n"/>
      <c r="T232" s="29" t="n"/>
      <c r="U232" s="29" t="n"/>
      <c r="V232" s="29" t="n"/>
      <c r="W232" s="29" t="n"/>
    </row>
    <row r="233" ht="54" customHeight="1">
      <c r="A233" s="29" t="n"/>
      <c r="B233" s="29" t="n"/>
      <c r="C233" s="29" t="n"/>
      <c r="D233" s="29" t="n"/>
      <c r="E233" s="29" t="n"/>
      <c r="F233" s="29" t="n"/>
      <c r="G233" s="29" t="n"/>
      <c r="H233" s="29" t="n"/>
      <c r="I233" s="29" t="n"/>
      <c r="J233" s="29" t="n"/>
      <c r="K233" s="29" t="n"/>
      <c r="L233" s="49" t="n"/>
      <c r="M233" s="29" t="n"/>
      <c r="N233" s="29" t="n"/>
      <c r="O233" s="29" t="n"/>
      <c r="P233" s="29" t="n"/>
      <c r="Q233" s="29" t="n"/>
      <c r="R233" s="29" t="n"/>
      <c r="S233" s="29" t="n"/>
      <c r="T233" s="29" t="n"/>
      <c r="U233" s="29" t="n"/>
      <c r="V233" s="29" t="n"/>
      <c r="W233" s="29" t="n"/>
    </row>
    <row r="234" ht="54" customHeight="1">
      <c r="A234" s="29" t="n"/>
      <c r="B234" s="29" t="n"/>
      <c r="C234" s="29" t="n"/>
      <c r="D234" s="29" t="n"/>
      <c r="E234" s="29" t="n"/>
      <c r="F234" s="29" t="n"/>
      <c r="G234" s="29" t="n"/>
      <c r="H234" s="29" t="n"/>
      <c r="I234" s="29" t="n"/>
      <c r="J234" s="29" t="n"/>
      <c r="K234" s="29" t="n"/>
      <c r="L234" s="49" t="n"/>
      <c r="M234" s="29" t="n"/>
      <c r="N234" s="29" t="n"/>
      <c r="O234" s="29" t="n"/>
      <c r="P234" s="29" t="n"/>
      <c r="Q234" s="29" t="n"/>
      <c r="R234" s="29" t="n"/>
      <c r="S234" s="29" t="n"/>
      <c r="T234" s="29" t="n"/>
      <c r="U234" s="29" t="n"/>
      <c r="V234" s="29" t="n"/>
      <c r="W234" s="29" t="n"/>
    </row>
    <row r="235" ht="54" customHeight="1">
      <c r="A235" s="29" t="n"/>
      <c r="B235" s="29" t="n"/>
      <c r="C235" s="29" t="n"/>
      <c r="D235" s="29" t="n"/>
      <c r="E235" s="29" t="n"/>
      <c r="F235" s="29" t="n"/>
      <c r="G235" s="29" t="n"/>
      <c r="H235" s="29" t="n"/>
      <c r="I235" s="29" t="n"/>
      <c r="J235" s="29" t="n"/>
      <c r="K235" s="29" t="n"/>
      <c r="L235" s="49" t="n"/>
      <c r="M235" s="29" t="n"/>
      <c r="N235" s="29" t="n"/>
      <c r="O235" s="29" t="n"/>
      <c r="P235" s="29" t="n"/>
      <c r="Q235" s="29" t="n"/>
      <c r="R235" s="29" t="n"/>
      <c r="S235" s="29" t="n"/>
      <c r="T235" s="29" t="n"/>
      <c r="U235" s="29" t="n"/>
      <c r="V235" s="29" t="n"/>
      <c r="W235" s="29" t="n"/>
    </row>
    <row r="236" ht="54" customHeight="1">
      <c r="A236" s="29" t="n"/>
      <c r="B236" s="29" t="n"/>
      <c r="C236" s="29" t="n"/>
      <c r="D236" s="29" t="n"/>
      <c r="E236" s="29" t="n"/>
      <c r="F236" s="29" t="n"/>
      <c r="G236" s="29" t="n"/>
      <c r="H236" s="29" t="n"/>
      <c r="I236" s="29" t="n"/>
      <c r="J236" s="29" t="n"/>
      <c r="K236" s="29" t="n"/>
      <c r="L236" s="49" t="n"/>
      <c r="M236" s="29" t="n"/>
      <c r="N236" s="29" t="n"/>
      <c r="O236" s="29" t="n"/>
      <c r="P236" s="29" t="n"/>
      <c r="Q236" s="29" t="n"/>
      <c r="R236" s="29" t="n"/>
      <c r="S236" s="29" t="n"/>
      <c r="T236" s="29" t="n"/>
      <c r="U236" s="29" t="n"/>
      <c r="V236" s="29" t="n"/>
      <c r="W236" s="29" t="n"/>
    </row>
    <row r="237" ht="54" customHeight="1">
      <c r="A237" s="29" t="n"/>
      <c r="B237" s="29" t="n"/>
      <c r="C237" s="29" t="n"/>
      <c r="D237" s="29" t="n"/>
      <c r="E237" s="29" t="n"/>
      <c r="F237" s="29" t="n"/>
      <c r="G237" s="29" t="n"/>
      <c r="H237" s="29" t="n"/>
      <c r="I237" s="29" t="n"/>
      <c r="J237" s="29" t="n"/>
      <c r="K237" s="29" t="n"/>
      <c r="L237" s="49" t="n"/>
      <c r="M237" s="29" t="n"/>
      <c r="N237" s="29" t="n"/>
      <c r="O237" s="29" t="n"/>
      <c r="P237" s="29" t="n"/>
      <c r="Q237" s="29" t="n"/>
      <c r="R237" s="29" t="n"/>
      <c r="S237" s="29" t="n"/>
      <c r="T237" s="29" t="n"/>
      <c r="U237" s="29" t="n"/>
      <c r="V237" s="29" t="n"/>
      <c r="W237" s="29" t="n"/>
    </row>
    <row r="238" ht="54" customHeight="1">
      <c r="A238" s="29" t="n"/>
      <c r="B238" s="29" t="n"/>
      <c r="C238" s="29" t="n"/>
      <c r="D238" s="29" t="n"/>
      <c r="E238" s="29" t="n"/>
      <c r="F238" s="29" t="n"/>
      <c r="G238" s="29" t="n"/>
      <c r="H238" s="29" t="n"/>
      <c r="I238" s="29" t="n"/>
      <c r="J238" s="29" t="n"/>
      <c r="K238" s="29" t="n"/>
      <c r="L238" s="49" t="n"/>
      <c r="M238" s="29" t="n"/>
      <c r="N238" s="29" t="n"/>
      <c r="O238" s="29" t="n"/>
      <c r="P238" s="29" t="n"/>
      <c r="Q238" s="29" t="n"/>
      <c r="R238" s="29" t="n"/>
      <c r="S238" s="29" t="n"/>
      <c r="T238" s="29" t="n"/>
      <c r="U238" s="29" t="n"/>
      <c r="V238" s="29" t="n"/>
      <c r="W238" s="29" t="n"/>
    </row>
    <row r="239" ht="54" customHeight="1">
      <c r="A239" s="29" t="n"/>
      <c r="B239" s="29" t="n"/>
      <c r="C239" s="29" t="n"/>
      <c r="D239" s="29" t="n"/>
      <c r="E239" s="29" t="n"/>
      <c r="F239" s="29" t="n"/>
      <c r="G239" s="29" t="n"/>
      <c r="H239" s="29" t="n"/>
      <c r="I239" s="29" t="n"/>
      <c r="J239" s="29" t="n"/>
      <c r="K239" s="29" t="n"/>
      <c r="L239" s="49" t="n"/>
      <c r="M239" s="29" t="n"/>
      <c r="N239" s="29" t="n"/>
      <c r="O239" s="29" t="n"/>
      <c r="P239" s="29" t="n"/>
      <c r="Q239" s="29" t="n"/>
      <c r="R239" s="29" t="n"/>
      <c r="S239" s="29" t="n"/>
      <c r="T239" s="29" t="n"/>
      <c r="U239" s="29" t="n"/>
      <c r="V239" s="29" t="n"/>
      <c r="W239" s="29" t="n"/>
    </row>
    <row r="240" ht="54" customHeight="1">
      <c r="A240" s="29" t="n"/>
      <c r="B240" s="29" t="n"/>
      <c r="C240" s="29" t="n"/>
      <c r="D240" s="29" t="n"/>
      <c r="E240" s="29" t="n"/>
      <c r="F240" s="29" t="n"/>
      <c r="G240" s="29" t="n"/>
      <c r="H240" s="29" t="n"/>
      <c r="I240" s="29" t="n"/>
      <c r="J240" s="29" t="n"/>
      <c r="K240" s="29" t="n"/>
      <c r="L240" s="49" t="n"/>
      <c r="M240" s="29" t="n"/>
      <c r="N240" s="29" t="n"/>
      <c r="O240" s="29" t="n"/>
      <c r="P240" s="29" t="n"/>
      <c r="Q240" s="29" t="n"/>
      <c r="R240" s="29" t="n"/>
      <c r="S240" s="29" t="n"/>
      <c r="T240" s="29" t="n"/>
      <c r="U240" s="29" t="n"/>
      <c r="V240" s="29" t="n"/>
      <c r="W240" s="29" t="n"/>
    </row>
    <row r="241" ht="54" customHeight="1">
      <c r="A241" s="29" t="n"/>
      <c r="B241" s="29" t="n"/>
      <c r="C241" s="29" t="n"/>
      <c r="D241" s="29" t="n"/>
      <c r="E241" s="29" t="n"/>
      <c r="F241" s="29" t="n"/>
      <c r="G241" s="29" t="n"/>
      <c r="H241" s="29" t="n"/>
      <c r="I241" s="29" t="n"/>
      <c r="J241" s="29" t="n"/>
      <c r="K241" s="29" t="n"/>
      <c r="L241" s="49" t="n"/>
      <c r="M241" s="29" t="n"/>
      <c r="N241" s="29" t="n"/>
      <c r="O241" s="29" t="n"/>
      <c r="P241" s="29" t="n"/>
      <c r="Q241" s="29" t="n"/>
      <c r="R241" s="29" t="n"/>
      <c r="S241" s="29" t="n"/>
      <c r="T241" s="29" t="n"/>
      <c r="U241" s="29" t="n"/>
      <c r="V241" s="29" t="n"/>
      <c r="W241" s="29" t="n"/>
    </row>
    <row r="242" ht="54" customHeight="1">
      <c r="A242" s="29" t="n"/>
      <c r="B242" s="29" t="n"/>
      <c r="C242" s="29" t="n"/>
      <c r="D242" s="29" t="n"/>
      <c r="E242" s="29" t="n"/>
      <c r="F242" s="29" t="n"/>
      <c r="G242" s="29" t="n"/>
      <c r="H242" s="29" t="n"/>
      <c r="I242" s="29" t="n"/>
      <c r="J242" s="29" t="n"/>
      <c r="K242" s="29" t="n"/>
      <c r="L242" s="49" t="n"/>
      <c r="M242" s="29" t="n"/>
      <c r="N242" s="29" t="n"/>
      <c r="O242" s="29" t="n"/>
      <c r="P242" s="29" t="n"/>
      <c r="Q242" s="29" t="n"/>
      <c r="R242" s="29" t="n"/>
      <c r="S242" s="29" t="n"/>
      <c r="T242" s="29" t="n"/>
      <c r="U242" s="29" t="n"/>
      <c r="V242" s="29" t="n"/>
      <c r="W242" s="29" t="n"/>
    </row>
    <row r="243" ht="54" customHeight="1">
      <c r="A243" s="29" t="n"/>
      <c r="B243" s="29" t="n"/>
      <c r="C243" s="29" t="n"/>
      <c r="D243" s="29" t="n"/>
      <c r="E243" s="29" t="n"/>
      <c r="F243" s="29" t="n"/>
      <c r="G243" s="29" t="n"/>
      <c r="H243" s="29" t="n"/>
      <c r="I243" s="29" t="n"/>
      <c r="J243" s="29" t="n"/>
      <c r="K243" s="29" t="n"/>
      <c r="L243" s="49" t="n"/>
      <c r="M243" s="29" t="n"/>
      <c r="N243" s="29" t="n"/>
      <c r="O243" s="29" t="n"/>
      <c r="P243" s="29" t="n"/>
      <c r="Q243" s="29" t="n"/>
      <c r="R243" s="29" t="n"/>
      <c r="S243" s="29" t="n"/>
      <c r="T243" s="29" t="n"/>
      <c r="U243" s="29" t="n"/>
      <c r="V243" s="29" t="n"/>
      <c r="W243" s="29" t="n"/>
    </row>
    <row r="244" ht="54" customHeight="1">
      <c r="A244" s="29" t="n"/>
      <c r="B244" s="29" t="n"/>
      <c r="C244" s="29" t="n"/>
      <c r="D244" s="29" t="n"/>
      <c r="E244" s="29" t="n"/>
      <c r="F244" s="29" t="n"/>
      <c r="G244" s="29" t="n"/>
      <c r="H244" s="29" t="n"/>
      <c r="I244" s="29" t="n"/>
      <c r="J244" s="29" t="n"/>
      <c r="K244" s="29" t="n"/>
      <c r="L244" s="49" t="n"/>
      <c r="M244" s="29" t="n"/>
      <c r="N244" s="29" t="n"/>
      <c r="O244" s="29" t="n"/>
      <c r="P244" s="29" t="n"/>
      <c r="Q244" s="29" t="n"/>
      <c r="R244" s="29" t="n"/>
      <c r="S244" s="29" t="n"/>
      <c r="T244" s="29" t="n"/>
      <c r="U244" s="29" t="n"/>
      <c r="V244" s="29" t="n"/>
      <c r="W244" s="29" t="n"/>
    </row>
    <row r="245" ht="54" customHeight="1">
      <c r="A245" s="29" t="n"/>
      <c r="B245" s="29" t="n"/>
      <c r="C245" s="29" t="n"/>
      <c r="D245" s="29" t="n"/>
      <c r="E245" s="29" t="n"/>
      <c r="F245" s="29" t="n"/>
      <c r="G245" s="29" t="n"/>
      <c r="H245" s="29" t="n"/>
      <c r="I245" s="29" t="n"/>
      <c r="J245" s="29" t="n"/>
      <c r="K245" s="29" t="n"/>
      <c r="L245" s="49" t="n"/>
      <c r="M245" s="29" t="n"/>
      <c r="N245" s="29" t="n"/>
      <c r="O245" s="29" t="n"/>
      <c r="P245" s="29" t="n"/>
      <c r="Q245" s="29" t="n"/>
      <c r="R245" s="29" t="n"/>
      <c r="S245" s="29" t="n"/>
      <c r="T245" s="29" t="n"/>
      <c r="U245" s="29" t="n"/>
      <c r="V245" s="29" t="n"/>
      <c r="W245" s="29" t="n"/>
    </row>
    <row r="246" ht="54" customHeight="1">
      <c r="A246" s="29" t="n"/>
      <c r="B246" s="29" t="n"/>
      <c r="C246" s="29" t="n"/>
      <c r="D246" s="29" t="n"/>
      <c r="E246" s="29" t="n"/>
      <c r="F246" s="29" t="n"/>
      <c r="G246" s="29" t="n"/>
      <c r="H246" s="29" t="n"/>
      <c r="I246" s="29" t="n"/>
      <c r="J246" s="29" t="n"/>
      <c r="K246" s="29" t="n"/>
      <c r="L246" s="49" t="n"/>
      <c r="M246" s="29" t="n"/>
      <c r="N246" s="29" t="n"/>
      <c r="O246" s="29" t="n"/>
      <c r="P246" s="29" t="n"/>
      <c r="Q246" s="29" t="n"/>
      <c r="R246" s="29" t="n"/>
      <c r="S246" s="29" t="n"/>
      <c r="T246" s="29" t="n"/>
      <c r="U246" s="29" t="n"/>
      <c r="V246" s="29" t="n"/>
      <c r="W246" s="29" t="n"/>
    </row>
    <row r="247" ht="54" customHeight="1">
      <c r="A247" s="29" t="n"/>
      <c r="B247" s="29" t="n"/>
      <c r="C247" s="29" t="n"/>
      <c r="D247" s="29" t="n"/>
      <c r="E247" s="29" t="n"/>
      <c r="F247" s="29" t="n"/>
      <c r="G247" s="29" t="n"/>
      <c r="H247" s="29" t="n"/>
      <c r="I247" s="29" t="n"/>
      <c r="J247" s="29" t="n"/>
      <c r="K247" s="29" t="n"/>
      <c r="L247" s="49" t="n"/>
      <c r="M247" s="29" t="n"/>
      <c r="N247" s="29" t="n"/>
      <c r="O247" s="29" t="n"/>
      <c r="P247" s="29" t="n"/>
      <c r="Q247" s="29" t="n"/>
      <c r="R247" s="29" t="n"/>
      <c r="S247" s="29" t="n"/>
      <c r="T247" s="29" t="n"/>
      <c r="U247" s="29" t="n"/>
      <c r="V247" s="29" t="n"/>
      <c r="W247" s="29" t="n"/>
    </row>
    <row r="248" ht="54" customHeight="1">
      <c r="A248" s="29" t="n"/>
      <c r="B248" s="29" t="n"/>
      <c r="C248" s="29" t="n"/>
      <c r="D248" s="29" t="n"/>
      <c r="E248" s="29" t="n"/>
      <c r="F248" s="29" t="n"/>
      <c r="G248" s="29" t="n"/>
      <c r="H248" s="29" t="n"/>
      <c r="I248" s="29" t="n"/>
      <c r="J248" s="29" t="n"/>
      <c r="K248" s="29" t="n"/>
      <c r="L248" s="49" t="n"/>
      <c r="M248" s="29" t="n"/>
      <c r="N248" s="29" t="n"/>
      <c r="O248" s="29" t="n"/>
      <c r="P248" s="29" t="n"/>
      <c r="Q248" s="29" t="n"/>
      <c r="R248" s="29" t="n"/>
      <c r="S248" s="29" t="n"/>
      <c r="T248" s="29" t="n"/>
      <c r="U248" s="29" t="n"/>
      <c r="V248" s="29" t="n"/>
      <c r="W248" s="29" t="n"/>
    </row>
    <row r="249" ht="54" customHeight="1">
      <c r="A249" s="29" t="n"/>
      <c r="B249" s="29" t="n"/>
      <c r="C249" s="29" t="n"/>
      <c r="D249" s="29" t="n"/>
      <c r="E249" s="29" t="n"/>
      <c r="F249" s="29" t="n"/>
      <c r="G249" s="29" t="n"/>
      <c r="H249" s="29" t="n"/>
      <c r="I249" s="29" t="n"/>
      <c r="J249" s="29" t="n"/>
      <c r="K249" s="29" t="n"/>
      <c r="L249" s="49" t="n"/>
      <c r="M249" s="29" t="n"/>
      <c r="N249" s="29" t="n"/>
      <c r="O249" s="29" t="n"/>
      <c r="P249" s="29" t="n"/>
      <c r="Q249" s="29" t="n"/>
      <c r="R249" s="29" t="n"/>
      <c r="S249" s="29" t="n"/>
      <c r="T249" s="29" t="n"/>
      <c r="U249" s="29" t="n"/>
      <c r="V249" s="29" t="n"/>
      <c r="W249" s="29" t="n"/>
    </row>
    <row r="250" ht="54" customHeight="1">
      <c r="A250" s="29" t="n"/>
      <c r="B250" s="29" t="n"/>
      <c r="C250" s="29" t="n"/>
      <c r="D250" s="29" t="n"/>
      <c r="E250" s="29" t="n"/>
      <c r="F250" s="29" t="n"/>
      <c r="G250" s="29" t="n"/>
      <c r="H250" s="29" t="n"/>
      <c r="I250" s="29" t="n"/>
      <c r="J250" s="29" t="n"/>
      <c r="K250" s="29" t="n"/>
      <c r="L250" s="49" t="n"/>
      <c r="M250" s="29" t="n"/>
      <c r="N250" s="29" t="n"/>
      <c r="O250" s="29" t="n"/>
      <c r="P250" s="29" t="n"/>
      <c r="Q250" s="29" t="n"/>
      <c r="R250" s="29" t="n"/>
      <c r="S250" s="29" t="n"/>
      <c r="T250" s="29" t="n"/>
      <c r="U250" s="29" t="n"/>
      <c r="V250" s="29" t="n"/>
      <c r="W250" s="29" t="n"/>
    </row>
    <row r="251" ht="54" customHeight="1">
      <c r="A251" s="29" t="n"/>
      <c r="B251" s="29" t="n"/>
      <c r="C251" s="29" t="n"/>
      <c r="D251" s="29" t="n"/>
      <c r="E251" s="29" t="n"/>
      <c r="F251" s="29" t="n"/>
      <c r="G251" s="29" t="n"/>
      <c r="H251" s="29" t="n"/>
      <c r="I251" s="29" t="n"/>
      <c r="J251" s="29" t="n"/>
      <c r="K251" s="29" t="n"/>
      <c r="L251" s="49" t="n"/>
      <c r="M251" s="29" t="n"/>
      <c r="N251" s="29" t="n"/>
      <c r="O251" s="29" t="n"/>
      <c r="P251" s="29" t="n"/>
      <c r="Q251" s="29" t="n"/>
      <c r="R251" s="29" t="n"/>
      <c r="S251" s="29" t="n"/>
      <c r="T251" s="29" t="n"/>
      <c r="U251" s="29" t="n"/>
      <c r="V251" s="29" t="n"/>
      <c r="W251" s="29" t="n"/>
    </row>
    <row r="252" ht="54" customHeight="1">
      <c r="A252" s="29" t="n"/>
      <c r="B252" s="29" t="n"/>
      <c r="C252" s="29" t="n"/>
      <c r="D252" s="29" t="n"/>
      <c r="E252" s="29" t="n"/>
      <c r="F252" s="29" t="n"/>
      <c r="G252" s="29" t="n"/>
      <c r="H252" s="29" t="n"/>
      <c r="I252" s="29" t="n"/>
      <c r="J252" s="29" t="n"/>
      <c r="K252" s="29" t="n"/>
      <c r="L252" s="49" t="n"/>
      <c r="M252" s="29" t="n"/>
      <c r="N252" s="29" t="n"/>
      <c r="O252" s="29" t="n"/>
      <c r="P252" s="29" t="n"/>
      <c r="Q252" s="29" t="n"/>
      <c r="R252" s="29" t="n"/>
      <c r="S252" s="29" t="n"/>
      <c r="T252" s="29" t="n"/>
      <c r="U252" s="29" t="n"/>
      <c r="V252" s="29" t="n"/>
      <c r="W252" s="29" t="n"/>
    </row>
    <row r="253" ht="54" customHeight="1">
      <c r="A253" s="29" t="n"/>
      <c r="B253" s="29" t="n"/>
      <c r="C253" s="29" t="n"/>
      <c r="D253" s="29" t="n"/>
      <c r="E253" s="29" t="n"/>
      <c r="F253" s="29" t="n"/>
      <c r="G253" s="29" t="n"/>
      <c r="H253" s="29" t="n"/>
      <c r="I253" s="29" t="n"/>
      <c r="J253" s="29" t="n"/>
      <c r="K253" s="29" t="n"/>
      <c r="L253" s="49" t="n"/>
      <c r="M253" s="29" t="n"/>
      <c r="N253" s="29" t="n"/>
      <c r="O253" s="29" t="n"/>
      <c r="P253" s="29" t="n"/>
      <c r="Q253" s="29" t="n"/>
      <c r="R253" s="29" t="n"/>
      <c r="S253" s="29" t="n"/>
      <c r="T253" s="29" t="n"/>
      <c r="U253" s="29" t="n"/>
      <c r="V253" s="29" t="n"/>
      <c r="W253" s="29" t="n"/>
    </row>
    <row r="254" ht="54" customHeight="1">
      <c r="A254" s="29" t="n"/>
      <c r="B254" s="29" t="n"/>
      <c r="C254" s="29" t="n"/>
      <c r="D254" s="29" t="n"/>
      <c r="E254" s="29" t="n"/>
      <c r="F254" s="29" t="n"/>
      <c r="G254" s="29" t="n"/>
      <c r="H254" s="29" t="n"/>
      <c r="I254" s="29" t="n"/>
      <c r="J254" s="29" t="n"/>
      <c r="K254" s="29" t="n"/>
      <c r="L254" s="49" t="n"/>
      <c r="M254" s="29" t="n"/>
      <c r="N254" s="29" t="n"/>
      <c r="O254" s="29" t="n"/>
      <c r="P254" s="29" t="n"/>
      <c r="Q254" s="29" t="n"/>
      <c r="R254" s="29" t="n"/>
      <c r="S254" s="29" t="n"/>
      <c r="T254" s="29" t="n"/>
      <c r="U254" s="29" t="n"/>
      <c r="V254" s="29" t="n"/>
      <c r="W254" s="29" t="n"/>
    </row>
    <row r="255" ht="54" customHeight="1">
      <c r="A255" s="29" t="n"/>
      <c r="B255" s="29" t="n"/>
      <c r="C255" s="29" t="n"/>
      <c r="D255" s="29" t="n"/>
      <c r="E255" s="29" t="n"/>
      <c r="F255" s="29" t="n"/>
      <c r="G255" s="29" t="n"/>
      <c r="H255" s="29" t="n"/>
      <c r="I255" s="29" t="n"/>
      <c r="J255" s="29" t="n"/>
      <c r="K255" s="29" t="n"/>
      <c r="L255" s="49" t="n"/>
      <c r="M255" s="29" t="n"/>
      <c r="N255" s="29" t="n"/>
      <c r="O255" s="29" t="n"/>
      <c r="P255" s="29" t="n"/>
      <c r="Q255" s="29" t="n"/>
      <c r="R255" s="29" t="n"/>
      <c r="S255" s="29" t="n"/>
      <c r="T255" s="29" t="n"/>
      <c r="U255" s="29" t="n"/>
      <c r="V255" s="29" t="n"/>
      <c r="W255" s="29" t="n"/>
    </row>
    <row r="256" ht="54" customHeight="1">
      <c r="A256" s="29" t="n"/>
      <c r="B256" s="29" t="n"/>
      <c r="C256" s="29" t="n"/>
      <c r="D256" s="29" t="n"/>
      <c r="E256" s="29" t="n"/>
      <c r="F256" s="29" t="n"/>
      <c r="G256" s="29" t="n"/>
      <c r="H256" s="29" t="n"/>
      <c r="I256" s="29" t="n"/>
      <c r="J256" s="29" t="n"/>
      <c r="K256" s="29" t="n"/>
      <c r="L256" s="49" t="n"/>
      <c r="M256" s="29" t="n"/>
      <c r="N256" s="29" t="n"/>
      <c r="O256" s="29" t="n"/>
      <c r="P256" s="29" t="n"/>
      <c r="Q256" s="29" t="n"/>
      <c r="R256" s="29" t="n"/>
      <c r="S256" s="29" t="n"/>
      <c r="T256" s="29" t="n"/>
      <c r="U256" s="29" t="n"/>
      <c r="V256" s="29" t="n"/>
      <c r="W256" s="29" t="n"/>
    </row>
    <row r="257" ht="54" customHeight="1">
      <c r="A257" s="29" t="n"/>
      <c r="B257" s="29" t="n"/>
      <c r="C257" s="29" t="n"/>
      <c r="D257" s="29" t="n"/>
      <c r="E257" s="29" t="n"/>
      <c r="F257" s="29" t="n"/>
      <c r="G257" s="29" t="n"/>
      <c r="H257" s="29" t="n"/>
      <c r="I257" s="29" t="n"/>
      <c r="J257" s="29" t="n"/>
      <c r="K257" s="29" t="n"/>
      <c r="L257" s="49" t="n"/>
      <c r="M257" s="29" t="n"/>
      <c r="N257" s="29" t="n"/>
      <c r="O257" s="29" t="n"/>
      <c r="P257" s="29" t="n"/>
      <c r="Q257" s="29" t="n"/>
      <c r="R257" s="29" t="n"/>
      <c r="S257" s="29" t="n"/>
      <c r="T257" s="29" t="n"/>
      <c r="U257" s="29" t="n"/>
      <c r="V257" s="29" t="n"/>
      <c r="W257" s="29" t="n"/>
    </row>
    <row r="258" ht="54" customHeight="1">
      <c r="A258" s="29" t="n"/>
      <c r="B258" s="29" t="n"/>
      <c r="C258" s="29" t="n"/>
      <c r="D258" s="29" t="n"/>
      <c r="E258" s="29" t="n"/>
      <c r="F258" s="29" t="n"/>
      <c r="G258" s="29" t="n"/>
      <c r="H258" s="29" t="n"/>
      <c r="I258" s="29" t="n"/>
      <c r="J258" s="29" t="n"/>
      <c r="K258" s="29" t="n"/>
      <c r="L258" s="49" t="n"/>
      <c r="M258" s="29" t="n"/>
      <c r="N258" s="29" t="n"/>
      <c r="O258" s="29" t="n"/>
      <c r="P258" s="29" t="n"/>
      <c r="Q258" s="29" t="n"/>
      <c r="R258" s="29" t="n"/>
      <c r="S258" s="29" t="n"/>
      <c r="T258" s="29" t="n"/>
      <c r="U258" s="29" t="n"/>
      <c r="V258" s="29" t="n"/>
      <c r="W258" s="29" t="n"/>
    </row>
    <row r="259" ht="54" customHeight="1">
      <c r="A259" s="29" t="n"/>
      <c r="B259" s="29" t="n"/>
      <c r="C259" s="29" t="n"/>
      <c r="D259" s="29" t="n"/>
      <c r="E259" s="29" t="n"/>
      <c r="F259" s="29" t="n"/>
      <c r="G259" s="29" t="n"/>
      <c r="H259" s="29" t="n"/>
      <c r="I259" s="29" t="n"/>
      <c r="J259" s="29" t="n"/>
      <c r="K259" s="29" t="n"/>
      <c r="L259" s="49" t="n"/>
      <c r="M259" s="29" t="n"/>
      <c r="N259" s="29" t="n"/>
      <c r="O259" s="29" t="n"/>
      <c r="P259" s="29" t="n"/>
      <c r="Q259" s="29" t="n"/>
      <c r="R259" s="29" t="n"/>
      <c r="S259" s="29" t="n"/>
      <c r="T259" s="29" t="n"/>
      <c r="U259" s="29" t="n"/>
      <c r="V259" s="29" t="n"/>
      <c r="W259" s="29" t="n"/>
    </row>
    <row r="260" ht="54" customHeight="1">
      <c r="A260" s="29" t="n"/>
      <c r="B260" s="29" t="n"/>
      <c r="C260" s="29" t="n"/>
      <c r="D260" s="29" t="n"/>
      <c r="E260" s="29" t="n"/>
      <c r="F260" s="29" t="n"/>
      <c r="G260" s="29" t="n"/>
      <c r="H260" s="29" t="n"/>
      <c r="I260" s="29" t="n"/>
      <c r="J260" s="29" t="n"/>
      <c r="K260" s="29" t="n"/>
      <c r="L260" s="49" t="n"/>
      <c r="M260" s="29" t="n"/>
      <c r="N260" s="29" t="n"/>
      <c r="O260" s="29" t="n"/>
      <c r="P260" s="29" t="n"/>
      <c r="Q260" s="29" t="n"/>
      <c r="R260" s="29" t="n"/>
      <c r="S260" s="29" t="n"/>
      <c r="T260" s="29" t="n"/>
      <c r="U260" s="29" t="n"/>
      <c r="V260" s="29" t="n"/>
      <c r="W260" s="29" t="n"/>
    </row>
    <row r="261" ht="54" customHeight="1">
      <c r="A261" s="29" t="n"/>
      <c r="B261" s="29" t="n"/>
      <c r="C261" s="29" t="n"/>
      <c r="D261" s="29" t="n"/>
      <c r="E261" s="29" t="n"/>
      <c r="F261" s="29" t="n"/>
      <c r="G261" s="29" t="n"/>
      <c r="H261" s="29" t="n"/>
      <c r="I261" s="29" t="n"/>
      <c r="J261" s="29" t="n"/>
      <c r="K261" s="29" t="n"/>
      <c r="L261" s="49" t="n"/>
      <c r="M261" s="29" t="n"/>
      <c r="N261" s="29" t="n"/>
      <c r="O261" s="29" t="n"/>
      <c r="P261" s="29" t="n"/>
      <c r="Q261" s="29" t="n"/>
      <c r="R261" s="29" t="n"/>
      <c r="S261" s="29" t="n"/>
      <c r="T261" s="29" t="n"/>
      <c r="U261" s="29" t="n"/>
      <c r="V261" s="29" t="n"/>
      <c r="W261" s="29" t="n"/>
    </row>
    <row r="262" ht="54" customHeight="1">
      <c r="A262" s="29" t="n"/>
      <c r="B262" s="29" t="n"/>
      <c r="C262" s="29" t="n"/>
      <c r="D262" s="29" t="n"/>
      <c r="E262" s="29" t="n"/>
      <c r="F262" s="29" t="n"/>
      <c r="G262" s="29" t="n"/>
      <c r="H262" s="29" t="n"/>
      <c r="I262" s="29" t="n"/>
      <c r="J262" s="29" t="n"/>
      <c r="K262" s="29" t="n"/>
      <c r="L262" s="49" t="n"/>
      <c r="M262" s="29" t="n"/>
      <c r="N262" s="29" t="n"/>
      <c r="O262" s="29" t="n"/>
      <c r="P262" s="29" t="n"/>
      <c r="Q262" s="29" t="n"/>
      <c r="R262" s="29" t="n"/>
      <c r="S262" s="29" t="n"/>
      <c r="T262" s="29" t="n"/>
      <c r="U262" s="29" t="n"/>
      <c r="V262" s="29" t="n"/>
      <c r="W262" s="29" t="n"/>
    </row>
    <row r="263" ht="54" customHeight="1">
      <c r="A263" s="29" t="n"/>
      <c r="B263" s="29" t="n"/>
      <c r="C263" s="29" t="n"/>
      <c r="D263" s="29" t="n"/>
      <c r="E263" s="29" t="n"/>
      <c r="F263" s="29" t="n"/>
      <c r="G263" s="29" t="n"/>
      <c r="H263" s="29" t="n"/>
      <c r="I263" s="29" t="n"/>
      <c r="J263" s="29" t="n"/>
      <c r="K263" s="29" t="n"/>
      <c r="L263" s="49" t="n"/>
      <c r="M263" s="29" t="n"/>
      <c r="N263" s="29" t="n"/>
      <c r="O263" s="29" t="n"/>
      <c r="P263" s="29" t="n"/>
      <c r="Q263" s="29" t="n"/>
      <c r="R263" s="29" t="n"/>
      <c r="S263" s="29" t="n"/>
      <c r="T263" s="29" t="n"/>
      <c r="U263" s="29" t="n"/>
      <c r="V263" s="29" t="n"/>
      <c r="W263" s="29" t="n"/>
    </row>
    <row r="264" ht="54" customHeight="1">
      <c r="A264" s="29" t="n"/>
      <c r="B264" s="29" t="n"/>
      <c r="C264" s="29" t="n"/>
      <c r="D264" s="29" t="n"/>
      <c r="E264" s="29" t="n"/>
      <c r="F264" s="29" t="n"/>
      <c r="G264" s="29" t="n"/>
      <c r="H264" s="29" t="n"/>
      <c r="I264" s="29" t="n"/>
      <c r="J264" s="29" t="n"/>
      <c r="K264" s="29" t="n"/>
      <c r="L264" s="49" t="n"/>
      <c r="M264" s="29" t="n"/>
      <c r="N264" s="29" t="n"/>
      <c r="O264" s="29" t="n"/>
      <c r="P264" s="29" t="n"/>
      <c r="Q264" s="29" t="n"/>
      <c r="R264" s="29" t="n"/>
      <c r="S264" s="29" t="n"/>
      <c r="T264" s="29" t="n"/>
      <c r="U264" s="29" t="n"/>
      <c r="V264" s="29" t="n"/>
      <c r="W264" s="29" t="n"/>
    </row>
    <row r="265" ht="54" customHeight="1">
      <c r="A265" s="29" t="n"/>
      <c r="B265" s="29" t="n"/>
      <c r="C265" s="29" t="n"/>
      <c r="D265" s="29" t="n"/>
      <c r="E265" s="29" t="n"/>
      <c r="F265" s="29" t="n"/>
      <c r="G265" s="29" t="n"/>
      <c r="H265" s="29" t="n"/>
      <c r="I265" s="29" t="n"/>
      <c r="J265" s="29" t="n"/>
      <c r="K265" s="29" t="n"/>
      <c r="L265" s="49" t="n"/>
      <c r="M265" s="29" t="n"/>
      <c r="N265" s="29" t="n"/>
      <c r="O265" s="29" t="n"/>
      <c r="P265" s="29" t="n"/>
      <c r="Q265" s="29" t="n"/>
      <c r="R265" s="29" t="n"/>
      <c r="S265" s="29" t="n"/>
      <c r="T265" s="29" t="n"/>
      <c r="U265" s="29" t="n"/>
      <c r="V265" s="29" t="n"/>
      <c r="W265" s="29" t="n"/>
    </row>
    <row r="266" ht="54" customHeight="1">
      <c r="A266" s="29" t="n"/>
      <c r="B266" s="29" t="n"/>
      <c r="C266" s="29" t="n"/>
      <c r="D266" s="29" t="n"/>
      <c r="E266" s="29" t="n"/>
      <c r="F266" s="29" t="n"/>
      <c r="G266" s="29" t="n"/>
      <c r="H266" s="29" t="n"/>
      <c r="I266" s="29" t="n"/>
      <c r="J266" s="29" t="n"/>
      <c r="K266" s="29" t="n"/>
      <c r="L266" s="49" t="n"/>
      <c r="M266" s="29" t="n"/>
      <c r="N266" s="29" t="n"/>
      <c r="O266" s="29" t="n"/>
      <c r="P266" s="29" t="n"/>
      <c r="Q266" s="29" t="n"/>
      <c r="R266" s="29" t="n"/>
      <c r="S266" s="29" t="n"/>
      <c r="T266" s="29" t="n"/>
      <c r="U266" s="29" t="n"/>
      <c r="V266" s="29" t="n"/>
      <c r="W266" s="29" t="n"/>
    </row>
    <row r="267" ht="54" customHeight="1">
      <c r="A267" s="29" t="n"/>
      <c r="B267" s="29" t="n"/>
      <c r="C267" s="29" t="n"/>
      <c r="D267" s="29" t="n"/>
      <c r="E267" s="29" t="n"/>
      <c r="F267" s="29" t="n"/>
      <c r="G267" s="29" t="n"/>
      <c r="H267" s="29" t="n"/>
      <c r="I267" s="29" t="n"/>
      <c r="J267" s="29" t="n"/>
      <c r="K267" s="29" t="n"/>
      <c r="L267" s="49" t="n"/>
      <c r="M267" s="29" t="n"/>
      <c r="N267" s="29" t="n"/>
      <c r="O267" s="29" t="n"/>
      <c r="P267" s="29" t="n"/>
      <c r="Q267" s="29" t="n"/>
      <c r="R267" s="29" t="n"/>
      <c r="S267" s="29" t="n"/>
      <c r="T267" s="29" t="n"/>
      <c r="U267" s="29" t="n"/>
      <c r="V267" s="29" t="n"/>
      <c r="W267" s="29" t="n"/>
    </row>
    <row r="268" ht="54" customHeight="1">
      <c r="A268" s="29" t="n"/>
      <c r="B268" s="29" t="n"/>
      <c r="C268" s="29" t="n"/>
      <c r="D268" s="29" t="n"/>
      <c r="E268" s="29" t="n"/>
      <c r="F268" s="29" t="n"/>
      <c r="G268" s="29" t="n"/>
      <c r="H268" s="29" t="n"/>
      <c r="I268" s="29" t="n"/>
      <c r="J268" s="29" t="n"/>
      <c r="K268" s="29" t="n"/>
      <c r="L268" s="49" t="n"/>
      <c r="M268" s="29" t="n"/>
      <c r="N268" s="29" t="n"/>
      <c r="O268" s="29" t="n"/>
      <c r="P268" s="29" t="n"/>
      <c r="Q268" s="29" t="n"/>
      <c r="R268" s="29" t="n"/>
      <c r="S268" s="29" t="n"/>
      <c r="T268" s="29" t="n"/>
      <c r="U268" s="29" t="n"/>
      <c r="V268" s="29" t="n"/>
      <c r="W268" s="29" t="n"/>
    </row>
    <row r="269" ht="54" customHeight="1">
      <c r="A269" s="29" t="n"/>
      <c r="B269" s="29" t="n"/>
      <c r="C269" s="29" t="n"/>
      <c r="D269" s="29" t="n"/>
      <c r="E269" s="29" t="n"/>
      <c r="F269" s="29" t="n"/>
      <c r="G269" s="29" t="n"/>
      <c r="H269" s="29" t="n"/>
      <c r="I269" s="29" t="n"/>
      <c r="J269" s="29" t="n"/>
      <c r="K269" s="29" t="n"/>
      <c r="L269" s="49" t="n"/>
      <c r="M269" s="29" t="n"/>
      <c r="N269" s="29" t="n"/>
      <c r="O269" s="29" t="n"/>
      <c r="P269" s="29" t="n"/>
      <c r="Q269" s="29" t="n"/>
      <c r="R269" s="29" t="n"/>
      <c r="S269" s="29" t="n"/>
      <c r="T269" s="29" t="n"/>
      <c r="U269" s="29" t="n"/>
      <c r="V269" s="29" t="n"/>
      <c r="W269" s="29" t="n"/>
    </row>
    <row r="270" ht="54" customHeight="1">
      <c r="A270" s="29" t="n"/>
      <c r="B270" s="29" t="n"/>
      <c r="C270" s="29" t="n"/>
      <c r="D270" s="29" t="n"/>
      <c r="E270" s="29" t="n"/>
      <c r="F270" s="29" t="n"/>
      <c r="G270" s="29" t="n"/>
      <c r="H270" s="29" t="n"/>
      <c r="I270" s="29" t="n"/>
      <c r="J270" s="29" t="n"/>
      <c r="K270" s="29" t="n"/>
      <c r="L270" s="49" t="n"/>
      <c r="M270" s="29" t="n"/>
      <c r="N270" s="29" t="n"/>
      <c r="O270" s="29" t="n"/>
      <c r="P270" s="29" t="n"/>
      <c r="Q270" s="29" t="n"/>
      <c r="R270" s="29" t="n"/>
      <c r="S270" s="29" t="n"/>
      <c r="T270" s="29" t="n"/>
      <c r="U270" s="29" t="n"/>
      <c r="V270" s="29" t="n"/>
      <c r="W270" s="29" t="n"/>
    </row>
    <row r="271" ht="54" customHeight="1">
      <c r="A271" s="29" t="n"/>
      <c r="B271" s="29" t="n"/>
      <c r="C271" s="29" t="n"/>
      <c r="D271" s="29" t="n"/>
      <c r="E271" s="29" t="n"/>
      <c r="F271" s="29" t="n"/>
      <c r="G271" s="29" t="n"/>
      <c r="H271" s="29" t="n"/>
      <c r="I271" s="29" t="n"/>
      <c r="J271" s="29" t="n"/>
      <c r="K271" s="29" t="n"/>
      <c r="L271" s="49" t="n"/>
      <c r="M271" s="29" t="n"/>
      <c r="N271" s="29" t="n"/>
      <c r="O271" s="29" t="n"/>
      <c r="P271" s="29" t="n"/>
      <c r="Q271" s="29" t="n"/>
      <c r="R271" s="29" t="n"/>
      <c r="S271" s="29" t="n"/>
      <c r="T271" s="29" t="n"/>
      <c r="U271" s="29" t="n"/>
      <c r="V271" s="29" t="n"/>
      <c r="W271" s="29" t="n"/>
    </row>
    <row r="272" ht="54" customHeight="1">
      <c r="A272" s="29" t="n"/>
      <c r="B272" s="29" t="n"/>
      <c r="C272" s="29" t="n"/>
      <c r="D272" s="29" t="n"/>
      <c r="E272" s="29" t="n"/>
      <c r="F272" s="29" t="n"/>
      <c r="G272" s="29" t="n"/>
      <c r="H272" s="29" t="n"/>
      <c r="I272" s="29" t="n"/>
      <c r="J272" s="29" t="n"/>
      <c r="K272" s="29" t="n"/>
      <c r="L272" s="49" t="n"/>
      <c r="M272" s="29" t="n"/>
      <c r="N272" s="29" t="n"/>
      <c r="O272" s="29" t="n"/>
      <c r="P272" s="29" t="n"/>
      <c r="Q272" s="29" t="n"/>
      <c r="R272" s="29" t="n"/>
      <c r="S272" s="29" t="n"/>
      <c r="T272" s="29" t="n"/>
      <c r="U272" s="29" t="n"/>
      <c r="V272" s="29" t="n"/>
      <c r="W272" s="29" t="n"/>
    </row>
    <row r="273" ht="54" customHeight="1">
      <c r="A273" s="29" t="n"/>
      <c r="B273" s="29" t="n"/>
      <c r="C273" s="29" t="n"/>
      <c r="D273" s="29" t="n"/>
      <c r="E273" s="29" t="n"/>
      <c r="F273" s="29" t="n"/>
      <c r="G273" s="29" t="n"/>
      <c r="H273" s="29" t="n"/>
      <c r="I273" s="29" t="n"/>
      <c r="J273" s="29" t="n"/>
      <c r="K273" s="29" t="n"/>
      <c r="L273" s="49" t="n"/>
      <c r="M273" s="29" t="n"/>
      <c r="N273" s="29" t="n"/>
      <c r="O273" s="29" t="n"/>
      <c r="P273" s="29" t="n"/>
      <c r="Q273" s="29" t="n"/>
      <c r="R273" s="29" t="n"/>
      <c r="S273" s="29" t="n"/>
      <c r="T273" s="29" t="n"/>
      <c r="U273" s="29" t="n"/>
      <c r="V273" s="29" t="n"/>
      <c r="W273" s="29" t="n"/>
    </row>
    <row r="274" ht="54" customHeight="1">
      <c r="A274" s="29" t="n"/>
      <c r="B274" s="29" t="n"/>
      <c r="C274" s="29" t="n"/>
      <c r="D274" s="29" t="n"/>
      <c r="E274" s="29" t="n"/>
      <c r="F274" s="29" t="n"/>
      <c r="G274" s="29" t="n"/>
      <c r="H274" s="29" t="n"/>
      <c r="I274" s="29" t="n"/>
      <c r="J274" s="29" t="n"/>
      <c r="K274" s="29" t="n"/>
      <c r="L274" s="49" t="n"/>
      <c r="M274" s="29" t="n"/>
      <c r="N274" s="29" t="n"/>
      <c r="O274" s="29" t="n"/>
      <c r="P274" s="29" t="n"/>
      <c r="Q274" s="29" t="n"/>
      <c r="R274" s="29" t="n"/>
      <c r="S274" s="29" t="n"/>
      <c r="T274" s="29" t="n"/>
      <c r="U274" s="29" t="n"/>
      <c r="V274" s="29" t="n"/>
      <c r="W274" s="29" t="n"/>
    </row>
    <row r="275" ht="54" customHeight="1">
      <c r="A275" s="29" t="n"/>
      <c r="B275" s="29" t="n"/>
      <c r="C275" s="29" t="n"/>
      <c r="D275" s="29" t="n"/>
      <c r="E275" s="29" t="n"/>
      <c r="F275" s="29" t="n"/>
      <c r="G275" s="29" t="n"/>
      <c r="H275" s="29" t="n"/>
      <c r="I275" s="29" t="n"/>
      <c r="J275" s="29" t="n"/>
      <c r="K275" s="29" t="n"/>
      <c r="L275" s="49" t="n"/>
      <c r="M275" s="29" t="n"/>
      <c r="N275" s="29" t="n"/>
      <c r="O275" s="29" t="n"/>
      <c r="P275" s="29" t="n"/>
      <c r="Q275" s="29" t="n"/>
      <c r="R275" s="29" t="n"/>
      <c r="S275" s="29" t="n"/>
      <c r="T275" s="29" t="n"/>
      <c r="U275" s="29" t="n"/>
      <c r="V275" s="29" t="n"/>
      <c r="W275" s="29" t="n"/>
    </row>
    <row r="276" ht="54" customHeight="1">
      <c r="A276" s="29" t="n"/>
      <c r="B276" s="29" t="n"/>
      <c r="C276" s="29" t="n"/>
      <c r="D276" s="29" t="n"/>
      <c r="E276" s="29" t="n"/>
      <c r="F276" s="29" t="n"/>
      <c r="G276" s="29" t="n"/>
      <c r="H276" s="29" t="n"/>
      <c r="I276" s="29" t="n"/>
      <c r="J276" s="29" t="n"/>
      <c r="K276" s="29" t="n"/>
      <c r="L276" s="49" t="n"/>
      <c r="M276" s="29" t="n"/>
      <c r="N276" s="29" t="n"/>
      <c r="O276" s="29" t="n"/>
      <c r="P276" s="29" t="n"/>
      <c r="Q276" s="29" t="n"/>
      <c r="R276" s="29" t="n"/>
      <c r="S276" s="29" t="n"/>
      <c r="T276" s="29" t="n"/>
      <c r="U276" s="29" t="n"/>
      <c r="V276" s="29" t="n"/>
      <c r="W276" s="29" t="n"/>
    </row>
    <row r="277" ht="54" customHeight="1">
      <c r="A277" s="29" t="n"/>
      <c r="B277" s="29" t="n"/>
      <c r="C277" s="29" t="n"/>
      <c r="D277" s="29" t="n"/>
      <c r="E277" s="29" t="n"/>
      <c r="F277" s="29" t="n"/>
      <c r="G277" s="29" t="n"/>
      <c r="H277" s="29" t="n"/>
      <c r="I277" s="29" t="n"/>
      <c r="J277" s="29" t="n"/>
      <c r="K277" s="29" t="n"/>
      <c r="L277" s="49" t="n"/>
      <c r="M277" s="29" t="n"/>
      <c r="N277" s="29" t="n"/>
      <c r="O277" s="29" t="n"/>
      <c r="P277" s="29" t="n"/>
      <c r="Q277" s="29" t="n"/>
      <c r="R277" s="29" t="n"/>
      <c r="S277" s="29" t="n"/>
      <c r="T277" s="29" t="n"/>
      <c r="U277" s="29" t="n"/>
      <c r="V277" s="29" t="n"/>
      <c r="W277" s="29" t="n"/>
    </row>
    <row r="278" ht="54" customHeight="1">
      <c r="A278" s="29" t="n"/>
      <c r="B278" s="29" t="n"/>
      <c r="C278" s="29" t="n"/>
      <c r="D278" s="29" t="n"/>
      <c r="E278" s="29" t="n"/>
      <c r="F278" s="29" t="n"/>
      <c r="G278" s="29" t="n"/>
      <c r="H278" s="29" t="n"/>
      <c r="I278" s="29" t="n"/>
      <c r="J278" s="29" t="n"/>
      <c r="K278" s="29" t="n"/>
      <c r="L278" s="49" t="n"/>
      <c r="M278" s="29" t="n"/>
      <c r="N278" s="29" t="n"/>
      <c r="O278" s="29" t="n"/>
      <c r="P278" s="29" t="n"/>
      <c r="Q278" s="29" t="n"/>
      <c r="R278" s="29" t="n"/>
      <c r="S278" s="29" t="n"/>
      <c r="T278" s="29" t="n"/>
      <c r="U278" s="29" t="n"/>
      <c r="V278" s="29" t="n"/>
      <c r="W278" s="29" t="n"/>
    </row>
    <row r="279" ht="54" customHeight="1">
      <c r="A279" s="29" t="n"/>
      <c r="B279" s="29" t="n"/>
      <c r="C279" s="29" t="n"/>
      <c r="D279" s="29" t="n"/>
      <c r="E279" s="29" t="n"/>
      <c r="F279" s="29" t="n"/>
      <c r="G279" s="29" t="n"/>
      <c r="H279" s="29" t="n"/>
      <c r="I279" s="29" t="n"/>
      <c r="J279" s="29" t="n"/>
      <c r="K279" s="29" t="n"/>
      <c r="L279" s="49" t="n"/>
      <c r="M279" s="29" t="n"/>
      <c r="N279" s="29" t="n"/>
      <c r="O279" s="29" t="n"/>
      <c r="P279" s="29" t="n"/>
      <c r="Q279" s="29" t="n"/>
      <c r="R279" s="29" t="n"/>
      <c r="S279" s="29" t="n"/>
      <c r="T279" s="29" t="n"/>
      <c r="U279" s="29" t="n"/>
      <c r="V279" s="29" t="n"/>
      <c r="W279" s="29" t="n"/>
    </row>
    <row r="280" ht="54" customHeight="1">
      <c r="A280" s="29" t="n"/>
      <c r="B280" s="29" t="n"/>
      <c r="C280" s="29" t="n"/>
      <c r="D280" s="29" t="n"/>
      <c r="E280" s="29" t="n"/>
      <c r="F280" s="29" t="n"/>
      <c r="G280" s="29" t="n"/>
      <c r="H280" s="29" t="n"/>
      <c r="I280" s="29" t="n"/>
      <c r="J280" s="29" t="n"/>
      <c r="K280" s="29" t="n"/>
      <c r="L280" s="49" t="n"/>
      <c r="M280" s="29" t="n"/>
      <c r="N280" s="29" t="n"/>
      <c r="O280" s="29" t="n"/>
      <c r="P280" s="29" t="n"/>
      <c r="Q280" s="29" t="n"/>
      <c r="R280" s="29" t="n"/>
      <c r="S280" s="29" t="n"/>
      <c r="T280" s="29" t="n"/>
      <c r="U280" s="29" t="n"/>
      <c r="V280" s="29" t="n"/>
      <c r="W280" s="29" t="n"/>
    </row>
    <row r="281" ht="54" customHeight="1">
      <c r="A281" s="29" t="n"/>
      <c r="B281" s="29" t="n"/>
      <c r="C281" s="29" t="n"/>
      <c r="D281" s="29" t="n"/>
      <c r="E281" s="29" t="n"/>
      <c r="F281" s="29" t="n"/>
      <c r="G281" s="29" t="n"/>
      <c r="H281" s="29" t="n"/>
      <c r="I281" s="29" t="n"/>
      <c r="J281" s="29" t="n"/>
      <c r="K281" s="29" t="n"/>
      <c r="L281" s="49" t="n"/>
      <c r="M281" s="29" t="n"/>
      <c r="N281" s="29" t="n"/>
      <c r="O281" s="29" t="n"/>
      <c r="P281" s="29" t="n"/>
      <c r="Q281" s="29" t="n"/>
      <c r="R281" s="29" t="n"/>
      <c r="S281" s="29" t="n"/>
      <c r="T281" s="29" t="n"/>
      <c r="U281" s="29" t="n"/>
      <c r="V281" s="29" t="n"/>
      <c r="W281" s="29" t="n"/>
    </row>
    <row r="282" ht="54" customHeight="1">
      <c r="A282" s="29" t="n"/>
      <c r="B282" s="29" t="n"/>
      <c r="C282" s="29" t="n"/>
      <c r="D282" s="29" t="n"/>
      <c r="E282" s="29" t="n"/>
      <c r="F282" s="29" t="n"/>
      <c r="G282" s="29" t="n"/>
      <c r="H282" s="29" t="n"/>
      <c r="I282" s="29" t="n"/>
      <c r="J282" s="29" t="n"/>
      <c r="K282" s="29" t="n"/>
      <c r="L282" s="49" t="n"/>
      <c r="M282" s="29" t="n"/>
      <c r="N282" s="29" t="n"/>
      <c r="O282" s="29" t="n"/>
      <c r="P282" s="29" t="n"/>
      <c r="Q282" s="29" t="n"/>
      <c r="R282" s="29" t="n"/>
      <c r="S282" s="29" t="n"/>
      <c r="T282" s="29" t="n"/>
      <c r="U282" s="29" t="n"/>
      <c r="V282" s="29" t="n"/>
      <c r="W282" s="29" t="n"/>
    </row>
    <row r="283" ht="54" customHeight="1">
      <c r="A283" s="29" t="n"/>
      <c r="B283" s="29" t="n"/>
      <c r="C283" s="29" t="n"/>
      <c r="D283" s="29" t="n"/>
      <c r="E283" s="29" t="n"/>
      <c r="F283" s="29" t="n"/>
      <c r="G283" s="29" t="n"/>
      <c r="H283" s="29" t="n"/>
      <c r="I283" s="29" t="n"/>
      <c r="J283" s="29" t="n"/>
      <c r="K283" s="29" t="n"/>
      <c r="L283" s="49" t="n"/>
      <c r="M283" s="29" t="n"/>
      <c r="N283" s="29" t="n"/>
      <c r="O283" s="29" t="n"/>
      <c r="P283" s="29" t="n"/>
      <c r="Q283" s="29" t="n"/>
      <c r="R283" s="29" t="n"/>
      <c r="S283" s="29" t="n"/>
      <c r="T283" s="29" t="n"/>
      <c r="U283" s="29" t="n"/>
      <c r="V283" s="29" t="n"/>
      <c r="W283" s="29" t="n"/>
    </row>
    <row r="284" ht="54" customHeight="1">
      <c r="A284" s="29" t="n"/>
      <c r="B284" s="29" t="n"/>
      <c r="C284" s="29" t="n"/>
      <c r="D284" s="29" t="n"/>
      <c r="E284" s="29" t="n"/>
      <c r="F284" s="29" t="n"/>
      <c r="G284" s="29" t="n"/>
      <c r="H284" s="29" t="n"/>
      <c r="I284" s="29" t="n"/>
      <c r="J284" s="29" t="n"/>
      <c r="K284" s="29" t="n"/>
      <c r="L284" s="49" t="n"/>
      <c r="M284" s="29" t="n"/>
      <c r="N284" s="29" t="n"/>
      <c r="O284" s="29" t="n"/>
      <c r="P284" s="29" t="n"/>
      <c r="Q284" s="29" t="n"/>
      <c r="R284" s="29" t="n"/>
      <c r="S284" s="29" t="n"/>
      <c r="T284" s="29" t="n"/>
      <c r="U284" s="29" t="n"/>
      <c r="V284" s="29" t="n"/>
      <c r="W284" s="29" t="n"/>
    </row>
    <row r="285" ht="54" customHeight="1">
      <c r="A285" s="29" t="n"/>
      <c r="B285" s="29" t="n"/>
      <c r="C285" s="29" t="n"/>
      <c r="D285" s="29" t="n"/>
      <c r="E285" s="29" t="n"/>
      <c r="F285" s="29" t="n"/>
      <c r="G285" s="29" t="n"/>
      <c r="H285" s="29" t="n"/>
      <c r="I285" s="29" t="n"/>
      <c r="J285" s="29" t="n"/>
      <c r="K285" s="29" t="n"/>
      <c r="L285" s="49" t="n"/>
      <c r="M285" s="29" t="n"/>
      <c r="N285" s="29" t="n"/>
      <c r="O285" s="29" t="n"/>
      <c r="P285" s="29" t="n"/>
      <c r="Q285" s="29" t="n"/>
      <c r="R285" s="29" t="n"/>
      <c r="S285" s="29" t="n"/>
      <c r="T285" s="29" t="n"/>
      <c r="U285" s="29" t="n"/>
      <c r="V285" s="29" t="n"/>
      <c r="W285" s="29" t="n"/>
    </row>
    <row r="286" ht="54" customHeight="1">
      <c r="A286" s="29" t="n"/>
      <c r="B286" s="29" t="n"/>
      <c r="C286" s="29" t="n"/>
      <c r="D286" s="29" t="n"/>
      <c r="E286" s="29" t="n"/>
      <c r="F286" s="29" t="n"/>
      <c r="G286" s="29" t="n"/>
      <c r="H286" s="29" t="n"/>
      <c r="I286" s="29" t="n"/>
      <c r="J286" s="29" t="n"/>
      <c r="K286" s="29" t="n"/>
      <c r="L286" s="49" t="n"/>
      <c r="M286" s="29" t="n"/>
      <c r="N286" s="29" t="n"/>
      <c r="O286" s="29" t="n"/>
      <c r="P286" s="29" t="n"/>
      <c r="Q286" s="29" t="n"/>
      <c r="R286" s="29" t="n"/>
      <c r="S286" s="29" t="n"/>
      <c r="T286" s="29" t="n"/>
      <c r="U286" s="29" t="n"/>
      <c r="V286" s="29" t="n"/>
      <c r="W286" s="29" t="n"/>
    </row>
    <row r="287" ht="54" customHeight="1">
      <c r="A287" s="29" t="n"/>
      <c r="B287" s="29" t="n"/>
      <c r="C287" s="29" t="n"/>
      <c r="D287" s="29" t="n"/>
      <c r="E287" s="29" t="n"/>
      <c r="F287" s="29" t="n"/>
      <c r="G287" s="29" t="n"/>
      <c r="H287" s="29" t="n"/>
      <c r="I287" s="29" t="n"/>
      <c r="J287" s="29" t="n"/>
      <c r="K287" s="29" t="n"/>
      <c r="L287" s="49" t="n"/>
      <c r="M287" s="29" t="n"/>
      <c r="N287" s="29" t="n"/>
      <c r="O287" s="29" t="n"/>
      <c r="P287" s="29" t="n"/>
      <c r="Q287" s="29" t="n"/>
      <c r="R287" s="29" t="n"/>
      <c r="S287" s="29" t="n"/>
      <c r="T287" s="29" t="n"/>
      <c r="U287" s="29" t="n"/>
      <c r="V287" s="29" t="n"/>
      <c r="W287" s="29" t="n"/>
    </row>
    <row r="288" ht="54" customHeight="1">
      <c r="A288" s="29" t="n"/>
      <c r="B288" s="29" t="n"/>
      <c r="C288" s="29" t="n"/>
      <c r="D288" s="29" t="n"/>
      <c r="E288" s="29" t="n"/>
      <c r="F288" s="29" t="n"/>
      <c r="G288" s="29" t="n"/>
      <c r="H288" s="29" t="n"/>
      <c r="I288" s="29" t="n"/>
      <c r="J288" s="29" t="n"/>
      <c r="K288" s="29" t="n"/>
      <c r="L288" s="49" t="n"/>
      <c r="M288" s="29" t="n"/>
      <c r="N288" s="29" t="n"/>
      <c r="O288" s="29" t="n"/>
      <c r="P288" s="29" t="n"/>
      <c r="Q288" s="29" t="n"/>
      <c r="R288" s="29" t="n"/>
      <c r="S288" s="29" t="n"/>
      <c r="T288" s="29" t="n"/>
      <c r="U288" s="29" t="n"/>
      <c r="V288" s="29" t="n"/>
      <c r="W288" s="29" t="n"/>
    </row>
    <row r="289" ht="54" customHeight="1">
      <c r="A289" s="29" t="n"/>
      <c r="B289" s="29" t="n"/>
      <c r="C289" s="29" t="n"/>
      <c r="D289" s="29" t="n"/>
      <c r="E289" s="29" t="n"/>
      <c r="F289" s="29" t="n"/>
      <c r="G289" s="29" t="n"/>
      <c r="H289" s="29" t="n"/>
      <c r="I289" s="29" t="n"/>
      <c r="J289" s="29" t="n"/>
      <c r="K289" s="29" t="n"/>
      <c r="L289" s="49" t="n"/>
      <c r="M289" s="29" t="n"/>
      <c r="N289" s="29" t="n"/>
      <c r="O289" s="29" t="n"/>
      <c r="P289" s="29" t="n"/>
      <c r="Q289" s="29" t="n"/>
      <c r="R289" s="29" t="n"/>
      <c r="S289" s="29" t="n"/>
      <c r="T289" s="29" t="n"/>
      <c r="U289" s="29" t="n"/>
      <c r="V289" s="29" t="n"/>
      <c r="W289" s="29" t="n"/>
    </row>
    <row r="290" ht="54" customHeight="1">
      <c r="A290" s="29" t="n"/>
      <c r="B290" s="29" t="n"/>
      <c r="C290" s="29" t="n"/>
      <c r="D290" s="29" t="n"/>
      <c r="E290" s="29" t="n"/>
      <c r="F290" s="29" t="n"/>
      <c r="G290" s="29" t="n"/>
      <c r="H290" s="29" t="n"/>
      <c r="I290" s="29" t="n"/>
      <c r="J290" s="29" t="n"/>
      <c r="K290" s="29" t="n"/>
      <c r="L290" s="49" t="n"/>
      <c r="M290" s="29" t="n"/>
      <c r="N290" s="29" t="n"/>
      <c r="O290" s="29" t="n"/>
      <c r="P290" s="29" t="n"/>
      <c r="Q290" s="29" t="n"/>
      <c r="R290" s="29" t="n"/>
      <c r="S290" s="29" t="n"/>
      <c r="T290" s="29" t="n"/>
      <c r="U290" s="29" t="n"/>
      <c r="V290" s="29" t="n"/>
      <c r="W290" s="29" t="n"/>
    </row>
    <row r="291" ht="54" customHeight="1">
      <c r="A291" s="29" t="n"/>
      <c r="B291" s="29" t="n"/>
      <c r="C291" s="29" t="n"/>
      <c r="D291" s="29" t="n"/>
      <c r="E291" s="29" t="n"/>
      <c r="F291" s="29" t="n"/>
      <c r="G291" s="29" t="n"/>
      <c r="H291" s="29" t="n"/>
      <c r="I291" s="29" t="n"/>
      <c r="J291" s="29" t="n"/>
      <c r="K291" s="29" t="n"/>
      <c r="L291" s="49" t="n"/>
      <c r="M291" s="29" t="n"/>
      <c r="N291" s="29" t="n"/>
      <c r="O291" s="29" t="n"/>
      <c r="P291" s="29" t="n"/>
      <c r="Q291" s="29" t="n"/>
      <c r="R291" s="29" t="n"/>
      <c r="S291" s="29" t="n"/>
      <c r="T291" s="29" t="n"/>
      <c r="U291" s="29" t="n"/>
      <c r="V291" s="29" t="n"/>
      <c r="W291" s="29" t="n"/>
    </row>
    <row r="292" ht="54" customHeight="1">
      <c r="A292" s="29" t="n"/>
      <c r="B292" s="29" t="n"/>
      <c r="C292" s="29" t="n"/>
      <c r="D292" s="29" t="n"/>
      <c r="E292" s="29" t="n"/>
      <c r="F292" s="29" t="n"/>
      <c r="G292" s="29" t="n"/>
      <c r="H292" s="29" t="n"/>
      <c r="I292" s="29" t="n"/>
      <c r="J292" s="29" t="n"/>
      <c r="K292" s="29" t="n"/>
      <c r="L292" s="49" t="n"/>
      <c r="M292" s="29" t="n"/>
      <c r="N292" s="29" t="n"/>
      <c r="O292" s="29" t="n"/>
      <c r="P292" s="29" t="n"/>
      <c r="Q292" s="29" t="n"/>
      <c r="R292" s="29" t="n"/>
      <c r="S292" s="29" t="n"/>
      <c r="T292" s="29" t="n"/>
      <c r="U292" s="29" t="n"/>
      <c r="V292" s="29" t="n"/>
      <c r="W292" s="29" t="n"/>
    </row>
    <row r="293" ht="54" customHeight="1">
      <c r="A293" s="29" t="n"/>
      <c r="B293" s="29" t="n"/>
      <c r="C293" s="29" t="n"/>
      <c r="D293" s="29" t="n"/>
      <c r="E293" s="29" t="n"/>
      <c r="F293" s="29" t="n"/>
      <c r="G293" s="29" t="n"/>
      <c r="H293" s="29" t="n"/>
      <c r="I293" s="29" t="n"/>
      <c r="J293" s="29" t="n"/>
      <c r="K293" s="29" t="n"/>
      <c r="L293" s="49" t="n"/>
      <c r="M293" s="29" t="n"/>
      <c r="N293" s="29" t="n"/>
      <c r="O293" s="29" t="n"/>
      <c r="P293" s="29" t="n"/>
      <c r="Q293" s="29" t="n"/>
      <c r="R293" s="29" t="n"/>
      <c r="S293" s="29" t="n"/>
      <c r="T293" s="29" t="n"/>
      <c r="U293" s="29" t="n"/>
      <c r="V293" s="29" t="n"/>
      <c r="W293" s="29" t="n"/>
    </row>
    <row r="294" ht="54" customHeight="1">
      <c r="A294" s="29" t="n"/>
      <c r="B294" s="29" t="n"/>
      <c r="C294" s="29" t="n"/>
      <c r="D294" s="29" t="n"/>
      <c r="E294" s="29" t="n"/>
      <c r="F294" s="29" t="n"/>
      <c r="G294" s="29" t="n"/>
      <c r="H294" s="29" t="n"/>
      <c r="I294" s="29" t="n"/>
      <c r="J294" s="29" t="n"/>
      <c r="K294" s="29" t="n"/>
      <c r="L294" s="49" t="n"/>
      <c r="M294" s="29" t="n"/>
      <c r="N294" s="29" t="n"/>
      <c r="O294" s="29" t="n"/>
      <c r="P294" s="29" t="n"/>
      <c r="Q294" s="29" t="n"/>
      <c r="R294" s="29" t="n"/>
      <c r="S294" s="29" t="n"/>
      <c r="T294" s="29" t="n"/>
      <c r="U294" s="29" t="n"/>
      <c r="V294" s="29" t="n"/>
      <c r="W294" s="29" t="n"/>
    </row>
    <row r="295" ht="54" customHeight="1">
      <c r="A295" s="29" t="n"/>
      <c r="B295" s="29" t="n"/>
      <c r="C295" s="29" t="n"/>
      <c r="D295" s="29" t="n"/>
      <c r="E295" s="29" t="n"/>
      <c r="F295" s="29" t="n"/>
      <c r="G295" s="29" t="n"/>
      <c r="H295" s="29" t="n"/>
      <c r="I295" s="29" t="n"/>
      <c r="J295" s="29" t="n"/>
      <c r="K295" s="29" t="n"/>
      <c r="L295" s="49" t="n"/>
      <c r="M295" s="29" t="n"/>
      <c r="N295" s="29" t="n"/>
      <c r="O295" s="29" t="n"/>
      <c r="P295" s="29" t="n"/>
      <c r="Q295" s="29" t="n"/>
      <c r="R295" s="29" t="n"/>
      <c r="S295" s="29" t="n"/>
      <c r="T295" s="29" t="n"/>
      <c r="U295" s="29" t="n"/>
      <c r="V295" s="29" t="n"/>
      <c r="W295" s="29" t="n"/>
    </row>
    <row r="296" ht="54" customHeight="1">
      <c r="A296" s="29" t="n"/>
      <c r="B296" s="29" t="n"/>
      <c r="C296" s="29" t="n"/>
      <c r="D296" s="29" t="n"/>
      <c r="E296" s="29" t="n"/>
      <c r="F296" s="29" t="n"/>
      <c r="G296" s="29" t="n"/>
      <c r="H296" s="29" t="n"/>
      <c r="I296" s="29" t="n"/>
      <c r="J296" s="29" t="n"/>
      <c r="K296" s="29" t="n"/>
      <c r="L296" s="49" t="n"/>
      <c r="M296" s="29" t="n"/>
      <c r="N296" s="29" t="n"/>
      <c r="O296" s="29" t="n"/>
      <c r="P296" s="29" t="n"/>
      <c r="Q296" s="29" t="n"/>
      <c r="R296" s="29" t="n"/>
      <c r="S296" s="29" t="n"/>
      <c r="T296" s="29" t="n"/>
      <c r="U296" s="29" t="n"/>
      <c r="V296" s="29" t="n"/>
      <c r="W296" s="29" t="n"/>
    </row>
    <row r="297" ht="54" customHeight="1">
      <c r="A297" s="29" t="n"/>
      <c r="B297" s="29" t="n"/>
      <c r="C297" s="29" t="n"/>
      <c r="D297" s="29" t="n"/>
      <c r="E297" s="29" t="n"/>
      <c r="F297" s="29" t="n"/>
      <c r="G297" s="29" t="n"/>
      <c r="H297" s="29" t="n"/>
      <c r="I297" s="29" t="n"/>
      <c r="J297" s="29" t="n"/>
      <c r="K297" s="29" t="n"/>
      <c r="L297" s="49" t="n"/>
      <c r="M297" s="29" t="n"/>
      <c r="N297" s="29" t="n"/>
      <c r="O297" s="29" t="n"/>
      <c r="P297" s="29" t="n"/>
      <c r="Q297" s="29" t="n"/>
      <c r="R297" s="29" t="n"/>
      <c r="S297" s="29" t="n"/>
      <c r="T297" s="29" t="n"/>
      <c r="U297" s="29" t="n"/>
      <c r="V297" s="29" t="n"/>
      <c r="W297" s="29" t="n"/>
    </row>
    <row r="298" ht="54" customHeight="1">
      <c r="A298" s="29" t="n"/>
      <c r="B298" s="29" t="n"/>
      <c r="C298" s="29" t="n"/>
      <c r="D298" s="29" t="n"/>
      <c r="E298" s="29" t="n"/>
      <c r="F298" s="29" t="n"/>
      <c r="G298" s="29" t="n"/>
      <c r="H298" s="29" t="n"/>
      <c r="I298" s="29" t="n"/>
      <c r="J298" s="29" t="n"/>
      <c r="K298" s="29" t="n"/>
      <c r="L298" s="49" t="n"/>
      <c r="M298" s="29" t="n"/>
      <c r="N298" s="29" t="n"/>
      <c r="O298" s="29" t="n"/>
      <c r="P298" s="29" t="n"/>
      <c r="Q298" s="29" t="n"/>
      <c r="R298" s="29" t="n"/>
      <c r="S298" s="29" t="n"/>
      <c r="T298" s="29" t="n"/>
      <c r="U298" s="29" t="n"/>
      <c r="V298" s="29" t="n"/>
      <c r="W298" s="29" t="n"/>
    </row>
    <row r="299" ht="54" customHeight="1">
      <c r="A299" s="29" t="n"/>
      <c r="B299" s="29" t="n"/>
      <c r="C299" s="29" t="n"/>
      <c r="D299" s="29" t="n"/>
      <c r="E299" s="29" t="n"/>
      <c r="F299" s="29" t="n"/>
      <c r="G299" s="29" t="n"/>
      <c r="H299" s="29" t="n"/>
      <c r="I299" s="29" t="n"/>
      <c r="J299" s="29" t="n"/>
      <c r="K299" s="29" t="n"/>
      <c r="L299" s="49" t="n"/>
      <c r="M299" s="29" t="n"/>
      <c r="N299" s="29" t="n"/>
      <c r="O299" s="29" t="n"/>
      <c r="P299" s="29" t="n"/>
      <c r="Q299" s="29" t="n"/>
      <c r="R299" s="29" t="n"/>
      <c r="S299" s="29" t="n"/>
      <c r="T299" s="29" t="n"/>
      <c r="U299" s="29" t="n"/>
      <c r="V299" s="29" t="n"/>
      <c r="W299" s="29" t="n"/>
    </row>
    <row r="300" ht="54" customHeight="1">
      <c r="A300" s="29" t="n"/>
      <c r="B300" s="29" t="n"/>
      <c r="C300" s="29" t="n"/>
      <c r="D300" s="29" t="n"/>
      <c r="E300" s="29" t="n"/>
      <c r="F300" s="29" t="n"/>
      <c r="G300" s="29" t="n"/>
      <c r="H300" s="29" t="n"/>
      <c r="I300" s="29" t="n"/>
      <c r="J300" s="29" t="n"/>
      <c r="K300" s="29" t="n"/>
      <c r="L300" s="49" t="n"/>
      <c r="M300" s="29" t="n"/>
      <c r="N300" s="29" t="n"/>
      <c r="O300" s="29" t="n"/>
      <c r="P300" s="29" t="n"/>
      <c r="Q300" s="29" t="n"/>
      <c r="R300" s="29" t="n"/>
      <c r="S300" s="29" t="n"/>
      <c r="T300" s="29" t="n"/>
      <c r="U300" s="29" t="n"/>
      <c r="V300" s="29" t="n"/>
      <c r="W300" s="29" t="n"/>
    </row>
    <row r="301" ht="54" customHeight="1">
      <c r="A301" s="29" t="n"/>
      <c r="B301" s="29" t="n"/>
      <c r="C301" s="29" t="n"/>
      <c r="D301" s="29" t="n"/>
      <c r="E301" s="29" t="n"/>
      <c r="F301" s="29" t="n"/>
      <c r="G301" s="29" t="n"/>
      <c r="H301" s="29" t="n"/>
      <c r="I301" s="29" t="n"/>
      <c r="J301" s="29" t="n"/>
      <c r="K301" s="29" t="n"/>
      <c r="L301" s="49" t="n"/>
      <c r="M301" s="29" t="n"/>
      <c r="N301" s="29" t="n"/>
      <c r="O301" s="29" t="n"/>
      <c r="P301" s="29" t="n"/>
      <c r="Q301" s="29" t="n"/>
      <c r="R301" s="29" t="n"/>
      <c r="S301" s="29" t="n"/>
      <c r="T301" s="29" t="n"/>
      <c r="U301" s="29" t="n"/>
      <c r="V301" s="29" t="n"/>
      <c r="W301" s="29" t="n"/>
    </row>
    <row r="302" ht="54" customHeight="1">
      <c r="A302" s="29" t="n"/>
      <c r="B302" s="29" t="n"/>
      <c r="C302" s="29" t="n"/>
      <c r="D302" s="29" t="n"/>
      <c r="E302" s="29" t="n"/>
      <c r="F302" s="29" t="n"/>
      <c r="G302" s="29" t="n"/>
      <c r="H302" s="29" t="n"/>
      <c r="I302" s="29" t="n"/>
      <c r="J302" s="29" t="n"/>
      <c r="K302" s="29" t="n"/>
      <c r="L302" s="49" t="n"/>
      <c r="M302" s="29" t="n"/>
      <c r="N302" s="29" t="n"/>
      <c r="O302" s="29" t="n"/>
      <c r="P302" s="29" t="n"/>
      <c r="Q302" s="29" t="n"/>
      <c r="R302" s="29" t="n"/>
      <c r="S302" s="29" t="n"/>
      <c r="T302" s="29" t="n"/>
      <c r="U302" s="29" t="n"/>
      <c r="V302" s="29" t="n"/>
      <c r="W302" s="29" t="n"/>
    </row>
    <row r="303" ht="54" customHeight="1">
      <c r="A303" s="29" t="n"/>
      <c r="B303" s="29" t="n"/>
      <c r="C303" s="29" t="n"/>
      <c r="D303" s="29" t="n"/>
      <c r="E303" s="29" t="n"/>
      <c r="F303" s="29" t="n"/>
      <c r="G303" s="29" t="n"/>
      <c r="H303" s="29" t="n"/>
      <c r="I303" s="29" t="n"/>
      <c r="J303" s="29" t="n"/>
      <c r="K303" s="29" t="n"/>
      <c r="L303" s="49" t="n"/>
      <c r="M303" s="29" t="n"/>
      <c r="N303" s="29" t="n"/>
      <c r="O303" s="29" t="n"/>
      <c r="P303" s="29" t="n"/>
      <c r="Q303" s="29" t="n"/>
      <c r="R303" s="29" t="n"/>
      <c r="S303" s="29" t="n"/>
      <c r="T303" s="29" t="n"/>
      <c r="U303" s="29" t="n"/>
      <c r="V303" s="29" t="n"/>
      <c r="W303" s="29" t="n"/>
    </row>
    <row r="304" ht="54" customHeight="1">
      <c r="A304" s="29" t="n"/>
      <c r="B304" s="29" t="n"/>
      <c r="C304" s="29" t="n"/>
      <c r="D304" s="29" t="n"/>
      <c r="E304" s="29" t="n"/>
      <c r="F304" s="29" t="n"/>
      <c r="G304" s="29" t="n"/>
      <c r="H304" s="29" t="n"/>
      <c r="I304" s="29" t="n"/>
      <c r="J304" s="29" t="n"/>
      <c r="K304" s="29" t="n"/>
      <c r="L304" s="49" t="n"/>
      <c r="M304" s="29" t="n"/>
      <c r="N304" s="29" t="n"/>
      <c r="O304" s="29" t="n"/>
      <c r="P304" s="29" t="n"/>
      <c r="Q304" s="29" t="n"/>
      <c r="R304" s="29" t="n"/>
      <c r="S304" s="29" t="n"/>
      <c r="T304" s="29" t="n"/>
      <c r="U304" s="29" t="n"/>
      <c r="V304" s="29" t="n"/>
      <c r="W304" s="29" t="n"/>
    </row>
    <row r="305" ht="54" customHeight="1">
      <c r="A305" s="29" t="n"/>
      <c r="B305" s="29" t="n"/>
      <c r="C305" s="29" t="n"/>
      <c r="D305" s="29" t="n"/>
      <c r="E305" s="29" t="n"/>
      <c r="F305" s="29" t="n"/>
      <c r="G305" s="29" t="n"/>
      <c r="H305" s="29" t="n"/>
      <c r="I305" s="29" t="n"/>
      <c r="J305" s="29" t="n"/>
      <c r="K305" s="29" t="n"/>
      <c r="L305" s="49" t="n"/>
      <c r="M305" s="29" t="n"/>
      <c r="N305" s="29" t="n"/>
      <c r="O305" s="29" t="n"/>
      <c r="P305" s="29" t="n"/>
      <c r="Q305" s="29" t="n"/>
      <c r="R305" s="29" t="n"/>
      <c r="S305" s="29" t="n"/>
      <c r="T305" s="29" t="n"/>
      <c r="U305" s="29" t="n"/>
      <c r="V305" s="29" t="n"/>
      <c r="W305" s="29" t="n"/>
    </row>
    <row r="306" ht="54" customHeight="1">
      <c r="A306" s="29" t="n"/>
      <c r="B306" s="29" t="n"/>
      <c r="C306" s="29" t="n"/>
      <c r="D306" s="29" t="n"/>
      <c r="E306" s="29" t="n"/>
      <c r="F306" s="29" t="n"/>
      <c r="G306" s="29" t="n"/>
      <c r="H306" s="29" t="n"/>
      <c r="I306" s="29" t="n"/>
      <c r="J306" s="29" t="n"/>
      <c r="K306" s="29" t="n"/>
      <c r="L306" s="49" t="n"/>
      <c r="M306" s="29" t="n"/>
      <c r="N306" s="29" t="n"/>
      <c r="O306" s="29" t="n"/>
      <c r="P306" s="29" t="n"/>
      <c r="Q306" s="29" t="n"/>
      <c r="R306" s="29" t="n"/>
      <c r="S306" s="29" t="n"/>
      <c r="T306" s="29" t="n"/>
      <c r="U306" s="29" t="n"/>
      <c r="V306" s="29" t="n"/>
      <c r="W306" s="29" t="n"/>
    </row>
    <row r="307" ht="54" customHeight="1">
      <c r="A307" s="29" t="n"/>
      <c r="B307" s="29" t="n"/>
      <c r="C307" s="29" t="n"/>
      <c r="D307" s="29" t="n"/>
      <c r="E307" s="29" t="n"/>
      <c r="F307" s="29" t="n"/>
      <c r="G307" s="29" t="n"/>
      <c r="H307" s="29" t="n"/>
      <c r="I307" s="29" t="n"/>
      <c r="J307" s="29" t="n"/>
      <c r="K307" s="29" t="n"/>
      <c r="L307" s="49" t="n"/>
      <c r="M307" s="29" t="n"/>
      <c r="N307" s="29" t="n"/>
      <c r="O307" s="29" t="n"/>
      <c r="P307" s="29" t="n"/>
      <c r="Q307" s="29" t="n"/>
      <c r="R307" s="29" t="n"/>
      <c r="S307" s="29" t="n"/>
      <c r="T307" s="29" t="n"/>
      <c r="U307" s="29" t="n"/>
      <c r="V307" s="29" t="n"/>
      <c r="W307" s="29" t="n"/>
    </row>
    <row r="308" ht="54" customHeight="1">
      <c r="A308" s="29" t="n"/>
      <c r="B308" s="29" t="n"/>
      <c r="C308" s="29" t="n"/>
      <c r="D308" s="29" t="n"/>
      <c r="E308" s="29" t="n"/>
      <c r="F308" s="29" t="n"/>
      <c r="G308" s="29" t="n"/>
      <c r="H308" s="29" t="n"/>
      <c r="I308" s="29" t="n"/>
      <c r="J308" s="29" t="n"/>
      <c r="K308" s="29" t="n"/>
      <c r="L308" s="49" t="n"/>
      <c r="M308" s="29" t="n"/>
      <c r="N308" s="29" t="n"/>
      <c r="O308" s="29" t="n"/>
      <c r="P308" s="29" t="n"/>
      <c r="Q308" s="29" t="n"/>
      <c r="R308" s="29" t="n"/>
      <c r="S308" s="29" t="n"/>
      <c r="T308" s="29" t="n"/>
      <c r="U308" s="29" t="n"/>
      <c r="V308" s="29" t="n"/>
      <c r="W308" s="29" t="n"/>
    </row>
    <row r="309" ht="54" customHeight="1">
      <c r="A309" s="29" t="n"/>
      <c r="B309" s="29" t="n"/>
      <c r="C309" s="29" t="n"/>
      <c r="D309" s="29" t="n"/>
      <c r="E309" s="29" t="n"/>
      <c r="F309" s="29" t="n"/>
      <c r="G309" s="29" t="n"/>
      <c r="H309" s="29" t="n"/>
      <c r="I309" s="29" t="n"/>
      <c r="J309" s="29" t="n"/>
      <c r="K309" s="29" t="n"/>
      <c r="L309" s="49" t="n"/>
      <c r="M309" s="29" t="n"/>
      <c r="N309" s="29" t="n"/>
      <c r="O309" s="29" t="n"/>
      <c r="P309" s="29" t="n"/>
      <c r="Q309" s="29" t="n"/>
      <c r="R309" s="29" t="n"/>
      <c r="S309" s="29" t="n"/>
      <c r="T309" s="29" t="n"/>
      <c r="U309" s="29" t="n"/>
      <c r="V309" s="29" t="n"/>
      <c r="W309" s="29" t="n"/>
    </row>
    <row r="310" ht="54" customHeight="1">
      <c r="A310" s="29" t="n"/>
      <c r="B310" s="29" t="n"/>
      <c r="C310" s="29" t="n"/>
      <c r="D310" s="29" t="n"/>
      <c r="E310" s="29" t="n"/>
      <c r="F310" s="29" t="n"/>
      <c r="G310" s="29" t="n"/>
      <c r="H310" s="29" t="n"/>
      <c r="I310" s="29" t="n"/>
      <c r="J310" s="29" t="n"/>
      <c r="K310" s="29" t="n"/>
      <c r="L310" s="49" t="n"/>
      <c r="M310" s="29" t="n"/>
      <c r="N310" s="29" t="n"/>
      <c r="O310" s="29" t="n"/>
      <c r="P310" s="29" t="n"/>
      <c r="Q310" s="29" t="n"/>
      <c r="R310" s="29" t="n"/>
      <c r="S310" s="29" t="n"/>
      <c r="T310" s="29" t="n"/>
      <c r="U310" s="29" t="n"/>
      <c r="V310" s="29" t="n"/>
      <c r="W310" s="29" t="n"/>
    </row>
    <row r="311" ht="54" customHeight="1">
      <c r="A311" s="29" t="n"/>
      <c r="B311" s="29" t="n"/>
      <c r="C311" s="29" t="n"/>
      <c r="D311" s="29" t="n"/>
      <c r="E311" s="29" t="n"/>
      <c r="F311" s="29" t="n"/>
      <c r="G311" s="29" t="n"/>
      <c r="H311" s="29" t="n"/>
      <c r="I311" s="29" t="n"/>
      <c r="J311" s="29" t="n"/>
      <c r="K311" s="29" t="n"/>
      <c r="L311" s="49" t="n"/>
      <c r="M311" s="29" t="n"/>
      <c r="N311" s="29" t="n"/>
      <c r="O311" s="29" t="n"/>
      <c r="P311" s="29" t="n"/>
      <c r="Q311" s="29" t="n"/>
      <c r="R311" s="29" t="n"/>
      <c r="S311" s="29" t="n"/>
      <c r="T311" s="29" t="n"/>
      <c r="U311" s="29" t="n"/>
      <c r="V311" s="29" t="n"/>
      <c r="W311" s="29" t="n"/>
    </row>
    <row r="312" ht="54" customHeight="1">
      <c r="A312" s="29" t="n"/>
      <c r="B312" s="29" t="n"/>
      <c r="C312" s="29" t="n"/>
      <c r="D312" s="29" t="n"/>
      <c r="E312" s="29" t="n"/>
      <c r="F312" s="29" t="n"/>
      <c r="G312" s="29" t="n"/>
      <c r="H312" s="29" t="n"/>
      <c r="I312" s="29" t="n"/>
      <c r="J312" s="29" t="n"/>
      <c r="K312" s="29" t="n"/>
      <c r="L312" s="49" t="n"/>
      <c r="M312" s="29" t="n"/>
      <c r="N312" s="29" t="n"/>
      <c r="O312" s="29" t="n"/>
      <c r="P312" s="29" t="n"/>
      <c r="Q312" s="29" t="n"/>
      <c r="R312" s="29" t="n"/>
      <c r="S312" s="29" t="n"/>
      <c r="T312" s="29" t="n"/>
      <c r="U312" s="29" t="n"/>
      <c r="V312" s="29" t="n"/>
      <c r="W312" s="29" t="n"/>
    </row>
    <row r="313" ht="54" customHeight="1">
      <c r="A313" s="29" t="n"/>
      <c r="B313" s="29" t="n"/>
      <c r="C313" s="29" t="n"/>
      <c r="D313" s="29" t="n"/>
      <c r="E313" s="29" t="n"/>
      <c r="F313" s="29" t="n"/>
      <c r="G313" s="29" t="n"/>
      <c r="H313" s="29" t="n"/>
      <c r="I313" s="29" t="n"/>
      <c r="J313" s="29" t="n"/>
      <c r="K313" s="29" t="n"/>
      <c r="L313" s="49" t="n"/>
      <c r="M313" s="29" t="n"/>
      <c r="N313" s="29" t="n"/>
      <c r="O313" s="29" t="n"/>
      <c r="P313" s="29" t="n"/>
      <c r="Q313" s="29" t="n"/>
      <c r="R313" s="29" t="n"/>
      <c r="S313" s="29" t="n"/>
      <c r="T313" s="29" t="n"/>
      <c r="U313" s="29" t="n"/>
      <c r="V313" s="29" t="n"/>
      <c r="W313" s="29" t="n"/>
    </row>
    <row r="314" ht="54" customHeight="1">
      <c r="A314" s="29" t="n"/>
      <c r="B314" s="29" t="n"/>
      <c r="C314" s="29" t="n"/>
      <c r="D314" s="29" t="n"/>
      <c r="E314" s="29" t="n"/>
      <c r="F314" s="29" t="n"/>
      <c r="G314" s="29" t="n"/>
      <c r="H314" s="29" t="n"/>
      <c r="I314" s="29" t="n"/>
      <c r="J314" s="29" t="n"/>
      <c r="K314" s="29" t="n"/>
      <c r="L314" s="49" t="n"/>
      <c r="M314" s="29" t="n"/>
      <c r="N314" s="29" t="n"/>
      <c r="O314" s="29" t="n"/>
      <c r="P314" s="29" t="n"/>
      <c r="Q314" s="29" t="n"/>
      <c r="R314" s="29" t="n"/>
      <c r="S314" s="29" t="n"/>
      <c r="T314" s="29" t="n"/>
      <c r="U314" s="29" t="n"/>
      <c r="V314" s="29" t="n"/>
      <c r="W314" s="29" t="n"/>
    </row>
    <row r="315" ht="54" customHeight="1">
      <c r="A315" s="29" t="n"/>
      <c r="B315" s="29" t="n"/>
      <c r="C315" s="29" t="n"/>
      <c r="D315" s="29" t="n"/>
      <c r="E315" s="29" t="n"/>
      <c r="F315" s="29" t="n"/>
      <c r="G315" s="29" t="n"/>
      <c r="H315" s="29" t="n"/>
      <c r="I315" s="29" t="n"/>
      <c r="J315" s="29" t="n"/>
      <c r="K315" s="29" t="n"/>
      <c r="L315" s="49" t="n"/>
      <c r="M315" s="29" t="n"/>
      <c r="N315" s="29" t="n"/>
      <c r="O315" s="29" t="n"/>
      <c r="P315" s="29" t="n"/>
      <c r="Q315" s="29" t="n"/>
      <c r="R315" s="29" t="n"/>
      <c r="S315" s="29" t="n"/>
      <c r="T315" s="29" t="n"/>
      <c r="U315" s="29" t="n"/>
      <c r="V315" s="29" t="n"/>
      <c r="W315" s="29" t="n"/>
    </row>
    <row r="316" ht="54" customHeight="1">
      <c r="A316" s="29" t="n"/>
      <c r="B316" s="29" t="n"/>
      <c r="C316" s="29" t="n"/>
      <c r="D316" s="29" t="n"/>
      <c r="E316" s="29" t="n"/>
      <c r="F316" s="29" t="n"/>
      <c r="G316" s="29" t="n"/>
      <c r="H316" s="29" t="n"/>
      <c r="I316" s="29" t="n"/>
      <c r="J316" s="29" t="n"/>
      <c r="K316" s="29" t="n"/>
      <c r="L316" s="49" t="n"/>
      <c r="M316" s="29" t="n"/>
      <c r="N316" s="29" t="n"/>
      <c r="O316" s="29" t="n"/>
      <c r="P316" s="29" t="n"/>
      <c r="Q316" s="29" t="n"/>
      <c r="R316" s="29" t="n"/>
      <c r="S316" s="29" t="n"/>
      <c r="T316" s="29" t="n"/>
      <c r="U316" s="29" t="n"/>
      <c r="V316" s="29" t="n"/>
      <c r="W316" s="29" t="n"/>
    </row>
    <row r="317" ht="54" customHeight="1">
      <c r="A317" s="29" t="n"/>
      <c r="B317" s="29" t="n"/>
      <c r="C317" s="29" t="n"/>
      <c r="D317" s="29" t="n"/>
      <c r="E317" s="29" t="n"/>
      <c r="F317" s="29" t="n"/>
      <c r="G317" s="29" t="n"/>
      <c r="H317" s="29" t="n"/>
      <c r="I317" s="29" t="n"/>
      <c r="J317" s="29" t="n"/>
      <c r="K317" s="29" t="n"/>
      <c r="L317" s="49" t="n"/>
      <c r="M317" s="29" t="n"/>
      <c r="N317" s="29" t="n"/>
      <c r="O317" s="29" t="n"/>
      <c r="P317" s="29" t="n"/>
      <c r="Q317" s="29" t="n"/>
      <c r="R317" s="29" t="n"/>
      <c r="S317" s="29" t="n"/>
      <c r="T317" s="29" t="n"/>
      <c r="U317" s="29" t="n"/>
      <c r="V317" s="29" t="n"/>
      <c r="W317" s="29" t="n"/>
    </row>
    <row r="318" ht="54" customHeight="1">
      <c r="A318" s="29" t="n"/>
      <c r="B318" s="29" t="n"/>
      <c r="C318" s="29" t="n"/>
      <c r="D318" s="29" t="n"/>
      <c r="E318" s="29" t="n"/>
      <c r="F318" s="29" t="n"/>
      <c r="G318" s="29" t="n"/>
      <c r="H318" s="29" t="n"/>
      <c r="I318" s="29" t="n"/>
      <c r="J318" s="29" t="n"/>
      <c r="K318" s="29" t="n"/>
      <c r="L318" s="49" t="n"/>
      <c r="M318" s="29" t="n"/>
      <c r="N318" s="29" t="n"/>
      <c r="O318" s="29" t="n"/>
      <c r="P318" s="29" t="n"/>
      <c r="Q318" s="29" t="n"/>
      <c r="R318" s="29" t="n"/>
      <c r="S318" s="29" t="n"/>
      <c r="T318" s="29" t="n"/>
      <c r="U318" s="29" t="n"/>
      <c r="V318" s="29" t="n"/>
      <c r="W318" s="29" t="n"/>
    </row>
    <row r="319" ht="54" customHeight="1">
      <c r="A319" s="29" t="n"/>
      <c r="B319" s="29" t="n"/>
      <c r="C319" s="29" t="n"/>
      <c r="D319" s="29" t="n"/>
      <c r="E319" s="29" t="n"/>
      <c r="F319" s="29" t="n"/>
      <c r="G319" s="29" t="n"/>
      <c r="H319" s="29" t="n"/>
      <c r="I319" s="29" t="n"/>
      <c r="J319" s="29" t="n"/>
      <c r="K319" s="29" t="n"/>
      <c r="L319" s="49" t="n"/>
      <c r="M319" s="29" t="n"/>
      <c r="N319" s="29" t="n"/>
      <c r="O319" s="29" t="n"/>
      <c r="P319" s="29" t="n"/>
      <c r="Q319" s="29" t="n"/>
      <c r="R319" s="29" t="n"/>
      <c r="S319" s="29" t="n"/>
      <c r="T319" s="29" t="n"/>
      <c r="U319" s="29" t="n"/>
      <c r="V319" s="29" t="n"/>
      <c r="W319" s="29" t="n"/>
    </row>
    <row r="320" ht="54" customHeight="1">
      <c r="A320" s="29" t="n"/>
      <c r="B320" s="29" t="n"/>
      <c r="C320" s="29" t="n"/>
      <c r="D320" s="29" t="n"/>
      <c r="E320" s="29" t="n"/>
      <c r="F320" s="29" t="n"/>
      <c r="G320" s="29" t="n"/>
      <c r="H320" s="29" t="n"/>
      <c r="I320" s="29" t="n"/>
      <c r="J320" s="29" t="n"/>
      <c r="K320" s="29" t="n"/>
      <c r="L320" s="49" t="n"/>
      <c r="M320" s="29" t="n"/>
      <c r="N320" s="29" t="n"/>
      <c r="O320" s="29" t="n"/>
      <c r="P320" s="29" t="n"/>
      <c r="Q320" s="29" t="n"/>
      <c r="R320" s="29" t="n"/>
      <c r="S320" s="29" t="n"/>
      <c r="T320" s="29" t="n"/>
      <c r="U320" s="29" t="n"/>
      <c r="V320" s="29" t="n"/>
      <c r="W320" s="29" t="n"/>
    </row>
    <row r="321" ht="54" customHeight="1">
      <c r="A321" s="29" t="n"/>
      <c r="B321" s="29" t="n"/>
      <c r="C321" s="29" t="n"/>
      <c r="D321" s="29" t="n"/>
      <c r="E321" s="29" t="n"/>
      <c r="F321" s="29" t="n"/>
      <c r="G321" s="29" t="n"/>
      <c r="H321" s="29" t="n"/>
      <c r="I321" s="29" t="n"/>
      <c r="J321" s="29" t="n"/>
      <c r="K321" s="29" t="n"/>
      <c r="L321" s="49" t="n"/>
      <c r="M321" s="29" t="n"/>
      <c r="N321" s="29" t="n"/>
      <c r="O321" s="29" t="n"/>
      <c r="P321" s="29" t="n"/>
      <c r="Q321" s="29" t="n"/>
      <c r="R321" s="29" t="n"/>
      <c r="S321" s="29" t="n"/>
      <c r="T321" s="29" t="n"/>
      <c r="U321" s="29" t="n"/>
      <c r="V321" s="29" t="n"/>
      <c r="W321" s="29" t="n"/>
    </row>
    <row r="322" ht="54" customHeight="1">
      <c r="A322" s="29" t="n"/>
      <c r="B322" s="29" t="n"/>
      <c r="C322" s="29" t="n"/>
      <c r="D322" s="29" t="n"/>
      <c r="E322" s="29" t="n"/>
      <c r="F322" s="29" t="n"/>
      <c r="G322" s="29" t="n"/>
      <c r="H322" s="29" t="n"/>
      <c r="I322" s="29" t="n"/>
      <c r="J322" s="29" t="n"/>
      <c r="K322" s="29" t="n"/>
      <c r="L322" s="49" t="n"/>
      <c r="M322" s="29" t="n"/>
      <c r="N322" s="29" t="n"/>
      <c r="O322" s="29" t="n"/>
      <c r="P322" s="29" t="n"/>
      <c r="Q322" s="29" t="n"/>
      <c r="R322" s="29" t="n"/>
      <c r="S322" s="29" t="n"/>
      <c r="T322" s="29" t="n"/>
      <c r="U322" s="29" t="n"/>
      <c r="V322" s="29" t="n"/>
      <c r="W322" s="29" t="n"/>
    </row>
    <row r="323" ht="54" customHeight="1">
      <c r="A323" s="29" t="n"/>
      <c r="B323" s="29" t="n"/>
      <c r="C323" s="29" t="n"/>
      <c r="D323" s="29" t="n"/>
      <c r="E323" s="29" t="n"/>
      <c r="F323" s="29" t="n"/>
      <c r="G323" s="29" t="n"/>
      <c r="H323" s="29" t="n"/>
      <c r="I323" s="29" t="n"/>
      <c r="J323" s="29" t="n"/>
      <c r="K323" s="29" t="n"/>
      <c r="L323" s="49" t="n"/>
      <c r="M323" s="29" t="n"/>
      <c r="N323" s="29" t="n"/>
      <c r="O323" s="29" t="n"/>
      <c r="P323" s="29" t="n"/>
      <c r="Q323" s="29" t="n"/>
      <c r="R323" s="29" t="n"/>
      <c r="S323" s="29" t="n"/>
      <c r="T323" s="29" t="n"/>
      <c r="U323" s="29" t="n"/>
      <c r="V323" s="29" t="n"/>
      <c r="W323" s="29" t="n"/>
    </row>
    <row r="324" ht="54" customHeight="1">
      <c r="A324" s="29" t="n"/>
      <c r="B324" s="29" t="n"/>
      <c r="C324" s="29" t="n"/>
      <c r="D324" s="29" t="n"/>
      <c r="E324" s="29" t="n"/>
      <c r="F324" s="29" t="n"/>
      <c r="G324" s="29" t="n"/>
      <c r="H324" s="29" t="n"/>
      <c r="I324" s="29" t="n"/>
      <c r="J324" s="29" t="n"/>
      <c r="K324" s="29" t="n"/>
      <c r="L324" s="49" t="n"/>
      <c r="M324" s="29" t="n"/>
      <c r="N324" s="29" t="n"/>
      <c r="O324" s="29" t="n"/>
      <c r="P324" s="29" t="n"/>
      <c r="Q324" s="29" t="n"/>
      <c r="R324" s="29" t="n"/>
      <c r="S324" s="29" t="n"/>
      <c r="T324" s="29" t="n"/>
      <c r="U324" s="29" t="n"/>
      <c r="V324" s="29" t="n"/>
      <c r="W324" s="29" t="n"/>
    </row>
    <row r="325" ht="54" customHeight="1">
      <c r="A325" s="29" t="n"/>
      <c r="B325" s="29" t="n"/>
      <c r="C325" s="29" t="n"/>
      <c r="D325" s="29" t="n"/>
      <c r="E325" s="29" t="n"/>
      <c r="F325" s="29" t="n"/>
      <c r="G325" s="29" t="n"/>
      <c r="H325" s="29" t="n"/>
      <c r="I325" s="29" t="n"/>
      <c r="J325" s="29" t="n"/>
      <c r="K325" s="29" t="n"/>
      <c r="L325" s="49" t="n"/>
      <c r="M325" s="29" t="n"/>
      <c r="N325" s="29" t="n"/>
      <c r="O325" s="29" t="n"/>
      <c r="P325" s="29" t="n"/>
      <c r="Q325" s="29" t="n"/>
      <c r="R325" s="29" t="n"/>
      <c r="S325" s="29" t="n"/>
      <c r="T325" s="29" t="n"/>
      <c r="U325" s="29" t="n"/>
      <c r="V325" s="29" t="n"/>
      <c r="W325" s="29" t="n"/>
    </row>
    <row r="326" ht="54" customHeight="1">
      <c r="A326" s="29" t="n"/>
      <c r="B326" s="29" t="n"/>
      <c r="C326" s="29" t="n"/>
      <c r="D326" s="29" t="n"/>
      <c r="E326" s="29" t="n"/>
      <c r="F326" s="29" t="n"/>
      <c r="G326" s="29" t="n"/>
      <c r="H326" s="29" t="n"/>
      <c r="I326" s="29" t="n"/>
      <c r="J326" s="29" t="n"/>
      <c r="K326" s="29" t="n"/>
      <c r="L326" s="49" t="n"/>
      <c r="M326" s="29" t="n"/>
      <c r="N326" s="29" t="n"/>
      <c r="O326" s="29" t="n"/>
      <c r="P326" s="29" t="n"/>
      <c r="Q326" s="29" t="n"/>
      <c r="R326" s="29" t="n"/>
      <c r="S326" s="29" t="n"/>
      <c r="T326" s="29" t="n"/>
      <c r="U326" s="29" t="n"/>
      <c r="V326" s="29" t="n"/>
      <c r="W326" s="29" t="n"/>
    </row>
    <row r="327" ht="54" customHeight="1">
      <c r="A327" s="29" t="n"/>
      <c r="B327" s="29" t="n"/>
      <c r="C327" s="29" t="n"/>
      <c r="D327" s="29" t="n"/>
      <c r="E327" s="29" t="n"/>
      <c r="F327" s="29" t="n"/>
      <c r="G327" s="29" t="n"/>
      <c r="H327" s="29" t="n"/>
      <c r="I327" s="29" t="n"/>
      <c r="J327" s="29" t="n"/>
      <c r="K327" s="29" t="n"/>
      <c r="L327" s="49" t="n"/>
      <c r="M327" s="29" t="n"/>
      <c r="N327" s="29" t="n"/>
      <c r="O327" s="29" t="n"/>
      <c r="P327" s="29" t="n"/>
      <c r="Q327" s="29" t="n"/>
      <c r="R327" s="29" t="n"/>
      <c r="S327" s="29" t="n"/>
      <c r="T327" s="29" t="n"/>
      <c r="U327" s="29" t="n"/>
      <c r="V327" s="29" t="n"/>
      <c r="W327" s="29" t="n"/>
    </row>
    <row r="328" ht="54" customHeight="1">
      <c r="A328" s="29" t="n"/>
      <c r="B328" s="29" t="n"/>
      <c r="C328" s="29" t="n"/>
      <c r="D328" s="29" t="n"/>
      <c r="E328" s="29" t="n"/>
      <c r="F328" s="29" t="n"/>
      <c r="G328" s="29" t="n"/>
      <c r="H328" s="29" t="n"/>
      <c r="I328" s="29" t="n"/>
      <c r="J328" s="29" t="n"/>
      <c r="K328" s="29" t="n"/>
      <c r="L328" s="49" t="n"/>
      <c r="M328" s="29" t="n"/>
      <c r="N328" s="29" t="n"/>
      <c r="O328" s="29" t="n"/>
      <c r="P328" s="29" t="n"/>
      <c r="Q328" s="29" t="n"/>
      <c r="R328" s="29" t="n"/>
      <c r="S328" s="29" t="n"/>
      <c r="T328" s="29" t="n"/>
      <c r="U328" s="29" t="n"/>
      <c r="V328" s="29" t="n"/>
      <c r="W328" s="29" t="n"/>
    </row>
    <row r="329" ht="54" customHeight="1">
      <c r="A329" s="29" t="n"/>
      <c r="B329" s="29" t="n"/>
      <c r="C329" s="29" t="n"/>
      <c r="D329" s="29" t="n"/>
      <c r="E329" s="29" t="n"/>
      <c r="F329" s="29" t="n"/>
      <c r="G329" s="29" t="n"/>
      <c r="H329" s="29" t="n"/>
      <c r="I329" s="29" t="n"/>
      <c r="J329" s="29" t="n"/>
      <c r="K329" s="29" t="n"/>
      <c r="L329" s="49" t="n"/>
      <c r="M329" s="29" t="n"/>
      <c r="N329" s="29" t="n"/>
      <c r="O329" s="29" t="n"/>
      <c r="P329" s="29" t="n"/>
      <c r="Q329" s="29" t="n"/>
      <c r="R329" s="29" t="n"/>
      <c r="S329" s="29" t="n"/>
      <c r="T329" s="29" t="n"/>
      <c r="U329" s="29" t="n"/>
      <c r="V329" s="29" t="n"/>
      <c r="W329" s="29" t="n"/>
    </row>
    <row r="330" ht="54" customHeight="1">
      <c r="A330" s="29" t="n"/>
      <c r="B330" s="29" t="n"/>
      <c r="C330" s="29" t="n"/>
      <c r="D330" s="29" t="n"/>
      <c r="E330" s="29" t="n"/>
      <c r="F330" s="29" t="n"/>
      <c r="G330" s="29" t="n"/>
      <c r="H330" s="29" t="n"/>
      <c r="I330" s="29" t="n"/>
      <c r="J330" s="29" t="n"/>
      <c r="K330" s="29" t="n"/>
      <c r="L330" s="49" t="n"/>
      <c r="M330" s="29" t="n"/>
      <c r="N330" s="29" t="n"/>
      <c r="O330" s="29" t="n"/>
      <c r="P330" s="29" t="n"/>
      <c r="Q330" s="29" t="n"/>
      <c r="R330" s="29" t="n"/>
      <c r="S330" s="29" t="n"/>
      <c r="T330" s="29" t="n"/>
      <c r="U330" s="29" t="n"/>
      <c r="V330" s="29" t="n"/>
      <c r="W330" s="29" t="n"/>
    </row>
    <row r="331" ht="54" customHeight="1">
      <c r="A331" s="29" t="n"/>
      <c r="B331" s="29" t="n"/>
      <c r="C331" s="29" t="n"/>
      <c r="D331" s="29" t="n"/>
      <c r="E331" s="29" t="n"/>
      <c r="F331" s="29" t="n"/>
      <c r="G331" s="29" t="n"/>
      <c r="H331" s="29" t="n"/>
      <c r="I331" s="29" t="n"/>
      <c r="J331" s="29" t="n"/>
      <c r="K331" s="29" t="n"/>
      <c r="L331" s="49" t="n"/>
      <c r="M331" s="29" t="n"/>
      <c r="N331" s="29" t="n"/>
      <c r="O331" s="29" t="n"/>
      <c r="P331" s="29" t="n"/>
      <c r="Q331" s="29" t="n"/>
      <c r="R331" s="29" t="n"/>
      <c r="S331" s="29" t="n"/>
      <c r="T331" s="29" t="n"/>
      <c r="U331" s="29" t="n"/>
      <c r="V331" s="29" t="n"/>
      <c r="W331" s="29" t="n"/>
    </row>
    <row r="332" ht="54" customHeight="1">
      <c r="A332" s="29" t="n"/>
      <c r="B332" s="29" t="n"/>
      <c r="C332" s="29" t="n"/>
      <c r="D332" s="29" t="n"/>
      <c r="E332" s="29" t="n"/>
      <c r="F332" s="29" t="n"/>
      <c r="G332" s="29" t="n"/>
      <c r="H332" s="29" t="n"/>
      <c r="I332" s="29" t="n"/>
      <c r="J332" s="29" t="n"/>
      <c r="K332" s="29" t="n"/>
      <c r="L332" s="49" t="n"/>
      <c r="M332" s="29" t="n"/>
      <c r="N332" s="29" t="n"/>
      <c r="O332" s="29" t="n"/>
      <c r="P332" s="29" t="n"/>
      <c r="Q332" s="29" t="n"/>
      <c r="R332" s="29" t="n"/>
      <c r="S332" s="29" t="n"/>
      <c r="T332" s="29" t="n"/>
      <c r="U332" s="29" t="n"/>
      <c r="V332" s="29" t="n"/>
      <c r="W332" s="29" t="n"/>
    </row>
    <row r="333" ht="54" customHeight="1">
      <c r="A333" s="29" t="n"/>
      <c r="B333" s="29" t="n"/>
      <c r="C333" s="29" t="n"/>
      <c r="D333" s="29" t="n"/>
      <c r="E333" s="29" t="n"/>
      <c r="F333" s="29" t="n"/>
      <c r="G333" s="29" t="n"/>
      <c r="H333" s="29" t="n"/>
      <c r="I333" s="29" t="n"/>
      <c r="J333" s="29" t="n"/>
      <c r="K333" s="29" t="n"/>
      <c r="L333" s="49" t="n"/>
      <c r="M333" s="29" t="n"/>
      <c r="N333" s="29" t="n"/>
      <c r="O333" s="29" t="n"/>
      <c r="P333" s="29" t="n"/>
      <c r="Q333" s="29" t="n"/>
      <c r="R333" s="29" t="n"/>
      <c r="S333" s="29" t="n"/>
      <c r="T333" s="29" t="n"/>
      <c r="U333" s="29" t="n"/>
      <c r="V333" s="29" t="n"/>
      <c r="W333" s="29" t="n"/>
    </row>
    <row r="334" ht="54" customHeight="1">
      <c r="A334" s="29" t="n"/>
      <c r="B334" s="29" t="n"/>
      <c r="C334" s="29" t="n"/>
      <c r="D334" s="29" t="n"/>
      <c r="E334" s="29" t="n"/>
      <c r="F334" s="29" t="n"/>
      <c r="G334" s="29" t="n"/>
      <c r="H334" s="29" t="n"/>
      <c r="I334" s="29" t="n"/>
      <c r="J334" s="29" t="n"/>
      <c r="K334" s="29" t="n"/>
      <c r="L334" s="49" t="n"/>
      <c r="M334" s="29" t="n"/>
      <c r="N334" s="29" t="n"/>
      <c r="O334" s="29" t="n"/>
      <c r="P334" s="29" t="n"/>
      <c r="Q334" s="29" t="n"/>
      <c r="R334" s="29" t="n"/>
      <c r="S334" s="29" t="n"/>
      <c r="T334" s="29" t="n"/>
      <c r="U334" s="29" t="n"/>
      <c r="V334" s="29" t="n"/>
      <c r="W334" s="29" t="n"/>
    </row>
    <row r="335" ht="54" customHeight="1">
      <c r="A335" s="29" t="n"/>
      <c r="B335" s="29" t="n"/>
      <c r="C335" s="29" t="n"/>
      <c r="D335" s="29" t="n"/>
      <c r="E335" s="29" t="n"/>
      <c r="F335" s="29" t="n"/>
      <c r="G335" s="29" t="n"/>
      <c r="H335" s="29" t="n"/>
      <c r="I335" s="29" t="n"/>
      <c r="J335" s="29" t="n"/>
      <c r="K335" s="29" t="n"/>
      <c r="L335" s="49" t="n"/>
      <c r="M335" s="29" t="n"/>
      <c r="N335" s="29" t="n"/>
      <c r="O335" s="29" t="n"/>
      <c r="P335" s="29" t="n"/>
      <c r="Q335" s="29" t="n"/>
      <c r="R335" s="29" t="n"/>
      <c r="S335" s="29" t="n"/>
      <c r="T335" s="29" t="n"/>
      <c r="U335" s="29" t="n"/>
      <c r="V335" s="29" t="n"/>
      <c r="W335" s="29" t="n"/>
    </row>
    <row r="336" ht="54" customHeight="1">
      <c r="A336" s="29" t="n"/>
      <c r="B336" s="29" t="n"/>
      <c r="C336" s="29" t="n"/>
      <c r="D336" s="29" t="n"/>
      <c r="E336" s="29" t="n"/>
      <c r="F336" s="29" t="n"/>
      <c r="G336" s="29" t="n"/>
      <c r="H336" s="29" t="n"/>
      <c r="I336" s="29" t="n"/>
      <c r="J336" s="29" t="n"/>
      <c r="K336" s="29" t="n"/>
      <c r="L336" s="49" t="n"/>
      <c r="M336" s="29" t="n"/>
      <c r="N336" s="29" t="n"/>
      <c r="O336" s="29" t="n"/>
      <c r="P336" s="29" t="n"/>
      <c r="Q336" s="29" t="n"/>
      <c r="R336" s="29" t="n"/>
      <c r="S336" s="29" t="n"/>
      <c r="T336" s="29" t="n"/>
      <c r="U336" s="29" t="n"/>
      <c r="V336" s="29" t="n"/>
      <c r="W336" s="29" t="n"/>
    </row>
    <row r="337" ht="54" customHeight="1">
      <c r="A337" s="29" t="n"/>
      <c r="B337" s="29" t="n"/>
      <c r="C337" s="29" t="n"/>
      <c r="D337" s="29" t="n"/>
      <c r="E337" s="29" t="n"/>
      <c r="F337" s="29" t="n"/>
      <c r="G337" s="29" t="n"/>
      <c r="H337" s="29" t="n"/>
      <c r="I337" s="29" t="n"/>
      <c r="J337" s="29" t="n"/>
      <c r="K337" s="29" t="n"/>
      <c r="L337" s="49" t="n"/>
      <c r="M337" s="29" t="n"/>
      <c r="N337" s="29" t="n"/>
      <c r="O337" s="29" t="n"/>
      <c r="P337" s="29" t="n"/>
      <c r="Q337" s="29" t="n"/>
      <c r="R337" s="29" t="n"/>
      <c r="S337" s="29" t="n"/>
      <c r="T337" s="29" t="n"/>
      <c r="U337" s="29" t="n"/>
      <c r="V337" s="29" t="n"/>
      <c r="W337" s="29" t="n"/>
    </row>
    <row r="338" ht="54" customHeight="1">
      <c r="A338" s="29" t="n"/>
      <c r="B338" s="29" t="n"/>
      <c r="C338" s="29" t="n"/>
      <c r="D338" s="29" t="n"/>
      <c r="E338" s="29" t="n"/>
      <c r="F338" s="29" t="n"/>
      <c r="G338" s="29" t="n"/>
      <c r="H338" s="29" t="n"/>
      <c r="I338" s="29" t="n"/>
      <c r="J338" s="29" t="n"/>
      <c r="K338" s="29" t="n"/>
      <c r="L338" s="49" t="n"/>
      <c r="M338" s="29" t="n"/>
      <c r="N338" s="29" t="n"/>
      <c r="O338" s="29" t="n"/>
      <c r="P338" s="29" t="n"/>
      <c r="Q338" s="29" t="n"/>
      <c r="R338" s="29" t="n"/>
      <c r="S338" s="29" t="n"/>
      <c r="T338" s="29" t="n"/>
      <c r="U338" s="29" t="n"/>
      <c r="V338" s="29" t="n"/>
      <c r="W338" s="29" t="n"/>
    </row>
    <row r="339" ht="54" customHeight="1">
      <c r="A339" s="29" t="n"/>
      <c r="B339" s="29" t="n"/>
      <c r="C339" s="29" t="n"/>
      <c r="D339" s="29" t="n"/>
      <c r="E339" s="29" t="n"/>
      <c r="F339" s="29" t="n"/>
      <c r="G339" s="29" t="n"/>
      <c r="H339" s="29" t="n"/>
      <c r="I339" s="29" t="n"/>
      <c r="J339" s="29" t="n"/>
      <c r="K339" s="29" t="n"/>
      <c r="L339" s="49" t="n"/>
      <c r="M339" s="29" t="n"/>
      <c r="N339" s="29" t="n"/>
      <c r="O339" s="29" t="n"/>
      <c r="P339" s="29" t="n"/>
      <c r="Q339" s="29" t="n"/>
      <c r="R339" s="29" t="n"/>
      <c r="S339" s="29" t="n"/>
      <c r="T339" s="29" t="n"/>
      <c r="U339" s="29" t="n"/>
      <c r="V339" s="29" t="n"/>
      <c r="W339" s="29" t="n"/>
    </row>
    <row r="340" ht="54" customHeight="1">
      <c r="A340" s="29" t="n"/>
      <c r="B340" s="29" t="n"/>
      <c r="C340" s="29" t="n"/>
      <c r="D340" s="29" t="n"/>
      <c r="E340" s="29" t="n"/>
      <c r="F340" s="29" t="n"/>
      <c r="G340" s="29" t="n"/>
      <c r="H340" s="29" t="n"/>
      <c r="I340" s="29" t="n"/>
      <c r="J340" s="29" t="n"/>
      <c r="K340" s="29" t="n"/>
      <c r="L340" s="49" t="n"/>
      <c r="M340" s="29" t="n"/>
      <c r="N340" s="29" t="n"/>
      <c r="O340" s="29" t="n"/>
      <c r="P340" s="29" t="n"/>
      <c r="Q340" s="29" t="n"/>
      <c r="R340" s="29" t="n"/>
      <c r="S340" s="29" t="n"/>
      <c r="T340" s="29" t="n"/>
      <c r="U340" s="29" t="n"/>
      <c r="V340" s="29" t="n"/>
      <c r="W340" s="29" t="n"/>
    </row>
    <row r="341" ht="54" customHeight="1">
      <c r="A341" s="29" t="n"/>
      <c r="B341" s="29" t="n"/>
      <c r="C341" s="29" t="n"/>
      <c r="D341" s="29" t="n"/>
      <c r="E341" s="29" t="n"/>
      <c r="F341" s="29" t="n"/>
      <c r="G341" s="29" t="n"/>
      <c r="H341" s="29" t="n"/>
      <c r="I341" s="29" t="n"/>
      <c r="J341" s="29" t="n"/>
      <c r="K341" s="29" t="n"/>
      <c r="L341" s="49" t="n"/>
      <c r="M341" s="29" t="n"/>
      <c r="N341" s="29" t="n"/>
      <c r="O341" s="29" t="n"/>
      <c r="P341" s="29" t="n"/>
      <c r="Q341" s="29" t="n"/>
      <c r="R341" s="29" t="n"/>
      <c r="S341" s="29" t="n"/>
      <c r="T341" s="29" t="n"/>
      <c r="U341" s="29" t="n"/>
      <c r="V341" s="29" t="n"/>
      <c r="W341" s="29" t="n"/>
    </row>
    <row r="342" ht="54" customHeight="1">
      <c r="A342" s="29" t="n"/>
      <c r="B342" s="29" t="n"/>
      <c r="C342" s="29" t="n"/>
      <c r="D342" s="29" t="n"/>
      <c r="E342" s="29" t="n"/>
      <c r="F342" s="29" t="n"/>
      <c r="G342" s="29" t="n"/>
      <c r="H342" s="29" t="n"/>
      <c r="I342" s="29" t="n"/>
      <c r="J342" s="29" t="n"/>
      <c r="K342" s="29" t="n"/>
      <c r="L342" s="49" t="n"/>
      <c r="M342" s="29" t="n"/>
      <c r="N342" s="29" t="n"/>
      <c r="O342" s="29" t="n"/>
      <c r="P342" s="29" t="n"/>
      <c r="Q342" s="29" t="n"/>
      <c r="R342" s="29" t="n"/>
      <c r="S342" s="29" t="n"/>
      <c r="T342" s="29" t="n"/>
      <c r="U342" s="29" t="n"/>
      <c r="V342" s="29" t="n"/>
      <c r="W342" s="29" t="n"/>
    </row>
    <row r="343" ht="54" customHeight="1">
      <c r="A343" s="29" t="n"/>
      <c r="B343" s="29" t="n"/>
      <c r="C343" s="29" t="n"/>
      <c r="D343" s="29" t="n"/>
      <c r="E343" s="29" t="n"/>
      <c r="F343" s="29" t="n"/>
      <c r="G343" s="29" t="n"/>
      <c r="H343" s="29" t="n"/>
      <c r="I343" s="29" t="n"/>
      <c r="J343" s="29" t="n"/>
      <c r="K343" s="29" t="n"/>
      <c r="L343" s="49" t="n"/>
      <c r="M343" s="29" t="n"/>
      <c r="N343" s="29" t="n"/>
      <c r="O343" s="29" t="n"/>
      <c r="P343" s="29" t="n"/>
      <c r="Q343" s="29" t="n"/>
      <c r="R343" s="29" t="n"/>
      <c r="S343" s="29" t="n"/>
      <c r="T343" s="29" t="n"/>
      <c r="U343" s="29" t="n"/>
      <c r="V343" s="29" t="n"/>
      <c r="W343" s="29" t="n"/>
    </row>
    <row r="344" ht="54" customHeight="1">
      <c r="A344" s="29" t="n"/>
      <c r="B344" s="29" t="n"/>
      <c r="C344" s="29" t="n"/>
      <c r="D344" s="29" t="n"/>
      <c r="E344" s="29" t="n"/>
      <c r="F344" s="29" t="n"/>
      <c r="G344" s="29" t="n"/>
      <c r="H344" s="29" t="n"/>
      <c r="I344" s="29" t="n"/>
      <c r="J344" s="29" t="n"/>
      <c r="K344" s="29" t="n"/>
      <c r="L344" s="49" t="n"/>
      <c r="M344" s="29" t="n"/>
      <c r="N344" s="29" t="n"/>
      <c r="O344" s="29" t="n"/>
      <c r="P344" s="29" t="n"/>
      <c r="Q344" s="29" t="n"/>
      <c r="R344" s="29" t="n"/>
      <c r="S344" s="29" t="n"/>
      <c r="T344" s="29" t="n"/>
      <c r="U344" s="29" t="n"/>
      <c r="V344" s="29" t="n"/>
      <c r="W344" s="29" t="n"/>
    </row>
    <row r="345" ht="54" customHeight="1">
      <c r="A345" s="29" t="n"/>
      <c r="B345" s="29" t="n"/>
      <c r="C345" s="29" t="n"/>
      <c r="D345" s="29" t="n"/>
      <c r="E345" s="29" t="n"/>
      <c r="F345" s="29" t="n"/>
      <c r="G345" s="29" t="n"/>
      <c r="H345" s="29" t="n"/>
      <c r="I345" s="29" t="n"/>
      <c r="J345" s="29" t="n"/>
      <c r="K345" s="29" t="n"/>
      <c r="L345" s="49" t="n"/>
      <c r="M345" s="29" t="n"/>
      <c r="N345" s="29" t="n"/>
      <c r="O345" s="29" t="n"/>
      <c r="P345" s="29" t="n"/>
      <c r="Q345" s="29" t="n"/>
      <c r="R345" s="29" t="n"/>
      <c r="S345" s="29" t="n"/>
      <c r="T345" s="29" t="n"/>
      <c r="U345" s="29" t="n"/>
      <c r="V345" s="29" t="n"/>
      <c r="W345" s="29" t="n"/>
    </row>
    <row r="346" ht="54" customHeight="1">
      <c r="A346" s="29" t="n"/>
      <c r="B346" s="29" t="n"/>
      <c r="C346" s="29" t="n"/>
      <c r="D346" s="29" t="n"/>
      <c r="E346" s="29" t="n"/>
      <c r="F346" s="29" t="n"/>
      <c r="G346" s="29" t="n"/>
      <c r="H346" s="29" t="n"/>
      <c r="I346" s="29" t="n"/>
      <c r="J346" s="29" t="n"/>
      <c r="K346" s="29" t="n"/>
      <c r="L346" s="49" t="n"/>
      <c r="M346" s="29" t="n"/>
      <c r="N346" s="29" t="n"/>
      <c r="O346" s="29" t="n"/>
      <c r="P346" s="29" t="n"/>
      <c r="Q346" s="29" t="n"/>
      <c r="R346" s="29" t="n"/>
      <c r="S346" s="29" t="n"/>
      <c r="T346" s="29" t="n"/>
      <c r="U346" s="29" t="n"/>
      <c r="V346" s="29" t="n"/>
      <c r="W346" s="29" t="n"/>
    </row>
    <row r="347" ht="54" customHeight="1">
      <c r="A347" s="29" t="n"/>
      <c r="B347" s="29" t="n"/>
      <c r="C347" s="29" t="n"/>
      <c r="D347" s="29" t="n"/>
      <c r="E347" s="29" t="n"/>
      <c r="F347" s="29" t="n"/>
      <c r="G347" s="29" t="n"/>
      <c r="H347" s="29" t="n"/>
      <c r="I347" s="29" t="n"/>
      <c r="J347" s="29" t="n"/>
      <c r="K347" s="29" t="n"/>
      <c r="L347" s="49" t="n"/>
      <c r="M347" s="29" t="n"/>
      <c r="N347" s="29" t="n"/>
      <c r="O347" s="29" t="n"/>
      <c r="P347" s="29" t="n"/>
      <c r="Q347" s="29" t="n"/>
      <c r="R347" s="29" t="n"/>
      <c r="S347" s="29" t="n"/>
      <c r="T347" s="29" t="n"/>
      <c r="U347" s="29" t="n"/>
      <c r="V347" s="29" t="n"/>
      <c r="W347" s="29" t="n"/>
    </row>
    <row r="348" ht="54" customHeight="1">
      <c r="A348" s="29" t="n"/>
      <c r="B348" s="29" t="n"/>
      <c r="C348" s="29" t="n"/>
      <c r="D348" s="29" t="n"/>
      <c r="E348" s="29" t="n"/>
      <c r="F348" s="29" t="n"/>
      <c r="G348" s="29" t="n"/>
      <c r="H348" s="29" t="n"/>
      <c r="I348" s="29" t="n"/>
      <c r="J348" s="29" t="n"/>
      <c r="K348" s="29" t="n"/>
      <c r="L348" s="49" t="n"/>
      <c r="M348" s="29" t="n"/>
      <c r="N348" s="29" t="n"/>
      <c r="O348" s="29" t="n"/>
      <c r="P348" s="29" t="n"/>
      <c r="Q348" s="29" t="n"/>
      <c r="R348" s="29" t="n"/>
      <c r="S348" s="29" t="n"/>
      <c r="T348" s="29" t="n"/>
      <c r="U348" s="29" t="n"/>
      <c r="V348" s="29" t="n"/>
      <c r="W348" s="29" t="n"/>
    </row>
    <row r="349" ht="54" customHeight="1">
      <c r="A349" s="29" t="n"/>
      <c r="B349" s="29" t="n"/>
      <c r="C349" s="29" t="n"/>
      <c r="D349" s="29" t="n"/>
      <c r="E349" s="29" t="n"/>
      <c r="F349" s="29" t="n"/>
      <c r="G349" s="29" t="n"/>
      <c r="H349" s="29" t="n"/>
      <c r="I349" s="29" t="n"/>
      <c r="J349" s="29" t="n"/>
      <c r="K349" s="29" t="n"/>
      <c r="L349" s="49" t="n"/>
      <c r="M349" s="29" t="n"/>
      <c r="N349" s="29" t="n"/>
      <c r="O349" s="29" t="n"/>
      <c r="P349" s="29" t="n"/>
      <c r="Q349" s="29" t="n"/>
      <c r="R349" s="29" t="n"/>
      <c r="S349" s="29" t="n"/>
      <c r="T349" s="29" t="n"/>
      <c r="U349" s="29" t="n"/>
      <c r="V349" s="29" t="n"/>
      <c r="W349" s="29" t="n"/>
    </row>
    <row r="350" ht="54" customHeight="1">
      <c r="A350" s="29" t="n"/>
      <c r="B350" s="29" t="n"/>
      <c r="C350" s="29" t="n"/>
      <c r="D350" s="29" t="n"/>
      <c r="E350" s="29" t="n"/>
      <c r="F350" s="29" t="n"/>
      <c r="G350" s="29" t="n"/>
      <c r="H350" s="29" t="n"/>
      <c r="I350" s="29" t="n"/>
      <c r="J350" s="29" t="n"/>
      <c r="K350" s="29" t="n"/>
      <c r="L350" s="49" t="n"/>
      <c r="M350" s="29" t="n"/>
      <c r="N350" s="29" t="n"/>
      <c r="O350" s="29" t="n"/>
      <c r="P350" s="29" t="n"/>
      <c r="Q350" s="29" t="n"/>
      <c r="R350" s="29" t="n"/>
      <c r="S350" s="29" t="n"/>
      <c r="T350" s="29" t="n"/>
      <c r="U350" s="29" t="n"/>
      <c r="V350" s="29" t="n"/>
      <c r="W350" s="29" t="n"/>
    </row>
    <row r="351" ht="54" customHeight="1">
      <c r="A351" s="29" t="n"/>
      <c r="B351" s="29" t="n"/>
      <c r="C351" s="29" t="n"/>
      <c r="D351" s="29" t="n"/>
      <c r="E351" s="29" t="n"/>
      <c r="F351" s="29" t="n"/>
      <c r="G351" s="29" t="n"/>
      <c r="H351" s="29" t="n"/>
      <c r="I351" s="29" t="n"/>
      <c r="J351" s="29" t="n"/>
      <c r="K351" s="29" t="n"/>
      <c r="L351" s="49" t="n"/>
      <c r="M351" s="29" t="n"/>
      <c r="N351" s="29" t="n"/>
      <c r="O351" s="29" t="n"/>
      <c r="P351" s="29" t="n"/>
      <c r="Q351" s="29" t="n"/>
      <c r="R351" s="29" t="n"/>
      <c r="S351" s="29" t="n"/>
      <c r="T351" s="29" t="n"/>
      <c r="U351" s="29" t="n"/>
      <c r="V351" s="29" t="n"/>
      <c r="W351" s="29" t="n"/>
    </row>
    <row r="352" ht="54" customHeight="1">
      <c r="A352" s="29" t="n"/>
      <c r="B352" s="29" t="n"/>
      <c r="C352" s="29" t="n"/>
      <c r="D352" s="29" t="n"/>
      <c r="E352" s="29" t="n"/>
      <c r="F352" s="29" t="n"/>
      <c r="G352" s="29" t="n"/>
      <c r="H352" s="29" t="n"/>
      <c r="I352" s="29" t="n"/>
      <c r="J352" s="29" t="n"/>
      <c r="K352" s="29" t="n"/>
      <c r="L352" s="49" t="n"/>
      <c r="M352" s="29" t="n"/>
      <c r="N352" s="29" t="n"/>
      <c r="O352" s="29" t="n"/>
      <c r="P352" s="29" t="n"/>
      <c r="Q352" s="29" t="n"/>
      <c r="R352" s="29" t="n"/>
      <c r="S352" s="29" t="n"/>
      <c r="T352" s="29" t="n"/>
      <c r="U352" s="29" t="n"/>
      <c r="V352" s="29" t="n"/>
      <c r="W352" s="29" t="n"/>
    </row>
    <row r="353" ht="54" customHeight="1">
      <c r="A353" s="29" t="n"/>
      <c r="B353" s="29" t="n"/>
      <c r="C353" s="29" t="n"/>
      <c r="D353" s="29" t="n"/>
      <c r="E353" s="29" t="n"/>
      <c r="F353" s="29" t="n"/>
      <c r="G353" s="29" t="n"/>
      <c r="H353" s="29" t="n"/>
      <c r="I353" s="29" t="n"/>
      <c r="J353" s="29" t="n"/>
      <c r="K353" s="29" t="n"/>
      <c r="L353" s="49" t="n"/>
      <c r="M353" s="29" t="n"/>
      <c r="N353" s="29" t="n"/>
      <c r="O353" s="29" t="n"/>
      <c r="P353" s="29" t="n"/>
      <c r="Q353" s="29" t="n"/>
      <c r="R353" s="29" t="n"/>
      <c r="S353" s="29" t="n"/>
      <c r="T353" s="29" t="n"/>
      <c r="U353" s="29" t="n"/>
      <c r="V353" s="29" t="n"/>
      <c r="W353" s="29" t="n"/>
    </row>
    <row r="354" ht="54" customHeight="1">
      <c r="A354" s="29" t="n"/>
      <c r="B354" s="29" t="n"/>
      <c r="C354" s="29" t="n"/>
      <c r="D354" s="29" t="n"/>
      <c r="E354" s="29" t="n"/>
      <c r="F354" s="29" t="n"/>
      <c r="G354" s="29" t="n"/>
      <c r="H354" s="29" t="n"/>
      <c r="I354" s="29" t="n"/>
      <c r="J354" s="29" t="n"/>
      <c r="K354" s="29" t="n"/>
      <c r="L354" s="49" t="n"/>
      <c r="M354" s="29" t="n"/>
      <c r="N354" s="29" t="n"/>
      <c r="O354" s="29" t="n"/>
      <c r="P354" s="29" t="n"/>
      <c r="Q354" s="29" t="n"/>
      <c r="R354" s="29" t="n"/>
      <c r="S354" s="29" t="n"/>
      <c r="T354" s="29" t="n"/>
      <c r="U354" s="29" t="n"/>
      <c r="V354" s="29" t="n"/>
      <c r="W354" s="29" t="n"/>
    </row>
    <row r="355" ht="54" customHeight="1">
      <c r="A355" s="29" t="n"/>
      <c r="B355" s="29" t="n"/>
      <c r="C355" s="29" t="n"/>
      <c r="D355" s="29" t="n"/>
      <c r="E355" s="29" t="n"/>
      <c r="F355" s="29" t="n"/>
      <c r="G355" s="29" t="n"/>
      <c r="H355" s="29" t="n"/>
      <c r="I355" s="29" t="n"/>
      <c r="J355" s="29" t="n"/>
      <c r="K355" s="29" t="n"/>
      <c r="L355" s="49" t="n"/>
      <c r="M355" s="29" t="n"/>
      <c r="N355" s="29" t="n"/>
      <c r="O355" s="29" t="n"/>
      <c r="P355" s="29" t="n"/>
      <c r="Q355" s="29" t="n"/>
      <c r="R355" s="29" t="n"/>
      <c r="S355" s="29" t="n"/>
      <c r="T355" s="29" t="n"/>
      <c r="U355" s="29" t="n"/>
      <c r="V355" s="29" t="n"/>
      <c r="W355" s="29" t="n"/>
    </row>
    <row r="356" ht="54" customHeight="1">
      <c r="A356" s="29" t="n"/>
      <c r="B356" s="29" t="n"/>
      <c r="C356" s="29" t="n"/>
      <c r="D356" s="29" t="n"/>
      <c r="E356" s="29" t="n"/>
      <c r="F356" s="29" t="n"/>
      <c r="G356" s="29" t="n"/>
      <c r="H356" s="29" t="n"/>
      <c r="I356" s="29" t="n"/>
      <c r="J356" s="29" t="n"/>
      <c r="K356" s="29" t="n"/>
      <c r="L356" s="49" t="n"/>
      <c r="M356" s="29" t="n"/>
      <c r="N356" s="29" t="n"/>
      <c r="O356" s="29" t="n"/>
      <c r="P356" s="29" t="n"/>
      <c r="Q356" s="29" t="n"/>
      <c r="R356" s="29" t="n"/>
      <c r="S356" s="29" t="n"/>
      <c r="T356" s="29" t="n"/>
      <c r="U356" s="29" t="n"/>
      <c r="V356" s="29" t="n"/>
      <c r="W356" s="29" t="n"/>
    </row>
    <row r="357" ht="54" customHeight="1">
      <c r="A357" s="29" t="n"/>
      <c r="B357" s="29" t="n"/>
      <c r="C357" s="29" t="n"/>
      <c r="D357" s="29" t="n"/>
      <c r="E357" s="29" t="n"/>
      <c r="F357" s="29" t="n"/>
      <c r="G357" s="29" t="n"/>
      <c r="H357" s="29" t="n"/>
      <c r="I357" s="29" t="n"/>
      <c r="J357" s="29" t="n"/>
      <c r="K357" s="29" t="n"/>
      <c r="L357" s="49" t="n"/>
      <c r="M357" s="29" t="n"/>
      <c r="N357" s="29" t="n"/>
      <c r="O357" s="29" t="n"/>
      <c r="P357" s="29" t="n"/>
      <c r="Q357" s="29" t="n"/>
      <c r="R357" s="29" t="n"/>
      <c r="S357" s="29" t="n"/>
      <c r="T357" s="29" t="n"/>
      <c r="U357" s="29" t="n"/>
      <c r="V357" s="29" t="n"/>
      <c r="W357" s="29" t="n"/>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D8:D357">
    <cfRule type="expression" priority="4" dxfId="1">
      <formula>AND($A8&lt;&gt;"",ISBLANK(D8))</formula>
    </cfRule>
  </conditionalFormatting>
  <conditionalFormatting sqref="E8:E357">
    <cfRule type="expression" priority="5" dxfId="1">
      <formula>AND($A8&lt;&gt;"",ISBLANK(E8))</formula>
    </cfRule>
  </conditionalFormatting>
  <conditionalFormatting sqref="F8:F357">
    <cfRule type="expression" priority="6" dxfId="1">
      <formula>AND($A8&lt;&gt;"",ISBLANK(F8))</formula>
    </cfRule>
  </conditionalFormatting>
  <conditionalFormatting sqref="G8:G357">
    <cfRule type="expression" priority="7" dxfId="1">
      <formula>AND($A8&lt;&gt;"",ISBLANK(G8))</formula>
    </cfRule>
  </conditionalFormatting>
  <conditionalFormatting sqref="H8:H357">
    <cfRule type="expression" priority="8" dxfId="1">
      <formula>AND($A8&lt;&gt;"",ISBLANK(H8))</formula>
    </cfRule>
  </conditionalFormatting>
  <conditionalFormatting sqref="I8:I357">
    <cfRule type="expression" priority="9" dxfId="1">
      <formula>AND($A8&lt;&gt;"",ISBLANK(I8))</formula>
    </cfRule>
  </conditionalFormatting>
  <conditionalFormatting sqref="L8:L357">
    <cfRule type="expression" priority="10" dxfId="1">
      <formula>AND($A8&lt;&gt;"",ISBLANK(L8))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Q8:Q357">
    <cfRule type="expression" priority="13" dxfId="1">
      <formula>AND($A8&lt;&gt;"",ISBLANK(Q8))</formula>
    </cfRule>
  </conditionalFormatting>
  <dataValidations count="3">
    <dataValidation sqref="M8:M357" showDropDown="0" showInputMessage="0" showErrorMessage="0" allowBlank="0" type="list">
      <formula1>"Bekliyor,Doğrulandı"</formula1>
    </dataValidation>
    <dataValidation sqref="N8:N357" showDropDown="0" showInputMessage="0" showErrorMessage="0" allowBlank="0" type="list">
      <formula1>"Bekliyor,Doğrulandı"</formula1>
    </dataValidation>
    <dataValidation sqref="Q8:Q357" showDropDown="0" showInputMessage="0" showErrorMessage="0" allowBlank="0" type="list">
      <formula1>"Bekliyor,Bu kare için uygun"</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12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0" customWidth="1" min="7" max="7"/>
  </cols>
  <sheetData>
    <row r="1" ht="30" customHeight="1">
      <c r="A1" s="2" t="n"/>
      <c r="B1" s="2" t="n"/>
      <c r="C1" s="2" t="n"/>
      <c r="D1" s="2" t="n"/>
      <c r="E1" s="2" t="n"/>
      <c r="F1" s="2" t="n"/>
      <c r="G1" s="2" t="n"/>
    </row>
    <row r="2" ht="30" customHeight="1">
      <c r="A2" s="19" t="inlineStr">
        <is>
          <t>Corteqs · Sayfa metinleri ve ek yapılandırma</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 · tarih</t>
        </is>
      </c>
    </row>
    <row r="6" ht="44" customHeight="1">
      <c r="A6" s="25" t="inlineStr">
        <is>
          <t>Alan kimliği</t>
        </is>
      </c>
      <c r="B6" s="25" t="inlineStr">
        <is>
          <t>Şehir kimliği</t>
        </is>
      </c>
      <c r="C6" s="25" t="inlineStr">
        <is>
          <t>Sayfa alanı anahtarı</t>
        </is>
      </c>
      <c r="D6" s="25" t="inlineStr">
        <is>
          <t>Türkçe alan açıklaması</t>
        </is>
      </c>
      <c r="E6" s="25" t="inlineStr">
        <is>
          <t>Değer türü</t>
        </is>
      </c>
      <c r="F6" s="25" t="inlineStr">
        <is>
          <t>Alan değeri</t>
        </is>
      </c>
      <c r="G6" s="25" t="inlineStr">
        <is>
          <t>Alan kontrol tarihi</t>
        </is>
      </c>
    </row>
    <row r="7" ht="32" customHeight="1">
      <c r="A7" s="28" t="inlineStr">
        <is>
          <t>field_id</t>
        </is>
      </c>
      <c r="B7" s="28" t="inlineStr">
        <is>
          <t>city_id</t>
        </is>
      </c>
      <c r="C7" s="28" t="inlineStr">
        <is>
          <t>key</t>
        </is>
      </c>
      <c r="D7" s="28" t="inlineStr">
        <is>
          <t>label</t>
        </is>
      </c>
      <c r="E7" s="28" t="inlineStr">
        <is>
          <t>value_type</t>
        </is>
      </c>
      <c r="F7" s="28" t="inlineStr">
        <is>
          <t>value</t>
        </is>
      </c>
      <c r="G7" s="28" t="inlineStr">
        <is>
          <t>reviewed_on</t>
        </is>
      </c>
    </row>
    <row r="8" ht="54" customHeight="1">
      <c r="A8" s="29" t="n"/>
      <c r="B8" s="29" t="n"/>
      <c r="C8" s="29" t="n"/>
      <c r="D8" s="29" t="n"/>
      <c r="E8" s="29" t="n"/>
      <c r="F8" s="29" t="n"/>
      <c r="G8" s="49" t="n"/>
    </row>
    <row r="9" ht="54" customHeight="1">
      <c r="A9" s="29" t="n"/>
      <c r="B9" s="29" t="n"/>
      <c r="C9" s="29" t="n"/>
      <c r="D9" s="29" t="n"/>
      <c r="E9" s="29" t="n"/>
      <c r="F9" s="29" t="n"/>
      <c r="G9" s="49" t="n"/>
    </row>
    <row r="10" ht="54" customHeight="1">
      <c r="A10" s="29" t="n"/>
      <c r="B10" s="29" t="n"/>
      <c r="C10" s="29" t="n"/>
      <c r="D10" s="29" t="n"/>
      <c r="E10" s="29" t="n"/>
      <c r="F10" s="29" t="n"/>
      <c r="G10" s="49" t="n"/>
    </row>
    <row r="11" ht="54" customHeight="1">
      <c r="A11" s="29" t="n"/>
      <c r="B11" s="29" t="n"/>
      <c r="C11" s="29" t="n"/>
      <c r="D11" s="29" t="n"/>
      <c r="E11" s="29" t="n"/>
      <c r="F11" s="29" t="n"/>
      <c r="G11" s="49" t="n"/>
    </row>
    <row r="12" ht="54" customHeight="1">
      <c r="A12" s="29" t="n"/>
      <c r="B12" s="29" t="n"/>
      <c r="C12" s="29" t="n"/>
      <c r="D12" s="29" t="n"/>
      <c r="E12" s="29" t="n"/>
      <c r="F12" s="29" t="n"/>
      <c r="G12" s="49" t="n"/>
    </row>
    <row r="13" ht="54" customHeight="1">
      <c r="A13" s="29" t="n"/>
      <c r="B13" s="29" t="n"/>
      <c r="C13" s="29" t="n"/>
      <c r="D13" s="29" t="n"/>
      <c r="E13" s="29" t="n"/>
      <c r="F13" s="29" t="n"/>
      <c r="G13" s="49" t="n"/>
    </row>
    <row r="14" ht="54" customHeight="1">
      <c r="A14" s="29" t="n"/>
      <c r="B14" s="29" t="n"/>
      <c r="C14" s="29" t="n"/>
      <c r="D14" s="29" t="n"/>
      <c r="E14" s="29" t="n"/>
      <c r="F14" s="29" t="n"/>
      <c r="G14" s="49" t="n"/>
    </row>
    <row r="15" ht="54" customHeight="1">
      <c r="A15" s="29" t="n"/>
      <c r="B15" s="29" t="n"/>
      <c r="C15" s="29" t="n"/>
      <c r="D15" s="29" t="n"/>
      <c r="E15" s="29" t="n"/>
      <c r="F15" s="29" t="n"/>
      <c r="G15" s="49" t="n"/>
    </row>
    <row r="16" ht="54" customHeight="1">
      <c r="A16" s="29" t="n"/>
      <c r="B16" s="29" t="n"/>
      <c r="C16" s="29" t="n"/>
      <c r="D16" s="29" t="n"/>
      <c r="E16" s="29" t="n"/>
      <c r="F16" s="29" t="n"/>
      <c r="G16" s="49" t="n"/>
    </row>
    <row r="17" ht="54" customHeight="1">
      <c r="A17" s="29" t="n"/>
      <c r="B17" s="29" t="n"/>
      <c r="C17" s="29" t="n"/>
      <c r="D17" s="29" t="n"/>
      <c r="E17" s="29" t="n"/>
      <c r="F17" s="29" t="n"/>
      <c r="G17" s="49" t="n"/>
    </row>
    <row r="18" ht="54" customHeight="1">
      <c r="A18" s="29" t="n"/>
      <c r="B18" s="29" t="n"/>
      <c r="C18" s="29" t="n"/>
      <c r="D18" s="29" t="n"/>
      <c r="E18" s="29" t="n"/>
      <c r="F18" s="29" t="n"/>
      <c r="G18" s="49" t="n"/>
    </row>
    <row r="19" ht="54" customHeight="1">
      <c r="A19" s="29" t="n"/>
      <c r="B19" s="29" t="n"/>
      <c r="C19" s="29" t="n"/>
      <c r="D19" s="29" t="n"/>
      <c r="E19" s="29" t="n"/>
      <c r="F19" s="29" t="n"/>
      <c r="G19" s="49" t="n"/>
    </row>
    <row r="20" ht="54" customHeight="1">
      <c r="A20" s="29" t="n"/>
      <c r="B20" s="29" t="n"/>
      <c r="C20" s="29" t="n"/>
      <c r="D20" s="29" t="n"/>
      <c r="E20" s="29" t="n"/>
      <c r="F20" s="29" t="n"/>
      <c r="G20" s="49" t="n"/>
    </row>
    <row r="21" ht="54" customHeight="1">
      <c r="A21" s="29" t="n"/>
      <c r="B21" s="29" t="n"/>
      <c r="C21" s="29" t="n"/>
      <c r="D21" s="29" t="n"/>
      <c r="E21" s="29" t="n"/>
      <c r="F21" s="29" t="n"/>
      <c r="G21" s="49" t="n"/>
    </row>
    <row r="22" ht="54" customHeight="1">
      <c r="A22" s="29" t="n"/>
      <c r="B22" s="29" t="n"/>
      <c r="C22" s="29" t="n"/>
      <c r="D22" s="29" t="n"/>
      <c r="E22" s="29" t="n"/>
      <c r="F22" s="29" t="n"/>
      <c r="G22" s="49" t="n"/>
    </row>
    <row r="23" ht="54" customHeight="1">
      <c r="A23" s="29" t="n"/>
      <c r="B23" s="29" t="n"/>
      <c r="C23" s="29" t="n"/>
      <c r="D23" s="29" t="n"/>
      <c r="E23" s="29" t="n"/>
      <c r="F23" s="29" t="n"/>
      <c r="G23" s="49" t="n"/>
    </row>
    <row r="24" ht="54" customHeight="1">
      <c r="A24" s="29" t="n"/>
      <c r="B24" s="29" t="n"/>
      <c r="C24" s="29" t="n"/>
      <c r="D24" s="29" t="n"/>
      <c r="E24" s="29" t="n"/>
      <c r="F24" s="29" t="n"/>
      <c r="G24" s="49" t="n"/>
    </row>
    <row r="25" ht="54" customHeight="1">
      <c r="A25" s="29" t="n"/>
      <c r="B25" s="29" t="n"/>
      <c r="C25" s="29" t="n"/>
      <c r="D25" s="29" t="n"/>
      <c r="E25" s="29" t="n"/>
      <c r="F25" s="29" t="n"/>
      <c r="G25" s="49" t="n"/>
    </row>
    <row r="26" ht="54" customHeight="1">
      <c r="A26" s="29" t="n"/>
      <c r="B26" s="29" t="n"/>
      <c r="C26" s="29" t="n"/>
      <c r="D26" s="29" t="n"/>
      <c r="E26" s="29" t="n"/>
      <c r="F26" s="29" t="n"/>
      <c r="G26" s="49" t="n"/>
    </row>
    <row r="27" ht="54" customHeight="1">
      <c r="A27" s="29" t="n"/>
      <c r="B27" s="29" t="n"/>
      <c r="C27" s="29" t="n"/>
      <c r="D27" s="29" t="n"/>
      <c r="E27" s="29" t="n"/>
      <c r="F27" s="29" t="n"/>
      <c r="G27" s="49" t="n"/>
    </row>
    <row r="28" ht="54" customHeight="1">
      <c r="A28" s="29" t="n"/>
      <c r="B28" s="29" t="n"/>
      <c r="C28" s="29" t="n"/>
      <c r="D28" s="29" t="n"/>
      <c r="E28" s="29" t="n"/>
      <c r="F28" s="29" t="n"/>
      <c r="G28" s="49" t="n"/>
    </row>
    <row r="29" ht="54" customHeight="1">
      <c r="A29" s="29" t="n"/>
      <c r="B29" s="29" t="n"/>
      <c r="C29" s="29" t="n"/>
      <c r="D29" s="29" t="n"/>
      <c r="E29" s="29" t="n"/>
      <c r="F29" s="29" t="n"/>
      <c r="G29" s="49" t="n"/>
    </row>
    <row r="30" ht="54" customHeight="1">
      <c r="A30" s="29" t="n"/>
      <c r="B30" s="29" t="n"/>
      <c r="C30" s="29" t="n"/>
      <c r="D30" s="29" t="n"/>
      <c r="E30" s="29" t="n"/>
      <c r="F30" s="29" t="n"/>
      <c r="G30" s="49" t="n"/>
    </row>
    <row r="31" ht="54" customHeight="1">
      <c r="A31" s="29" t="n"/>
      <c r="B31" s="29" t="n"/>
      <c r="C31" s="29" t="n"/>
      <c r="D31" s="29" t="n"/>
      <c r="E31" s="29" t="n"/>
      <c r="F31" s="29" t="n"/>
      <c r="G31" s="49" t="n"/>
    </row>
    <row r="32" ht="54" customHeight="1">
      <c r="A32" s="29" t="n"/>
      <c r="B32" s="29" t="n"/>
      <c r="C32" s="29" t="n"/>
      <c r="D32" s="29" t="n"/>
      <c r="E32" s="29" t="n"/>
      <c r="F32" s="29" t="n"/>
      <c r="G32" s="49" t="n"/>
    </row>
    <row r="33" ht="54" customHeight="1">
      <c r="A33" s="29" t="n"/>
      <c r="B33" s="29" t="n"/>
      <c r="C33" s="29" t="n"/>
      <c r="D33" s="29" t="n"/>
      <c r="E33" s="29" t="n"/>
      <c r="F33" s="29" t="n"/>
      <c r="G33" s="49" t="n"/>
    </row>
    <row r="34" ht="54" customHeight="1">
      <c r="A34" s="29" t="n"/>
      <c r="B34" s="29" t="n"/>
      <c r="C34" s="29" t="n"/>
      <c r="D34" s="29" t="n"/>
      <c r="E34" s="29" t="n"/>
      <c r="F34" s="29" t="n"/>
      <c r="G34" s="49" t="n"/>
    </row>
    <row r="35" ht="54" customHeight="1">
      <c r="A35" s="29" t="n"/>
      <c r="B35" s="29" t="n"/>
      <c r="C35" s="29" t="n"/>
      <c r="D35" s="29" t="n"/>
      <c r="E35" s="29" t="n"/>
      <c r="F35" s="29" t="n"/>
      <c r="G35" s="49" t="n"/>
    </row>
    <row r="36" ht="54" customHeight="1">
      <c r="A36" s="29" t="n"/>
      <c r="B36" s="29" t="n"/>
      <c r="C36" s="29" t="n"/>
      <c r="D36" s="29" t="n"/>
      <c r="E36" s="29" t="n"/>
      <c r="F36" s="29" t="n"/>
      <c r="G36" s="49" t="n"/>
    </row>
    <row r="37" ht="54" customHeight="1">
      <c r="A37" s="29" t="n"/>
      <c r="B37" s="29" t="n"/>
      <c r="C37" s="29" t="n"/>
      <c r="D37" s="29" t="n"/>
      <c r="E37" s="29" t="n"/>
      <c r="F37" s="29" t="n"/>
      <c r="G37" s="49" t="n"/>
    </row>
    <row r="38" ht="54" customHeight="1">
      <c r="A38" s="29" t="n"/>
      <c r="B38" s="29" t="n"/>
      <c r="C38" s="29" t="n"/>
      <c r="D38" s="29" t="n"/>
      <c r="E38" s="29" t="n"/>
      <c r="F38" s="29" t="n"/>
      <c r="G38" s="49" t="n"/>
    </row>
    <row r="39" ht="54" customHeight="1">
      <c r="A39" s="29" t="n"/>
      <c r="B39" s="29" t="n"/>
      <c r="C39" s="29" t="n"/>
      <c r="D39" s="29" t="n"/>
      <c r="E39" s="29" t="n"/>
      <c r="F39" s="29" t="n"/>
      <c r="G39" s="49" t="n"/>
    </row>
    <row r="40" ht="54" customHeight="1">
      <c r="A40" s="29" t="n"/>
      <c r="B40" s="29" t="n"/>
      <c r="C40" s="29" t="n"/>
      <c r="D40" s="29" t="n"/>
      <c r="E40" s="29" t="n"/>
      <c r="F40" s="29" t="n"/>
      <c r="G40" s="49" t="n"/>
    </row>
    <row r="41" ht="54" customHeight="1">
      <c r="A41" s="29" t="n"/>
      <c r="B41" s="29" t="n"/>
      <c r="C41" s="29" t="n"/>
      <c r="D41" s="29" t="n"/>
      <c r="E41" s="29" t="n"/>
      <c r="F41" s="29" t="n"/>
      <c r="G41" s="49" t="n"/>
    </row>
    <row r="42" ht="54" customHeight="1">
      <c r="A42" s="29" t="n"/>
      <c r="B42" s="29" t="n"/>
      <c r="C42" s="29" t="n"/>
      <c r="D42" s="29" t="n"/>
      <c r="E42" s="29" t="n"/>
      <c r="F42" s="29" t="n"/>
      <c r="G42" s="49" t="n"/>
    </row>
    <row r="43" ht="54" customHeight="1">
      <c r="A43" s="29" t="n"/>
      <c r="B43" s="29" t="n"/>
      <c r="C43" s="29" t="n"/>
      <c r="D43" s="29" t="n"/>
      <c r="E43" s="29" t="n"/>
      <c r="F43" s="29" t="n"/>
      <c r="G43" s="49" t="n"/>
    </row>
    <row r="44" ht="54" customHeight="1">
      <c r="A44" s="29" t="n"/>
      <c r="B44" s="29" t="n"/>
      <c r="C44" s="29" t="n"/>
      <c r="D44" s="29" t="n"/>
      <c r="E44" s="29" t="n"/>
      <c r="F44" s="29" t="n"/>
      <c r="G44" s="49" t="n"/>
    </row>
    <row r="45" ht="54" customHeight="1">
      <c r="A45" s="29" t="n"/>
      <c r="B45" s="29" t="n"/>
      <c r="C45" s="29" t="n"/>
      <c r="D45" s="29" t="n"/>
      <c r="E45" s="29" t="n"/>
      <c r="F45" s="29" t="n"/>
      <c r="G45" s="49" t="n"/>
    </row>
    <row r="46" ht="54" customHeight="1">
      <c r="A46" s="29" t="n"/>
      <c r="B46" s="29" t="n"/>
      <c r="C46" s="29" t="n"/>
      <c r="D46" s="29" t="n"/>
      <c r="E46" s="29" t="n"/>
      <c r="F46" s="29" t="n"/>
      <c r="G46" s="49" t="n"/>
    </row>
    <row r="47" ht="54" customHeight="1">
      <c r="A47" s="29" t="n"/>
      <c r="B47" s="29" t="n"/>
      <c r="C47" s="29" t="n"/>
      <c r="D47" s="29" t="n"/>
      <c r="E47" s="29" t="n"/>
      <c r="F47" s="29" t="n"/>
      <c r="G47" s="49" t="n"/>
    </row>
    <row r="48" ht="54" customHeight="1">
      <c r="A48" s="29" t="n"/>
      <c r="B48" s="29" t="n"/>
      <c r="C48" s="29" t="n"/>
      <c r="D48" s="29" t="n"/>
      <c r="E48" s="29" t="n"/>
      <c r="F48" s="29" t="n"/>
      <c r="G48" s="49" t="n"/>
    </row>
    <row r="49" ht="54" customHeight="1">
      <c r="A49" s="29" t="n"/>
      <c r="B49" s="29" t="n"/>
      <c r="C49" s="29" t="n"/>
      <c r="D49" s="29" t="n"/>
      <c r="E49" s="29" t="n"/>
      <c r="F49" s="29" t="n"/>
      <c r="G49" s="49" t="n"/>
    </row>
    <row r="50" ht="54" customHeight="1">
      <c r="A50" s="29" t="n"/>
      <c r="B50" s="29" t="n"/>
      <c r="C50" s="29" t="n"/>
      <c r="D50" s="29" t="n"/>
      <c r="E50" s="29" t="n"/>
      <c r="F50" s="29" t="n"/>
      <c r="G50" s="49" t="n"/>
    </row>
    <row r="51" ht="54" customHeight="1">
      <c r="A51" s="29" t="n"/>
      <c r="B51" s="29" t="n"/>
      <c r="C51" s="29" t="n"/>
      <c r="D51" s="29" t="n"/>
      <c r="E51" s="29" t="n"/>
      <c r="F51" s="29" t="n"/>
      <c r="G51" s="49" t="n"/>
    </row>
    <row r="52" ht="54" customHeight="1">
      <c r="A52" s="29" t="n"/>
      <c r="B52" s="29" t="n"/>
      <c r="C52" s="29" t="n"/>
      <c r="D52" s="29" t="n"/>
      <c r="E52" s="29" t="n"/>
      <c r="F52" s="29" t="n"/>
      <c r="G52" s="49" t="n"/>
    </row>
    <row r="53" ht="54" customHeight="1">
      <c r="A53" s="29" t="n"/>
      <c r="B53" s="29" t="n"/>
      <c r="C53" s="29" t="n"/>
      <c r="D53" s="29" t="n"/>
      <c r="E53" s="29" t="n"/>
      <c r="F53" s="29" t="n"/>
      <c r="G53" s="49" t="n"/>
    </row>
    <row r="54" ht="54" customHeight="1">
      <c r="A54" s="29" t="n"/>
      <c r="B54" s="29" t="n"/>
      <c r="C54" s="29" t="n"/>
      <c r="D54" s="29" t="n"/>
      <c r="E54" s="29" t="n"/>
      <c r="F54" s="29" t="n"/>
      <c r="G54" s="49" t="n"/>
    </row>
    <row r="55" ht="54" customHeight="1">
      <c r="A55" s="29" t="n"/>
      <c r="B55" s="29" t="n"/>
      <c r="C55" s="29" t="n"/>
      <c r="D55" s="29" t="n"/>
      <c r="E55" s="29" t="n"/>
      <c r="F55" s="29" t="n"/>
      <c r="G55" s="49" t="n"/>
    </row>
    <row r="56" ht="54" customHeight="1">
      <c r="A56" s="29" t="n"/>
      <c r="B56" s="29" t="n"/>
      <c r="C56" s="29" t="n"/>
      <c r="D56" s="29" t="n"/>
      <c r="E56" s="29" t="n"/>
      <c r="F56" s="29" t="n"/>
      <c r="G56" s="49" t="n"/>
    </row>
    <row r="57" ht="54" customHeight="1">
      <c r="A57" s="29" t="n"/>
      <c r="B57" s="29" t="n"/>
      <c r="C57" s="29" t="n"/>
      <c r="D57" s="29" t="n"/>
      <c r="E57" s="29" t="n"/>
      <c r="F57" s="29" t="n"/>
      <c r="G57" s="49" t="n"/>
    </row>
    <row r="58" ht="54" customHeight="1">
      <c r="A58" s="29" t="n"/>
      <c r="B58" s="29" t="n"/>
      <c r="C58" s="29" t="n"/>
      <c r="D58" s="29" t="n"/>
      <c r="E58" s="29" t="n"/>
      <c r="F58" s="29" t="n"/>
      <c r="G58" s="49" t="n"/>
    </row>
    <row r="59" ht="54" customHeight="1">
      <c r="A59" s="29" t="n"/>
      <c r="B59" s="29" t="n"/>
      <c r="C59" s="29" t="n"/>
      <c r="D59" s="29" t="n"/>
      <c r="E59" s="29" t="n"/>
      <c r="F59" s="29" t="n"/>
      <c r="G59" s="49" t="n"/>
    </row>
    <row r="60" ht="54" customHeight="1">
      <c r="A60" s="29" t="n"/>
      <c r="B60" s="29" t="n"/>
      <c r="C60" s="29" t="n"/>
      <c r="D60" s="29" t="n"/>
      <c r="E60" s="29" t="n"/>
      <c r="F60" s="29" t="n"/>
      <c r="G60" s="49" t="n"/>
    </row>
    <row r="61" ht="54" customHeight="1">
      <c r="A61" s="29" t="n"/>
      <c r="B61" s="29" t="n"/>
      <c r="C61" s="29" t="n"/>
      <c r="D61" s="29" t="n"/>
      <c r="E61" s="29" t="n"/>
      <c r="F61" s="29" t="n"/>
      <c r="G61" s="49" t="n"/>
    </row>
    <row r="62" ht="54" customHeight="1">
      <c r="A62" s="29" t="n"/>
      <c r="B62" s="29" t="n"/>
      <c r="C62" s="29" t="n"/>
      <c r="D62" s="29" t="n"/>
      <c r="E62" s="29" t="n"/>
      <c r="F62" s="29" t="n"/>
      <c r="G62" s="49" t="n"/>
    </row>
    <row r="63" ht="54" customHeight="1">
      <c r="A63" s="29" t="n"/>
      <c r="B63" s="29" t="n"/>
      <c r="C63" s="29" t="n"/>
      <c r="D63" s="29" t="n"/>
      <c r="E63" s="29" t="n"/>
      <c r="F63" s="29" t="n"/>
      <c r="G63" s="49" t="n"/>
    </row>
    <row r="64" ht="54" customHeight="1">
      <c r="A64" s="29" t="n"/>
      <c r="B64" s="29" t="n"/>
      <c r="C64" s="29" t="n"/>
      <c r="D64" s="29" t="n"/>
      <c r="E64" s="29" t="n"/>
      <c r="F64" s="29" t="n"/>
      <c r="G64" s="49" t="n"/>
    </row>
    <row r="65" ht="54" customHeight="1">
      <c r="A65" s="29" t="n"/>
      <c r="B65" s="29" t="n"/>
      <c r="C65" s="29" t="n"/>
      <c r="D65" s="29" t="n"/>
      <c r="E65" s="29" t="n"/>
      <c r="F65" s="29" t="n"/>
      <c r="G65" s="49" t="n"/>
    </row>
    <row r="66" ht="54" customHeight="1">
      <c r="A66" s="29" t="n"/>
      <c r="B66" s="29" t="n"/>
      <c r="C66" s="29" t="n"/>
      <c r="D66" s="29" t="n"/>
      <c r="E66" s="29" t="n"/>
      <c r="F66" s="29" t="n"/>
      <c r="G66" s="49" t="n"/>
    </row>
    <row r="67" ht="54" customHeight="1">
      <c r="A67" s="29" t="n"/>
      <c r="B67" s="29" t="n"/>
      <c r="C67" s="29" t="n"/>
      <c r="D67" s="29" t="n"/>
      <c r="E67" s="29" t="n"/>
      <c r="F67" s="29" t="n"/>
      <c r="G67" s="49" t="n"/>
    </row>
    <row r="68" ht="54" customHeight="1">
      <c r="A68" s="29" t="n"/>
      <c r="B68" s="29" t="n"/>
      <c r="C68" s="29" t="n"/>
      <c r="D68" s="29" t="n"/>
      <c r="E68" s="29" t="n"/>
      <c r="F68" s="29" t="n"/>
      <c r="G68" s="49" t="n"/>
    </row>
    <row r="69" ht="54" customHeight="1">
      <c r="A69" s="29" t="n"/>
      <c r="B69" s="29" t="n"/>
      <c r="C69" s="29" t="n"/>
      <c r="D69" s="29" t="n"/>
      <c r="E69" s="29" t="n"/>
      <c r="F69" s="29" t="n"/>
      <c r="G69" s="49" t="n"/>
    </row>
    <row r="70" ht="54" customHeight="1">
      <c r="A70" s="29" t="n"/>
      <c r="B70" s="29" t="n"/>
      <c r="C70" s="29" t="n"/>
      <c r="D70" s="29" t="n"/>
      <c r="E70" s="29" t="n"/>
      <c r="F70" s="29" t="n"/>
      <c r="G70" s="49" t="n"/>
    </row>
    <row r="71" ht="54" customHeight="1">
      <c r="A71" s="29" t="n"/>
      <c r="B71" s="29" t="n"/>
      <c r="C71" s="29" t="n"/>
      <c r="D71" s="29" t="n"/>
      <c r="E71" s="29" t="n"/>
      <c r="F71" s="29" t="n"/>
      <c r="G71" s="49" t="n"/>
    </row>
    <row r="72" ht="54" customHeight="1">
      <c r="A72" s="29" t="n"/>
      <c r="B72" s="29" t="n"/>
      <c r="C72" s="29" t="n"/>
      <c r="D72" s="29" t="n"/>
      <c r="E72" s="29" t="n"/>
      <c r="F72" s="29" t="n"/>
      <c r="G72" s="49" t="n"/>
    </row>
    <row r="73" ht="54" customHeight="1">
      <c r="A73" s="29" t="n"/>
      <c r="B73" s="29" t="n"/>
      <c r="C73" s="29" t="n"/>
      <c r="D73" s="29" t="n"/>
      <c r="E73" s="29" t="n"/>
      <c r="F73" s="29" t="n"/>
      <c r="G73" s="49" t="n"/>
    </row>
    <row r="74" ht="54" customHeight="1">
      <c r="A74" s="29" t="n"/>
      <c r="B74" s="29" t="n"/>
      <c r="C74" s="29" t="n"/>
      <c r="D74" s="29" t="n"/>
      <c r="E74" s="29" t="n"/>
      <c r="F74" s="29" t="n"/>
      <c r="G74" s="49" t="n"/>
    </row>
    <row r="75" ht="54" customHeight="1">
      <c r="A75" s="29" t="n"/>
      <c r="B75" s="29" t="n"/>
      <c r="C75" s="29" t="n"/>
      <c r="D75" s="29" t="n"/>
      <c r="E75" s="29" t="n"/>
      <c r="F75" s="29" t="n"/>
      <c r="G75" s="49" t="n"/>
    </row>
    <row r="76" ht="54" customHeight="1">
      <c r="A76" s="29" t="n"/>
      <c r="B76" s="29" t="n"/>
      <c r="C76" s="29" t="n"/>
      <c r="D76" s="29" t="n"/>
      <c r="E76" s="29" t="n"/>
      <c r="F76" s="29" t="n"/>
      <c r="G76" s="49" t="n"/>
    </row>
    <row r="77" ht="54" customHeight="1">
      <c r="A77" s="29" t="n"/>
      <c r="B77" s="29" t="n"/>
      <c r="C77" s="29" t="n"/>
      <c r="D77" s="29" t="n"/>
      <c r="E77" s="29" t="n"/>
      <c r="F77" s="29" t="n"/>
      <c r="G77" s="49" t="n"/>
    </row>
    <row r="78" ht="54" customHeight="1">
      <c r="A78" s="29" t="n"/>
      <c r="B78" s="29" t="n"/>
      <c r="C78" s="29" t="n"/>
      <c r="D78" s="29" t="n"/>
      <c r="E78" s="29" t="n"/>
      <c r="F78" s="29" t="n"/>
      <c r="G78" s="49" t="n"/>
    </row>
    <row r="79" ht="54" customHeight="1">
      <c r="A79" s="29" t="n"/>
      <c r="B79" s="29" t="n"/>
      <c r="C79" s="29" t="n"/>
      <c r="D79" s="29" t="n"/>
      <c r="E79" s="29" t="n"/>
      <c r="F79" s="29" t="n"/>
      <c r="G79" s="49" t="n"/>
    </row>
    <row r="80" ht="54" customHeight="1">
      <c r="A80" s="29" t="n"/>
      <c r="B80" s="29" t="n"/>
      <c r="C80" s="29" t="n"/>
      <c r="D80" s="29" t="n"/>
      <c r="E80" s="29" t="n"/>
      <c r="F80" s="29" t="n"/>
      <c r="G80" s="49" t="n"/>
    </row>
    <row r="81" ht="54" customHeight="1">
      <c r="A81" s="29" t="n"/>
      <c r="B81" s="29" t="n"/>
      <c r="C81" s="29" t="n"/>
      <c r="D81" s="29" t="n"/>
      <c r="E81" s="29" t="n"/>
      <c r="F81" s="29" t="n"/>
      <c r="G81" s="49" t="n"/>
    </row>
    <row r="82" ht="54" customHeight="1">
      <c r="A82" s="29" t="n"/>
      <c r="B82" s="29" t="n"/>
      <c r="C82" s="29" t="n"/>
      <c r="D82" s="29" t="n"/>
      <c r="E82" s="29" t="n"/>
      <c r="F82" s="29" t="n"/>
      <c r="G82" s="49" t="n"/>
    </row>
    <row r="83" ht="54" customHeight="1">
      <c r="A83" s="29" t="n"/>
      <c r="B83" s="29" t="n"/>
      <c r="C83" s="29" t="n"/>
      <c r="D83" s="29" t="n"/>
      <c r="E83" s="29" t="n"/>
      <c r="F83" s="29" t="n"/>
      <c r="G83" s="49" t="n"/>
    </row>
    <row r="84" ht="54" customHeight="1">
      <c r="A84" s="29" t="n"/>
      <c r="B84" s="29" t="n"/>
      <c r="C84" s="29" t="n"/>
      <c r="D84" s="29" t="n"/>
      <c r="E84" s="29" t="n"/>
      <c r="F84" s="29" t="n"/>
      <c r="G84" s="49" t="n"/>
    </row>
    <row r="85" ht="54" customHeight="1">
      <c r="A85" s="29" t="n"/>
      <c r="B85" s="29" t="n"/>
      <c r="C85" s="29" t="n"/>
      <c r="D85" s="29" t="n"/>
      <c r="E85" s="29" t="n"/>
      <c r="F85" s="29" t="n"/>
      <c r="G85" s="49" t="n"/>
    </row>
    <row r="86" ht="54" customHeight="1">
      <c r="A86" s="29" t="n"/>
      <c r="B86" s="29" t="n"/>
      <c r="C86" s="29" t="n"/>
      <c r="D86" s="29" t="n"/>
      <c r="E86" s="29" t="n"/>
      <c r="F86" s="29" t="n"/>
      <c r="G86" s="49" t="n"/>
    </row>
    <row r="87" ht="54" customHeight="1">
      <c r="A87" s="29" t="n"/>
      <c r="B87" s="29" t="n"/>
      <c r="C87" s="29" t="n"/>
      <c r="D87" s="29" t="n"/>
      <c r="E87" s="29" t="n"/>
      <c r="F87" s="29" t="n"/>
      <c r="G87" s="49" t="n"/>
    </row>
    <row r="88" ht="54" customHeight="1">
      <c r="A88" s="29" t="n"/>
      <c r="B88" s="29" t="n"/>
      <c r="C88" s="29" t="n"/>
      <c r="D88" s="29" t="n"/>
      <c r="E88" s="29" t="n"/>
      <c r="F88" s="29" t="n"/>
      <c r="G88" s="49" t="n"/>
    </row>
    <row r="89" ht="54" customHeight="1">
      <c r="A89" s="29" t="n"/>
      <c r="B89" s="29" t="n"/>
      <c r="C89" s="29" t="n"/>
      <c r="D89" s="29" t="n"/>
      <c r="E89" s="29" t="n"/>
      <c r="F89" s="29" t="n"/>
      <c r="G89" s="49" t="n"/>
    </row>
    <row r="90" ht="54" customHeight="1">
      <c r="A90" s="29" t="n"/>
      <c r="B90" s="29" t="n"/>
      <c r="C90" s="29" t="n"/>
      <c r="D90" s="29" t="n"/>
      <c r="E90" s="29" t="n"/>
      <c r="F90" s="29" t="n"/>
      <c r="G90" s="49" t="n"/>
    </row>
    <row r="91" ht="54" customHeight="1">
      <c r="A91" s="29" t="n"/>
      <c r="B91" s="29" t="n"/>
      <c r="C91" s="29" t="n"/>
      <c r="D91" s="29" t="n"/>
      <c r="E91" s="29" t="n"/>
      <c r="F91" s="29" t="n"/>
      <c r="G91" s="49" t="n"/>
    </row>
    <row r="92" ht="54" customHeight="1">
      <c r="A92" s="29" t="n"/>
      <c r="B92" s="29" t="n"/>
      <c r="C92" s="29" t="n"/>
      <c r="D92" s="29" t="n"/>
      <c r="E92" s="29" t="n"/>
      <c r="F92" s="29" t="n"/>
      <c r="G92" s="49" t="n"/>
    </row>
    <row r="93" ht="54" customHeight="1">
      <c r="A93" s="29" t="n"/>
      <c r="B93" s="29" t="n"/>
      <c r="C93" s="29" t="n"/>
      <c r="D93" s="29" t="n"/>
      <c r="E93" s="29" t="n"/>
      <c r="F93" s="29" t="n"/>
      <c r="G93" s="49" t="n"/>
    </row>
    <row r="94" ht="54" customHeight="1">
      <c r="A94" s="29" t="n"/>
      <c r="B94" s="29" t="n"/>
      <c r="C94" s="29" t="n"/>
      <c r="D94" s="29" t="n"/>
      <c r="E94" s="29" t="n"/>
      <c r="F94" s="29" t="n"/>
      <c r="G94" s="49" t="n"/>
    </row>
    <row r="95" ht="54" customHeight="1">
      <c r="A95" s="29" t="n"/>
      <c r="B95" s="29" t="n"/>
      <c r="C95" s="29" t="n"/>
      <c r="D95" s="29" t="n"/>
      <c r="E95" s="29" t="n"/>
      <c r="F95" s="29" t="n"/>
      <c r="G95" s="49" t="n"/>
    </row>
    <row r="96" ht="54" customHeight="1">
      <c r="A96" s="29" t="n"/>
      <c r="B96" s="29" t="n"/>
      <c r="C96" s="29" t="n"/>
      <c r="D96" s="29" t="n"/>
      <c r="E96" s="29" t="n"/>
      <c r="F96" s="29" t="n"/>
      <c r="G96" s="49" t="n"/>
    </row>
    <row r="97" ht="54" customHeight="1">
      <c r="A97" s="29" t="n"/>
      <c r="B97" s="29" t="n"/>
      <c r="C97" s="29" t="n"/>
      <c r="D97" s="29" t="n"/>
      <c r="E97" s="29" t="n"/>
      <c r="F97" s="29" t="n"/>
      <c r="G97" s="49" t="n"/>
    </row>
    <row r="98" ht="54" customHeight="1">
      <c r="A98" s="29" t="n"/>
      <c r="B98" s="29" t="n"/>
      <c r="C98" s="29" t="n"/>
      <c r="D98" s="29" t="n"/>
      <c r="E98" s="29" t="n"/>
      <c r="F98" s="29" t="n"/>
      <c r="G98" s="49" t="n"/>
    </row>
    <row r="99" ht="54" customHeight="1">
      <c r="A99" s="29" t="n"/>
      <c r="B99" s="29" t="n"/>
      <c r="C99" s="29" t="n"/>
      <c r="D99" s="29" t="n"/>
      <c r="E99" s="29" t="n"/>
      <c r="F99" s="29" t="n"/>
      <c r="G99" s="49" t="n"/>
    </row>
    <row r="100" ht="54" customHeight="1">
      <c r="A100" s="29" t="n"/>
      <c r="B100" s="29" t="n"/>
      <c r="C100" s="29" t="n"/>
      <c r="D100" s="29" t="n"/>
      <c r="E100" s="29" t="n"/>
      <c r="F100" s="29" t="n"/>
      <c r="G100" s="49" t="n"/>
    </row>
    <row r="101" ht="54" customHeight="1">
      <c r="A101" s="29" t="n"/>
      <c r="B101" s="29" t="n"/>
      <c r="C101" s="29" t="n"/>
      <c r="D101" s="29" t="n"/>
      <c r="E101" s="29" t="n"/>
      <c r="F101" s="29" t="n"/>
      <c r="G101" s="49" t="n"/>
    </row>
    <row r="102" ht="54" customHeight="1">
      <c r="A102" s="29" t="n"/>
      <c r="B102" s="29" t="n"/>
      <c r="C102" s="29" t="n"/>
      <c r="D102" s="29" t="n"/>
      <c r="E102" s="29" t="n"/>
      <c r="F102" s="29" t="n"/>
      <c r="G102" s="49" t="n"/>
    </row>
    <row r="103" ht="54" customHeight="1">
      <c r="A103" s="29" t="n"/>
      <c r="B103" s="29" t="n"/>
      <c r="C103" s="29" t="n"/>
      <c r="D103" s="29" t="n"/>
      <c r="E103" s="29" t="n"/>
      <c r="F103" s="29" t="n"/>
      <c r="G103" s="49" t="n"/>
    </row>
    <row r="104" ht="54" customHeight="1">
      <c r="A104" s="29" t="n"/>
      <c r="B104" s="29" t="n"/>
      <c r="C104" s="29" t="n"/>
      <c r="D104" s="29" t="n"/>
      <c r="E104" s="29" t="n"/>
      <c r="F104" s="29" t="n"/>
      <c r="G104" s="49" t="n"/>
    </row>
    <row r="105" ht="54" customHeight="1">
      <c r="A105" s="29" t="n"/>
      <c r="B105" s="29" t="n"/>
      <c r="C105" s="29" t="n"/>
      <c r="D105" s="29" t="n"/>
      <c r="E105" s="29" t="n"/>
      <c r="F105" s="29" t="n"/>
      <c r="G105" s="49" t="n"/>
    </row>
    <row r="106" ht="54" customHeight="1">
      <c r="A106" s="29" t="n"/>
      <c r="B106" s="29" t="n"/>
      <c r="C106" s="29" t="n"/>
      <c r="D106" s="29" t="n"/>
      <c r="E106" s="29" t="n"/>
      <c r="F106" s="29" t="n"/>
      <c r="G106" s="49" t="n"/>
    </row>
    <row r="107" ht="54" customHeight="1">
      <c r="A107" s="29" t="n"/>
      <c r="B107" s="29" t="n"/>
      <c r="C107" s="29" t="n"/>
      <c r="D107" s="29" t="n"/>
      <c r="E107" s="29" t="n"/>
      <c r="F107" s="29" t="n"/>
      <c r="G107" s="49" t="n"/>
    </row>
    <row r="108" ht="54" customHeight="1">
      <c r="A108" s="29" t="n"/>
      <c r="B108" s="29" t="n"/>
      <c r="C108" s="29" t="n"/>
      <c r="D108" s="29" t="n"/>
      <c r="E108" s="29" t="n"/>
      <c r="F108" s="29" t="n"/>
      <c r="G108" s="49" t="n"/>
    </row>
    <row r="109" ht="54" customHeight="1">
      <c r="A109" s="29" t="n"/>
      <c r="B109" s="29" t="n"/>
      <c r="C109" s="29" t="n"/>
      <c r="D109" s="29" t="n"/>
      <c r="E109" s="29" t="n"/>
      <c r="F109" s="29" t="n"/>
      <c r="G109" s="49" t="n"/>
    </row>
    <row r="110" ht="54" customHeight="1">
      <c r="A110" s="29" t="n"/>
      <c r="B110" s="29" t="n"/>
      <c r="C110" s="29" t="n"/>
      <c r="D110" s="29" t="n"/>
      <c r="E110" s="29" t="n"/>
      <c r="F110" s="29" t="n"/>
      <c r="G110" s="49" t="n"/>
    </row>
    <row r="111" ht="54" customHeight="1">
      <c r="A111" s="29" t="n"/>
      <c r="B111" s="29" t="n"/>
      <c r="C111" s="29" t="n"/>
      <c r="D111" s="29" t="n"/>
      <c r="E111" s="29" t="n"/>
      <c r="F111" s="29" t="n"/>
      <c r="G111" s="49" t="n"/>
    </row>
    <row r="112" ht="54" customHeight="1">
      <c r="A112" s="29" t="n"/>
      <c r="B112" s="29" t="n"/>
      <c r="C112" s="29" t="n"/>
      <c r="D112" s="29" t="n"/>
      <c r="E112" s="29" t="n"/>
      <c r="F112" s="29" t="n"/>
      <c r="G112" s="49" t="n"/>
    </row>
    <row r="113" ht="54" customHeight="1">
      <c r="A113" s="29" t="n"/>
      <c r="B113" s="29" t="n"/>
      <c r="C113" s="29" t="n"/>
      <c r="D113" s="29" t="n"/>
      <c r="E113" s="29" t="n"/>
      <c r="F113" s="29" t="n"/>
      <c r="G113" s="49" t="n"/>
    </row>
    <row r="114" ht="54" customHeight="1">
      <c r="A114" s="29" t="n"/>
      <c r="B114" s="29" t="n"/>
      <c r="C114" s="29" t="n"/>
      <c r="D114" s="29" t="n"/>
      <c r="E114" s="29" t="n"/>
      <c r="F114" s="29" t="n"/>
      <c r="G114" s="49" t="n"/>
    </row>
    <row r="115" ht="54" customHeight="1">
      <c r="A115" s="29" t="n"/>
      <c r="B115" s="29" t="n"/>
      <c r="C115" s="29" t="n"/>
      <c r="D115" s="29" t="n"/>
      <c r="E115" s="29" t="n"/>
      <c r="F115" s="29" t="n"/>
      <c r="G115" s="49" t="n"/>
    </row>
    <row r="116" ht="54" customHeight="1">
      <c r="A116" s="29" t="n"/>
      <c r="B116" s="29" t="n"/>
      <c r="C116" s="29" t="n"/>
      <c r="D116" s="29" t="n"/>
      <c r="E116" s="29" t="n"/>
      <c r="F116" s="29" t="n"/>
      <c r="G116" s="49" t="n"/>
    </row>
    <row r="117" ht="54" customHeight="1">
      <c r="A117" s="29" t="n"/>
      <c r="B117" s="29" t="n"/>
      <c r="C117" s="29" t="n"/>
      <c r="D117" s="29" t="n"/>
      <c r="E117" s="29" t="n"/>
      <c r="F117" s="29" t="n"/>
      <c r="G117" s="49" t="n"/>
    </row>
    <row r="118" ht="54" customHeight="1">
      <c r="A118" s="29" t="n"/>
      <c r="B118" s="29" t="n"/>
      <c r="C118" s="29" t="n"/>
      <c r="D118" s="29" t="n"/>
      <c r="E118" s="29" t="n"/>
      <c r="F118" s="29" t="n"/>
      <c r="G118" s="49" t="n"/>
    </row>
    <row r="119" ht="54" customHeight="1">
      <c r="A119" s="29" t="n"/>
      <c r="B119" s="29" t="n"/>
      <c r="C119" s="29" t="n"/>
      <c r="D119" s="29" t="n"/>
      <c r="E119" s="29" t="n"/>
      <c r="F119" s="29" t="n"/>
      <c r="G119" s="49" t="n"/>
    </row>
    <row r="120" ht="54" customHeight="1">
      <c r="A120" s="29" t="n"/>
      <c r="B120" s="29" t="n"/>
      <c r="C120" s="29" t="n"/>
      <c r="D120" s="29" t="n"/>
      <c r="E120" s="29" t="n"/>
      <c r="F120" s="29" t="n"/>
      <c r="G120" s="49" t="n"/>
    </row>
    <row r="121" ht="54" customHeight="1">
      <c r="A121" s="29" t="n"/>
      <c r="B121" s="29" t="n"/>
      <c r="C121" s="29" t="n"/>
      <c r="D121" s="29" t="n"/>
      <c r="E121" s="29" t="n"/>
      <c r="F121" s="29" t="n"/>
      <c r="G121" s="49" t="n"/>
    </row>
    <row r="122" ht="54" customHeight="1">
      <c r="A122" s="29" t="n"/>
      <c r="B122" s="29" t="n"/>
      <c r="C122" s="29" t="n"/>
      <c r="D122" s="29" t="n"/>
      <c r="E122" s="29" t="n"/>
      <c r="F122" s="29" t="n"/>
      <c r="G122" s="49" t="n"/>
    </row>
    <row r="123" ht="54" customHeight="1">
      <c r="A123" s="29" t="n"/>
      <c r="B123" s="29" t="n"/>
      <c r="C123" s="29" t="n"/>
      <c r="D123" s="29" t="n"/>
      <c r="E123" s="29" t="n"/>
      <c r="F123" s="29" t="n"/>
      <c r="G123" s="49" t="n"/>
    </row>
    <row r="124" ht="54" customHeight="1">
      <c r="A124" s="29" t="n"/>
      <c r="B124" s="29" t="n"/>
      <c r="C124" s="29" t="n"/>
      <c r="D124" s="29" t="n"/>
      <c r="E124" s="29" t="n"/>
      <c r="F124" s="29" t="n"/>
      <c r="G124" s="49" t="n"/>
    </row>
    <row r="125" ht="54" customHeight="1">
      <c r="A125" s="29" t="n"/>
      <c r="B125" s="29" t="n"/>
      <c r="C125" s="29" t="n"/>
      <c r="D125" s="29" t="n"/>
      <c r="E125" s="29" t="n"/>
      <c r="F125" s="29" t="n"/>
      <c r="G125" s="49" t="n"/>
    </row>
    <row r="126" ht="54" customHeight="1">
      <c r="A126" s="29" t="n"/>
      <c r="B126" s="29" t="n"/>
      <c r="C126" s="29" t="n"/>
      <c r="D126" s="29" t="n"/>
      <c r="E126" s="29" t="n"/>
      <c r="F126" s="29" t="n"/>
      <c r="G126" s="49" t="n"/>
    </row>
    <row r="127" ht="54" customHeight="1">
      <c r="A127" s="29" t="n"/>
      <c r="B127" s="29" t="n"/>
      <c r="C127" s="29" t="n"/>
      <c r="D127" s="29" t="n"/>
      <c r="E127" s="29" t="n"/>
      <c r="F127" s="29" t="n"/>
      <c r="G127" s="49" t="n"/>
    </row>
  </sheetData>
  <mergeCells count="1">
    <mergeCell ref="A3:G3"/>
  </mergeCells>
  <conditionalFormatting sqref="A8:A127">
    <cfRule type="expression" priority="1" dxfId="1">
      <formula>AND($A8&lt;&gt;"",ISBLANK(A8))</formula>
    </cfRule>
  </conditionalFormatting>
  <conditionalFormatting sqref="B8:B127">
    <cfRule type="expression" priority="2" dxfId="1">
      <formula>AND($A8&lt;&gt;"",ISBLANK(B8))</formula>
    </cfRule>
  </conditionalFormatting>
  <conditionalFormatting sqref="C8:C127">
    <cfRule type="expression" priority="3" dxfId="1">
      <formula>AND($A8&lt;&gt;"",ISBLANK(C8))</formula>
    </cfRule>
  </conditionalFormatting>
  <conditionalFormatting sqref="D8:D127">
    <cfRule type="expression" priority="4" dxfId="1">
      <formula>AND($A8&lt;&gt;"",ISBLANK(D8))</formula>
    </cfRule>
  </conditionalFormatting>
  <conditionalFormatting sqref="E8:E127">
    <cfRule type="expression" priority="5" dxfId="1">
      <formula>AND($A8&lt;&gt;"",ISBLANK(E8))</formula>
    </cfRule>
  </conditionalFormatting>
  <conditionalFormatting sqref="F8:F127">
    <cfRule type="expression" priority="6" dxfId="1">
      <formula>AND($A8&lt;&gt;"",ISBLANK(F8))</formula>
    </cfRule>
  </conditionalFormatting>
  <conditionalFormatting sqref="G8:G127">
    <cfRule type="expression" priority="7" dxfId="1">
      <formula>AND($A8&lt;&gt;"",ISBLANK(G8))</formula>
    </cfRule>
  </conditionalFormatting>
  <dataValidations count="1">
    <dataValidation sqref="E8:E12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2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32" customWidth="1" min="4" max="4"/>
    <col width="28" customWidth="1" min="5" max="5"/>
    <col width="28" customWidth="1" min="6" max="6"/>
    <col width="58" customWidth="1" min="7" max="7"/>
  </cols>
  <sheetData>
    <row r="1" ht="30" customHeight="1">
      <c r="A1" s="2" t="n"/>
      <c r="B1" s="2" t="n"/>
      <c r="C1" s="2" t="n"/>
      <c r="D1" s="2" t="n"/>
      <c r="E1" s="2" t="n"/>
      <c r="F1" s="2" t="n"/>
      <c r="G1" s="2" t="n"/>
    </row>
    <row r="2" ht="30" customHeight="1">
      <c r="A2" s="19" t="inlineStr">
        <is>
          <t>Corteqs · Ek kart alanları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Detay kimliği</t>
        </is>
      </c>
      <c r="B6" s="25" t="inlineStr">
        <is>
          <t>Şehir kimliği</t>
        </is>
      </c>
      <c r="C6" s="25" t="inlineStr">
        <is>
          <t>İçerik kimliği</t>
        </is>
      </c>
      <c r="D6" s="25" t="inlineStr">
        <is>
          <t>Detay anahtarı</t>
        </is>
      </c>
      <c r="E6" s="25" t="inlineStr">
        <is>
          <t>Türkçe alan açıklaması</t>
        </is>
      </c>
      <c r="F6" s="25" t="inlineStr">
        <is>
          <t>Değer türü</t>
        </is>
      </c>
      <c r="G6" s="25" t="inlineStr">
        <is>
          <t>Alan değeri</t>
        </is>
      </c>
    </row>
    <row r="7" ht="32" customHeight="1">
      <c r="A7" s="28" t="inlineStr">
        <is>
          <t>detail_id</t>
        </is>
      </c>
      <c r="B7" s="28" t="inlineStr">
        <is>
          <t>city_id</t>
        </is>
      </c>
      <c r="C7" s="28" t="inlineStr">
        <is>
          <t>entry_id</t>
        </is>
      </c>
      <c r="D7" s="28" t="inlineStr">
        <is>
          <t>key</t>
        </is>
      </c>
      <c r="E7" s="28" t="inlineStr">
        <is>
          <t>label</t>
        </is>
      </c>
      <c r="F7" s="28" t="inlineStr">
        <is>
          <t>value_type</t>
        </is>
      </c>
      <c r="G7" s="28" t="inlineStr">
        <is>
          <t>value</t>
        </is>
      </c>
    </row>
    <row r="8" ht="54" customHeight="1">
      <c r="A8" s="29" t="n"/>
      <c r="B8" s="29" t="n"/>
      <c r="C8" s="29" t="n"/>
      <c r="D8" s="29" t="n"/>
      <c r="E8" s="29" t="n"/>
      <c r="F8" s="29" t="n"/>
      <c r="G8" s="29" t="n"/>
    </row>
    <row r="9" ht="54" customHeight="1">
      <c r="A9" s="29" t="n"/>
      <c r="B9" s="29" t="n"/>
      <c r="C9" s="29" t="n"/>
      <c r="D9" s="29" t="n"/>
      <c r="E9" s="29" t="n"/>
      <c r="F9" s="29" t="n"/>
      <c r="G9" s="29" t="n"/>
    </row>
    <row r="10" ht="54" customHeight="1">
      <c r="A10" s="29" t="n"/>
      <c r="B10" s="29" t="n"/>
      <c r="C10" s="29" t="n"/>
      <c r="D10" s="29" t="n"/>
      <c r="E10" s="29" t="n"/>
      <c r="F10" s="29" t="n"/>
      <c r="G10" s="29" t="n"/>
    </row>
    <row r="11" ht="54" customHeight="1">
      <c r="A11" s="29" t="n"/>
      <c r="B11" s="29" t="n"/>
      <c r="C11" s="29" t="n"/>
      <c r="D11" s="29" t="n"/>
      <c r="E11" s="29" t="n"/>
      <c r="F11" s="29" t="n"/>
      <c r="G11" s="29" t="n"/>
    </row>
    <row r="12" ht="54" customHeight="1">
      <c r="A12" s="29" t="n"/>
      <c r="B12" s="29" t="n"/>
      <c r="C12" s="29" t="n"/>
      <c r="D12" s="29" t="n"/>
      <c r="E12" s="29" t="n"/>
      <c r="F12" s="29" t="n"/>
      <c r="G12" s="29" t="n"/>
    </row>
    <row r="13" ht="54" customHeight="1">
      <c r="A13" s="29" t="n"/>
      <c r="B13" s="29" t="n"/>
      <c r="C13" s="29" t="n"/>
      <c r="D13" s="29" t="n"/>
      <c r="E13" s="29" t="n"/>
      <c r="F13" s="29" t="n"/>
      <c r="G13" s="29" t="n"/>
    </row>
    <row r="14" ht="54" customHeight="1">
      <c r="A14" s="29" t="n"/>
      <c r="B14" s="29" t="n"/>
      <c r="C14" s="29" t="n"/>
      <c r="D14" s="29" t="n"/>
      <c r="E14" s="29" t="n"/>
      <c r="F14" s="29" t="n"/>
      <c r="G14" s="29" t="n"/>
    </row>
    <row r="15" ht="54" customHeight="1">
      <c r="A15" s="29" t="n"/>
      <c r="B15" s="29" t="n"/>
      <c r="C15" s="29" t="n"/>
      <c r="D15" s="29" t="n"/>
      <c r="E15" s="29" t="n"/>
      <c r="F15" s="29" t="n"/>
      <c r="G15" s="29" t="n"/>
    </row>
    <row r="16" ht="54" customHeight="1">
      <c r="A16" s="29" t="n"/>
      <c r="B16" s="29" t="n"/>
      <c r="C16" s="29" t="n"/>
      <c r="D16" s="29" t="n"/>
      <c r="E16" s="29" t="n"/>
      <c r="F16" s="29" t="n"/>
      <c r="G16" s="29" t="n"/>
    </row>
    <row r="17" ht="54" customHeight="1">
      <c r="A17" s="29" t="n"/>
      <c r="B17" s="29" t="n"/>
      <c r="C17" s="29" t="n"/>
      <c r="D17" s="29" t="n"/>
      <c r="E17" s="29" t="n"/>
      <c r="F17" s="29" t="n"/>
      <c r="G17" s="29" t="n"/>
    </row>
    <row r="18" ht="54" customHeight="1">
      <c r="A18" s="29" t="n"/>
      <c r="B18" s="29" t="n"/>
      <c r="C18" s="29" t="n"/>
      <c r="D18" s="29" t="n"/>
      <c r="E18" s="29" t="n"/>
      <c r="F18" s="29" t="n"/>
      <c r="G18" s="29" t="n"/>
    </row>
    <row r="19" ht="54" customHeight="1">
      <c r="A19" s="29" t="n"/>
      <c r="B19" s="29" t="n"/>
      <c r="C19" s="29" t="n"/>
      <c r="D19" s="29" t="n"/>
      <c r="E19" s="29" t="n"/>
      <c r="F19" s="29" t="n"/>
      <c r="G19" s="29" t="n"/>
    </row>
    <row r="20" ht="54" customHeight="1">
      <c r="A20" s="29" t="n"/>
      <c r="B20" s="29" t="n"/>
      <c r="C20" s="29" t="n"/>
      <c r="D20" s="29" t="n"/>
      <c r="E20" s="29" t="n"/>
      <c r="F20" s="29" t="n"/>
      <c r="G20" s="29" t="n"/>
    </row>
    <row r="21" ht="54" customHeight="1">
      <c r="A21" s="29" t="n"/>
      <c r="B21" s="29" t="n"/>
      <c r="C21" s="29" t="n"/>
      <c r="D21" s="29" t="n"/>
      <c r="E21" s="29" t="n"/>
      <c r="F21" s="29" t="n"/>
      <c r="G21" s="29" t="n"/>
    </row>
    <row r="22" ht="54" customHeight="1">
      <c r="A22" s="29" t="n"/>
      <c r="B22" s="29" t="n"/>
      <c r="C22" s="29" t="n"/>
      <c r="D22" s="29" t="n"/>
      <c r="E22" s="29" t="n"/>
      <c r="F22" s="29" t="n"/>
      <c r="G22" s="29" t="n"/>
    </row>
    <row r="23" ht="54" customHeight="1">
      <c r="A23" s="29" t="n"/>
      <c r="B23" s="29" t="n"/>
      <c r="C23" s="29" t="n"/>
      <c r="D23" s="29" t="n"/>
      <c r="E23" s="29" t="n"/>
      <c r="F23" s="29" t="n"/>
      <c r="G23" s="29" t="n"/>
    </row>
    <row r="24" ht="54" customHeight="1">
      <c r="A24" s="29" t="n"/>
      <c r="B24" s="29" t="n"/>
      <c r="C24" s="29" t="n"/>
      <c r="D24" s="29" t="n"/>
      <c r="E24" s="29" t="n"/>
      <c r="F24" s="29" t="n"/>
      <c r="G24" s="29" t="n"/>
    </row>
    <row r="25" ht="54" customHeight="1">
      <c r="A25" s="29" t="n"/>
      <c r="B25" s="29" t="n"/>
      <c r="C25" s="29" t="n"/>
      <c r="D25" s="29" t="n"/>
      <c r="E25" s="29" t="n"/>
      <c r="F25" s="29" t="n"/>
      <c r="G25" s="29" t="n"/>
    </row>
    <row r="26" ht="54" customHeight="1">
      <c r="A26" s="29" t="n"/>
      <c r="B26" s="29" t="n"/>
      <c r="C26" s="29" t="n"/>
      <c r="D26" s="29" t="n"/>
      <c r="E26" s="29" t="n"/>
      <c r="F26" s="29" t="n"/>
      <c r="G26" s="29" t="n"/>
    </row>
    <row r="27" ht="54" customHeight="1">
      <c r="A27" s="29" t="n"/>
      <c r="B27" s="29" t="n"/>
      <c r="C27" s="29" t="n"/>
      <c r="D27" s="29" t="n"/>
      <c r="E27" s="29" t="n"/>
      <c r="F27" s="29" t="n"/>
      <c r="G27" s="29" t="n"/>
    </row>
    <row r="28" ht="54" customHeight="1">
      <c r="A28" s="29" t="n"/>
      <c r="B28" s="29" t="n"/>
      <c r="C28" s="29" t="n"/>
      <c r="D28" s="29" t="n"/>
      <c r="E28" s="29" t="n"/>
      <c r="F28" s="29" t="n"/>
      <c r="G28" s="29" t="n"/>
    </row>
    <row r="29" ht="54" customHeight="1">
      <c r="A29" s="29" t="n"/>
      <c r="B29" s="29" t="n"/>
      <c r="C29" s="29" t="n"/>
      <c r="D29" s="29" t="n"/>
      <c r="E29" s="29" t="n"/>
      <c r="F29" s="29" t="n"/>
      <c r="G29" s="29" t="n"/>
    </row>
    <row r="30" ht="54" customHeight="1">
      <c r="A30" s="29" t="n"/>
      <c r="B30" s="29" t="n"/>
      <c r="C30" s="29" t="n"/>
      <c r="D30" s="29" t="n"/>
      <c r="E30" s="29" t="n"/>
      <c r="F30" s="29" t="n"/>
      <c r="G30" s="29" t="n"/>
    </row>
    <row r="31" ht="54" customHeight="1">
      <c r="A31" s="29" t="n"/>
      <c r="B31" s="29" t="n"/>
      <c r="C31" s="29" t="n"/>
      <c r="D31" s="29" t="n"/>
      <c r="E31" s="29" t="n"/>
      <c r="F31" s="29" t="n"/>
      <c r="G31" s="29" t="n"/>
    </row>
    <row r="32" ht="54" customHeight="1">
      <c r="A32" s="29" t="n"/>
      <c r="B32" s="29" t="n"/>
      <c r="C32" s="29" t="n"/>
      <c r="D32" s="29" t="n"/>
      <c r="E32" s="29" t="n"/>
      <c r="F32" s="29" t="n"/>
      <c r="G32" s="29" t="n"/>
    </row>
    <row r="33" ht="54" customHeight="1">
      <c r="A33" s="29" t="n"/>
      <c r="B33" s="29" t="n"/>
      <c r="C33" s="29" t="n"/>
      <c r="D33" s="29" t="n"/>
      <c r="E33" s="29" t="n"/>
      <c r="F33" s="29" t="n"/>
      <c r="G33" s="29" t="n"/>
    </row>
    <row r="34" ht="54" customHeight="1">
      <c r="A34" s="29" t="n"/>
      <c r="B34" s="29" t="n"/>
      <c r="C34" s="29" t="n"/>
      <c r="D34" s="29" t="n"/>
      <c r="E34" s="29" t="n"/>
      <c r="F34" s="29" t="n"/>
      <c r="G34" s="29" t="n"/>
    </row>
    <row r="35" ht="54" customHeight="1">
      <c r="A35" s="29" t="n"/>
      <c r="B35" s="29" t="n"/>
      <c r="C35" s="29" t="n"/>
      <c r="D35" s="29" t="n"/>
      <c r="E35" s="29" t="n"/>
      <c r="F35" s="29" t="n"/>
      <c r="G35" s="29" t="n"/>
    </row>
    <row r="36" ht="54" customHeight="1">
      <c r="A36" s="29" t="n"/>
      <c r="B36" s="29" t="n"/>
      <c r="C36" s="29" t="n"/>
      <c r="D36" s="29" t="n"/>
      <c r="E36" s="29" t="n"/>
      <c r="F36" s="29" t="n"/>
      <c r="G36" s="29" t="n"/>
    </row>
    <row r="37" ht="54" customHeight="1">
      <c r="A37" s="29" t="n"/>
      <c r="B37" s="29" t="n"/>
      <c r="C37" s="29" t="n"/>
      <c r="D37" s="29" t="n"/>
      <c r="E37" s="29" t="n"/>
      <c r="F37" s="29" t="n"/>
      <c r="G37" s="29" t="n"/>
    </row>
    <row r="38" ht="54" customHeight="1">
      <c r="A38" s="29" t="n"/>
      <c r="B38" s="29" t="n"/>
      <c r="C38" s="29" t="n"/>
      <c r="D38" s="29" t="n"/>
      <c r="E38" s="29" t="n"/>
      <c r="F38" s="29" t="n"/>
      <c r="G38" s="29" t="n"/>
    </row>
    <row r="39" ht="54" customHeight="1">
      <c r="A39" s="29" t="n"/>
      <c r="B39" s="29" t="n"/>
      <c r="C39" s="29" t="n"/>
      <c r="D39" s="29" t="n"/>
      <c r="E39" s="29" t="n"/>
      <c r="F39" s="29" t="n"/>
      <c r="G39" s="29" t="n"/>
    </row>
    <row r="40" ht="54" customHeight="1">
      <c r="A40" s="29" t="n"/>
      <c r="B40" s="29" t="n"/>
      <c r="C40" s="29" t="n"/>
      <c r="D40" s="29" t="n"/>
      <c r="E40" s="29" t="n"/>
      <c r="F40" s="29" t="n"/>
      <c r="G40" s="29" t="n"/>
    </row>
    <row r="41" ht="54" customHeight="1">
      <c r="A41" s="29" t="n"/>
      <c r="B41" s="29" t="n"/>
      <c r="C41" s="29" t="n"/>
      <c r="D41" s="29" t="n"/>
      <c r="E41" s="29" t="n"/>
      <c r="F41" s="29" t="n"/>
      <c r="G41" s="29" t="n"/>
    </row>
    <row r="42" ht="54" customHeight="1">
      <c r="A42" s="29" t="n"/>
      <c r="B42" s="29" t="n"/>
      <c r="C42" s="29" t="n"/>
      <c r="D42" s="29" t="n"/>
      <c r="E42" s="29" t="n"/>
      <c r="F42" s="29" t="n"/>
      <c r="G42" s="29" t="n"/>
    </row>
    <row r="43" ht="54" customHeight="1">
      <c r="A43" s="29" t="n"/>
      <c r="B43" s="29" t="n"/>
      <c r="C43" s="29" t="n"/>
      <c r="D43" s="29" t="n"/>
      <c r="E43" s="29" t="n"/>
      <c r="F43" s="29" t="n"/>
      <c r="G43" s="29" t="n"/>
    </row>
    <row r="44" ht="54" customHeight="1">
      <c r="A44" s="29" t="n"/>
      <c r="B44" s="29" t="n"/>
      <c r="C44" s="29" t="n"/>
      <c r="D44" s="29" t="n"/>
      <c r="E44" s="29" t="n"/>
      <c r="F44" s="29" t="n"/>
      <c r="G44" s="29" t="n"/>
    </row>
    <row r="45" ht="54" customHeight="1">
      <c r="A45" s="29" t="n"/>
      <c r="B45" s="29" t="n"/>
      <c r="C45" s="29" t="n"/>
      <c r="D45" s="29" t="n"/>
      <c r="E45" s="29" t="n"/>
      <c r="F45" s="29" t="n"/>
      <c r="G45" s="29" t="n"/>
    </row>
    <row r="46" ht="54" customHeight="1">
      <c r="A46" s="29" t="n"/>
      <c r="B46" s="29" t="n"/>
      <c r="C46" s="29" t="n"/>
      <c r="D46" s="29" t="n"/>
      <c r="E46" s="29" t="n"/>
      <c r="F46" s="29" t="n"/>
      <c r="G46" s="29" t="n"/>
    </row>
    <row r="47" ht="54" customHeight="1">
      <c r="A47" s="29" t="n"/>
      <c r="B47" s="29" t="n"/>
      <c r="C47" s="29" t="n"/>
      <c r="D47" s="29" t="n"/>
      <c r="E47" s="29" t="n"/>
      <c r="F47" s="29" t="n"/>
      <c r="G47" s="29" t="n"/>
    </row>
    <row r="48" ht="54" customHeight="1">
      <c r="A48" s="29" t="n"/>
      <c r="B48" s="29" t="n"/>
      <c r="C48" s="29" t="n"/>
      <c r="D48" s="29" t="n"/>
      <c r="E48" s="29" t="n"/>
      <c r="F48" s="29" t="n"/>
      <c r="G48" s="29" t="n"/>
    </row>
    <row r="49" ht="54" customHeight="1">
      <c r="A49" s="29" t="n"/>
      <c r="B49" s="29" t="n"/>
      <c r="C49" s="29" t="n"/>
      <c r="D49" s="29" t="n"/>
      <c r="E49" s="29" t="n"/>
      <c r="F49" s="29" t="n"/>
      <c r="G49" s="29" t="n"/>
    </row>
    <row r="50" ht="54" customHeight="1">
      <c r="A50" s="29" t="n"/>
      <c r="B50" s="29" t="n"/>
      <c r="C50" s="29" t="n"/>
      <c r="D50" s="29" t="n"/>
      <c r="E50" s="29" t="n"/>
      <c r="F50" s="29" t="n"/>
      <c r="G50" s="29" t="n"/>
    </row>
    <row r="51" ht="54" customHeight="1">
      <c r="A51" s="29" t="n"/>
      <c r="B51" s="29" t="n"/>
      <c r="C51" s="29" t="n"/>
      <c r="D51" s="29" t="n"/>
      <c r="E51" s="29" t="n"/>
      <c r="F51" s="29" t="n"/>
      <c r="G51" s="29" t="n"/>
    </row>
    <row r="52" ht="54" customHeight="1">
      <c r="A52" s="29" t="n"/>
      <c r="B52" s="29" t="n"/>
      <c r="C52" s="29" t="n"/>
      <c r="D52" s="29" t="n"/>
      <c r="E52" s="29" t="n"/>
      <c r="F52" s="29" t="n"/>
      <c r="G52" s="29" t="n"/>
    </row>
    <row r="53" ht="54" customHeight="1">
      <c r="A53" s="29" t="n"/>
      <c r="B53" s="29" t="n"/>
      <c r="C53" s="29" t="n"/>
      <c r="D53" s="29" t="n"/>
      <c r="E53" s="29" t="n"/>
      <c r="F53" s="29" t="n"/>
      <c r="G53" s="29" t="n"/>
    </row>
    <row r="54" ht="54" customHeight="1">
      <c r="A54" s="29" t="n"/>
      <c r="B54" s="29" t="n"/>
      <c r="C54" s="29" t="n"/>
      <c r="D54" s="29" t="n"/>
      <c r="E54" s="29" t="n"/>
      <c r="F54" s="29" t="n"/>
      <c r="G54" s="29" t="n"/>
    </row>
    <row r="55" ht="54" customHeight="1">
      <c r="A55" s="29" t="n"/>
      <c r="B55" s="29" t="n"/>
      <c r="C55" s="29" t="n"/>
      <c r="D55" s="29" t="n"/>
      <c r="E55" s="29" t="n"/>
      <c r="F55" s="29" t="n"/>
      <c r="G55" s="29" t="n"/>
    </row>
    <row r="56" ht="54" customHeight="1">
      <c r="A56" s="29" t="n"/>
      <c r="B56" s="29" t="n"/>
      <c r="C56" s="29" t="n"/>
      <c r="D56" s="29" t="n"/>
      <c r="E56" s="29" t="n"/>
      <c r="F56" s="29" t="n"/>
      <c r="G56" s="29" t="n"/>
    </row>
    <row r="57" ht="54" customHeight="1">
      <c r="A57" s="29" t="n"/>
      <c r="B57" s="29" t="n"/>
      <c r="C57" s="29" t="n"/>
      <c r="D57" s="29" t="n"/>
      <c r="E57" s="29" t="n"/>
      <c r="F57" s="29" t="n"/>
      <c r="G57" s="29" t="n"/>
    </row>
    <row r="58" ht="54" customHeight="1">
      <c r="A58" s="29" t="n"/>
      <c r="B58" s="29" t="n"/>
      <c r="C58" s="29" t="n"/>
      <c r="D58" s="29" t="n"/>
      <c r="E58" s="29" t="n"/>
      <c r="F58" s="29" t="n"/>
      <c r="G58" s="29" t="n"/>
    </row>
    <row r="59" ht="54" customHeight="1">
      <c r="A59" s="29" t="n"/>
      <c r="B59" s="29" t="n"/>
      <c r="C59" s="29" t="n"/>
      <c r="D59" s="29" t="n"/>
      <c r="E59" s="29" t="n"/>
      <c r="F59" s="29" t="n"/>
      <c r="G59" s="29" t="n"/>
    </row>
    <row r="60" ht="54" customHeight="1">
      <c r="A60" s="29" t="n"/>
      <c r="B60" s="29" t="n"/>
      <c r="C60" s="29" t="n"/>
      <c r="D60" s="29" t="n"/>
      <c r="E60" s="29" t="n"/>
      <c r="F60" s="29" t="n"/>
      <c r="G60" s="29" t="n"/>
    </row>
    <row r="61" ht="54" customHeight="1">
      <c r="A61" s="29" t="n"/>
      <c r="B61" s="29" t="n"/>
      <c r="C61" s="29" t="n"/>
      <c r="D61" s="29" t="n"/>
      <c r="E61" s="29" t="n"/>
      <c r="F61" s="29" t="n"/>
      <c r="G61" s="29" t="n"/>
    </row>
    <row r="62" ht="54" customHeight="1">
      <c r="A62" s="29" t="n"/>
      <c r="B62" s="29" t="n"/>
      <c r="C62" s="29" t="n"/>
      <c r="D62" s="29" t="n"/>
      <c r="E62" s="29" t="n"/>
      <c r="F62" s="29" t="n"/>
      <c r="G62" s="29" t="n"/>
    </row>
    <row r="63" ht="54" customHeight="1">
      <c r="A63" s="29" t="n"/>
      <c r="B63" s="29" t="n"/>
      <c r="C63" s="29" t="n"/>
      <c r="D63" s="29" t="n"/>
      <c r="E63" s="29" t="n"/>
      <c r="F63" s="29" t="n"/>
      <c r="G63" s="29" t="n"/>
    </row>
    <row r="64" ht="54" customHeight="1">
      <c r="A64" s="29" t="n"/>
      <c r="B64" s="29" t="n"/>
      <c r="C64" s="29" t="n"/>
      <c r="D64" s="29" t="n"/>
      <c r="E64" s="29" t="n"/>
      <c r="F64" s="29" t="n"/>
      <c r="G64" s="29" t="n"/>
    </row>
    <row r="65" ht="54" customHeight="1">
      <c r="A65" s="29" t="n"/>
      <c r="B65" s="29" t="n"/>
      <c r="C65" s="29" t="n"/>
      <c r="D65" s="29" t="n"/>
      <c r="E65" s="29" t="n"/>
      <c r="F65" s="29" t="n"/>
      <c r="G65" s="29" t="n"/>
    </row>
    <row r="66" ht="54" customHeight="1">
      <c r="A66" s="29" t="n"/>
      <c r="B66" s="29" t="n"/>
      <c r="C66" s="29" t="n"/>
      <c r="D66" s="29" t="n"/>
      <c r="E66" s="29" t="n"/>
      <c r="F66" s="29" t="n"/>
      <c r="G66" s="29" t="n"/>
    </row>
    <row r="67" ht="54" customHeight="1">
      <c r="A67" s="29" t="n"/>
      <c r="B67" s="29" t="n"/>
      <c r="C67" s="29" t="n"/>
      <c r="D67" s="29" t="n"/>
      <c r="E67" s="29" t="n"/>
      <c r="F67" s="29" t="n"/>
      <c r="G67" s="29" t="n"/>
    </row>
    <row r="68" ht="54" customHeight="1">
      <c r="A68" s="29" t="n"/>
      <c r="B68" s="29" t="n"/>
      <c r="C68" s="29" t="n"/>
      <c r="D68" s="29" t="n"/>
      <c r="E68" s="29" t="n"/>
      <c r="F68" s="29" t="n"/>
      <c r="G68" s="29" t="n"/>
    </row>
    <row r="69" ht="54" customHeight="1">
      <c r="A69" s="29" t="n"/>
      <c r="B69" s="29" t="n"/>
      <c r="C69" s="29" t="n"/>
      <c r="D69" s="29" t="n"/>
      <c r="E69" s="29" t="n"/>
      <c r="F69" s="29" t="n"/>
      <c r="G69" s="29" t="n"/>
    </row>
    <row r="70" ht="54" customHeight="1">
      <c r="A70" s="29" t="n"/>
      <c r="B70" s="29" t="n"/>
      <c r="C70" s="29" t="n"/>
      <c r="D70" s="29" t="n"/>
      <c r="E70" s="29" t="n"/>
      <c r="F70" s="29" t="n"/>
      <c r="G70" s="29" t="n"/>
    </row>
    <row r="71" ht="54" customHeight="1">
      <c r="A71" s="29" t="n"/>
      <c r="B71" s="29" t="n"/>
      <c r="C71" s="29" t="n"/>
      <c r="D71" s="29" t="n"/>
      <c r="E71" s="29" t="n"/>
      <c r="F71" s="29" t="n"/>
      <c r="G71" s="29" t="n"/>
    </row>
    <row r="72" ht="54" customHeight="1">
      <c r="A72" s="29" t="n"/>
      <c r="B72" s="29" t="n"/>
      <c r="C72" s="29" t="n"/>
      <c r="D72" s="29" t="n"/>
      <c r="E72" s="29" t="n"/>
      <c r="F72" s="29" t="n"/>
      <c r="G72" s="29" t="n"/>
    </row>
    <row r="73" ht="54" customHeight="1">
      <c r="A73" s="29" t="n"/>
      <c r="B73" s="29" t="n"/>
      <c r="C73" s="29" t="n"/>
      <c r="D73" s="29" t="n"/>
      <c r="E73" s="29" t="n"/>
      <c r="F73" s="29" t="n"/>
      <c r="G73" s="29" t="n"/>
    </row>
    <row r="74" ht="54" customHeight="1">
      <c r="A74" s="29" t="n"/>
      <c r="B74" s="29" t="n"/>
      <c r="C74" s="29" t="n"/>
      <c r="D74" s="29" t="n"/>
      <c r="E74" s="29" t="n"/>
      <c r="F74" s="29" t="n"/>
      <c r="G74" s="29" t="n"/>
    </row>
    <row r="75" ht="54" customHeight="1">
      <c r="A75" s="29" t="n"/>
      <c r="B75" s="29" t="n"/>
      <c r="C75" s="29" t="n"/>
      <c r="D75" s="29" t="n"/>
      <c r="E75" s="29" t="n"/>
      <c r="F75" s="29" t="n"/>
      <c r="G75" s="29" t="n"/>
    </row>
    <row r="76" ht="54" customHeight="1">
      <c r="A76" s="29" t="n"/>
      <c r="B76" s="29" t="n"/>
      <c r="C76" s="29" t="n"/>
      <c r="D76" s="29" t="n"/>
      <c r="E76" s="29" t="n"/>
      <c r="F76" s="29" t="n"/>
      <c r="G76" s="29" t="n"/>
    </row>
    <row r="77" ht="54" customHeight="1">
      <c r="A77" s="29" t="n"/>
      <c r="B77" s="29" t="n"/>
      <c r="C77" s="29" t="n"/>
      <c r="D77" s="29" t="n"/>
      <c r="E77" s="29" t="n"/>
      <c r="F77" s="29" t="n"/>
      <c r="G77" s="29" t="n"/>
    </row>
    <row r="78" ht="54" customHeight="1">
      <c r="A78" s="29" t="n"/>
      <c r="B78" s="29" t="n"/>
      <c r="C78" s="29" t="n"/>
      <c r="D78" s="29" t="n"/>
      <c r="E78" s="29" t="n"/>
      <c r="F78" s="29" t="n"/>
      <c r="G78" s="29" t="n"/>
    </row>
    <row r="79" ht="54" customHeight="1">
      <c r="A79" s="29" t="n"/>
      <c r="B79" s="29" t="n"/>
      <c r="C79" s="29" t="n"/>
      <c r="D79" s="29" t="n"/>
      <c r="E79" s="29" t="n"/>
      <c r="F79" s="29" t="n"/>
      <c r="G79" s="29" t="n"/>
    </row>
    <row r="80" ht="54" customHeight="1">
      <c r="A80" s="29" t="n"/>
      <c r="B80" s="29" t="n"/>
      <c r="C80" s="29" t="n"/>
      <c r="D80" s="29" t="n"/>
      <c r="E80" s="29" t="n"/>
      <c r="F80" s="29" t="n"/>
      <c r="G80" s="29" t="n"/>
    </row>
    <row r="81" ht="54" customHeight="1">
      <c r="A81" s="29" t="n"/>
      <c r="B81" s="29" t="n"/>
      <c r="C81" s="29" t="n"/>
      <c r="D81" s="29" t="n"/>
      <c r="E81" s="29" t="n"/>
      <c r="F81" s="29" t="n"/>
      <c r="G81" s="29" t="n"/>
    </row>
    <row r="82" ht="54" customHeight="1">
      <c r="A82" s="29" t="n"/>
      <c r="B82" s="29" t="n"/>
      <c r="C82" s="29" t="n"/>
      <c r="D82" s="29" t="n"/>
      <c r="E82" s="29" t="n"/>
      <c r="F82" s="29" t="n"/>
      <c r="G82" s="29" t="n"/>
    </row>
    <row r="83" ht="54" customHeight="1">
      <c r="A83" s="29" t="n"/>
      <c r="B83" s="29" t="n"/>
      <c r="C83" s="29" t="n"/>
      <c r="D83" s="29" t="n"/>
      <c r="E83" s="29" t="n"/>
      <c r="F83" s="29" t="n"/>
      <c r="G83" s="29" t="n"/>
    </row>
    <row r="84" ht="54" customHeight="1">
      <c r="A84" s="29" t="n"/>
      <c r="B84" s="29" t="n"/>
      <c r="C84" s="29" t="n"/>
      <c r="D84" s="29" t="n"/>
      <c r="E84" s="29" t="n"/>
      <c r="F84" s="29" t="n"/>
      <c r="G84" s="29" t="n"/>
    </row>
    <row r="85" ht="54" customHeight="1">
      <c r="A85" s="29" t="n"/>
      <c r="B85" s="29" t="n"/>
      <c r="C85" s="29" t="n"/>
      <c r="D85" s="29" t="n"/>
      <c r="E85" s="29" t="n"/>
      <c r="F85" s="29" t="n"/>
      <c r="G85" s="29" t="n"/>
    </row>
    <row r="86" ht="54" customHeight="1">
      <c r="A86" s="29" t="n"/>
      <c r="B86" s="29" t="n"/>
      <c r="C86" s="29" t="n"/>
      <c r="D86" s="29" t="n"/>
      <c r="E86" s="29" t="n"/>
      <c r="F86" s="29" t="n"/>
      <c r="G86" s="29" t="n"/>
    </row>
    <row r="87" ht="54" customHeight="1">
      <c r="A87" s="29" t="n"/>
      <c r="B87" s="29" t="n"/>
      <c r="C87" s="29" t="n"/>
      <c r="D87" s="29" t="n"/>
      <c r="E87" s="29" t="n"/>
      <c r="F87" s="29" t="n"/>
      <c r="G87" s="29" t="n"/>
    </row>
    <row r="88" ht="54" customHeight="1">
      <c r="A88" s="29" t="n"/>
      <c r="B88" s="29" t="n"/>
      <c r="C88" s="29" t="n"/>
      <c r="D88" s="29" t="n"/>
      <c r="E88" s="29" t="n"/>
      <c r="F88" s="29" t="n"/>
      <c r="G88" s="29" t="n"/>
    </row>
    <row r="89" ht="54" customHeight="1">
      <c r="A89" s="29" t="n"/>
      <c r="B89" s="29" t="n"/>
      <c r="C89" s="29" t="n"/>
      <c r="D89" s="29" t="n"/>
      <c r="E89" s="29" t="n"/>
      <c r="F89" s="29" t="n"/>
      <c r="G89" s="29" t="n"/>
    </row>
    <row r="90" ht="54" customHeight="1">
      <c r="A90" s="29" t="n"/>
      <c r="B90" s="29" t="n"/>
      <c r="C90" s="29" t="n"/>
      <c r="D90" s="29" t="n"/>
      <c r="E90" s="29" t="n"/>
      <c r="F90" s="29" t="n"/>
      <c r="G90" s="29" t="n"/>
    </row>
    <row r="91" ht="54" customHeight="1">
      <c r="A91" s="29" t="n"/>
      <c r="B91" s="29" t="n"/>
      <c r="C91" s="29" t="n"/>
      <c r="D91" s="29" t="n"/>
      <c r="E91" s="29" t="n"/>
      <c r="F91" s="29" t="n"/>
      <c r="G91" s="29" t="n"/>
    </row>
    <row r="92" ht="54" customHeight="1">
      <c r="A92" s="29" t="n"/>
      <c r="B92" s="29" t="n"/>
      <c r="C92" s="29" t="n"/>
      <c r="D92" s="29" t="n"/>
      <c r="E92" s="29" t="n"/>
      <c r="F92" s="29" t="n"/>
      <c r="G92" s="29" t="n"/>
    </row>
    <row r="93" ht="54" customHeight="1">
      <c r="A93" s="29" t="n"/>
      <c r="B93" s="29" t="n"/>
      <c r="C93" s="29" t="n"/>
      <c r="D93" s="29" t="n"/>
      <c r="E93" s="29" t="n"/>
      <c r="F93" s="29" t="n"/>
      <c r="G93" s="29" t="n"/>
    </row>
    <row r="94" ht="54" customHeight="1">
      <c r="A94" s="29" t="n"/>
      <c r="B94" s="29" t="n"/>
      <c r="C94" s="29" t="n"/>
      <c r="D94" s="29" t="n"/>
      <c r="E94" s="29" t="n"/>
      <c r="F94" s="29" t="n"/>
      <c r="G94" s="29" t="n"/>
    </row>
    <row r="95" ht="54" customHeight="1">
      <c r="A95" s="29" t="n"/>
      <c r="B95" s="29" t="n"/>
      <c r="C95" s="29" t="n"/>
      <c r="D95" s="29" t="n"/>
      <c r="E95" s="29" t="n"/>
      <c r="F95" s="29" t="n"/>
      <c r="G95" s="29" t="n"/>
    </row>
    <row r="96" ht="54" customHeight="1">
      <c r="A96" s="29" t="n"/>
      <c r="B96" s="29" t="n"/>
      <c r="C96" s="29" t="n"/>
      <c r="D96" s="29" t="n"/>
      <c r="E96" s="29" t="n"/>
      <c r="F96" s="29" t="n"/>
      <c r="G96" s="29" t="n"/>
    </row>
    <row r="97" ht="54" customHeight="1">
      <c r="A97" s="29" t="n"/>
      <c r="B97" s="29" t="n"/>
      <c r="C97" s="29" t="n"/>
      <c r="D97" s="29" t="n"/>
      <c r="E97" s="29" t="n"/>
      <c r="F97" s="29" t="n"/>
      <c r="G97" s="29" t="n"/>
    </row>
    <row r="98" ht="54" customHeight="1">
      <c r="A98" s="29" t="n"/>
      <c r="B98" s="29" t="n"/>
      <c r="C98" s="29" t="n"/>
      <c r="D98" s="29" t="n"/>
      <c r="E98" s="29" t="n"/>
      <c r="F98" s="29" t="n"/>
      <c r="G98" s="29" t="n"/>
    </row>
    <row r="99" ht="54" customHeight="1">
      <c r="A99" s="29" t="n"/>
      <c r="B99" s="29" t="n"/>
      <c r="C99" s="29" t="n"/>
      <c r="D99" s="29" t="n"/>
      <c r="E99" s="29" t="n"/>
      <c r="F99" s="29" t="n"/>
      <c r="G99" s="29" t="n"/>
    </row>
    <row r="100" ht="54" customHeight="1">
      <c r="A100" s="29" t="n"/>
      <c r="B100" s="29" t="n"/>
      <c r="C100" s="29" t="n"/>
      <c r="D100" s="29" t="n"/>
      <c r="E100" s="29" t="n"/>
      <c r="F100" s="29" t="n"/>
      <c r="G100" s="29" t="n"/>
    </row>
    <row r="101" ht="54" customHeight="1">
      <c r="A101" s="29" t="n"/>
      <c r="B101" s="29" t="n"/>
      <c r="C101" s="29" t="n"/>
      <c r="D101" s="29" t="n"/>
      <c r="E101" s="29" t="n"/>
      <c r="F101" s="29" t="n"/>
      <c r="G101" s="29" t="n"/>
    </row>
    <row r="102" ht="54" customHeight="1">
      <c r="A102" s="29" t="n"/>
      <c r="B102" s="29" t="n"/>
      <c r="C102" s="29" t="n"/>
      <c r="D102" s="29" t="n"/>
      <c r="E102" s="29" t="n"/>
      <c r="F102" s="29" t="n"/>
      <c r="G102" s="29" t="n"/>
    </row>
    <row r="103" ht="54" customHeight="1">
      <c r="A103" s="29" t="n"/>
      <c r="B103" s="29" t="n"/>
      <c r="C103" s="29" t="n"/>
      <c r="D103" s="29" t="n"/>
      <c r="E103" s="29" t="n"/>
      <c r="F103" s="29" t="n"/>
      <c r="G103" s="29" t="n"/>
    </row>
    <row r="104" ht="54" customHeight="1">
      <c r="A104" s="29" t="n"/>
      <c r="B104" s="29" t="n"/>
      <c r="C104" s="29" t="n"/>
      <c r="D104" s="29" t="n"/>
      <c r="E104" s="29" t="n"/>
      <c r="F104" s="29" t="n"/>
      <c r="G104" s="29" t="n"/>
    </row>
    <row r="105" ht="54" customHeight="1">
      <c r="A105" s="29" t="n"/>
      <c r="B105" s="29" t="n"/>
      <c r="C105" s="29" t="n"/>
      <c r="D105" s="29" t="n"/>
      <c r="E105" s="29" t="n"/>
      <c r="F105" s="29" t="n"/>
      <c r="G105" s="29" t="n"/>
    </row>
    <row r="106" ht="54" customHeight="1">
      <c r="A106" s="29" t="n"/>
      <c r="B106" s="29" t="n"/>
      <c r="C106" s="29" t="n"/>
      <c r="D106" s="29" t="n"/>
      <c r="E106" s="29" t="n"/>
      <c r="F106" s="29" t="n"/>
      <c r="G106" s="29" t="n"/>
    </row>
    <row r="107" ht="54" customHeight="1">
      <c r="A107" s="29" t="n"/>
      <c r="B107" s="29" t="n"/>
      <c r="C107" s="29" t="n"/>
      <c r="D107" s="29" t="n"/>
      <c r="E107" s="29" t="n"/>
      <c r="F107" s="29" t="n"/>
      <c r="G107" s="29" t="n"/>
    </row>
    <row r="108" ht="54" customHeight="1">
      <c r="A108" s="29" t="n"/>
      <c r="B108" s="29" t="n"/>
      <c r="C108" s="29" t="n"/>
      <c r="D108" s="29" t="n"/>
      <c r="E108" s="29" t="n"/>
      <c r="F108" s="29" t="n"/>
      <c r="G108" s="29" t="n"/>
    </row>
    <row r="109" ht="54" customHeight="1">
      <c r="A109" s="29" t="n"/>
      <c r="B109" s="29" t="n"/>
      <c r="C109" s="29" t="n"/>
      <c r="D109" s="29" t="n"/>
      <c r="E109" s="29" t="n"/>
      <c r="F109" s="29" t="n"/>
      <c r="G109" s="29" t="n"/>
    </row>
    <row r="110" ht="54" customHeight="1">
      <c r="A110" s="29" t="n"/>
      <c r="B110" s="29" t="n"/>
      <c r="C110" s="29" t="n"/>
      <c r="D110" s="29" t="n"/>
      <c r="E110" s="29" t="n"/>
      <c r="F110" s="29" t="n"/>
      <c r="G110" s="29" t="n"/>
    </row>
    <row r="111" ht="54" customHeight="1">
      <c r="A111" s="29" t="n"/>
      <c r="B111" s="29" t="n"/>
      <c r="C111" s="29" t="n"/>
      <c r="D111" s="29" t="n"/>
      <c r="E111" s="29" t="n"/>
      <c r="F111" s="29" t="n"/>
      <c r="G111" s="29" t="n"/>
    </row>
    <row r="112" ht="54" customHeight="1">
      <c r="A112" s="29" t="n"/>
      <c r="B112" s="29" t="n"/>
      <c r="C112" s="29" t="n"/>
      <c r="D112" s="29" t="n"/>
      <c r="E112" s="29" t="n"/>
      <c r="F112" s="29" t="n"/>
      <c r="G112" s="29" t="n"/>
    </row>
    <row r="113" ht="54" customHeight="1">
      <c r="A113" s="29" t="n"/>
      <c r="B113" s="29" t="n"/>
      <c r="C113" s="29" t="n"/>
      <c r="D113" s="29" t="n"/>
      <c r="E113" s="29" t="n"/>
      <c r="F113" s="29" t="n"/>
      <c r="G113" s="29" t="n"/>
    </row>
    <row r="114" ht="54" customHeight="1">
      <c r="A114" s="29" t="n"/>
      <c r="B114" s="29" t="n"/>
      <c r="C114" s="29" t="n"/>
      <c r="D114" s="29" t="n"/>
      <c r="E114" s="29" t="n"/>
      <c r="F114" s="29" t="n"/>
      <c r="G114" s="29" t="n"/>
    </row>
    <row r="115" ht="54" customHeight="1">
      <c r="A115" s="29" t="n"/>
      <c r="B115" s="29" t="n"/>
      <c r="C115" s="29" t="n"/>
      <c r="D115" s="29" t="n"/>
      <c r="E115" s="29" t="n"/>
      <c r="F115" s="29" t="n"/>
      <c r="G115" s="29" t="n"/>
    </row>
    <row r="116" ht="54" customHeight="1">
      <c r="A116" s="29" t="n"/>
      <c r="B116" s="29" t="n"/>
      <c r="C116" s="29" t="n"/>
      <c r="D116" s="29" t="n"/>
      <c r="E116" s="29" t="n"/>
      <c r="F116" s="29" t="n"/>
      <c r="G116" s="29" t="n"/>
    </row>
    <row r="117" ht="54" customHeight="1">
      <c r="A117" s="29" t="n"/>
      <c r="B117" s="29" t="n"/>
      <c r="C117" s="29" t="n"/>
      <c r="D117" s="29" t="n"/>
      <c r="E117" s="29" t="n"/>
      <c r="F117" s="29" t="n"/>
      <c r="G117" s="29" t="n"/>
    </row>
    <row r="118" ht="54" customHeight="1">
      <c r="A118" s="29" t="n"/>
      <c r="B118" s="29" t="n"/>
      <c r="C118" s="29" t="n"/>
      <c r="D118" s="29" t="n"/>
      <c r="E118" s="29" t="n"/>
      <c r="F118" s="29" t="n"/>
      <c r="G118" s="29" t="n"/>
    </row>
    <row r="119" ht="54" customHeight="1">
      <c r="A119" s="29" t="n"/>
      <c r="B119" s="29" t="n"/>
      <c r="C119" s="29" t="n"/>
      <c r="D119" s="29" t="n"/>
      <c r="E119" s="29" t="n"/>
      <c r="F119" s="29" t="n"/>
      <c r="G119" s="29" t="n"/>
    </row>
    <row r="120" ht="54" customHeight="1">
      <c r="A120" s="29" t="n"/>
      <c r="B120" s="29" t="n"/>
      <c r="C120" s="29" t="n"/>
      <c r="D120" s="29" t="n"/>
      <c r="E120" s="29" t="n"/>
      <c r="F120" s="29" t="n"/>
      <c r="G120" s="29" t="n"/>
    </row>
    <row r="121" ht="54" customHeight="1">
      <c r="A121" s="29" t="n"/>
      <c r="B121" s="29" t="n"/>
      <c r="C121" s="29" t="n"/>
      <c r="D121" s="29" t="n"/>
      <c r="E121" s="29" t="n"/>
      <c r="F121" s="29" t="n"/>
      <c r="G121" s="29" t="n"/>
    </row>
    <row r="122" ht="54" customHeight="1">
      <c r="A122" s="29" t="n"/>
      <c r="B122" s="29" t="n"/>
      <c r="C122" s="29" t="n"/>
      <c r="D122" s="29" t="n"/>
      <c r="E122" s="29" t="n"/>
      <c r="F122" s="29" t="n"/>
      <c r="G122" s="29" t="n"/>
    </row>
    <row r="123" ht="54" customHeight="1">
      <c r="A123" s="29" t="n"/>
      <c r="B123" s="29" t="n"/>
      <c r="C123" s="29" t="n"/>
      <c r="D123" s="29" t="n"/>
      <c r="E123" s="29" t="n"/>
      <c r="F123" s="29" t="n"/>
      <c r="G123" s="29" t="n"/>
    </row>
    <row r="124" ht="54" customHeight="1">
      <c r="A124" s="29" t="n"/>
      <c r="B124" s="29" t="n"/>
      <c r="C124" s="29" t="n"/>
      <c r="D124" s="29" t="n"/>
      <c r="E124" s="29" t="n"/>
      <c r="F124" s="29" t="n"/>
      <c r="G124" s="29" t="n"/>
    </row>
    <row r="125" ht="54" customHeight="1">
      <c r="A125" s="29" t="n"/>
      <c r="B125" s="29" t="n"/>
      <c r="C125" s="29" t="n"/>
      <c r="D125" s="29" t="n"/>
      <c r="E125" s="29" t="n"/>
      <c r="F125" s="29" t="n"/>
      <c r="G125" s="29" t="n"/>
    </row>
    <row r="126" ht="54" customHeight="1">
      <c r="A126" s="29" t="n"/>
      <c r="B126" s="29" t="n"/>
      <c r="C126" s="29" t="n"/>
      <c r="D126" s="29" t="n"/>
      <c r="E126" s="29" t="n"/>
      <c r="F126" s="29" t="n"/>
      <c r="G126" s="29" t="n"/>
    </row>
    <row r="127" ht="54" customHeight="1">
      <c r="A127" s="29" t="n"/>
      <c r="B127" s="29" t="n"/>
      <c r="C127" s="29" t="n"/>
      <c r="D127" s="29" t="n"/>
      <c r="E127" s="29" t="n"/>
      <c r="F127" s="29" t="n"/>
      <c r="G127" s="29" t="n"/>
    </row>
    <row r="128" ht="54" customHeight="1">
      <c r="A128" s="29" t="n"/>
      <c r="B128" s="29" t="n"/>
      <c r="C128" s="29" t="n"/>
      <c r="D128" s="29" t="n"/>
      <c r="E128" s="29" t="n"/>
      <c r="F128" s="29" t="n"/>
      <c r="G128" s="29" t="n"/>
    </row>
    <row r="129" ht="54" customHeight="1">
      <c r="A129" s="29" t="n"/>
      <c r="B129" s="29" t="n"/>
      <c r="C129" s="29" t="n"/>
      <c r="D129" s="29" t="n"/>
      <c r="E129" s="29" t="n"/>
      <c r="F129" s="29" t="n"/>
      <c r="G129" s="29" t="n"/>
    </row>
    <row r="130" ht="54" customHeight="1">
      <c r="A130" s="29" t="n"/>
      <c r="B130" s="29" t="n"/>
      <c r="C130" s="29" t="n"/>
      <c r="D130" s="29" t="n"/>
      <c r="E130" s="29" t="n"/>
      <c r="F130" s="29" t="n"/>
      <c r="G130" s="29" t="n"/>
    </row>
    <row r="131" ht="54" customHeight="1">
      <c r="A131" s="29" t="n"/>
      <c r="B131" s="29" t="n"/>
      <c r="C131" s="29" t="n"/>
      <c r="D131" s="29" t="n"/>
      <c r="E131" s="29" t="n"/>
      <c r="F131" s="29" t="n"/>
      <c r="G131" s="29" t="n"/>
    </row>
    <row r="132" ht="54" customHeight="1">
      <c r="A132" s="29" t="n"/>
      <c r="B132" s="29" t="n"/>
      <c r="C132" s="29" t="n"/>
      <c r="D132" s="29" t="n"/>
      <c r="E132" s="29" t="n"/>
      <c r="F132" s="29" t="n"/>
      <c r="G132" s="29" t="n"/>
    </row>
    <row r="133" ht="54" customHeight="1">
      <c r="A133" s="29" t="n"/>
      <c r="B133" s="29" t="n"/>
      <c r="C133" s="29" t="n"/>
      <c r="D133" s="29" t="n"/>
      <c r="E133" s="29" t="n"/>
      <c r="F133" s="29" t="n"/>
      <c r="G133" s="29" t="n"/>
    </row>
    <row r="134" ht="54" customHeight="1">
      <c r="A134" s="29" t="n"/>
      <c r="B134" s="29" t="n"/>
      <c r="C134" s="29" t="n"/>
      <c r="D134" s="29" t="n"/>
      <c r="E134" s="29" t="n"/>
      <c r="F134" s="29" t="n"/>
      <c r="G134" s="29" t="n"/>
    </row>
    <row r="135" ht="54" customHeight="1">
      <c r="A135" s="29" t="n"/>
      <c r="B135" s="29" t="n"/>
      <c r="C135" s="29" t="n"/>
      <c r="D135" s="29" t="n"/>
      <c r="E135" s="29" t="n"/>
      <c r="F135" s="29" t="n"/>
      <c r="G135" s="29" t="n"/>
    </row>
    <row r="136" ht="54" customHeight="1">
      <c r="A136" s="29" t="n"/>
      <c r="B136" s="29" t="n"/>
      <c r="C136" s="29" t="n"/>
      <c r="D136" s="29" t="n"/>
      <c r="E136" s="29" t="n"/>
      <c r="F136" s="29" t="n"/>
      <c r="G136" s="29" t="n"/>
    </row>
    <row r="137" ht="54" customHeight="1">
      <c r="A137" s="29" t="n"/>
      <c r="B137" s="29" t="n"/>
      <c r="C137" s="29" t="n"/>
      <c r="D137" s="29" t="n"/>
      <c r="E137" s="29" t="n"/>
      <c r="F137" s="29" t="n"/>
      <c r="G137" s="29" t="n"/>
    </row>
    <row r="138" ht="54" customHeight="1">
      <c r="A138" s="29" t="n"/>
      <c r="B138" s="29" t="n"/>
      <c r="C138" s="29" t="n"/>
      <c r="D138" s="29" t="n"/>
      <c r="E138" s="29" t="n"/>
      <c r="F138" s="29" t="n"/>
      <c r="G138" s="29" t="n"/>
    </row>
    <row r="139" ht="54" customHeight="1">
      <c r="A139" s="29" t="n"/>
      <c r="B139" s="29" t="n"/>
      <c r="C139" s="29" t="n"/>
      <c r="D139" s="29" t="n"/>
      <c r="E139" s="29" t="n"/>
      <c r="F139" s="29" t="n"/>
      <c r="G139" s="29" t="n"/>
    </row>
    <row r="140" ht="54" customHeight="1">
      <c r="A140" s="29" t="n"/>
      <c r="B140" s="29" t="n"/>
      <c r="C140" s="29" t="n"/>
      <c r="D140" s="29" t="n"/>
      <c r="E140" s="29" t="n"/>
      <c r="F140" s="29" t="n"/>
      <c r="G140" s="29" t="n"/>
    </row>
    <row r="141" ht="54" customHeight="1">
      <c r="A141" s="29" t="n"/>
      <c r="B141" s="29" t="n"/>
      <c r="C141" s="29" t="n"/>
      <c r="D141" s="29" t="n"/>
      <c r="E141" s="29" t="n"/>
      <c r="F141" s="29" t="n"/>
      <c r="G141" s="29" t="n"/>
    </row>
    <row r="142" ht="54" customHeight="1">
      <c r="A142" s="29" t="n"/>
      <c r="B142" s="29" t="n"/>
      <c r="C142" s="29" t="n"/>
      <c r="D142" s="29" t="n"/>
      <c r="E142" s="29" t="n"/>
      <c r="F142" s="29" t="n"/>
      <c r="G142" s="29" t="n"/>
    </row>
    <row r="143" ht="54" customHeight="1">
      <c r="A143" s="29" t="n"/>
      <c r="B143" s="29" t="n"/>
      <c r="C143" s="29" t="n"/>
      <c r="D143" s="29" t="n"/>
      <c r="E143" s="29" t="n"/>
      <c r="F143" s="29" t="n"/>
      <c r="G143" s="29" t="n"/>
    </row>
    <row r="144" ht="54" customHeight="1">
      <c r="A144" s="29" t="n"/>
      <c r="B144" s="29" t="n"/>
      <c r="C144" s="29" t="n"/>
      <c r="D144" s="29" t="n"/>
      <c r="E144" s="29" t="n"/>
      <c r="F144" s="29" t="n"/>
      <c r="G144" s="29" t="n"/>
    </row>
    <row r="145" ht="54" customHeight="1">
      <c r="A145" s="29" t="n"/>
      <c r="B145" s="29" t="n"/>
      <c r="C145" s="29" t="n"/>
      <c r="D145" s="29" t="n"/>
      <c r="E145" s="29" t="n"/>
      <c r="F145" s="29" t="n"/>
      <c r="G145" s="29" t="n"/>
    </row>
    <row r="146" ht="54" customHeight="1">
      <c r="A146" s="29" t="n"/>
      <c r="B146" s="29" t="n"/>
      <c r="C146" s="29" t="n"/>
      <c r="D146" s="29" t="n"/>
      <c r="E146" s="29" t="n"/>
      <c r="F146" s="29" t="n"/>
      <c r="G146" s="29" t="n"/>
    </row>
    <row r="147" ht="54" customHeight="1">
      <c r="A147" s="29" t="n"/>
      <c r="B147" s="29" t="n"/>
      <c r="C147" s="29" t="n"/>
      <c r="D147" s="29" t="n"/>
      <c r="E147" s="29" t="n"/>
      <c r="F147" s="29" t="n"/>
      <c r="G147" s="29" t="n"/>
    </row>
    <row r="148" ht="54" customHeight="1">
      <c r="A148" s="29" t="n"/>
      <c r="B148" s="29" t="n"/>
      <c r="C148" s="29" t="n"/>
      <c r="D148" s="29" t="n"/>
      <c r="E148" s="29" t="n"/>
      <c r="F148" s="29" t="n"/>
      <c r="G148" s="29" t="n"/>
    </row>
    <row r="149" ht="54" customHeight="1">
      <c r="A149" s="29" t="n"/>
      <c r="B149" s="29" t="n"/>
      <c r="C149" s="29" t="n"/>
      <c r="D149" s="29" t="n"/>
      <c r="E149" s="29" t="n"/>
      <c r="F149" s="29" t="n"/>
      <c r="G149" s="29" t="n"/>
    </row>
    <row r="150" ht="54" customHeight="1">
      <c r="A150" s="29" t="n"/>
      <c r="B150" s="29" t="n"/>
      <c r="C150" s="29" t="n"/>
      <c r="D150" s="29" t="n"/>
      <c r="E150" s="29" t="n"/>
      <c r="F150" s="29" t="n"/>
      <c r="G150" s="29" t="n"/>
    </row>
    <row r="151" ht="54" customHeight="1">
      <c r="A151" s="29" t="n"/>
      <c r="B151" s="29" t="n"/>
      <c r="C151" s="29" t="n"/>
      <c r="D151" s="29" t="n"/>
      <c r="E151" s="29" t="n"/>
      <c r="F151" s="29" t="n"/>
      <c r="G151" s="29" t="n"/>
    </row>
    <row r="152" ht="54" customHeight="1">
      <c r="A152" s="29" t="n"/>
      <c r="B152" s="29" t="n"/>
      <c r="C152" s="29" t="n"/>
      <c r="D152" s="29" t="n"/>
      <c r="E152" s="29" t="n"/>
      <c r="F152" s="29" t="n"/>
      <c r="G152" s="29" t="n"/>
    </row>
    <row r="153" ht="54" customHeight="1">
      <c r="A153" s="29" t="n"/>
      <c r="B153" s="29" t="n"/>
      <c r="C153" s="29" t="n"/>
      <c r="D153" s="29" t="n"/>
      <c r="E153" s="29" t="n"/>
      <c r="F153" s="29" t="n"/>
      <c r="G153" s="29" t="n"/>
    </row>
    <row r="154" ht="54" customHeight="1">
      <c r="A154" s="29" t="n"/>
      <c r="B154" s="29" t="n"/>
      <c r="C154" s="29" t="n"/>
      <c r="D154" s="29" t="n"/>
      <c r="E154" s="29" t="n"/>
      <c r="F154" s="29" t="n"/>
      <c r="G154" s="29" t="n"/>
    </row>
    <row r="155" ht="54" customHeight="1">
      <c r="A155" s="29" t="n"/>
      <c r="B155" s="29" t="n"/>
      <c r="C155" s="29" t="n"/>
      <c r="D155" s="29" t="n"/>
      <c r="E155" s="29" t="n"/>
      <c r="F155" s="29" t="n"/>
      <c r="G155" s="29" t="n"/>
    </row>
    <row r="156" ht="54" customHeight="1">
      <c r="A156" s="29" t="n"/>
      <c r="B156" s="29" t="n"/>
      <c r="C156" s="29" t="n"/>
      <c r="D156" s="29" t="n"/>
      <c r="E156" s="29" t="n"/>
      <c r="F156" s="29" t="n"/>
      <c r="G156" s="29" t="n"/>
    </row>
    <row r="157" ht="54" customHeight="1">
      <c r="A157" s="29" t="n"/>
      <c r="B157" s="29" t="n"/>
      <c r="C157" s="29" t="n"/>
      <c r="D157" s="29" t="n"/>
      <c r="E157" s="29" t="n"/>
      <c r="F157" s="29" t="n"/>
      <c r="G157" s="29" t="n"/>
    </row>
    <row r="158" ht="54" customHeight="1">
      <c r="A158" s="29" t="n"/>
      <c r="B158" s="29" t="n"/>
      <c r="C158" s="29" t="n"/>
      <c r="D158" s="29" t="n"/>
      <c r="E158" s="29" t="n"/>
      <c r="F158" s="29" t="n"/>
      <c r="G158" s="29" t="n"/>
    </row>
    <row r="159" ht="54" customHeight="1">
      <c r="A159" s="29" t="n"/>
      <c r="B159" s="29" t="n"/>
      <c r="C159" s="29" t="n"/>
      <c r="D159" s="29" t="n"/>
      <c r="E159" s="29" t="n"/>
      <c r="F159" s="29" t="n"/>
      <c r="G159" s="29" t="n"/>
    </row>
    <row r="160" ht="54" customHeight="1">
      <c r="A160" s="29" t="n"/>
      <c r="B160" s="29" t="n"/>
      <c r="C160" s="29" t="n"/>
      <c r="D160" s="29" t="n"/>
      <c r="E160" s="29" t="n"/>
      <c r="F160" s="29" t="n"/>
      <c r="G160" s="29" t="n"/>
    </row>
    <row r="161" ht="54" customHeight="1">
      <c r="A161" s="29" t="n"/>
      <c r="B161" s="29" t="n"/>
      <c r="C161" s="29" t="n"/>
      <c r="D161" s="29" t="n"/>
      <c r="E161" s="29" t="n"/>
      <c r="F161" s="29" t="n"/>
      <c r="G161" s="29" t="n"/>
    </row>
    <row r="162" ht="54" customHeight="1">
      <c r="A162" s="29" t="n"/>
      <c r="B162" s="29" t="n"/>
      <c r="C162" s="29" t="n"/>
      <c r="D162" s="29" t="n"/>
      <c r="E162" s="29" t="n"/>
      <c r="F162" s="29" t="n"/>
      <c r="G162" s="29" t="n"/>
    </row>
    <row r="163" ht="54" customHeight="1">
      <c r="A163" s="29" t="n"/>
      <c r="B163" s="29" t="n"/>
      <c r="C163" s="29" t="n"/>
      <c r="D163" s="29" t="n"/>
      <c r="E163" s="29" t="n"/>
      <c r="F163" s="29" t="n"/>
      <c r="G163" s="29" t="n"/>
    </row>
    <row r="164" ht="54" customHeight="1">
      <c r="A164" s="29" t="n"/>
      <c r="B164" s="29" t="n"/>
      <c r="C164" s="29" t="n"/>
      <c r="D164" s="29" t="n"/>
      <c r="E164" s="29" t="n"/>
      <c r="F164" s="29" t="n"/>
      <c r="G164" s="29" t="n"/>
    </row>
    <row r="165" ht="54" customHeight="1">
      <c r="A165" s="29" t="n"/>
      <c r="B165" s="29" t="n"/>
      <c r="C165" s="29" t="n"/>
      <c r="D165" s="29" t="n"/>
      <c r="E165" s="29" t="n"/>
      <c r="F165" s="29" t="n"/>
      <c r="G165" s="29" t="n"/>
    </row>
    <row r="166" ht="54" customHeight="1">
      <c r="A166" s="29" t="n"/>
      <c r="B166" s="29" t="n"/>
      <c r="C166" s="29" t="n"/>
      <c r="D166" s="29" t="n"/>
      <c r="E166" s="29" t="n"/>
      <c r="F166" s="29" t="n"/>
      <c r="G166" s="29" t="n"/>
    </row>
    <row r="167" ht="54" customHeight="1">
      <c r="A167" s="29" t="n"/>
      <c r="B167" s="29" t="n"/>
      <c r="C167" s="29" t="n"/>
      <c r="D167" s="29" t="n"/>
      <c r="E167" s="29" t="n"/>
      <c r="F167" s="29" t="n"/>
      <c r="G167" s="29" t="n"/>
    </row>
    <row r="168" ht="54" customHeight="1">
      <c r="A168" s="29" t="n"/>
      <c r="B168" s="29" t="n"/>
      <c r="C168" s="29" t="n"/>
      <c r="D168" s="29" t="n"/>
      <c r="E168" s="29" t="n"/>
      <c r="F168" s="29" t="n"/>
      <c r="G168" s="29" t="n"/>
    </row>
    <row r="169" ht="54" customHeight="1">
      <c r="A169" s="29" t="n"/>
      <c r="B169" s="29" t="n"/>
      <c r="C169" s="29" t="n"/>
      <c r="D169" s="29" t="n"/>
      <c r="E169" s="29" t="n"/>
      <c r="F169" s="29" t="n"/>
      <c r="G169" s="29" t="n"/>
    </row>
    <row r="170" ht="54" customHeight="1">
      <c r="A170" s="29" t="n"/>
      <c r="B170" s="29" t="n"/>
      <c r="C170" s="29" t="n"/>
      <c r="D170" s="29" t="n"/>
      <c r="E170" s="29" t="n"/>
      <c r="F170" s="29" t="n"/>
      <c r="G170" s="29" t="n"/>
    </row>
    <row r="171" ht="54" customHeight="1">
      <c r="A171" s="29" t="n"/>
      <c r="B171" s="29" t="n"/>
      <c r="C171" s="29" t="n"/>
      <c r="D171" s="29" t="n"/>
      <c r="E171" s="29" t="n"/>
      <c r="F171" s="29" t="n"/>
      <c r="G171" s="29" t="n"/>
    </row>
    <row r="172" ht="54" customHeight="1">
      <c r="A172" s="29" t="n"/>
      <c r="B172" s="29" t="n"/>
      <c r="C172" s="29" t="n"/>
      <c r="D172" s="29" t="n"/>
      <c r="E172" s="29" t="n"/>
      <c r="F172" s="29" t="n"/>
      <c r="G172" s="29" t="n"/>
    </row>
    <row r="173" ht="54" customHeight="1">
      <c r="A173" s="29" t="n"/>
      <c r="B173" s="29" t="n"/>
      <c r="C173" s="29" t="n"/>
      <c r="D173" s="29" t="n"/>
      <c r="E173" s="29" t="n"/>
      <c r="F173" s="29" t="n"/>
      <c r="G173" s="29" t="n"/>
    </row>
    <row r="174" ht="54" customHeight="1">
      <c r="A174" s="29" t="n"/>
      <c r="B174" s="29" t="n"/>
      <c r="C174" s="29" t="n"/>
      <c r="D174" s="29" t="n"/>
      <c r="E174" s="29" t="n"/>
      <c r="F174" s="29" t="n"/>
      <c r="G174" s="29" t="n"/>
    </row>
    <row r="175" ht="54" customHeight="1">
      <c r="A175" s="29" t="n"/>
      <c r="B175" s="29" t="n"/>
      <c r="C175" s="29" t="n"/>
      <c r="D175" s="29" t="n"/>
      <c r="E175" s="29" t="n"/>
      <c r="F175" s="29" t="n"/>
      <c r="G175" s="29" t="n"/>
    </row>
    <row r="176" ht="54" customHeight="1">
      <c r="A176" s="29" t="n"/>
      <c r="B176" s="29" t="n"/>
      <c r="C176" s="29" t="n"/>
      <c r="D176" s="29" t="n"/>
      <c r="E176" s="29" t="n"/>
      <c r="F176" s="29" t="n"/>
      <c r="G176" s="29" t="n"/>
    </row>
    <row r="177" ht="54" customHeight="1">
      <c r="A177" s="29" t="n"/>
      <c r="B177" s="29" t="n"/>
      <c r="C177" s="29" t="n"/>
      <c r="D177" s="29" t="n"/>
      <c r="E177" s="29" t="n"/>
      <c r="F177" s="29" t="n"/>
      <c r="G177" s="29" t="n"/>
    </row>
    <row r="178" ht="54" customHeight="1">
      <c r="A178" s="29" t="n"/>
      <c r="B178" s="29" t="n"/>
      <c r="C178" s="29" t="n"/>
      <c r="D178" s="29" t="n"/>
      <c r="E178" s="29" t="n"/>
      <c r="F178" s="29" t="n"/>
      <c r="G178" s="29" t="n"/>
    </row>
    <row r="179" ht="54" customHeight="1">
      <c r="A179" s="29" t="n"/>
      <c r="B179" s="29" t="n"/>
      <c r="C179" s="29" t="n"/>
      <c r="D179" s="29" t="n"/>
      <c r="E179" s="29" t="n"/>
      <c r="F179" s="29" t="n"/>
      <c r="G179" s="29" t="n"/>
    </row>
    <row r="180" ht="54" customHeight="1">
      <c r="A180" s="29" t="n"/>
      <c r="B180" s="29" t="n"/>
      <c r="C180" s="29" t="n"/>
      <c r="D180" s="29" t="n"/>
      <c r="E180" s="29" t="n"/>
      <c r="F180" s="29" t="n"/>
      <c r="G180" s="29" t="n"/>
    </row>
    <row r="181" ht="54" customHeight="1">
      <c r="A181" s="29" t="n"/>
      <c r="B181" s="29" t="n"/>
      <c r="C181" s="29" t="n"/>
      <c r="D181" s="29" t="n"/>
      <c r="E181" s="29" t="n"/>
      <c r="F181" s="29" t="n"/>
      <c r="G181" s="29" t="n"/>
    </row>
    <row r="182" ht="54" customHeight="1">
      <c r="A182" s="29" t="n"/>
      <c r="B182" s="29" t="n"/>
      <c r="C182" s="29" t="n"/>
      <c r="D182" s="29" t="n"/>
      <c r="E182" s="29" t="n"/>
      <c r="F182" s="29" t="n"/>
      <c r="G182" s="29" t="n"/>
    </row>
    <row r="183" ht="54" customHeight="1">
      <c r="A183" s="29" t="n"/>
      <c r="B183" s="29" t="n"/>
      <c r="C183" s="29" t="n"/>
      <c r="D183" s="29" t="n"/>
      <c r="E183" s="29" t="n"/>
      <c r="F183" s="29" t="n"/>
      <c r="G183" s="29" t="n"/>
    </row>
    <row r="184" ht="54" customHeight="1">
      <c r="A184" s="29" t="n"/>
      <c r="B184" s="29" t="n"/>
      <c r="C184" s="29" t="n"/>
      <c r="D184" s="29" t="n"/>
      <c r="E184" s="29" t="n"/>
      <c r="F184" s="29" t="n"/>
      <c r="G184" s="29" t="n"/>
    </row>
    <row r="185" ht="54" customHeight="1">
      <c r="A185" s="29" t="n"/>
      <c r="B185" s="29" t="n"/>
      <c r="C185" s="29" t="n"/>
      <c r="D185" s="29" t="n"/>
      <c r="E185" s="29" t="n"/>
      <c r="F185" s="29" t="n"/>
      <c r="G185" s="29" t="n"/>
    </row>
    <row r="186" ht="54" customHeight="1">
      <c r="A186" s="29" t="n"/>
      <c r="B186" s="29" t="n"/>
      <c r="C186" s="29" t="n"/>
      <c r="D186" s="29" t="n"/>
      <c r="E186" s="29" t="n"/>
      <c r="F186" s="29" t="n"/>
      <c r="G186" s="29" t="n"/>
    </row>
    <row r="187" ht="54" customHeight="1">
      <c r="A187" s="29" t="n"/>
      <c r="B187" s="29" t="n"/>
      <c r="C187" s="29" t="n"/>
      <c r="D187" s="29" t="n"/>
      <c r="E187" s="29" t="n"/>
      <c r="F187" s="29" t="n"/>
      <c r="G187" s="29" t="n"/>
    </row>
    <row r="188" ht="54" customHeight="1">
      <c r="A188" s="29" t="n"/>
      <c r="B188" s="29" t="n"/>
      <c r="C188" s="29" t="n"/>
      <c r="D188" s="29" t="n"/>
      <c r="E188" s="29" t="n"/>
      <c r="F188" s="29" t="n"/>
      <c r="G188" s="29" t="n"/>
    </row>
    <row r="189" ht="54" customHeight="1">
      <c r="A189" s="29" t="n"/>
      <c r="B189" s="29" t="n"/>
      <c r="C189" s="29" t="n"/>
      <c r="D189" s="29" t="n"/>
      <c r="E189" s="29" t="n"/>
      <c r="F189" s="29" t="n"/>
      <c r="G189" s="29" t="n"/>
    </row>
    <row r="190" ht="54" customHeight="1">
      <c r="A190" s="29" t="n"/>
      <c r="B190" s="29" t="n"/>
      <c r="C190" s="29" t="n"/>
      <c r="D190" s="29" t="n"/>
      <c r="E190" s="29" t="n"/>
      <c r="F190" s="29" t="n"/>
      <c r="G190" s="29" t="n"/>
    </row>
    <row r="191" ht="54" customHeight="1">
      <c r="A191" s="29" t="n"/>
      <c r="B191" s="29" t="n"/>
      <c r="C191" s="29" t="n"/>
      <c r="D191" s="29" t="n"/>
      <c r="E191" s="29" t="n"/>
      <c r="F191" s="29" t="n"/>
      <c r="G191" s="29" t="n"/>
    </row>
    <row r="192" ht="54" customHeight="1">
      <c r="A192" s="29" t="n"/>
      <c r="B192" s="29" t="n"/>
      <c r="C192" s="29" t="n"/>
      <c r="D192" s="29" t="n"/>
      <c r="E192" s="29" t="n"/>
      <c r="F192" s="29" t="n"/>
      <c r="G192" s="29" t="n"/>
    </row>
    <row r="193" ht="54" customHeight="1">
      <c r="A193" s="29" t="n"/>
      <c r="B193" s="29" t="n"/>
      <c r="C193" s="29" t="n"/>
      <c r="D193" s="29" t="n"/>
      <c r="E193" s="29" t="n"/>
      <c r="F193" s="29" t="n"/>
      <c r="G193" s="29" t="n"/>
    </row>
    <row r="194" ht="54" customHeight="1">
      <c r="A194" s="29" t="n"/>
      <c r="B194" s="29" t="n"/>
      <c r="C194" s="29" t="n"/>
      <c r="D194" s="29" t="n"/>
      <c r="E194" s="29" t="n"/>
      <c r="F194" s="29" t="n"/>
      <c r="G194" s="29" t="n"/>
    </row>
    <row r="195" ht="54" customHeight="1">
      <c r="A195" s="29" t="n"/>
      <c r="B195" s="29" t="n"/>
      <c r="C195" s="29" t="n"/>
      <c r="D195" s="29" t="n"/>
      <c r="E195" s="29" t="n"/>
      <c r="F195" s="29" t="n"/>
      <c r="G195" s="29" t="n"/>
    </row>
    <row r="196" ht="54" customHeight="1">
      <c r="A196" s="29" t="n"/>
      <c r="B196" s="29" t="n"/>
      <c r="C196" s="29" t="n"/>
      <c r="D196" s="29" t="n"/>
      <c r="E196" s="29" t="n"/>
      <c r="F196" s="29" t="n"/>
      <c r="G196" s="29" t="n"/>
    </row>
    <row r="197" ht="54" customHeight="1">
      <c r="A197" s="29" t="n"/>
      <c r="B197" s="29" t="n"/>
      <c r="C197" s="29" t="n"/>
      <c r="D197" s="29" t="n"/>
      <c r="E197" s="29" t="n"/>
      <c r="F197" s="29" t="n"/>
      <c r="G197" s="29" t="n"/>
    </row>
    <row r="198" ht="54" customHeight="1">
      <c r="A198" s="29" t="n"/>
      <c r="B198" s="29" t="n"/>
      <c r="C198" s="29" t="n"/>
      <c r="D198" s="29" t="n"/>
      <c r="E198" s="29" t="n"/>
      <c r="F198" s="29" t="n"/>
      <c r="G198" s="29" t="n"/>
    </row>
    <row r="199" ht="54" customHeight="1">
      <c r="A199" s="29" t="n"/>
      <c r="B199" s="29" t="n"/>
      <c r="C199" s="29" t="n"/>
      <c r="D199" s="29" t="n"/>
      <c r="E199" s="29" t="n"/>
      <c r="F199" s="29" t="n"/>
      <c r="G199" s="29" t="n"/>
    </row>
    <row r="200" ht="54" customHeight="1">
      <c r="A200" s="29" t="n"/>
      <c r="B200" s="29" t="n"/>
      <c r="C200" s="29" t="n"/>
      <c r="D200" s="29" t="n"/>
      <c r="E200" s="29" t="n"/>
      <c r="F200" s="29" t="n"/>
      <c r="G200" s="29" t="n"/>
    </row>
    <row r="201" ht="54" customHeight="1">
      <c r="A201" s="29" t="n"/>
      <c r="B201" s="29" t="n"/>
      <c r="C201" s="29" t="n"/>
      <c r="D201" s="29" t="n"/>
      <c r="E201" s="29" t="n"/>
      <c r="F201" s="29" t="n"/>
      <c r="G201" s="29" t="n"/>
    </row>
    <row r="202" ht="54" customHeight="1">
      <c r="A202" s="29" t="n"/>
      <c r="B202" s="29" t="n"/>
      <c r="C202" s="29" t="n"/>
      <c r="D202" s="29" t="n"/>
      <c r="E202" s="29" t="n"/>
      <c r="F202" s="29" t="n"/>
      <c r="G202" s="29" t="n"/>
    </row>
    <row r="203" ht="54" customHeight="1">
      <c r="A203" s="29" t="n"/>
      <c r="B203" s="29" t="n"/>
      <c r="C203" s="29" t="n"/>
      <c r="D203" s="29" t="n"/>
      <c r="E203" s="29" t="n"/>
      <c r="F203" s="29" t="n"/>
      <c r="G203" s="29" t="n"/>
    </row>
    <row r="204" ht="54" customHeight="1">
      <c r="A204" s="29" t="n"/>
      <c r="B204" s="29" t="n"/>
      <c r="C204" s="29" t="n"/>
      <c r="D204" s="29" t="n"/>
      <c r="E204" s="29" t="n"/>
      <c r="F204" s="29" t="n"/>
      <c r="G204" s="29" t="n"/>
    </row>
    <row r="205" ht="54" customHeight="1">
      <c r="A205" s="29" t="n"/>
      <c r="B205" s="29" t="n"/>
      <c r="C205" s="29" t="n"/>
      <c r="D205" s="29" t="n"/>
      <c r="E205" s="29" t="n"/>
      <c r="F205" s="29" t="n"/>
      <c r="G205" s="29" t="n"/>
    </row>
    <row r="206" ht="54" customHeight="1">
      <c r="A206" s="29" t="n"/>
      <c r="B206" s="29" t="n"/>
      <c r="C206" s="29" t="n"/>
      <c r="D206" s="29" t="n"/>
      <c r="E206" s="29" t="n"/>
      <c r="F206" s="29" t="n"/>
      <c r="G206" s="29" t="n"/>
    </row>
    <row r="207" ht="54" customHeight="1">
      <c r="A207" s="29" t="n"/>
      <c r="B207" s="29" t="n"/>
      <c r="C207" s="29" t="n"/>
      <c r="D207" s="29" t="n"/>
      <c r="E207" s="29" t="n"/>
      <c r="F207" s="29" t="n"/>
      <c r="G207" s="29" t="n"/>
    </row>
  </sheetData>
  <mergeCells count="1">
    <mergeCell ref="A3:G3"/>
  </mergeCells>
  <conditionalFormatting sqref="A8:A207">
    <cfRule type="expression" priority="1" dxfId="1">
      <formula>AND($A8&lt;&gt;"",ISBLANK(A8))</formula>
    </cfRule>
  </conditionalFormatting>
  <conditionalFormatting sqref="B8:B207">
    <cfRule type="expression" priority="2" dxfId="1">
      <formula>AND($A8&lt;&gt;"",ISBLANK(B8))</formula>
    </cfRule>
  </conditionalFormatting>
  <conditionalFormatting sqref="C8:C207">
    <cfRule type="expression" priority="3" dxfId="1">
      <formula>AND($A8&lt;&gt;"",ISBLANK(C8))</formula>
    </cfRule>
  </conditionalFormatting>
  <conditionalFormatting sqref="D8:D207">
    <cfRule type="expression" priority="4" dxfId="1">
      <formula>AND($A8&lt;&gt;"",ISBLANK(D8))</formula>
    </cfRule>
  </conditionalFormatting>
  <conditionalFormatting sqref="E8:E207">
    <cfRule type="expression" priority="5" dxfId="1">
      <formula>AND($A8&lt;&gt;"",ISBLANK(E8))</formula>
    </cfRule>
  </conditionalFormatting>
  <conditionalFormatting sqref="F8:F207">
    <cfRule type="expression" priority="6" dxfId="1">
      <formula>AND($A8&lt;&gt;"",ISBLANK(F8))</formula>
    </cfRule>
  </conditionalFormatting>
  <conditionalFormatting sqref="G8:G207">
    <cfRule type="expression" priority="7" dxfId="1">
      <formula>AND($A8&lt;&gt;"",ISBLANK(G8))</formula>
    </cfRule>
  </conditionalFormatting>
  <dataValidations count="1">
    <dataValidation sqref="F8:F20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tabColor rgb="FFF66C4E"/>
    <outlinePr summaryBelow="1" summaryRight="1"/>
    <pageSetUpPr/>
  </sheetPr>
  <dimension ref="A1:O607"/>
  <sheetViews>
    <sheetView showGridLines="0" workbookViewId="0">
      <pane xSplit="1" ySplit="7" topLeftCell="B8" activePane="bottomRight" state="frozen"/>
      <selection activeCell="A1" sqref="A1"/>
    </sheetView>
  </sheetViews>
  <sheetFormatPr baseColWidth="8" defaultRowHeight="15"/>
  <cols>
    <col width="32" customWidth="1" min="1" max="1"/>
    <col width="48" customWidth="1" min="2" max="2"/>
    <col width="48" customWidth="1" min="3" max="3"/>
    <col width="55" customWidth="1" min="4" max="4"/>
    <col width="55" customWidth="1" min="5" max="5"/>
    <col width="24" customWidth="1" min="6" max="6"/>
    <col width="48" customWidth="1" min="7" max="7"/>
    <col width="40" customWidth="1" min="8" max="8"/>
    <col width="48" customWidth="1" min="9" max="9"/>
    <col width="40" customWidth="1" min="10" max="10"/>
    <col width="20" customWidth="1" min="11" max="11"/>
    <col width="20" customWidth="1" min="12" max="12"/>
    <col width="58" customWidth="1" min="13" max="13"/>
    <col width="30" customWidth="1" min="14" max="14"/>
    <col width="65" customWidth="1" min="15" max="15"/>
  </cols>
  <sheetData>
    <row r="1" ht="54" customHeight="1">
      <c r="A1" s="38" t="n"/>
      <c r="B1" s="38" t="n"/>
      <c r="C1" s="38" t="n"/>
      <c r="D1" s="38" t="n"/>
      <c r="E1" s="38" t="n"/>
      <c r="F1" s="38" t="n"/>
      <c r="G1" s="38" t="n"/>
      <c r="H1" s="38" t="n"/>
      <c r="I1" s="38" t="n"/>
      <c r="J1" s="38" t="n"/>
      <c r="K1" s="38" t="n"/>
      <c r="L1" s="38" t="n"/>
      <c r="M1" s="38" t="n"/>
      <c r="N1" s="38" t="n"/>
      <c r="O1" s="38" t="n"/>
    </row>
    <row r="2" ht="54" customHeight="1">
      <c r="A2" s="39" t="inlineStr">
        <is>
          <t>Corteqs · Fotoğrafın kaynak zinciri · v7</t>
        </is>
      </c>
      <c r="B2" s="38" t="n"/>
      <c r="C2" s="38" t="n"/>
      <c r="D2" s="38" t="n"/>
      <c r="E2" s="38" t="n"/>
      <c r="F2" s="38" t="n"/>
      <c r="G2" s="38" t="n"/>
      <c r="H2" s="38" t="n"/>
      <c r="I2" s="38" t="n"/>
      <c r="J2" s="38" t="n"/>
      <c r="K2" s="38" t="n"/>
      <c r="L2" s="38" t="n"/>
      <c r="M2" s="38" t="n"/>
      <c r="N2" s="38" t="n"/>
      <c r="O2" s="38" t="n"/>
    </row>
    <row r="3" ht="44" customHeight="1">
      <c r="A3" s="38" t="inlineStr">
        <is>
          <t>Her fotoğraf kimliği için bir kayıt. İsim, lisans ve kaynak sayfası Fotoğraflar sayfasında kalır. Bilinmeyen bağlantı veya tarih uydurulmaz.</t>
        </is>
      </c>
      <c r="G3" s="38" t="n"/>
      <c r="H3" s="38" t="n"/>
      <c r="I3" s="38" t="n"/>
      <c r="J3" s="38" t="n"/>
      <c r="K3" s="38" t="n"/>
      <c r="L3" s="38" t="n"/>
      <c r="M3" s="38" t="n"/>
      <c r="N3" s="38" t="n"/>
      <c r="O3" s="38" t="n"/>
    </row>
    <row r="4" ht="54" customHeight="1">
      <c r="A4" s="38" t="n"/>
      <c r="B4" s="38" t="n"/>
      <c r="C4" s="38" t="n"/>
      <c r="D4" s="38" t="n"/>
      <c r="E4" s="38" t="n"/>
      <c r="F4" s="38" t="n"/>
      <c r="G4" s="38" t="n"/>
      <c r="H4" s="38" t="n"/>
      <c r="I4" s="38" t="n"/>
      <c r="J4" s="38" t="n"/>
      <c r="K4" s="38" t="n"/>
      <c r="L4" s="38" t="n"/>
      <c r="M4" s="38" t="n"/>
      <c r="N4" s="38" t="n"/>
      <c r="O4" s="38" t="n"/>
    </row>
    <row r="5" ht="54" customHeight="1">
      <c r="A5" s="38" t="inlineStr">
        <is>
          <t>Zorunlu bağlantı</t>
        </is>
      </c>
      <c r="B5" s="38" t="inlineStr">
        <is>
          <t>Kanıt varsa doldurun</t>
        </is>
      </c>
      <c r="C5" s="38" t="inlineStr">
        <is>
          <t>Kanıt varsa doldurun</t>
        </is>
      </c>
      <c r="D5" s="38" t="inlineStr">
        <is>
          <t>Kanıt varsa doldurun</t>
        </is>
      </c>
      <c r="E5" s="38" t="inlineStr">
        <is>
          <t>Kanıt varsa doldurun</t>
        </is>
      </c>
      <c r="F5" s="38" t="inlineStr">
        <is>
          <t>Kanıt varsa doldurun</t>
        </is>
      </c>
      <c r="G5" s="38" t="inlineStr">
        <is>
          <t>Kanıt varsa doldurun</t>
        </is>
      </c>
      <c r="H5" s="38" t="inlineStr">
        <is>
          <t>Kanıt varsa doldurun</t>
        </is>
      </c>
      <c r="I5" s="38" t="inlineStr">
        <is>
          <t>Kanıt varsa doldurun</t>
        </is>
      </c>
      <c r="J5" s="38" t="inlineStr">
        <is>
          <t>Kanıt varsa doldurun</t>
        </is>
      </c>
      <c r="K5" s="38" t="inlineStr">
        <is>
          <t>Kanıt varsa doldurun</t>
        </is>
      </c>
      <c r="L5" s="38" t="inlineStr">
        <is>
          <t>Kanıt varsa doldurun</t>
        </is>
      </c>
      <c r="M5" s="38" t="inlineStr">
        <is>
          <t>Kanıt varsa doldurun</t>
        </is>
      </c>
      <c r="N5" s="38" t="inlineStr">
        <is>
          <t>Kanıt varsa doldurun</t>
        </is>
      </c>
      <c r="O5" s="38" t="inlineStr">
        <is>
          <t>Kanıt varsa doldurun</t>
        </is>
      </c>
    </row>
    <row r="6" ht="50" customHeight="1">
      <c r="A6" s="41" t="inlineStr">
        <is>
          <t>Fotoğraf kimliği</t>
        </is>
      </c>
      <c r="B6" s="41" t="inlineStr">
        <is>
          <t>Fotoğrafçı profil / portföy bağlantısı</t>
        </is>
      </c>
      <c r="C6" s="41" t="inlineStr">
        <is>
          <t>Görünür fotoğrafçı atıf bağlantısı</t>
        </is>
      </c>
      <c r="D6" s="41" t="inlineStr">
        <is>
          <t>Kaynakta özgün fotoğraf dosyası URL</t>
        </is>
      </c>
      <c r="E6" s="41" t="inlineStr">
        <is>
          <t>Fiilen indirilen dosyanın URL’si</t>
        </is>
      </c>
      <c r="F6" s="41" t="inlineStr">
        <is>
          <t>Kaydedilmiş indirme tarihi</t>
        </is>
      </c>
      <c r="G6" s="41" t="inlineStr">
        <is>
          <t>Korunan mevcut fotoğraf dosyası</t>
        </is>
      </c>
      <c r="H6" s="41" t="inlineStr">
        <is>
          <t>Korunan dosya SHA-256</t>
        </is>
      </c>
      <c r="I6" s="41" t="inlineStr">
        <is>
          <t>Hafif web kopyası (varsa)</t>
        </is>
      </c>
      <c r="J6" s="41" t="inlineStr">
        <is>
          <t>Web kopyası SHA-256</t>
        </is>
      </c>
      <c r="K6" s="41" t="inlineStr">
        <is>
          <t>Web genişliği (px)</t>
        </is>
      </c>
      <c r="L6" s="41" t="inlineStr">
        <is>
          <t>Web yüksekliği (px)</t>
        </is>
      </c>
      <c r="M6" s="41" t="inlineStr">
        <is>
          <t>Dönüştürme kaydı</t>
        </is>
      </c>
      <c r="N6" s="41" t="inlineStr">
        <is>
          <t>Kaynak zinciri kontrolü</t>
        </is>
      </c>
      <c r="O6" s="41" t="inlineStr">
        <is>
          <t>Açık nokta / kanıt açıklaması</t>
        </is>
      </c>
    </row>
    <row r="7" ht="32" customHeight="1">
      <c r="A7" s="43" t="inlineStr">
        <is>
          <t>photo_id</t>
        </is>
      </c>
      <c r="B7" s="43" t="inlineStr">
        <is>
          <t>author_url</t>
        </is>
      </c>
      <c r="C7" s="43" t="inlineStr">
        <is>
          <t>attribution_url</t>
        </is>
      </c>
      <c r="D7" s="43" t="inlineStr">
        <is>
          <t>original_file_url</t>
        </is>
      </c>
      <c r="E7" s="43" t="inlineStr">
        <is>
          <t>downloaded_file_url</t>
        </is>
      </c>
      <c r="F7" s="43" t="inlineStr">
        <is>
          <t>downloaded_on</t>
        </is>
      </c>
      <c r="G7" s="43" t="inlineStr">
        <is>
          <t>original_file</t>
        </is>
      </c>
      <c r="H7" s="43" t="inlineStr">
        <is>
          <t>original_sha256</t>
        </is>
      </c>
      <c r="I7" s="43" t="inlineStr">
        <is>
          <t>web_file</t>
        </is>
      </c>
      <c r="J7" s="43" t="inlineStr">
        <is>
          <t>web_sha256</t>
        </is>
      </c>
      <c r="K7" s="43" t="inlineStr">
        <is>
          <t>web_width</t>
        </is>
      </c>
      <c r="L7" s="43" t="inlineStr">
        <is>
          <t>web_height</t>
        </is>
      </c>
      <c r="M7" s="43" t="inlineStr">
        <is>
          <t>derivation</t>
        </is>
      </c>
      <c r="N7" s="43" t="inlineStr">
        <is>
          <t>provenance_status</t>
        </is>
      </c>
      <c r="O7" s="43" t="inlineStr">
        <is>
          <t>provenance_note</t>
        </is>
      </c>
    </row>
    <row r="8" ht="54" customHeight="1">
      <c r="A8" s="44" t="n"/>
      <c r="B8" s="44" t="n"/>
      <c r="C8" s="44" t="n"/>
      <c r="D8" s="44" t="n"/>
      <c r="E8" s="44" t="n"/>
      <c r="F8" s="44" t="n"/>
      <c r="G8" s="44" t="n"/>
      <c r="H8" s="44" t="n"/>
      <c r="I8" s="44" t="n"/>
      <c r="J8" s="44" t="n"/>
      <c r="K8" s="44" t="n"/>
      <c r="L8" s="44" t="n"/>
      <c r="M8" s="44" t="n"/>
      <c r="N8" s="44" t="n"/>
      <c r="O8" s="44" t="n"/>
    </row>
    <row r="9" ht="54" customHeight="1">
      <c r="A9" s="44" t="n"/>
      <c r="B9" s="44" t="n"/>
      <c r="C9" s="44" t="n"/>
      <c r="D9" s="44" t="n"/>
      <c r="E9" s="44" t="n"/>
      <c r="F9" s="44" t="n"/>
      <c r="G9" s="44" t="n"/>
      <c r="H9" s="44" t="n"/>
      <c r="I9" s="44" t="n"/>
      <c r="J9" s="44" t="n"/>
      <c r="K9" s="44" t="n"/>
      <c r="L9" s="44" t="n"/>
      <c r="M9" s="44" t="n"/>
      <c r="N9" s="44" t="n"/>
      <c r="O9" s="44" t="n"/>
    </row>
    <row r="10" ht="54" customHeight="1">
      <c r="A10" s="44" t="n"/>
      <c r="B10" s="44" t="n"/>
      <c r="C10" s="44" t="n"/>
      <c r="D10" s="44" t="n"/>
      <c r="E10" s="44" t="n"/>
      <c r="F10" s="44" t="n"/>
      <c r="G10" s="44" t="n"/>
      <c r="H10" s="44" t="n"/>
      <c r="I10" s="44" t="n"/>
      <c r="J10" s="44" t="n"/>
      <c r="K10" s="44" t="n"/>
      <c r="L10" s="44" t="n"/>
      <c r="M10" s="44" t="n"/>
      <c r="N10" s="44" t="n"/>
      <c r="O10" s="44" t="n"/>
    </row>
    <row r="11" ht="54" customHeight="1">
      <c r="A11" s="44" t="n"/>
      <c r="B11" s="44" t="n"/>
      <c r="C11" s="44" t="n"/>
      <c r="D11" s="44" t="n"/>
      <c r="E11" s="44" t="n"/>
      <c r="F11" s="44" t="n"/>
      <c r="G11" s="44" t="n"/>
      <c r="H11" s="44" t="n"/>
      <c r="I11" s="44" t="n"/>
      <c r="J11" s="44" t="n"/>
      <c r="K11" s="44" t="n"/>
      <c r="L11" s="44" t="n"/>
      <c r="M11" s="44" t="n"/>
      <c r="N11" s="44" t="n"/>
      <c r="O11" s="44" t="n"/>
    </row>
    <row r="12" ht="54" customHeight="1">
      <c r="A12" s="44" t="n"/>
      <c r="B12" s="44" t="n"/>
      <c r="C12" s="44" t="n"/>
      <c r="D12" s="44" t="n"/>
      <c r="E12" s="44" t="n"/>
      <c r="F12" s="44" t="n"/>
      <c r="G12" s="44" t="n"/>
      <c r="H12" s="44" t="n"/>
      <c r="I12" s="44" t="n"/>
      <c r="J12" s="44" t="n"/>
      <c r="K12" s="44" t="n"/>
      <c r="L12" s="44" t="n"/>
      <c r="M12" s="44" t="n"/>
      <c r="N12" s="44" t="n"/>
      <c r="O12" s="44" t="n"/>
    </row>
    <row r="13" ht="54" customHeight="1">
      <c r="A13" s="44" t="n"/>
      <c r="B13" s="44" t="n"/>
      <c r="C13" s="44" t="n"/>
      <c r="D13" s="44" t="n"/>
      <c r="E13" s="44" t="n"/>
      <c r="F13" s="44" t="n"/>
      <c r="G13" s="44" t="n"/>
      <c r="H13" s="44" t="n"/>
      <c r="I13" s="44" t="n"/>
      <c r="J13" s="44" t="n"/>
      <c r="K13" s="44" t="n"/>
      <c r="L13" s="44" t="n"/>
      <c r="M13" s="44" t="n"/>
      <c r="N13" s="44" t="n"/>
      <c r="O13" s="44" t="n"/>
    </row>
    <row r="14" ht="54" customHeight="1">
      <c r="A14" s="44" t="n"/>
      <c r="B14" s="44" t="n"/>
      <c r="C14" s="44" t="n"/>
      <c r="D14" s="44" t="n"/>
      <c r="E14" s="44" t="n"/>
      <c r="F14" s="44" t="n"/>
      <c r="G14" s="44" t="n"/>
      <c r="H14" s="44" t="n"/>
      <c r="I14" s="44" t="n"/>
      <c r="J14" s="44" t="n"/>
      <c r="K14" s="44" t="n"/>
      <c r="L14" s="44" t="n"/>
      <c r="M14" s="44" t="n"/>
      <c r="N14" s="44" t="n"/>
      <c r="O14" s="44" t="n"/>
    </row>
    <row r="15" ht="54" customHeight="1">
      <c r="A15" s="44" t="n"/>
      <c r="B15" s="44" t="n"/>
      <c r="C15" s="44" t="n"/>
      <c r="D15" s="44" t="n"/>
      <c r="E15" s="44" t="n"/>
      <c r="F15" s="44" t="n"/>
      <c r="G15" s="44" t="n"/>
      <c r="H15" s="44" t="n"/>
      <c r="I15" s="44" t="n"/>
      <c r="J15" s="44" t="n"/>
      <c r="K15" s="44" t="n"/>
      <c r="L15" s="44" t="n"/>
      <c r="M15" s="44" t="n"/>
      <c r="N15" s="44" t="n"/>
      <c r="O15" s="44" t="n"/>
    </row>
    <row r="16" ht="54" customHeight="1">
      <c r="A16" s="44" t="n"/>
      <c r="B16" s="44" t="n"/>
      <c r="C16" s="44" t="n"/>
      <c r="D16" s="44" t="n"/>
      <c r="E16" s="44" t="n"/>
      <c r="F16" s="44" t="n"/>
      <c r="G16" s="44" t="n"/>
      <c r="H16" s="44" t="n"/>
      <c r="I16" s="44" t="n"/>
      <c r="J16" s="44" t="n"/>
      <c r="K16" s="44" t="n"/>
      <c r="L16" s="44" t="n"/>
      <c r="M16" s="44" t="n"/>
      <c r="N16" s="44" t="n"/>
      <c r="O16" s="44" t="n"/>
    </row>
    <row r="17" ht="54" customHeight="1">
      <c r="A17" s="44" t="n"/>
      <c r="B17" s="44" t="n"/>
      <c r="C17" s="44" t="n"/>
      <c r="D17" s="44" t="n"/>
      <c r="E17" s="44" t="n"/>
      <c r="F17" s="44" t="n"/>
      <c r="G17" s="44" t="n"/>
      <c r="H17" s="44" t="n"/>
      <c r="I17" s="44" t="n"/>
      <c r="J17" s="44" t="n"/>
      <c r="K17" s="44" t="n"/>
      <c r="L17" s="44" t="n"/>
      <c r="M17" s="44" t="n"/>
      <c r="N17" s="44" t="n"/>
      <c r="O17" s="44" t="n"/>
    </row>
    <row r="18" ht="54" customHeight="1">
      <c r="A18" s="44" t="n"/>
      <c r="B18" s="44" t="n"/>
      <c r="C18" s="44" t="n"/>
      <c r="D18" s="44" t="n"/>
      <c r="E18" s="44" t="n"/>
      <c r="F18" s="44" t="n"/>
      <c r="G18" s="44" t="n"/>
      <c r="H18" s="44" t="n"/>
      <c r="I18" s="44" t="n"/>
      <c r="J18" s="44" t="n"/>
      <c r="K18" s="44" t="n"/>
      <c r="L18" s="44" t="n"/>
      <c r="M18" s="44" t="n"/>
      <c r="N18" s="44" t="n"/>
      <c r="O18" s="44" t="n"/>
    </row>
    <row r="19" ht="54" customHeight="1">
      <c r="A19" s="44" t="n"/>
      <c r="B19" s="44" t="n"/>
      <c r="C19" s="44" t="n"/>
      <c r="D19" s="44" t="n"/>
      <c r="E19" s="44" t="n"/>
      <c r="F19" s="44" t="n"/>
      <c r="G19" s="44" t="n"/>
      <c r="H19" s="44" t="n"/>
      <c r="I19" s="44" t="n"/>
      <c r="J19" s="44" t="n"/>
      <c r="K19" s="44" t="n"/>
      <c r="L19" s="44" t="n"/>
      <c r="M19" s="44" t="n"/>
      <c r="N19" s="44" t="n"/>
      <c r="O19" s="44" t="n"/>
    </row>
    <row r="20" ht="54" customHeight="1">
      <c r="A20" s="44" t="n"/>
      <c r="B20" s="44" t="n"/>
      <c r="C20" s="44" t="n"/>
      <c r="D20" s="44" t="n"/>
      <c r="E20" s="44" t="n"/>
      <c r="F20" s="44" t="n"/>
      <c r="G20" s="44" t="n"/>
      <c r="H20" s="44" t="n"/>
      <c r="I20" s="44" t="n"/>
      <c r="J20" s="44" t="n"/>
      <c r="K20" s="44" t="n"/>
      <c r="L20" s="44" t="n"/>
      <c r="M20" s="44" t="n"/>
      <c r="N20" s="44" t="n"/>
      <c r="O20" s="44" t="n"/>
    </row>
    <row r="21" ht="54" customHeight="1">
      <c r="A21" s="44" t="n"/>
      <c r="B21" s="44" t="n"/>
      <c r="C21" s="44" t="n"/>
      <c r="D21" s="44" t="n"/>
      <c r="E21" s="44" t="n"/>
      <c r="F21" s="44" t="n"/>
      <c r="G21" s="44" t="n"/>
      <c r="H21" s="44" t="n"/>
      <c r="I21" s="44" t="n"/>
      <c r="J21" s="44" t="n"/>
      <c r="K21" s="44" t="n"/>
      <c r="L21" s="44" t="n"/>
      <c r="M21" s="44" t="n"/>
      <c r="N21" s="44" t="n"/>
      <c r="O21" s="44" t="n"/>
    </row>
    <row r="22" ht="54" customHeight="1">
      <c r="A22" s="44" t="n"/>
      <c r="B22" s="44" t="n"/>
      <c r="C22" s="44" t="n"/>
      <c r="D22" s="44" t="n"/>
      <c r="E22" s="44" t="n"/>
      <c r="F22" s="44" t="n"/>
      <c r="G22" s="44" t="n"/>
      <c r="H22" s="44" t="n"/>
      <c r="I22" s="44" t="n"/>
      <c r="J22" s="44" t="n"/>
      <c r="K22" s="44" t="n"/>
      <c r="L22" s="44" t="n"/>
      <c r="M22" s="44" t="n"/>
      <c r="N22" s="44" t="n"/>
      <c r="O22" s="44" t="n"/>
    </row>
    <row r="23" ht="54" customHeight="1">
      <c r="A23" s="44" t="n"/>
      <c r="B23" s="44" t="n"/>
      <c r="C23" s="44" t="n"/>
      <c r="D23" s="44" t="n"/>
      <c r="E23" s="44" t="n"/>
      <c r="F23" s="44" t="n"/>
      <c r="G23" s="44" t="n"/>
      <c r="H23" s="44" t="n"/>
      <c r="I23" s="44" t="n"/>
      <c r="J23" s="44" t="n"/>
      <c r="K23" s="44" t="n"/>
      <c r="L23" s="44" t="n"/>
      <c r="M23" s="44" t="n"/>
      <c r="N23" s="44" t="n"/>
      <c r="O23" s="44" t="n"/>
    </row>
    <row r="24" ht="54" customHeight="1">
      <c r="A24" s="44" t="n"/>
      <c r="B24" s="44" t="n"/>
      <c r="C24" s="44" t="n"/>
      <c r="D24" s="44" t="n"/>
      <c r="E24" s="44" t="n"/>
      <c r="F24" s="44" t="n"/>
      <c r="G24" s="44" t="n"/>
      <c r="H24" s="44" t="n"/>
      <c r="I24" s="44" t="n"/>
      <c r="J24" s="44" t="n"/>
      <c r="K24" s="44" t="n"/>
      <c r="L24" s="44" t="n"/>
      <c r="M24" s="44" t="n"/>
      <c r="N24" s="44" t="n"/>
      <c r="O24" s="44" t="n"/>
    </row>
    <row r="25" ht="54" customHeight="1">
      <c r="A25" s="44" t="n"/>
      <c r="B25" s="44" t="n"/>
      <c r="C25" s="44" t="n"/>
      <c r="D25" s="44" t="n"/>
      <c r="E25" s="44" t="n"/>
      <c r="F25" s="44" t="n"/>
      <c r="G25" s="44" t="n"/>
      <c r="H25" s="44" t="n"/>
      <c r="I25" s="44" t="n"/>
      <c r="J25" s="44" t="n"/>
      <c r="K25" s="44" t="n"/>
      <c r="L25" s="44" t="n"/>
      <c r="M25" s="44" t="n"/>
      <c r="N25" s="44" t="n"/>
      <c r="O25" s="44" t="n"/>
    </row>
    <row r="26" ht="54" customHeight="1">
      <c r="A26" s="44" t="n"/>
      <c r="B26" s="44" t="n"/>
      <c r="C26" s="44" t="n"/>
      <c r="D26" s="44" t="n"/>
      <c r="E26" s="44" t="n"/>
      <c r="F26" s="44" t="n"/>
      <c r="G26" s="44" t="n"/>
      <c r="H26" s="44" t="n"/>
      <c r="I26" s="44" t="n"/>
      <c r="J26" s="44" t="n"/>
      <c r="K26" s="44" t="n"/>
      <c r="L26" s="44" t="n"/>
      <c r="M26" s="44" t="n"/>
      <c r="N26" s="44" t="n"/>
      <c r="O26" s="44" t="n"/>
    </row>
    <row r="27" ht="54" customHeight="1">
      <c r="A27" s="44" t="n"/>
      <c r="B27" s="44" t="n"/>
      <c r="C27" s="44" t="n"/>
      <c r="D27" s="44" t="n"/>
      <c r="E27" s="44" t="n"/>
      <c r="F27" s="44" t="n"/>
      <c r="G27" s="44" t="n"/>
      <c r="H27" s="44" t="n"/>
      <c r="I27" s="44" t="n"/>
      <c r="J27" s="44" t="n"/>
      <c r="K27" s="44" t="n"/>
      <c r="L27" s="44" t="n"/>
      <c r="M27" s="44" t="n"/>
      <c r="N27" s="44" t="n"/>
      <c r="O27" s="44" t="n"/>
    </row>
    <row r="28" ht="54" customHeight="1">
      <c r="A28" s="44" t="n"/>
      <c r="B28" s="44" t="n"/>
      <c r="C28" s="44" t="n"/>
      <c r="D28" s="44" t="n"/>
      <c r="E28" s="44" t="n"/>
      <c r="F28" s="44" t="n"/>
      <c r="G28" s="44" t="n"/>
      <c r="H28" s="44" t="n"/>
      <c r="I28" s="44" t="n"/>
      <c r="J28" s="44" t="n"/>
      <c r="K28" s="44" t="n"/>
      <c r="L28" s="44" t="n"/>
      <c r="M28" s="44" t="n"/>
      <c r="N28" s="44" t="n"/>
      <c r="O28" s="44" t="n"/>
    </row>
    <row r="29" ht="54" customHeight="1">
      <c r="A29" s="44" t="n"/>
      <c r="B29" s="44" t="n"/>
      <c r="C29" s="44" t="n"/>
      <c r="D29" s="44" t="n"/>
      <c r="E29" s="44" t="n"/>
      <c r="F29" s="44" t="n"/>
      <c r="G29" s="44" t="n"/>
      <c r="H29" s="44" t="n"/>
      <c r="I29" s="44" t="n"/>
      <c r="J29" s="44" t="n"/>
      <c r="K29" s="44" t="n"/>
      <c r="L29" s="44" t="n"/>
      <c r="M29" s="44" t="n"/>
      <c r="N29" s="44" t="n"/>
      <c r="O29" s="44" t="n"/>
    </row>
    <row r="30" ht="54" customHeight="1">
      <c r="A30" s="44" t="n"/>
      <c r="B30" s="44" t="n"/>
      <c r="C30" s="44" t="n"/>
      <c r="D30" s="44" t="n"/>
      <c r="E30" s="44" t="n"/>
      <c r="F30" s="44" t="n"/>
      <c r="G30" s="44" t="n"/>
      <c r="H30" s="44" t="n"/>
      <c r="I30" s="44" t="n"/>
      <c r="J30" s="44" t="n"/>
      <c r="K30" s="44" t="n"/>
      <c r="L30" s="44" t="n"/>
      <c r="M30" s="44" t="n"/>
      <c r="N30" s="44" t="n"/>
      <c r="O30" s="44" t="n"/>
    </row>
    <row r="31" ht="54" customHeight="1">
      <c r="A31" s="44" t="n"/>
      <c r="B31" s="44" t="n"/>
      <c r="C31" s="44" t="n"/>
      <c r="D31" s="44" t="n"/>
      <c r="E31" s="44" t="n"/>
      <c r="F31" s="44" t="n"/>
      <c r="G31" s="44" t="n"/>
      <c r="H31" s="44" t="n"/>
      <c r="I31" s="44" t="n"/>
      <c r="J31" s="44" t="n"/>
      <c r="K31" s="44" t="n"/>
      <c r="L31" s="44" t="n"/>
      <c r="M31" s="44" t="n"/>
      <c r="N31" s="44" t="n"/>
      <c r="O31" s="44" t="n"/>
    </row>
    <row r="32" ht="54" customHeight="1">
      <c r="A32" s="44" t="n"/>
      <c r="B32" s="44" t="n"/>
      <c r="C32" s="44" t="n"/>
      <c r="D32" s="44" t="n"/>
      <c r="E32" s="44" t="n"/>
      <c r="F32" s="44" t="n"/>
      <c r="G32" s="44" t="n"/>
      <c r="H32" s="44" t="n"/>
      <c r="I32" s="44" t="n"/>
      <c r="J32" s="44" t="n"/>
      <c r="K32" s="44" t="n"/>
      <c r="L32" s="44" t="n"/>
      <c r="M32" s="44" t="n"/>
      <c r="N32" s="44" t="n"/>
      <c r="O32" s="44" t="n"/>
    </row>
    <row r="33" ht="54" customHeight="1">
      <c r="A33" s="44" t="n"/>
      <c r="B33" s="44" t="n"/>
      <c r="C33" s="44" t="n"/>
      <c r="D33" s="44" t="n"/>
      <c r="E33" s="44" t="n"/>
      <c r="F33" s="44" t="n"/>
      <c r="G33" s="44" t="n"/>
      <c r="H33" s="44" t="n"/>
      <c r="I33" s="44" t="n"/>
      <c r="J33" s="44" t="n"/>
      <c r="K33" s="44" t="n"/>
      <c r="L33" s="44" t="n"/>
      <c r="M33" s="44" t="n"/>
      <c r="N33" s="44" t="n"/>
      <c r="O33" s="44" t="n"/>
    </row>
    <row r="34" ht="54" customHeight="1">
      <c r="A34" s="44" t="n"/>
      <c r="B34" s="44" t="n"/>
      <c r="C34" s="44" t="n"/>
      <c r="D34" s="44" t="n"/>
      <c r="E34" s="44" t="n"/>
      <c r="F34" s="44" t="n"/>
      <c r="G34" s="44" t="n"/>
      <c r="H34" s="44" t="n"/>
      <c r="I34" s="44" t="n"/>
      <c r="J34" s="44" t="n"/>
      <c r="K34" s="44" t="n"/>
      <c r="L34" s="44" t="n"/>
      <c r="M34" s="44" t="n"/>
      <c r="N34" s="44" t="n"/>
      <c r="O34" s="44" t="n"/>
    </row>
    <row r="35" ht="54" customHeight="1">
      <c r="A35" s="44" t="n"/>
      <c r="B35" s="44" t="n"/>
      <c r="C35" s="44" t="n"/>
      <c r="D35" s="44" t="n"/>
      <c r="E35" s="44" t="n"/>
      <c r="F35" s="44" t="n"/>
      <c r="G35" s="44" t="n"/>
      <c r="H35" s="44" t="n"/>
      <c r="I35" s="44" t="n"/>
      <c r="J35" s="44" t="n"/>
      <c r="K35" s="44" t="n"/>
      <c r="L35" s="44" t="n"/>
      <c r="M35" s="44" t="n"/>
      <c r="N35" s="44" t="n"/>
      <c r="O35" s="44" t="n"/>
    </row>
    <row r="36" ht="54" customHeight="1">
      <c r="A36" s="44" t="n"/>
      <c r="B36" s="44" t="n"/>
      <c r="C36" s="44" t="n"/>
      <c r="D36" s="44" t="n"/>
      <c r="E36" s="44" t="n"/>
      <c r="F36" s="44" t="n"/>
      <c r="G36" s="44" t="n"/>
      <c r="H36" s="44" t="n"/>
      <c r="I36" s="44" t="n"/>
      <c r="J36" s="44" t="n"/>
      <c r="K36" s="44" t="n"/>
      <c r="L36" s="44" t="n"/>
      <c r="M36" s="44" t="n"/>
      <c r="N36" s="44" t="n"/>
      <c r="O36" s="44" t="n"/>
    </row>
    <row r="37" ht="54" customHeight="1">
      <c r="A37" s="44" t="n"/>
      <c r="B37" s="44" t="n"/>
      <c r="C37" s="44" t="n"/>
      <c r="D37" s="44" t="n"/>
      <c r="E37" s="44" t="n"/>
      <c r="F37" s="44" t="n"/>
      <c r="G37" s="44" t="n"/>
      <c r="H37" s="44" t="n"/>
      <c r="I37" s="44" t="n"/>
      <c r="J37" s="44" t="n"/>
      <c r="K37" s="44" t="n"/>
      <c r="L37" s="44" t="n"/>
      <c r="M37" s="44" t="n"/>
      <c r="N37" s="44" t="n"/>
      <c r="O37" s="44" t="n"/>
    </row>
    <row r="38" ht="54" customHeight="1">
      <c r="A38" s="44" t="n"/>
      <c r="B38" s="44" t="n"/>
      <c r="C38" s="44" t="n"/>
      <c r="D38" s="44" t="n"/>
      <c r="E38" s="44" t="n"/>
      <c r="F38" s="44" t="n"/>
      <c r="G38" s="44" t="n"/>
      <c r="H38" s="44" t="n"/>
      <c r="I38" s="44" t="n"/>
      <c r="J38" s="44" t="n"/>
      <c r="K38" s="44" t="n"/>
      <c r="L38" s="44" t="n"/>
      <c r="M38" s="44" t="n"/>
      <c r="N38" s="44" t="n"/>
      <c r="O38" s="44" t="n"/>
    </row>
    <row r="39" ht="54" customHeight="1">
      <c r="A39" s="44" t="n"/>
      <c r="B39" s="44" t="n"/>
      <c r="C39" s="44" t="n"/>
      <c r="D39" s="44" t="n"/>
      <c r="E39" s="44" t="n"/>
      <c r="F39" s="44" t="n"/>
      <c r="G39" s="44" t="n"/>
      <c r="H39" s="44" t="n"/>
      <c r="I39" s="44" t="n"/>
      <c r="J39" s="44" t="n"/>
      <c r="K39" s="44" t="n"/>
      <c r="L39" s="44" t="n"/>
      <c r="M39" s="44" t="n"/>
      <c r="N39" s="44" t="n"/>
      <c r="O39" s="44" t="n"/>
    </row>
    <row r="40" ht="54" customHeight="1">
      <c r="A40" s="44" t="n"/>
      <c r="B40" s="44" t="n"/>
      <c r="C40" s="44" t="n"/>
      <c r="D40" s="44" t="n"/>
      <c r="E40" s="44" t="n"/>
      <c r="F40" s="44" t="n"/>
      <c r="G40" s="44" t="n"/>
      <c r="H40" s="44" t="n"/>
      <c r="I40" s="44" t="n"/>
      <c r="J40" s="44" t="n"/>
      <c r="K40" s="44" t="n"/>
      <c r="L40" s="44" t="n"/>
      <c r="M40" s="44" t="n"/>
      <c r="N40" s="44" t="n"/>
      <c r="O40" s="44" t="n"/>
    </row>
    <row r="41" ht="54" customHeight="1">
      <c r="A41" s="44" t="n"/>
      <c r="B41" s="44" t="n"/>
      <c r="C41" s="44" t="n"/>
      <c r="D41" s="44" t="n"/>
      <c r="E41" s="44" t="n"/>
      <c r="F41" s="44" t="n"/>
      <c r="G41" s="44" t="n"/>
      <c r="H41" s="44" t="n"/>
      <c r="I41" s="44" t="n"/>
      <c r="J41" s="44" t="n"/>
      <c r="K41" s="44" t="n"/>
      <c r="L41" s="44" t="n"/>
      <c r="M41" s="44" t="n"/>
      <c r="N41" s="44" t="n"/>
      <c r="O41" s="44" t="n"/>
    </row>
    <row r="42" ht="54" customHeight="1">
      <c r="A42" s="44" t="n"/>
      <c r="B42" s="44" t="n"/>
      <c r="C42" s="44" t="n"/>
      <c r="D42" s="44" t="n"/>
      <c r="E42" s="44" t="n"/>
      <c r="F42" s="44" t="n"/>
      <c r="G42" s="44" t="n"/>
      <c r="H42" s="44" t="n"/>
      <c r="I42" s="44" t="n"/>
      <c r="J42" s="44" t="n"/>
      <c r="K42" s="44" t="n"/>
      <c r="L42" s="44" t="n"/>
      <c r="M42" s="44" t="n"/>
      <c r="N42" s="44" t="n"/>
      <c r="O42" s="44" t="n"/>
    </row>
    <row r="43" ht="54" customHeight="1">
      <c r="A43" s="44" t="n"/>
      <c r="B43" s="44" t="n"/>
      <c r="C43" s="44" t="n"/>
      <c r="D43" s="44" t="n"/>
      <c r="E43" s="44" t="n"/>
      <c r="F43" s="44" t="n"/>
      <c r="G43" s="44" t="n"/>
      <c r="H43" s="44" t="n"/>
      <c r="I43" s="44" t="n"/>
      <c r="J43" s="44" t="n"/>
      <c r="K43" s="44" t="n"/>
      <c r="L43" s="44" t="n"/>
      <c r="M43" s="44" t="n"/>
      <c r="N43" s="44" t="n"/>
      <c r="O43" s="44" t="n"/>
    </row>
    <row r="44" ht="54" customHeight="1">
      <c r="A44" s="44" t="n"/>
      <c r="B44" s="44" t="n"/>
      <c r="C44" s="44" t="n"/>
      <c r="D44" s="44" t="n"/>
      <c r="E44" s="44" t="n"/>
      <c r="F44" s="44" t="n"/>
      <c r="G44" s="44" t="n"/>
      <c r="H44" s="44" t="n"/>
      <c r="I44" s="44" t="n"/>
      <c r="J44" s="44" t="n"/>
      <c r="K44" s="44" t="n"/>
      <c r="L44" s="44" t="n"/>
      <c r="M44" s="44" t="n"/>
      <c r="N44" s="44" t="n"/>
      <c r="O44" s="44" t="n"/>
    </row>
    <row r="45" ht="54" customHeight="1">
      <c r="A45" s="44" t="n"/>
      <c r="B45" s="44" t="n"/>
      <c r="C45" s="44" t="n"/>
      <c r="D45" s="44" t="n"/>
      <c r="E45" s="44" t="n"/>
      <c r="F45" s="44" t="n"/>
      <c r="G45" s="44" t="n"/>
      <c r="H45" s="44" t="n"/>
      <c r="I45" s="44" t="n"/>
      <c r="J45" s="44" t="n"/>
      <c r="K45" s="44" t="n"/>
      <c r="L45" s="44" t="n"/>
      <c r="M45" s="44" t="n"/>
      <c r="N45" s="44" t="n"/>
      <c r="O45" s="44" t="n"/>
    </row>
    <row r="46" ht="54" customHeight="1">
      <c r="A46" s="44" t="n"/>
      <c r="B46" s="44" t="n"/>
      <c r="C46" s="44" t="n"/>
      <c r="D46" s="44" t="n"/>
      <c r="E46" s="44" t="n"/>
      <c r="F46" s="44" t="n"/>
      <c r="G46" s="44" t="n"/>
      <c r="H46" s="44" t="n"/>
      <c r="I46" s="44" t="n"/>
      <c r="J46" s="44" t="n"/>
      <c r="K46" s="44" t="n"/>
      <c r="L46" s="44" t="n"/>
      <c r="M46" s="44" t="n"/>
      <c r="N46" s="44" t="n"/>
      <c r="O46" s="44" t="n"/>
    </row>
    <row r="47" ht="54" customHeight="1">
      <c r="A47" s="44" t="n"/>
      <c r="B47" s="44" t="n"/>
      <c r="C47" s="44" t="n"/>
      <c r="D47" s="44" t="n"/>
      <c r="E47" s="44" t="n"/>
      <c r="F47" s="44" t="n"/>
      <c r="G47" s="44" t="n"/>
      <c r="H47" s="44" t="n"/>
      <c r="I47" s="44" t="n"/>
      <c r="J47" s="44" t="n"/>
      <c r="K47" s="44" t="n"/>
      <c r="L47" s="44" t="n"/>
      <c r="M47" s="44" t="n"/>
      <c r="N47" s="44" t="n"/>
      <c r="O47" s="44" t="n"/>
    </row>
    <row r="48" ht="54" customHeight="1">
      <c r="A48" s="44" t="n"/>
      <c r="B48" s="44" t="n"/>
      <c r="C48" s="44" t="n"/>
      <c r="D48" s="44" t="n"/>
      <c r="E48" s="44" t="n"/>
      <c r="F48" s="44" t="n"/>
      <c r="G48" s="44" t="n"/>
      <c r="H48" s="44" t="n"/>
      <c r="I48" s="44" t="n"/>
      <c r="J48" s="44" t="n"/>
      <c r="K48" s="44" t="n"/>
      <c r="L48" s="44" t="n"/>
      <c r="M48" s="44" t="n"/>
      <c r="N48" s="44" t="n"/>
      <c r="O48" s="44" t="n"/>
    </row>
    <row r="49" ht="54" customHeight="1">
      <c r="A49" s="44" t="n"/>
      <c r="B49" s="44" t="n"/>
      <c r="C49" s="44" t="n"/>
      <c r="D49" s="44" t="n"/>
      <c r="E49" s="44" t="n"/>
      <c r="F49" s="44" t="n"/>
      <c r="G49" s="44" t="n"/>
      <c r="H49" s="44" t="n"/>
      <c r="I49" s="44" t="n"/>
      <c r="J49" s="44" t="n"/>
      <c r="K49" s="44" t="n"/>
      <c r="L49" s="44" t="n"/>
      <c r="M49" s="44" t="n"/>
      <c r="N49" s="44" t="n"/>
      <c r="O49" s="44" t="n"/>
    </row>
    <row r="50" ht="54" customHeight="1">
      <c r="A50" s="44" t="n"/>
      <c r="B50" s="44" t="n"/>
      <c r="C50" s="44" t="n"/>
      <c r="D50" s="44" t="n"/>
      <c r="E50" s="44" t="n"/>
      <c r="F50" s="44" t="n"/>
      <c r="G50" s="44" t="n"/>
      <c r="H50" s="44" t="n"/>
      <c r="I50" s="44" t="n"/>
      <c r="J50" s="44" t="n"/>
      <c r="K50" s="44" t="n"/>
      <c r="L50" s="44" t="n"/>
      <c r="M50" s="44" t="n"/>
      <c r="N50" s="44" t="n"/>
      <c r="O50" s="44" t="n"/>
    </row>
    <row r="51" ht="54" customHeight="1">
      <c r="A51" s="44" t="n"/>
      <c r="B51" s="44" t="n"/>
      <c r="C51" s="44" t="n"/>
      <c r="D51" s="44" t="n"/>
      <c r="E51" s="44" t="n"/>
      <c r="F51" s="44" t="n"/>
      <c r="G51" s="44" t="n"/>
      <c r="H51" s="44" t="n"/>
      <c r="I51" s="44" t="n"/>
      <c r="J51" s="44" t="n"/>
      <c r="K51" s="44" t="n"/>
      <c r="L51" s="44" t="n"/>
      <c r="M51" s="44" t="n"/>
      <c r="N51" s="44" t="n"/>
      <c r="O51" s="44" t="n"/>
    </row>
    <row r="52" ht="54" customHeight="1">
      <c r="A52" s="44" t="n"/>
      <c r="B52" s="44" t="n"/>
      <c r="C52" s="44" t="n"/>
      <c r="D52" s="44" t="n"/>
      <c r="E52" s="44" t="n"/>
      <c r="F52" s="44" t="n"/>
      <c r="G52" s="44" t="n"/>
      <c r="H52" s="44" t="n"/>
      <c r="I52" s="44" t="n"/>
      <c r="J52" s="44" t="n"/>
      <c r="K52" s="44" t="n"/>
      <c r="L52" s="44" t="n"/>
      <c r="M52" s="44" t="n"/>
      <c r="N52" s="44" t="n"/>
      <c r="O52" s="44" t="n"/>
    </row>
    <row r="53" ht="54" customHeight="1">
      <c r="A53" s="44" t="n"/>
      <c r="B53" s="44" t="n"/>
      <c r="C53" s="44" t="n"/>
      <c r="D53" s="44" t="n"/>
      <c r="E53" s="44" t="n"/>
      <c r="F53" s="44" t="n"/>
      <c r="G53" s="44" t="n"/>
      <c r="H53" s="44" t="n"/>
      <c r="I53" s="44" t="n"/>
      <c r="J53" s="44" t="n"/>
      <c r="K53" s="44" t="n"/>
      <c r="L53" s="44" t="n"/>
      <c r="M53" s="44" t="n"/>
      <c r="N53" s="44" t="n"/>
      <c r="O53" s="44" t="n"/>
    </row>
    <row r="54" ht="54" customHeight="1">
      <c r="A54" s="44" t="n"/>
      <c r="B54" s="44" t="n"/>
      <c r="C54" s="44" t="n"/>
      <c r="D54" s="44" t="n"/>
      <c r="E54" s="44" t="n"/>
      <c r="F54" s="44" t="n"/>
      <c r="G54" s="44" t="n"/>
      <c r="H54" s="44" t="n"/>
      <c r="I54" s="44" t="n"/>
      <c r="J54" s="44" t="n"/>
      <c r="K54" s="44" t="n"/>
      <c r="L54" s="44" t="n"/>
      <c r="M54" s="44" t="n"/>
      <c r="N54" s="44" t="n"/>
      <c r="O54" s="44" t="n"/>
    </row>
    <row r="55" ht="54" customHeight="1">
      <c r="A55" s="44" t="n"/>
      <c r="B55" s="44" t="n"/>
      <c r="C55" s="44" t="n"/>
      <c r="D55" s="44" t="n"/>
      <c r="E55" s="44" t="n"/>
      <c r="F55" s="44" t="n"/>
      <c r="G55" s="44" t="n"/>
      <c r="H55" s="44" t="n"/>
      <c r="I55" s="44" t="n"/>
      <c r="J55" s="44" t="n"/>
      <c r="K55" s="44" t="n"/>
      <c r="L55" s="44" t="n"/>
      <c r="M55" s="44" t="n"/>
      <c r="N55" s="44" t="n"/>
      <c r="O55" s="44" t="n"/>
    </row>
    <row r="56" ht="54" customHeight="1">
      <c r="A56" s="44" t="n"/>
      <c r="B56" s="44" t="n"/>
      <c r="C56" s="44" t="n"/>
      <c r="D56" s="44" t="n"/>
      <c r="E56" s="44" t="n"/>
      <c r="F56" s="44" t="n"/>
      <c r="G56" s="44" t="n"/>
      <c r="H56" s="44" t="n"/>
      <c r="I56" s="44" t="n"/>
      <c r="J56" s="44" t="n"/>
      <c r="K56" s="44" t="n"/>
      <c r="L56" s="44" t="n"/>
      <c r="M56" s="44" t="n"/>
      <c r="N56" s="44" t="n"/>
      <c r="O56" s="44" t="n"/>
    </row>
    <row r="57" ht="54" customHeight="1">
      <c r="A57" s="44" t="n"/>
      <c r="B57" s="44" t="n"/>
      <c r="C57" s="44" t="n"/>
      <c r="D57" s="44" t="n"/>
      <c r="E57" s="44" t="n"/>
      <c r="F57" s="44" t="n"/>
      <c r="G57" s="44" t="n"/>
      <c r="H57" s="44" t="n"/>
      <c r="I57" s="44" t="n"/>
      <c r="J57" s="44" t="n"/>
      <c r="K57" s="44" t="n"/>
      <c r="L57" s="44" t="n"/>
      <c r="M57" s="44" t="n"/>
      <c r="N57" s="44" t="n"/>
      <c r="O57" s="44" t="n"/>
    </row>
    <row r="58" ht="54" customHeight="1">
      <c r="A58" s="44" t="n"/>
      <c r="B58" s="44" t="n"/>
      <c r="C58" s="44" t="n"/>
      <c r="D58" s="44" t="n"/>
      <c r="E58" s="44" t="n"/>
      <c r="F58" s="44" t="n"/>
      <c r="G58" s="44" t="n"/>
      <c r="H58" s="44" t="n"/>
      <c r="I58" s="44" t="n"/>
      <c r="J58" s="44" t="n"/>
      <c r="K58" s="44" t="n"/>
      <c r="L58" s="44" t="n"/>
      <c r="M58" s="44" t="n"/>
      <c r="N58" s="44" t="n"/>
      <c r="O58" s="44" t="n"/>
    </row>
    <row r="59" ht="54" customHeight="1">
      <c r="A59" s="44" t="n"/>
      <c r="B59" s="44" t="n"/>
      <c r="C59" s="44" t="n"/>
      <c r="D59" s="44" t="n"/>
      <c r="E59" s="44" t="n"/>
      <c r="F59" s="44" t="n"/>
      <c r="G59" s="44" t="n"/>
      <c r="H59" s="44" t="n"/>
      <c r="I59" s="44" t="n"/>
      <c r="J59" s="44" t="n"/>
      <c r="K59" s="44" t="n"/>
      <c r="L59" s="44" t="n"/>
      <c r="M59" s="44" t="n"/>
      <c r="N59" s="44" t="n"/>
      <c r="O59" s="44" t="n"/>
    </row>
    <row r="60" ht="54" customHeight="1">
      <c r="A60" s="44" t="n"/>
      <c r="B60" s="44" t="n"/>
      <c r="C60" s="44" t="n"/>
      <c r="D60" s="44" t="n"/>
      <c r="E60" s="44" t="n"/>
      <c r="F60" s="44" t="n"/>
      <c r="G60" s="44" t="n"/>
      <c r="H60" s="44" t="n"/>
      <c r="I60" s="44" t="n"/>
      <c r="J60" s="44" t="n"/>
      <c r="K60" s="44" t="n"/>
      <c r="L60" s="44" t="n"/>
      <c r="M60" s="44" t="n"/>
      <c r="N60" s="44" t="n"/>
      <c r="O60" s="44" t="n"/>
    </row>
    <row r="61" ht="54" customHeight="1">
      <c r="A61" s="44" t="n"/>
      <c r="B61" s="44" t="n"/>
      <c r="C61" s="44" t="n"/>
      <c r="D61" s="44" t="n"/>
      <c r="E61" s="44" t="n"/>
      <c r="F61" s="44" t="n"/>
      <c r="G61" s="44" t="n"/>
      <c r="H61" s="44" t="n"/>
      <c r="I61" s="44" t="n"/>
      <c r="J61" s="44" t="n"/>
      <c r="K61" s="44" t="n"/>
      <c r="L61" s="44" t="n"/>
      <c r="M61" s="44" t="n"/>
      <c r="N61" s="44" t="n"/>
      <c r="O61" s="44" t="n"/>
    </row>
    <row r="62" ht="54" customHeight="1">
      <c r="A62" s="44" t="n"/>
      <c r="B62" s="44" t="n"/>
      <c r="C62" s="44" t="n"/>
      <c r="D62" s="44" t="n"/>
      <c r="E62" s="44" t="n"/>
      <c r="F62" s="44" t="n"/>
      <c r="G62" s="44" t="n"/>
      <c r="H62" s="44" t="n"/>
      <c r="I62" s="44" t="n"/>
      <c r="J62" s="44" t="n"/>
      <c r="K62" s="44" t="n"/>
      <c r="L62" s="44" t="n"/>
      <c r="M62" s="44" t="n"/>
      <c r="N62" s="44" t="n"/>
      <c r="O62" s="44" t="n"/>
    </row>
    <row r="63" ht="54" customHeight="1">
      <c r="A63" s="44" t="n"/>
      <c r="B63" s="44" t="n"/>
      <c r="C63" s="44" t="n"/>
      <c r="D63" s="44" t="n"/>
      <c r="E63" s="44" t="n"/>
      <c r="F63" s="44" t="n"/>
      <c r="G63" s="44" t="n"/>
      <c r="H63" s="44" t="n"/>
      <c r="I63" s="44" t="n"/>
      <c r="J63" s="44" t="n"/>
      <c r="K63" s="44" t="n"/>
      <c r="L63" s="44" t="n"/>
      <c r="M63" s="44" t="n"/>
      <c r="N63" s="44" t="n"/>
      <c r="O63" s="44" t="n"/>
    </row>
    <row r="64" ht="54" customHeight="1">
      <c r="A64" s="44" t="n"/>
      <c r="B64" s="44" t="n"/>
      <c r="C64" s="44" t="n"/>
      <c r="D64" s="44" t="n"/>
      <c r="E64" s="44" t="n"/>
      <c r="F64" s="44" t="n"/>
      <c r="G64" s="44" t="n"/>
      <c r="H64" s="44" t="n"/>
      <c r="I64" s="44" t="n"/>
      <c r="J64" s="44" t="n"/>
      <c r="K64" s="44" t="n"/>
      <c r="L64" s="44" t="n"/>
      <c r="M64" s="44" t="n"/>
      <c r="N64" s="44" t="n"/>
      <c r="O64" s="44" t="n"/>
    </row>
    <row r="65" ht="54" customHeight="1">
      <c r="A65" s="44" t="n"/>
      <c r="B65" s="44" t="n"/>
      <c r="C65" s="44" t="n"/>
      <c r="D65" s="44" t="n"/>
      <c r="E65" s="44" t="n"/>
      <c r="F65" s="44" t="n"/>
      <c r="G65" s="44" t="n"/>
      <c r="H65" s="44" t="n"/>
      <c r="I65" s="44" t="n"/>
      <c r="J65" s="44" t="n"/>
      <c r="K65" s="44" t="n"/>
      <c r="L65" s="44" t="n"/>
      <c r="M65" s="44" t="n"/>
      <c r="N65" s="44" t="n"/>
      <c r="O65" s="44" t="n"/>
    </row>
    <row r="66" ht="54" customHeight="1">
      <c r="A66" s="44" t="n"/>
      <c r="B66" s="44" t="n"/>
      <c r="C66" s="44" t="n"/>
      <c r="D66" s="44" t="n"/>
      <c r="E66" s="44" t="n"/>
      <c r="F66" s="44" t="n"/>
      <c r="G66" s="44" t="n"/>
      <c r="H66" s="44" t="n"/>
      <c r="I66" s="44" t="n"/>
      <c r="J66" s="44" t="n"/>
      <c r="K66" s="44" t="n"/>
      <c r="L66" s="44" t="n"/>
      <c r="M66" s="44" t="n"/>
      <c r="N66" s="44" t="n"/>
      <c r="O66" s="44" t="n"/>
    </row>
    <row r="67" ht="54" customHeight="1">
      <c r="A67" s="44" t="n"/>
      <c r="B67" s="44" t="n"/>
      <c r="C67" s="44" t="n"/>
      <c r="D67" s="44" t="n"/>
      <c r="E67" s="44" t="n"/>
      <c r="F67" s="44" t="n"/>
      <c r="G67" s="44" t="n"/>
      <c r="H67" s="44" t="n"/>
      <c r="I67" s="44" t="n"/>
      <c r="J67" s="44" t="n"/>
      <c r="K67" s="44" t="n"/>
      <c r="L67" s="44" t="n"/>
      <c r="M67" s="44" t="n"/>
      <c r="N67" s="44" t="n"/>
      <c r="O67" s="44" t="n"/>
    </row>
    <row r="68" ht="54" customHeight="1">
      <c r="A68" s="44" t="n"/>
      <c r="B68" s="44" t="n"/>
      <c r="C68" s="44" t="n"/>
      <c r="D68" s="44" t="n"/>
      <c r="E68" s="44" t="n"/>
      <c r="F68" s="44" t="n"/>
      <c r="G68" s="44" t="n"/>
      <c r="H68" s="44" t="n"/>
      <c r="I68" s="44" t="n"/>
      <c r="J68" s="44" t="n"/>
      <c r="K68" s="44" t="n"/>
      <c r="L68" s="44" t="n"/>
      <c r="M68" s="44" t="n"/>
      <c r="N68" s="44" t="n"/>
      <c r="O68" s="44" t="n"/>
    </row>
    <row r="69" ht="54" customHeight="1">
      <c r="A69" s="44" t="n"/>
      <c r="B69" s="44" t="n"/>
      <c r="C69" s="44" t="n"/>
      <c r="D69" s="44" t="n"/>
      <c r="E69" s="44" t="n"/>
      <c r="F69" s="44" t="n"/>
      <c r="G69" s="44" t="n"/>
      <c r="H69" s="44" t="n"/>
      <c r="I69" s="44" t="n"/>
      <c r="J69" s="44" t="n"/>
      <c r="K69" s="44" t="n"/>
      <c r="L69" s="44" t="n"/>
      <c r="M69" s="44" t="n"/>
      <c r="N69" s="44" t="n"/>
      <c r="O69" s="44" t="n"/>
    </row>
    <row r="70" ht="54" customHeight="1">
      <c r="A70" s="44" t="n"/>
      <c r="B70" s="44" t="n"/>
      <c r="C70" s="44" t="n"/>
      <c r="D70" s="44" t="n"/>
      <c r="E70" s="44" t="n"/>
      <c r="F70" s="44" t="n"/>
      <c r="G70" s="44" t="n"/>
      <c r="H70" s="44" t="n"/>
      <c r="I70" s="44" t="n"/>
      <c r="J70" s="44" t="n"/>
      <c r="K70" s="44" t="n"/>
      <c r="L70" s="44" t="n"/>
      <c r="M70" s="44" t="n"/>
      <c r="N70" s="44" t="n"/>
      <c r="O70" s="44" t="n"/>
    </row>
    <row r="71" ht="54" customHeight="1">
      <c r="A71" s="44" t="n"/>
      <c r="B71" s="44" t="n"/>
      <c r="C71" s="44" t="n"/>
      <c r="D71" s="44" t="n"/>
      <c r="E71" s="44" t="n"/>
      <c r="F71" s="44" t="n"/>
      <c r="G71" s="44" t="n"/>
      <c r="H71" s="44" t="n"/>
      <c r="I71" s="44" t="n"/>
      <c r="J71" s="44" t="n"/>
      <c r="K71" s="44" t="n"/>
      <c r="L71" s="44" t="n"/>
      <c r="M71" s="44" t="n"/>
      <c r="N71" s="44" t="n"/>
      <c r="O71" s="44" t="n"/>
    </row>
    <row r="72" ht="54" customHeight="1">
      <c r="A72" s="44" t="n"/>
      <c r="B72" s="44" t="n"/>
      <c r="C72" s="44" t="n"/>
      <c r="D72" s="44" t="n"/>
      <c r="E72" s="44" t="n"/>
      <c r="F72" s="44" t="n"/>
      <c r="G72" s="44" t="n"/>
      <c r="H72" s="44" t="n"/>
      <c r="I72" s="44" t="n"/>
      <c r="J72" s="44" t="n"/>
      <c r="K72" s="44" t="n"/>
      <c r="L72" s="44" t="n"/>
      <c r="M72" s="44" t="n"/>
      <c r="N72" s="44" t="n"/>
      <c r="O72" s="44" t="n"/>
    </row>
    <row r="73" ht="54" customHeight="1">
      <c r="A73" s="44" t="n"/>
      <c r="B73" s="44" t="n"/>
      <c r="C73" s="44" t="n"/>
      <c r="D73" s="44" t="n"/>
      <c r="E73" s="44" t="n"/>
      <c r="F73" s="44" t="n"/>
      <c r="G73" s="44" t="n"/>
      <c r="H73" s="44" t="n"/>
      <c r="I73" s="44" t="n"/>
      <c r="J73" s="44" t="n"/>
      <c r="K73" s="44" t="n"/>
      <c r="L73" s="44" t="n"/>
      <c r="M73" s="44" t="n"/>
      <c r="N73" s="44" t="n"/>
      <c r="O73" s="44" t="n"/>
    </row>
    <row r="74" ht="54" customHeight="1">
      <c r="A74" s="44" t="n"/>
      <c r="B74" s="44" t="n"/>
      <c r="C74" s="44" t="n"/>
      <c r="D74" s="44" t="n"/>
      <c r="E74" s="44" t="n"/>
      <c r="F74" s="44" t="n"/>
      <c r="G74" s="44" t="n"/>
      <c r="H74" s="44" t="n"/>
      <c r="I74" s="44" t="n"/>
      <c r="J74" s="44" t="n"/>
      <c r="K74" s="44" t="n"/>
      <c r="L74" s="44" t="n"/>
      <c r="M74" s="44" t="n"/>
      <c r="N74" s="44" t="n"/>
      <c r="O74" s="44" t="n"/>
    </row>
    <row r="75" ht="54" customHeight="1">
      <c r="A75" s="44" t="n"/>
      <c r="B75" s="44" t="n"/>
      <c r="C75" s="44" t="n"/>
      <c r="D75" s="44" t="n"/>
      <c r="E75" s="44" t="n"/>
      <c r="F75" s="44" t="n"/>
      <c r="G75" s="44" t="n"/>
      <c r="H75" s="44" t="n"/>
      <c r="I75" s="44" t="n"/>
      <c r="J75" s="44" t="n"/>
      <c r="K75" s="44" t="n"/>
      <c r="L75" s="44" t="n"/>
      <c r="M75" s="44" t="n"/>
      <c r="N75" s="44" t="n"/>
      <c r="O75" s="44" t="n"/>
    </row>
    <row r="76" ht="54" customHeight="1">
      <c r="A76" s="44" t="n"/>
      <c r="B76" s="44" t="n"/>
      <c r="C76" s="44" t="n"/>
      <c r="D76" s="44" t="n"/>
      <c r="E76" s="44" t="n"/>
      <c r="F76" s="44" t="n"/>
      <c r="G76" s="44" t="n"/>
      <c r="H76" s="44" t="n"/>
      <c r="I76" s="44" t="n"/>
      <c r="J76" s="44" t="n"/>
      <c r="K76" s="44" t="n"/>
      <c r="L76" s="44" t="n"/>
      <c r="M76" s="44" t="n"/>
      <c r="N76" s="44" t="n"/>
      <c r="O76" s="44" t="n"/>
    </row>
    <row r="77" ht="54" customHeight="1">
      <c r="A77" s="44" t="n"/>
      <c r="B77" s="44" t="n"/>
      <c r="C77" s="44" t="n"/>
      <c r="D77" s="44" t="n"/>
      <c r="E77" s="44" t="n"/>
      <c r="F77" s="44" t="n"/>
      <c r="G77" s="44" t="n"/>
      <c r="H77" s="44" t="n"/>
      <c r="I77" s="44" t="n"/>
      <c r="J77" s="44" t="n"/>
      <c r="K77" s="44" t="n"/>
      <c r="L77" s="44" t="n"/>
      <c r="M77" s="44" t="n"/>
      <c r="N77" s="44" t="n"/>
      <c r="O77" s="44" t="n"/>
    </row>
    <row r="78" ht="54" customHeight="1">
      <c r="A78" s="44" t="n"/>
      <c r="B78" s="44" t="n"/>
      <c r="C78" s="44" t="n"/>
      <c r="D78" s="44" t="n"/>
      <c r="E78" s="44" t="n"/>
      <c r="F78" s="44" t="n"/>
      <c r="G78" s="44" t="n"/>
      <c r="H78" s="44" t="n"/>
      <c r="I78" s="44" t="n"/>
      <c r="J78" s="44" t="n"/>
      <c r="K78" s="44" t="n"/>
      <c r="L78" s="44" t="n"/>
      <c r="M78" s="44" t="n"/>
      <c r="N78" s="44" t="n"/>
      <c r="O78" s="44" t="n"/>
    </row>
    <row r="79" ht="54" customHeight="1">
      <c r="A79" s="44" t="n"/>
      <c r="B79" s="44" t="n"/>
      <c r="C79" s="44" t="n"/>
      <c r="D79" s="44" t="n"/>
      <c r="E79" s="44" t="n"/>
      <c r="F79" s="44" t="n"/>
      <c r="G79" s="44" t="n"/>
      <c r="H79" s="44" t="n"/>
      <c r="I79" s="44" t="n"/>
      <c r="J79" s="44" t="n"/>
      <c r="K79" s="44" t="n"/>
      <c r="L79" s="44" t="n"/>
      <c r="M79" s="44" t="n"/>
      <c r="N79" s="44" t="n"/>
      <c r="O79" s="44" t="n"/>
    </row>
    <row r="80" ht="54" customHeight="1">
      <c r="A80" s="44" t="n"/>
      <c r="B80" s="44" t="n"/>
      <c r="C80" s="44" t="n"/>
      <c r="D80" s="44" t="n"/>
      <c r="E80" s="44" t="n"/>
      <c r="F80" s="44" t="n"/>
      <c r="G80" s="44" t="n"/>
      <c r="H80" s="44" t="n"/>
      <c r="I80" s="44" t="n"/>
      <c r="J80" s="44" t="n"/>
      <c r="K80" s="44" t="n"/>
      <c r="L80" s="44" t="n"/>
      <c r="M80" s="44" t="n"/>
      <c r="N80" s="44" t="n"/>
      <c r="O80" s="44" t="n"/>
    </row>
    <row r="81" ht="54" customHeight="1">
      <c r="A81" s="44" t="n"/>
      <c r="B81" s="44" t="n"/>
      <c r="C81" s="44" t="n"/>
      <c r="D81" s="44" t="n"/>
      <c r="E81" s="44" t="n"/>
      <c r="F81" s="44" t="n"/>
      <c r="G81" s="44" t="n"/>
      <c r="H81" s="44" t="n"/>
      <c r="I81" s="44" t="n"/>
      <c r="J81" s="44" t="n"/>
      <c r="K81" s="44" t="n"/>
      <c r="L81" s="44" t="n"/>
      <c r="M81" s="44" t="n"/>
      <c r="N81" s="44" t="n"/>
      <c r="O81" s="44" t="n"/>
    </row>
    <row r="82" ht="54" customHeight="1">
      <c r="A82" s="44" t="n"/>
      <c r="B82" s="44" t="n"/>
      <c r="C82" s="44" t="n"/>
      <c r="D82" s="44" t="n"/>
      <c r="E82" s="44" t="n"/>
      <c r="F82" s="44" t="n"/>
      <c r="G82" s="44" t="n"/>
      <c r="H82" s="44" t="n"/>
      <c r="I82" s="44" t="n"/>
      <c r="J82" s="44" t="n"/>
      <c r="K82" s="44" t="n"/>
      <c r="L82" s="44" t="n"/>
      <c r="M82" s="44" t="n"/>
      <c r="N82" s="44" t="n"/>
      <c r="O82" s="44" t="n"/>
    </row>
    <row r="83" ht="54" customHeight="1">
      <c r="A83" s="44" t="n"/>
      <c r="B83" s="44" t="n"/>
      <c r="C83" s="44" t="n"/>
      <c r="D83" s="44" t="n"/>
      <c r="E83" s="44" t="n"/>
      <c r="F83" s="44" t="n"/>
      <c r="G83" s="44" t="n"/>
      <c r="H83" s="44" t="n"/>
      <c r="I83" s="44" t="n"/>
      <c r="J83" s="44" t="n"/>
      <c r="K83" s="44" t="n"/>
      <c r="L83" s="44" t="n"/>
      <c r="M83" s="44" t="n"/>
      <c r="N83" s="44" t="n"/>
      <c r="O83" s="44" t="n"/>
    </row>
    <row r="84" ht="54" customHeight="1">
      <c r="A84" s="44" t="n"/>
      <c r="B84" s="44" t="n"/>
      <c r="C84" s="44" t="n"/>
      <c r="D84" s="44" t="n"/>
      <c r="E84" s="44" t="n"/>
      <c r="F84" s="44" t="n"/>
      <c r="G84" s="44" t="n"/>
      <c r="H84" s="44" t="n"/>
      <c r="I84" s="44" t="n"/>
      <c r="J84" s="44" t="n"/>
      <c r="K84" s="44" t="n"/>
      <c r="L84" s="44" t="n"/>
      <c r="M84" s="44" t="n"/>
      <c r="N84" s="44" t="n"/>
      <c r="O84" s="44" t="n"/>
    </row>
    <row r="85" ht="54" customHeight="1">
      <c r="A85" s="44" t="n"/>
      <c r="B85" s="44" t="n"/>
      <c r="C85" s="44" t="n"/>
      <c r="D85" s="44" t="n"/>
      <c r="E85" s="44" t="n"/>
      <c r="F85" s="44" t="n"/>
      <c r="G85" s="44" t="n"/>
      <c r="H85" s="44" t="n"/>
      <c r="I85" s="44" t="n"/>
      <c r="J85" s="44" t="n"/>
      <c r="K85" s="44" t="n"/>
      <c r="L85" s="44" t="n"/>
      <c r="M85" s="44" t="n"/>
      <c r="N85" s="44" t="n"/>
      <c r="O85" s="44" t="n"/>
    </row>
    <row r="86" ht="54" customHeight="1">
      <c r="A86" s="44" t="n"/>
      <c r="B86" s="44" t="n"/>
      <c r="C86" s="44" t="n"/>
      <c r="D86" s="44" t="n"/>
      <c r="E86" s="44" t="n"/>
      <c r="F86" s="44" t="n"/>
      <c r="G86" s="44" t="n"/>
      <c r="H86" s="44" t="n"/>
      <c r="I86" s="44" t="n"/>
      <c r="J86" s="44" t="n"/>
      <c r="K86" s="44" t="n"/>
      <c r="L86" s="44" t="n"/>
      <c r="M86" s="44" t="n"/>
      <c r="N86" s="44" t="n"/>
      <c r="O86" s="44" t="n"/>
    </row>
    <row r="87" ht="54" customHeight="1">
      <c r="A87" s="44" t="n"/>
      <c r="B87" s="44" t="n"/>
      <c r="C87" s="44" t="n"/>
      <c r="D87" s="44" t="n"/>
      <c r="E87" s="44" t="n"/>
      <c r="F87" s="44" t="n"/>
      <c r="G87" s="44" t="n"/>
      <c r="H87" s="44" t="n"/>
      <c r="I87" s="44" t="n"/>
      <c r="J87" s="44" t="n"/>
      <c r="K87" s="44" t="n"/>
      <c r="L87" s="44" t="n"/>
      <c r="M87" s="44" t="n"/>
      <c r="N87" s="44" t="n"/>
      <c r="O87" s="44" t="n"/>
    </row>
    <row r="88" ht="54" customHeight="1">
      <c r="A88" s="44" t="n"/>
      <c r="B88" s="44" t="n"/>
      <c r="C88" s="44" t="n"/>
      <c r="D88" s="44" t="n"/>
      <c r="E88" s="44" t="n"/>
      <c r="F88" s="44" t="n"/>
      <c r="G88" s="44" t="n"/>
      <c r="H88" s="44" t="n"/>
      <c r="I88" s="44" t="n"/>
      <c r="J88" s="44" t="n"/>
      <c r="K88" s="44" t="n"/>
      <c r="L88" s="44" t="n"/>
      <c r="M88" s="44" t="n"/>
      <c r="N88" s="44" t="n"/>
      <c r="O88" s="44" t="n"/>
    </row>
    <row r="89" ht="54" customHeight="1">
      <c r="A89" s="44" t="n"/>
      <c r="B89" s="44" t="n"/>
      <c r="C89" s="44" t="n"/>
      <c r="D89" s="44" t="n"/>
      <c r="E89" s="44" t="n"/>
      <c r="F89" s="44" t="n"/>
      <c r="G89" s="44" t="n"/>
      <c r="H89" s="44" t="n"/>
      <c r="I89" s="44" t="n"/>
      <c r="J89" s="44" t="n"/>
      <c r="K89" s="44" t="n"/>
      <c r="L89" s="44" t="n"/>
      <c r="M89" s="44" t="n"/>
      <c r="N89" s="44" t="n"/>
      <c r="O89" s="44" t="n"/>
    </row>
    <row r="90" ht="54" customHeight="1">
      <c r="A90" s="44" t="n"/>
      <c r="B90" s="44" t="n"/>
      <c r="C90" s="44" t="n"/>
      <c r="D90" s="44" t="n"/>
      <c r="E90" s="44" t="n"/>
      <c r="F90" s="44" t="n"/>
      <c r="G90" s="44" t="n"/>
      <c r="H90" s="44" t="n"/>
      <c r="I90" s="44" t="n"/>
      <c r="J90" s="44" t="n"/>
      <c r="K90" s="44" t="n"/>
      <c r="L90" s="44" t="n"/>
      <c r="M90" s="44" t="n"/>
      <c r="N90" s="44" t="n"/>
      <c r="O90" s="44" t="n"/>
    </row>
    <row r="91" ht="54" customHeight="1">
      <c r="A91" s="44" t="n"/>
      <c r="B91" s="44" t="n"/>
      <c r="C91" s="44" t="n"/>
      <c r="D91" s="44" t="n"/>
      <c r="E91" s="44" t="n"/>
      <c r="F91" s="44" t="n"/>
      <c r="G91" s="44" t="n"/>
      <c r="H91" s="44" t="n"/>
      <c r="I91" s="44" t="n"/>
      <c r="J91" s="44" t="n"/>
      <c r="K91" s="44" t="n"/>
      <c r="L91" s="44" t="n"/>
      <c r="M91" s="44" t="n"/>
      <c r="N91" s="44" t="n"/>
      <c r="O91" s="44" t="n"/>
    </row>
    <row r="92" ht="54" customHeight="1">
      <c r="A92" s="44" t="n"/>
      <c r="B92" s="44" t="n"/>
      <c r="C92" s="44" t="n"/>
      <c r="D92" s="44" t="n"/>
      <c r="E92" s="44" t="n"/>
      <c r="F92" s="44" t="n"/>
      <c r="G92" s="44" t="n"/>
      <c r="H92" s="44" t="n"/>
      <c r="I92" s="44" t="n"/>
      <c r="J92" s="44" t="n"/>
      <c r="K92" s="44" t="n"/>
      <c r="L92" s="44" t="n"/>
      <c r="M92" s="44" t="n"/>
      <c r="N92" s="44" t="n"/>
      <c r="O92" s="44" t="n"/>
    </row>
    <row r="93" ht="54" customHeight="1">
      <c r="A93" s="44" t="n"/>
      <c r="B93" s="44" t="n"/>
      <c r="C93" s="44" t="n"/>
      <c r="D93" s="44" t="n"/>
      <c r="E93" s="44" t="n"/>
      <c r="F93" s="44" t="n"/>
      <c r="G93" s="44" t="n"/>
      <c r="H93" s="44" t="n"/>
      <c r="I93" s="44" t="n"/>
      <c r="J93" s="44" t="n"/>
      <c r="K93" s="44" t="n"/>
      <c r="L93" s="44" t="n"/>
      <c r="M93" s="44" t="n"/>
      <c r="N93" s="44" t="n"/>
      <c r="O93" s="44" t="n"/>
    </row>
    <row r="94" ht="54" customHeight="1">
      <c r="A94" s="44" t="n"/>
      <c r="B94" s="44" t="n"/>
      <c r="C94" s="44" t="n"/>
      <c r="D94" s="44" t="n"/>
      <c r="E94" s="44" t="n"/>
      <c r="F94" s="44" t="n"/>
      <c r="G94" s="44" t="n"/>
      <c r="H94" s="44" t="n"/>
      <c r="I94" s="44" t="n"/>
      <c r="J94" s="44" t="n"/>
      <c r="K94" s="44" t="n"/>
      <c r="L94" s="44" t="n"/>
      <c r="M94" s="44" t="n"/>
      <c r="N94" s="44" t="n"/>
      <c r="O94" s="44" t="n"/>
    </row>
    <row r="95" ht="54" customHeight="1">
      <c r="A95" s="44" t="n"/>
      <c r="B95" s="44" t="n"/>
      <c r="C95" s="44" t="n"/>
      <c r="D95" s="44" t="n"/>
      <c r="E95" s="44" t="n"/>
      <c r="F95" s="44" t="n"/>
      <c r="G95" s="44" t="n"/>
      <c r="H95" s="44" t="n"/>
      <c r="I95" s="44" t="n"/>
      <c r="J95" s="44" t="n"/>
      <c r="K95" s="44" t="n"/>
      <c r="L95" s="44" t="n"/>
      <c r="M95" s="44" t="n"/>
      <c r="N95" s="44" t="n"/>
      <c r="O95" s="44" t="n"/>
    </row>
    <row r="96" ht="54" customHeight="1">
      <c r="A96" s="44" t="n"/>
      <c r="B96" s="44" t="n"/>
      <c r="C96" s="44" t="n"/>
      <c r="D96" s="44" t="n"/>
      <c r="E96" s="44" t="n"/>
      <c r="F96" s="44" t="n"/>
      <c r="G96" s="44" t="n"/>
      <c r="H96" s="44" t="n"/>
      <c r="I96" s="44" t="n"/>
      <c r="J96" s="44" t="n"/>
      <c r="K96" s="44" t="n"/>
      <c r="L96" s="44" t="n"/>
      <c r="M96" s="44" t="n"/>
      <c r="N96" s="44" t="n"/>
      <c r="O96" s="44" t="n"/>
    </row>
    <row r="97" ht="54" customHeight="1">
      <c r="A97" s="44" t="n"/>
      <c r="B97" s="44" t="n"/>
      <c r="C97" s="44" t="n"/>
      <c r="D97" s="44" t="n"/>
      <c r="E97" s="44" t="n"/>
      <c r="F97" s="44" t="n"/>
      <c r="G97" s="44" t="n"/>
      <c r="H97" s="44" t="n"/>
      <c r="I97" s="44" t="n"/>
      <c r="J97" s="44" t="n"/>
      <c r="K97" s="44" t="n"/>
      <c r="L97" s="44" t="n"/>
      <c r="M97" s="44" t="n"/>
      <c r="N97" s="44" t="n"/>
      <c r="O97" s="44" t="n"/>
    </row>
    <row r="98" ht="54" customHeight="1">
      <c r="A98" s="44" t="n"/>
      <c r="B98" s="44" t="n"/>
      <c r="C98" s="44" t="n"/>
      <c r="D98" s="44" t="n"/>
      <c r="E98" s="44" t="n"/>
      <c r="F98" s="44" t="n"/>
      <c r="G98" s="44" t="n"/>
      <c r="H98" s="44" t="n"/>
      <c r="I98" s="44" t="n"/>
      <c r="J98" s="44" t="n"/>
      <c r="K98" s="44" t="n"/>
      <c r="L98" s="44" t="n"/>
      <c r="M98" s="44" t="n"/>
      <c r="N98" s="44" t="n"/>
      <c r="O98" s="44" t="n"/>
    </row>
    <row r="99" ht="54" customHeight="1">
      <c r="A99" s="44" t="n"/>
      <c r="B99" s="44" t="n"/>
      <c r="C99" s="44" t="n"/>
      <c r="D99" s="44" t="n"/>
      <c r="E99" s="44" t="n"/>
      <c r="F99" s="44" t="n"/>
      <c r="G99" s="44" t="n"/>
      <c r="H99" s="44" t="n"/>
      <c r="I99" s="44" t="n"/>
      <c r="J99" s="44" t="n"/>
      <c r="K99" s="44" t="n"/>
      <c r="L99" s="44" t="n"/>
      <c r="M99" s="44" t="n"/>
      <c r="N99" s="44" t="n"/>
      <c r="O99" s="44" t="n"/>
    </row>
    <row r="100" ht="54" customHeight="1">
      <c r="A100" s="44" t="n"/>
      <c r="B100" s="44" t="n"/>
      <c r="C100" s="44" t="n"/>
      <c r="D100" s="44" t="n"/>
      <c r="E100" s="44" t="n"/>
      <c r="F100" s="44" t="n"/>
      <c r="G100" s="44" t="n"/>
      <c r="H100" s="44" t="n"/>
      <c r="I100" s="44" t="n"/>
      <c r="J100" s="44" t="n"/>
      <c r="K100" s="44" t="n"/>
      <c r="L100" s="44" t="n"/>
      <c r="M100" s="44" t="n"/>
      <c r="N100" s="44" t="n"/>
      <c r="O100" s="44" t="n"/>
    </row>
    <row r="101" ht="54" customHeight="1">
      <c r="A101" s="44" t="n"/>
      <c r="B101" s="44" t="n"/>
      <c r="C101" s="44" t="n"/>
      <c r="D101" s="44" t="n"/>
      <c r="E101" s="44" t="n"/>
      <c r="F101" s="44" t="n"/>
      <c r="G101" s="44" t="n"/>
      <c r="H101" s="44" t="n"/>
      <c r="I101" s="44" t="n"/>
      <c r="J101" s="44" t="n"/>
      <c r="K101" s="44" t="n"/>
      <c r="L101" s="44" t="n"/>
      <c r="M101" s="44" t="n"/>
      <c r="N101" s="44" t="n"/>
      <c r="O101" s="44" t="n"/>
    </row>
    <row r="102" ht="54" customHeight="1">
      <c r="A102" s="44" t="n"/>
      <c r="B102" s="44" t="n"/>
      <c r="C102" s="44" t="n"/>
      <c r="D102" s="44" t="n"/>
      <c r="E102" s="44" t="n"/>
      <c r="F102" s="44" t="n"/>
      <c r="G102" s="44" t="n"/>
      <c r="H102" s="44" t="n"/>
      <c r="I102" s="44" t="n"/>
      <c r="J102" s="44" t="n"/>
      <c r="K102" s="44" t="n"/>
      <c r="L102" s="44" t="n"/>
      <c r="M102" s="44" t="n"/>
      <c r="N102" s="44" t="n"/>
      <c r="O102" s="44" t="n"/>
    </row>
    <row r="103" ht="54" customHeight="1">
      <c r="A103" s="44" t="n"/>
      <c r="B103" s="44" t="n"/>
      <c r="C103" s="44" t="n"/>
      <c r="D103" s="44" t="n"/>
      <c r="E103" s="44" t="n"/>
      <c r="F103" s="44" t="n"/>
      <c r="G103" s="44" t="n"/>
      <c r="H103" s="44" t="n"/>
      <c r="I103" s="44" t="n"/>
      <c r="J103" s="44" t="n"/>
      <c r="K103" s="44" t="n"/>
      <c r="L103" s="44" t="n"/>
      <c r="M103" s="44" t="n"/>
      <c r="N103" s="44" t="n"/>
      <c r="O103" s="44" t="n"/>
    </row>
    <row r="104" ht="54" customHeight="1">
      <c r="A104" s="44" t="n"/>
      <c r="B104" s="44" t="n"/>
      <c r="C104" s="44" t="n"/>
      <c r="D104" s="44" t="n"/>
      <c r="E104" s="44" t="n"/>
      <c r="F104" s="44" t="n"/>
      <c r="G104" s="44" t="n"/>
      <c r="H104" s="44" t="n"/>
      <c r="I104" s="44" t="n"/>
      <c r="J104" s="44" t="n"/>
      <c r="K104" s="44" t="n"/>
      <c r="L104" s="44" t="n"/>
      <c r="M104" s="44" t="n"/>
      <c r="N104" s="44" t="n"/>
      <c r="O104" s="44" t="n"/>
    </row>
    <row r="105" ht="54" customHeight="1">
      <c r="A105" s="44" t="n"/>
      <c r="B105" s="44" t="n"/>
      <c r="C105" s="44" t="n"/>
      <c r="D105" s="44" t="n"/>
      <c r="E105" s="44" t="n"/>
      <c r="F105" s="44" t="n"/>
      <c r="G105" s="44" t="n"/>
      <c r="H105" s="44" t="n"/>
      <c r="I105" s="44" t="n"/>
      <c r="J105" s="44" t="n"/>
      <c r="K105" s="44" t="n"/>
      <c r="L105" s="44" t="n"/>
      <c r="M105" s="44" t="n"/>
      <c r="N105" s="44" t="n"/>
      <c r="O105" s="44" t="n"/>
    </row>
    <row r="106" ht="54" customHeight="1">
      <c r="A106" s="44" t="n"/>
      <c r="B106" s="44" t="n"/>
      <c r="C106" s="44" t="n"/>
      <c r="D106" s="44" t="n"/>
      <c r="E106" s="44" t="n"/>
      <c r="F106" s="44" t="n"/>
      <c r="G106" s="44" t="n"/>
      <c r="H106" s="44" t="n"/>
      <c r="I106" s="44" t="n"/>
      <c r="J106" s="44" t="n"/>
      <c r="K106" s="44" t="n"/>
      <c r="L106" s="44" t="n"/>
      <c r="M106" s="44" t="n"/>
      <c r="N106" s="44" t="n"/>
      <c r="O106" s="44" t="n"/>
    </row>
    <row r="107" ht="54" customHeight="1">
      <c r="A107" s="44" t="n"/>
      <c r="B107" s="44" t="n"/>
      <c r="C107" s="44" t="n"/>
      <c r="D107" s="44" t="n"/>
      <c r="E107" s="44" t="n"/>
      <c r="F107" s="44" t="n"/>
      <c r="G107" s="44" t="n"/>
      <c r="H107" s="44" t="n"/>
      <c r="I107" s="44" t="n"/>
      <c r="J107" s="44" t="n"/>
      <c r="K107" s="44" t="n"/>
      <c r="L107" s="44" t="n"/>
      <c r="M107" s="44" t="n"/>
      <c r="N107" s="44" t="n"/>
      <c r="O107" s="44" t="n"/>
    </row>
    <row r="108" ht="54" customHeight="1">
      <c r="A108" s="44" t="n"/>
      <c r="B108" s="44" t="n"/>
      <c r="C108" s="44" t="n"/>
      <c r="D108" s="44" t="n"/>
      <c r="E108" s="44" t="n"/>
      <c r="F108" s="44" t="n"/>
      <c r="G108" s="44" t="n"/>
      <c r="H108" s="44" t="n"/>
      <c r="I108" s="44" t="n"/>
      <c r="J108" s="44" t="n"/>
      <c r="K108" s="44" t="n"/>
      <c r="L108" s="44" t="n"/>
      <c r="M108" s="44" t="n"/>
      <c r="N108" s="44" t="n"/>
      <c r="O108" s="44" t="n"/>
    </row>
    <row r="109" ht="54" customHeight="1">
      <c r="A109" s="44" t="n"/>
      <c r="B109" s="44" t="n"/>
      <c r="C109" s="44" t="n"/>
      <c r="D109" s="44" t="n"/>
      <c r="E109" s="44" t="n"/>
      <c r="F109" s="44" t="n"/>
      <c r="G109" s="44" t="n"/>
      <c r="H109" s="44" t="n"/>
      <c r="I109" s="44" t="n"/>
      <c r="J109" s="44" t="n"/>
      <c r="K109" s="44" t="n"/>
      <c r="L109" s="44" t="n"/>
      <c r="M109" s="44" t="n"/>
      <c r="N109" s="44" t="n"/>
      <c r="O109" s="44" t="n"/>
    </row>
    <row r="110" ht="54" customHeight="1">
      <c r="A110" s="44" t="n"/>
      <c r="B110" s="44" t="n"/>
      <c r="C110" s="44" t="n"/>
      <c r="D110" s="44" t="n"/>
      <c r="E110" s="44" t="n"/>
      <c r="F110" s="44" t="n"/>
      <c r="G110" s="44" t="n"/>
      <c r="H110" s="44" t="n"/>
      <c r="I110" s="44" t="n"/>
      <c r="J110" s="44" t="n"/>
      <c r="K110" s="44" t="n"/>
      <c r="L110" s="44" t="n"/>
      <c r="M110" s="44" t="n"/>
      <c r="N110" s="44" t="n"/>
      <c r="O110" s="44" t="n"/>
    </row>
    <row r="111" ht="54" customHeight="1">
      <c r="A111" s="44" t="n"/>
      <c r="B111" s="44" t="n"/>
      <c r="C111" s="44" t="n"/>
      <c r="D111" s="44" t="n"/>
      <c r="E111" s="44" t="n"/>
      <c r="F111" s="44" t="n"/>
      <c r="G111" s="44" t="n"/>
      <c r="H111" s="44" t="n"/>
      <c r="I111" s="44" t="n"/>
      <c r="J111" s="44" t="n"/>
      <c r="K111" s="44" t="n"/>
      <c r="L111" s="44" t="n"/>
      <c r="M111" s="44" t="n"/>
      <c r="N111" s="44" t="n"/>
      <c r="O111" s="44" t="n"/>
    </row>
    <row r="112" ht="54" customHeight="1">
      <c r="A112" s="44" t="n"/>
      <c r="B112" s="44" t="n"/>
      <c r="C112" s="44" t="n"/>
      <c r="D112" s="44" t="n"/>
      <c r="E112" s="44" t="n"/>
      <c r="F112" s="44" t="n"/>
      <c r="G112" s="44" t="n"/>
      <c r="H112" s="44" t="n"/>
      <c r="I112" s="44" t="n"/>
      <c r="J112" s="44" t="n"/>
      <c r="K112" s="44" t="n"/>
      <c r="L112" s="44" t="n"/>
      <c r="M112" s="44" t="n"/>
      <c r="N112" s="44" t="n"/>
      <c r="O112" s="44" t="n"/>
    </row>
    <row r="113" ht="54" customHeight="1">
      <c r="A113" s="44" t="n"/>
      <c r="B113" s="44" t="n"/>
      <c r="C113" s="44" t="n"/>
      <c r="D113" s="44" t="n"/>
      <c r="E113" s="44" t="n"/>
      <c r="F113" s="44" t="n"/>
      <c r="G113" s="44" t="n"/>
      <c r="H113" s="44" t="n"/>
      <c r="I113" s="44" t="n"/>
      <c r="J113" s="44" t="n"/>
      <c r="K113" s="44" t="n"/>
      <c r="L113" s="44" t="n"/>
      <c r="M113" s="44" t="n"/>
      <c r="N113" s="44" t="n"/>
      <c r="O113" s="44" t="n"/>
    </row>
    <row r="114" ht="54" customHeight="1">
      <c r="A114" s="44" t="n"/>
      <c r="B114" s="44" t="n"/>
      <c r="C114" s="44" t="n"/>
      <c r="D114" s="44" t="n"/>
      <c r="E114" s="44" t="n"/>
      <c r="F114" s="44" t="n"/>
      <c r="G114" s="44" t="n"/>
      <c r="H114" s="44" t="n"/>
      <c r="I114" s="44" t="n"/>
      <c r="J114" s="44" t="n"/>
      <c r="K114" s="44" t="n"/>
      <c r="L114" s="44" t="n"/>
      <c r="M114" s="44" t="n"/>
      <c r="N114" s="44" t="n"/>
      <c r="O114" s="44" t="n"/>
    </row>
    <row r="115" ht="54" customHeight="1">
      <c r="A115" s="44" t="n"/>
      <c r="B115" s="44" t="n"/>
      <c r="C115" s="44" t="n"/>
      <c r="D115" s="44" t="n"/>
      <c r="E115" s="44" t="n"/>
      <c r="F115" s="44" t="n"/>
      <c r="G115" s="44" t="n"/>
      <c r="H115" s="44" t="n"/>
      <c r="I115" s="44" t="n"/>
      <c r="J115" s="44" t="n"/>
      <c r="K115" s="44" t="n"/>
      <c r="L115" s="44" t="n"/>
      <c r="M115" s="44" t="n"/>
      <c r="N115" s="44" t="n"/>
      <c r="O115" s="44" t="n"/>
    </row>
    <row r="116" ht="54" customHeight="1">
      <c r="A116" s="44" t="n"/>
      <c r="B116" s="44" t="n"/>
      <c r="C116" s="44" t="n"/>
      <c r="D116" s="44" t="n"/>
      <c r="E116" s="44" t="n"/>
      <c r="F116" s="44" t="n"/>
      <c r="G116" s="44" t="n"/>
      <c r="H116" s="44" t="n"/>
      <c r="I116" s="44" t="n"/>
      <c r="J116" s="44" t="n"/>
      <c r="K116" s="44" t="n"/>
      <c r="L116" s="44" t="n"/>
      <c r="M116" s="44" t="n"/>
      <c r="N116" s="44" t="n"/>
      <c r="O116" s="44" t="n"/>
    </row>
    <row r="117" ht="54" customHeight="1">
      <c r="A117" s="44" t="n"/>
      <c r="B117" s="44" t="n"/>
      <c r="C117" s="44" t="n"/>
      <c r="D117" s="44" t="n"/>
      <c r="E117" s="44" t="n"/>
      <c r="F117" s="44" t="n"/>
      <c r="G117" s="44" t="n"/>
      <c r="H117" s="44" t="n"/>
      <c r="I117" s="44" t="n"/>
      <c r="J117" s="44" t="n"/>
      <c r="K117" s="44" t="n"/>
      <c r="L117" s="44" t="n"/>
      <c r="M117" s="44" t="n"/>
      <c r="N117" s="44" t="n"/>
      <c r="O117" s="44" t="n"/>
    </row>
    <row r="118" ht="54" customHeight="1">
      <c r="A118" s="44" t="n"/>
      <c r="B118" s="44" t="n"/>
      <c r="C118" s="44" t="n"/>
      <c r="D118" s="44" t="n"/>
      <c r="E118" s="44" t="n"/>
      <c r="F118" s="44" t="n"/>
      <c r="G118" s="44" t="n"/>
      <c r="H118" s="44" t="n"/>
      <c r="I118" s="44" t="n"/>
      <c r="J118" s="44" t="n"/>
      <c r="K118" s="44" t="n"/>
      <c r="L118" s="44" t="n"/>
      <c r="M118" s="44" t="n"/>
      <c r="N118" s="44" t="n"/>
      <c r="O118" s="44" t="n"/>
    </row>
    <row r="119" ht="54" customHeight="1">
      <c r="A119" s="44" t="n"/>
      <c r="B119" s="44" t="n"/>
      <c r="C119" s="44" t="n"/>
      <c r="D119" s="44" t="n"/>
      <c r="E119" s="44" t="n"/>
      <c r="F119" s="44" t="n"/>
      <c r="G119" s="44" t="n"/>
      <c r="H119" s="44" t="n"/>
      <c r="I119" s="44" t="n"/>
      <c r="J119" s="44" t="n"/>
      <c r="K119" s="44" t="n"/>
      <c r="L119" s="44" t="n"/>
      <c r="M119" s="44" t="n"/>
      <c r="N119" s="44" t="n"/>
      <c r="O119" s="44" t="n"/>
    </row>
    <row r="120" ht="54" customHeight="1">
      <c r="A120" s="44" t="n"/>
      <c r="B120" s="44" t="n"/>
      <c r="C120" s="44" t="n"/>
      <c r="D120" s="44" t="n"/>
      <c r="E120" s="44" t="n"/>
      <c r="F120" s="44" t="n"/>
      <c r="G120" s="44" t="n"/>
      <c r="H120" s="44" t="n"/>
      <c r="I120" s="44" t="n"/>
      <c r="J120" s="44" t="n"/>
      <c r="K120" s="44" t="n"/>
      <c r="L120" s="44" t="n"/>
      <c r="M120" s="44" t="n"/>
      <c r="N120" s="44" t="n"/>
      <c r="O120" s="44" t="n"/>
    </row>
    <row r="121" ht="54" customHeight="1">
      <c r="A121" s="44" t="n"/>
      <c r="B121" s="44" t="n"/>
      <c r="C121" s="44" t="n"/>
      <c r="D121" s="44" t="n"/>
      <c r="E121" s="44" t="n"/>
      <c r="F121" s="44" t="n"/>
      <c r="G121" s="44" t="n"/>
      <c r="H121" s="44" t="n"/>
      <c r="I121" s="44" t="n"/>
      <c r="J121" s="44" t="n"/>
      <c r="K121" s="44" t="n"/>
      <c r="L121" s="44" t="n"/>
      <c r="M121" s="44" t="n"/>
      <c r="N121" s="44" t="n"/>
      <c r="O121" s="44" t="n"/>
    </row>
    <row r="122" ht="54" customHeight="1">
      <c r="A122" s="44" t="n"/>
      <c r="B122" s="44" t="n"/>
      <c r="C122" s="44" t="n"/>
      <c r="D122" s="44" t="n"/>
      <c r="E122" s="44" t="n"/>
      <c r="F122" s="44" t="n"/>
      <c r="G122" s="44" t="n"/>
      <c r="H122" s="44" t="n"/>
      <c r="I122" s="44" t="n"/>
      <c r="J122" s="44" t="n"/>
      <c r="K122" s="44" t="n"/>
      <c r="L122" s="44" t="n"/>
      <c r="M122" s="44" t="n"/>
      <c r="N122" s="44" t="n"/>
      <c r="O122" s="44" t="n"/>
    </row>
    <row r="123" ht="54" customHeight="1">
      <c r="A123" s="44" t="n"/>
      <c r="B123" s="44" t="n"/>
      <c r="C123" s="44" t="n"/>
      <c r="D123" s="44" t="n"/>
      <c r="E123" s="44" t="n"/>
      <c r="F123" s="44" t="n"/>
      <c r="G123" s="44" t="n"/>
      <c r="H123" s="44" t="n"/>
      <c r="I123" s="44" t="n"/>
      <c r="J123" s="44" t="n"/>
      <c r="K123" s="44" t="n"/>
      <c r="L123" s="44" t="n"/>
      <c r="M123" s="44" t="n"/>
      <c r="N123" s="44" t="n"/>
      <c r="O123" s="44" t="n"/>
    </row>
    <row r="124" ht="54" customHeight="1">
      <c r="A124" s="44" t="n"/>
      <c r="B124" s="44" t="n"/>
      <c r="C124" s="44" t="n"/>
      <c r="D124" s="44" t="n"/>
      <c r="E124" s="44" t="n"/>
      <c r="F124" s="44" t="n"/>
      <c r="G124" s="44" t="n"/>
      <c r="H124" s="44" t="n"/>
      <c r="I124" s="44" t="n"/>
      <c r="J124" s="44" t="n"/>
      <c r="K124" s="44" t="n"/>
      <c r="L124" s="44" t="n"/>
      <c r="M124" s="44" t="n"/>
      <c r="N124" s="44" t="n"/>
      <c r="O124" s="44" t="n"/>
    </row>
    <row r="125" ht="54" customHeight="1">
      <c r="A125" s="44" t="n"/>
      <c r="B125" s="44" t="n"/>
      <c r="C125" s="44" t="n"/>
      <c r="D125" s="44" t="n"/>
      <c r="E125" s="44" t="n"/>
      <c r="F125" s="44" t="n"/>
      <c r="G125" s="44" t="n"/>
      <c r="H125" s="44" t="n"/>
      <c r="I125" s="44" t="n"/>
      <c r="J125" s="44" t="n"/>
      <c r="K125" s="44" t="n"/>
      <c r="L125" s="44" t="n"/>
      <c r="M125" s="44" t="n"/>
      <c r="N125" s="44" t="n"/>
      <c r="O125" s="44" t="n"/>
    </row>
    <row r="126" ht="54" customHeight="1">
      <c r="A126" s="44" t="n"/>
      <c r="B126" s="44" t="n"/>
      <c r="C126" s="44" t="n"/>
      <c r="D126" s="44" t="n"/>
      <c r="E126" s="44" t="n"/>
      <c r="F126" s="44" t="n"/>
      <c r="G126" s="44" t="n"/>
      <c r="H126" s="44" t="n"/>
      <c r="I126" s="44" t="n"/>
      <c r="J126" s="44" t="n"/>
      <c r="K126" s="44" t="n"/>
      <c r="L126" s="44" t="n"/>
      <c r="M126" s="44" t="n"/>
      <c r="N126" s="44" t="n"/>
      <c r="O126" s="44" t="n"/>
    </row>
    <row r="127" ht="54" customHeight="1">
      <c r="A127" s="44" t="n"/>
      <c r="B127" s="44" t="n"/>
      <c r="C127" s="44" t="n"/>
      <c r="D127" s="44" t="n"/>
      <c r="E127" s="44" t="n"/>
      <c r="F127" s="44" t="n"/>
      <c r="G127" s="44" t="n"/>
      <c r="H127" s="44" t="n"/>
      <c r="I127" s="44" t="n"/>
      <c r="J127" s="44" t="n"/>
      <c r="K127" s="44" t="n"/>
      <c r="L127" s="44" t="n"/>
      <c r="M127" s="44" t="n"/>
      <c r="N127" s="44" t="n"/>
      <c r="O127" s="44" t="n"/>
    </row>
    <row r="128" ht="54" customHeight="1">
      <c r="A128" s="44" t="n"/>
      <c r="B128" s="44" t="n"/>
      <c r="C128" s="44" t="n"/>
      <c r="D128" s="44" t="n"/>
      <c r="E128" s="44" t="n"/>
      <c r="F128" s="44" t="n"/>
      <c r="G128" s="44" t="n"/>
      <c r="H128" s="44" t="n"/>
      <c r="I128" s="44" t="n"/>
      <c r="J128" s="44" t="n"/>
      <c r="K128" s="44" t="n"/>
      <c r="L128" s="44" t="n"/>
      <c r="M128" s="44" t="n"/>
      <c r="N128" s="44" t="n"/>
      <c r="O128" s="44" t="n"/>
    </row>
    <row r="129" ht="54" customHeight="1">
      <c r="A129" s="44" t="n"/>
      <c r="B129" s="44" t="n"/>
      <c r="C129" s="44" t="n"/>
      <c r="D129" s="44" t="n"/>
      <c r="E129" s="44" t="n"/>
      <c r="F129" s="44" t="n"/>
      <c r="G129" s="44" t="n"/>
      <c r="H129" s="44" t="n"/>
      <c r="I129" s="44" t="n"/>
      <c r="J129" s="44" t="n"/>
      <c r="K129" s="44" t="n"/>
      <c r="L129" s="44" t="n"/>
      <c r="M129" s="44" t="n"/>
      <c r="N129" s="44" t="n"/>
      <c r="O129" s="44" t="n"/>
    </row>
    <row r="130" ht="54" customHeight="1">
      <c r="A130" s="44" t="n"/>
      <c r="B130" s="44" t="n"/>
      <c r="C130" s="44" t="n"/>
      <c r="D130" s="44" t="n"/>
      <c r="E130" s="44" t="n"/>
      <c r="F130" s="44" t="n"/>
      <c r="G130" s="44" t="n"/>
      <c r="H130" s="44" t="n"/>
      <c r="I130" s="44" t="n"/>
      <c r="J130" s="44" t="n"/>
      <c r="K130" s="44" t="n"/>
      <c r="L130" s="44" t="n"/>
      <c r="M130" s="44" t="n"/>
      <c r="N130" s="44" t="n"/>
      <c r="O130" s="44" t="n"/>
    </row>
    <row r="131" ht="54" customHeight="1">
      <c r="A131" s="44" t="n"/>
      <c r="B131" s="44" t="n"/>
      <c r="C131" s="44" t="n"/>
      <c r="D131" s="44" t="n"/>
      <c r="E131" s="44" t="n"/>
      <c r="F131" s="44" t="n"/>
      <c r="G131" s="44" t="n"/>
      <c r="H131" s="44" t="n"/>
      <c r="I131" s="44" t="n"/>
      <c r="J131" s="44" t="n"/>
      <c r="K131" s="44" t="n"/>
      <c r="L131" s="44" t="n"/>
      <c r="M131" s="44" t="n"/>
      <c r="N131" s="44" t="n"/>
      <c r="O131" s="44" t="n"/>
    </row>
    <row r="132" ht="54" customHeight="1">
      <c r="A132" s="44" t="n"/>
      <c r="B132" s="44" t="n"/>
      <c r="C132" s="44" t="n"/>
      <c r="D132" s="44" t="n"/>
      <c r="E132" s="44" t="n"/>
      <c r="F132" s="44" t="n"/>
      <c r="G132" s="44" t="n"/>
      <c r="H132" s="44" t="n"/>
      <c r="I132" s="44" t="n"/>
      <c r="J132" s="44" t="n"/>
      <c r="K132" s="44" t="n"/>
      <c r="L132" s="44" t="n"/>
      <c r="M132" s="44" t="n"/>
      <c r="N132" s="44" t="n"/>
      <c r="O132" s="44" t="n"/>
    </row>
    <row r="133" ht="54" customHeight="1">
      <c r="A133" s="44" t="n"/>
      <c r="B133" s="44" t="n"/>
      <c r="C133" s="44" t="n"/>
      <c r="D133" s="44" t="n"/>
      <c r="E133" s="44" t="n"/>
      <c r="F133" s="44" t="n"/>
      <c r="G133" s="44" t="n"/>
      <c r="H133" s="44" t="n"/>
      <c r="I133" s="44" t="n"/>
      <c r="J133" s="44" t="n"/>
      <c r="K133" s="44" t="n"/>
      <c r="L133" s="44" t="n"/>
      <c r="M133" s="44" t="n"/>
      <c r="N133" s="44" t="n"/>
      <c r="O133" s="44" t="n"/>
    </row>
    <row r="134" ht="54" customHeight="1">
      <c r="A134" s="44" t="n"/>
      <c r="B134" s="44" t="n"/>
      <c r="C134" s="44" t="n"/>
      <c r="D134" s="44" t="n"/>
      <c r="E134" s="44" t="n"/>
      <c r="F134" s="44" t="n"/>
      <c r="G134" s="44" t="n"/>
      <c r="H134" s="44" t="n"/>
      <c r="I134" s="44" t="n"/>
      <c r="J134" s="44" t="n"/>
      <c r="K134" s="44" t="n"/>
      <c r="L134" s="44" t="n"/>
      <c r="M134" s="44" t="n"/>
      <c r="N134" s="44" t="n"/>
      <c r="O134" s="44" t="n"/>
    </row>
    <row r="135" ht="54" customHeight="1">
      <c r="A135" s="44" t="n"/>
      <c r="B135" s="44" t="n"/>
      <c r="C135" s="44" t="n"/>
      <c r="D135" s="44" t="n"/>
      <c r="E135" s="44" t="n"/>
      <c r="F135" s="44" t="n"/>
      <c r="G135" s="44" t="n"/>
      <c r="H135" s="44" t="n"/>
      <c r="I135" s="44" t="n"/>
      <c r="J135" s="44" t="n"/>
      <c r="K135" s="44" t="n"/>
      <c r="L135" s="44" t="n"/>
      <c r="M135" s="44" t="n"/>
      <c r="N135" s="44" t="n"/>
      <c r="O135" s="44" t="n"/>
    </row>
    <row r="136" ht="54" customHeight="1">
      <c r="A136" s="44" t="n"/>
      <c r="B136" s="44" t="n"/>
      <c r="C136" s="44" t="n"/>
      <c r="D136" s="44" t="n"/>
      <c r="E136" s="44" t="n"/>
      <c r="F136" s="44" t="n"/>
      <c r="G136" s="44" t="n"/>
      <c r="H136" s="44" t="n"/>
      <c r="I136" s="44" t="n"/>
      <c r="J136" s="44" t="n"/>
      <c r="K136" s="44" t="n"/>
      <c r="L136" s="44" t="n"/>
      <c r="M136" s="44" t="n"/>
      <c r="N136" s="44" t="n"/>
      <c r="O136" s="44" t="n"/>
    </row>
    <row r="137" ht="54" customHeight="1">
      <c r="A137" s="44" t="n"/>
      <c r="B137" s="44" t="n"/>
      <c r="C137" s="44" t="n"/>
      <c r="D137" s="44" t="n"/>
      <c r="E137" s="44" t="n"/>
      <c r="F137" s="44" t="n"/>
      <c r="G137" s="44" t="n"/>
      <c r="H137" s="44" t="n"/>
      <c r="I137" s="44" t="n"/>
      <c r="J137" s="44" t="n"/>
      <c r="K137" s="44" t="n"/>
      <c r="L137" s="44" t="n"/>
      <c r="M137" s="44" t="n"/>
      <c r="N137" s="44" t="n"/>
      <c r="O137" s="44" t="n"/>
    </row>
    <row r="138" ht="54" customHeight="1">
      <c r="A138" s="44" t="n"/>
      <c r="B138" s="44" t="n"/>
      <c r="C138" s="44" t="n"/>
      <c r="D138" s="44" t="n"/>
      <c r="E138" s="44" t="n"/>
      <c r="F138" s="44" t="n"/>
      <c r="G138" s="44" t="n"/>
      <c r="H138" s="44" t="n"/>
      <c r="I138" s="44" t="n"/>
      <c r="J138" s="44" t="n"/>
      <c r="K138" s="44" t="n"/>
      <c r="L138" s="44" t="n"/>
      <c r="M138" s="44" t="n"/>
      <c r="N138" s="44" t="n"/>
      <c r="O138" s="44" t="n"/>
    </row>
    <row r="139" ht="54" customHeight="1">
      <c r="A139" s="44" t="n"/>
      <c r="B139" s="44" t="n"/>
      <c r="C139" s="44" t="n"/>
      <c r="D139" s="44" t="n"/>
      <c r="E139" s="44" t="n"/>
      <c r="F139" s="44" t="n"/>
      <c r="G139" s="44" t="n"/>
      <c r="H139" s="44" t="n"/>
      <c r="I139" s="44" t="n"/>
      <c r="J139" s="44" t="n"/>
      <c r="K139" s="44" t="n"/>
      <c r="L139" s="44" t="n"/>
      <c r="M139" s="44" t="n"/>
      <c r="N139" s="44" t="n"/>
      <c r="O139" s="44" t="n"/>
    </row>
    <row r="140" ht="54" customHeight="1">
      <c r="A140" s="44" t="n"/>
      <c r="B140" s="44" t="n"/>
      <c r="C140" s="44" t="n"/>
      <c r="D140" s="44" t="n"/>
      <c r="E140" s="44" t="n"/>
      <c r="F140" s="44" t="n"/>
      <c r="G140" s="44" t="n"/>
      <c r="H140" s="44" t="n"/>
      <c r="I140" s="44" t="n"/>
      <c r="J140" s="44" t="n"/>
      <c r="K140" s="44" t="n"/>
      <c r="L140" s="44" t="n"/>
      <c r="M140" s="44" t="n"/>
      <c r="N140" s="44" t="n"/>
      <c r="O140" s="44" t="n"/>
    </row>
    <row r="141" ht="54" customHeight="1">
      <c r="A141" s="44" t="n"/>
      <c r="B141" s="44" t="n"/>
      <c r="C141" s="44" t="n"/>
      <c r="D141" s="44" t="n"/>
      <c r="E141" s="44" t="n"/>
      <c r="F141" s="44" t="n"/>
      <c r="G141" s="44" t="n"/>
      <c r="H141" s="44" t="n"/>
      <c r="I141" s="44" t="n"/>
      <c r="J141" s="44" t="n"/>
      <c r="K141" s="44" t="n"/>
      <c r="L141" s="44" t="n"/>
      <c r="M141" s="44" t="n"/>
      <c r="N141" s="44" t="n"/>
      <c r="O141" s="44" t="n"/>
    </row>
    <row r="142" ht="54" customHeight="1">
      <c r="A142" s="44" t="n"/>
      <c r="B142" s="44" t="n"/>
      <c r="C142" s="44" t="n"/>
      <c r="D142" s="44" t="n"/>
      <c r="E142" s="44" t="n"/>
      <c r="F142" s="44" t="n"/>
      <c r="G142" s="44" t="n"/>
      <c r="H142" s="44" t="n"/>
      <c r="I142" s="44" t="n"/>
      <c r="J142" s="44" t="n"/>
      <c r="K142" s="44" t="n"/>
      <c r="L142" s="44" t="n"/>
      <c r="M142" s="44" t="n"/>
      <c r="N142" s="44" t="n"/>
      <c r="O142" s="44" t="n"/>
    </row>
    <row r="143" ht="54" customHeight="1">
      <c r="A143" s="44" t="n"/>
      <c r="B143" s="44" t="n"/>
      <c r="C143" s="44" t="n"/>
      <c r="D143" s="44" t="n"/>
      <c r="E143" s="44" t="n"/>
      <c r="F143" s="44" t="n"/>
      <c r="G143" s="44" t="n"/>
      <c r="H143" s="44" t="n"/>
      <c r="I143" s="44" t="n"/>
      <c r="J143" s="44" t="n"/>
      <c r="K143" s="44" t="n"/>
      <c r="L143" s="44" t="n"/>
      <c r="M143" s="44" t="n"/>
      <c r="N143" s="44" t="n"/>
      <c r="O143" s="44" t="n"/>
    </row>
    <row r="144" ht="54" customHeight="1">
      <c r="A144" s="44" t="n"/>
      <c r="B144" s="44" t="n"/>
      <c r="C144" s="44" t="n"/>
      <c r="D144" s="44" t="n"/>
      <c r="E144" s="44" t="n"/>
      <c r="F144" s="44" t="n"/>
      <c r="G144" s="44" t="n"/>
      <c r="H144" s="44" t="n"/>
      <c r="I144" s="44" t="n"/>
      <c r="J144" s="44" t="n"/>
      <c r="K144" s="44" t="n"/>
      <c r="L144" s="44" t="n"/>
      <c r="M144" s="44" t="n"/>
      <c r="N144" s="44" t="n"/>
      <c r="O144" s="44" t="n"/>
    </row>
    <row r="145" ht="54" customHeight="1">
      <c r="A145" s="44" t="n"/>
      <c r="B145" s="44" t="n"/>
      <c r="C145" s="44" t="n"/>
      <c r="D145" s="44" t="n"/>
      <c r="E145" s="44" t="n"/>
      <c r="F145" s="44" t="n"/>
      <c r="G145" s="44" t="n"/>
      <c r="H145" s="44" t="n"/>
      <c r="I145" s="44" t="n"/>
      <c r="J145" s="44" t="n"/>
      <c r="K145" s="44" t="n"/>
      <c r="L145" s="44" t="n"/>
      <c r="M145" s="44" t="n"/>
      <c r="N145" s="44" t="n"/>
      <c r="O145" s="44" t="n"/>
    </row>
    <row r="146" ht="54" customHeight="1">
      <c r="A146" s="44" t="n"/>
      <c r="B146" s="44" t="n"/>
      <c r="C146" s="44" t="n"/>
      <c r="D146" s="44" t="n"/>
      <c r="E146" s="44" t="n"/>
      <c r="F146" s="44" t="n"/>
      <c r="G146" s="44" t="n"/>
      <c r="H146" s="44" t="n"/>
      <c r="I146" s="44" t="n"/>
      <c r="J146" s="44" t="n"/>
      <c r="K146" s="44" t="n"/>
      <c r="L146" s="44" t="n"/>
      <c r="M146" s="44" t="n"/>
      <c r="N146" s="44" t="n"/>
      <c r="O146" s="44" t="n"/>
    </row>
    <row r="147" ht="54" customHeight="1">
      <c r="A147" s="44" t="n"/>
      <c r="B147" s="44" t="n"/>
      <c r="C147" s="44" t="n"/>
      <c r="D147" s="44" t="n"/>
      <c r="E147" s="44" t="n"/>
      <c r="F147" s="44" t="n"/>
      <c r="G147" s="44" t="n"/>
      <c r="H147" s="44" t="n"/>
      <c r="I147" s="44" t="n"/>
      <c r="J147" s="44" t="n"/>
      <c r="K147" s="44" t="n"/>
      <c r="L147" s="44" t="n"/>
      <c r="M147" s="44" t="n"/>
      <c r="N147" s="44" t="n"/>
      <c r="O147" s="44" t="n"/>
    </row>
    <row r="148" ht="54" customHeight="1">
      <c r="A148" s="44" t="n"/>
      <c r="B148" s="44" t="n"/>
      <c r="C148" s="44" t="n"/>
      <c r="D148" s="44" t="n"/>
      <c r="E148" s="44" t="n"/>
      <c r="F148" s="44" t="n"/>
      <c r="G148" s="44" t="n"/>
      <c r="H148" s="44" t="n"/>
      <c r="I148" s="44" t="n"/>
      <c r="J148" s="44" t="n"/>
      <c r="K148" s="44" t="n"/>
      <c r="L148" s="44" t="n"/>
      <c r="M148" s="44" t="n"/>
      <c r="N148" s="44" t="n"/>
      <c r="O148" s="44" t="n"/>
    </row>
    <row r="149" ht="54" customHeight="1">
      <c r="A149" s="44" t="n"/>
      <c r="B149" s="44" t="n"/>
      <c r="C149" s="44" t="n"/>
      <c r="D149" s="44" t="n"/>
      <c r="E149" s="44" t="n"/>
      <c r="F149" s="44" t="n"/>
      <c r="G149" s="44" t="n"/>
      <c r="H149" s="44" t="n"/>
      <c r="I149" s="44" t="n"/>
      <c r="J149" s="44" t="n"/>
      <c r="K149" s="44" t="n"/>
      <c r="L149" s="44" t="n"/>
      <c r="M149" s="44" t="n"/>
      <c r="N149" s="44" t="n"/>
      <c r="O149" s="44" t="n"/>
    </row>
    <row r="150" ht="54" customHeight="1">
      <c r="A150" s="44" t="n"/>
      <c r="B150" s="44" t="n"/>
      <c r="C150" s="44" t="n"/>
      <c r="D150" s="44" t="n"/>
      <c r="E150" s="44" t="n"/>
      <c r="F150" s="44" t="n"/>
      <c r="G150" s="44" t="n"/>
      <c r="H150" s="44" t="n"/>
      <c r="I150" s="44" t="n"/>
      <c r="J150" s="44" t="n"/>
      <c r="K150" s="44" t="n"/>
      <c r="L150" s="44" t="n"/>
      <c r="M150" s="44" t="n"/>
      <c r="N150" s="44" t="n"/>
      <c r="O150" s="44" t="n"/>
    </row>
    <row r="151" ht="54" customHeight="1">
      <c r="A151" s="44" t="n"/>
      <c r="B151" s="44" t="n"/>
      <c r="C151" s="44" t="n"/>
      <c r="D151" s="44" t="n"/>
      <c r="E151" s="44" t="n"/>
      <c r="F151" s="44" t="n"/>
      <c r="G151" s="44" t="n"/>
      <c r="H151" s="44" t="n"/>
      <c r="I151" s="44" t="n"/>
      <c r="J151" s="44" t="n"/>
      <c r="K151" s="44" t="n"/>
      <c r="L151" s="44" t="n"/>
      <c r="M151" s="44" t="n"/>
      <c r="N151" s="44" t="n"/>
      <c r="O151" s="44" t="n"/>
    </row>
    <row r="152" ht="54" customHeight="1">
      <c r="A152" s="44" t="n"/>
      <c r="B152" s="44" t="n"/>
      <c r="C152" s="44" t="n"/>
      <c r="D152" s="44" t="n"/>
      <c r="E152" s="44" t="n"/>
      <c r="F152" s="44" t="n"/>
      <c r="G152" s="44" t="n"/>
      <c r="H152" s="44" t="n"/>
      <c r="I152" s="44" t="n"/>
      <c r="J152" s="44" t="n"/>
      <c r="K152" s="44" t="n"/>
      <c r="L152" s="44" t="n"/>
      <c r="M152" s="44" t="n"/>
      <c r="N152" s="44" t="n"/>
      <c r="O152" s="44" t="n"/>
    </row>
    <row r="153" ht="54" customHeight="1">
      <c r="A153" s="44" t="n"/>
      <c r="B153" s="44" t="n"/>
      <c r="C153" s="44" t="n"/>
      <c r="D153" s="44" t="n"/>
      <c r="E153" s="44" t="n"/>
      <c r="F153" s="44" t="n"/>
      <c r="G153" s="44" t="n"/>
      <c r="H153" s="44" t="n"/>
      <c r="I153" s="44" t="n"/>
      <c r="J153" s="44" t="n"/>
      <c r="K153" s="44" t="n"/>
      <c r="L153" s="44" t="n"/>
      <c r="M153" s="44" t="n"/>
      <c r="N153" s="44" t="n"/>
      <c r="O153" s="44" t="n"/>
    </row>
    <row r="154" ht="54" customHeight="1">
      <c r="A154" s="44" t="n"/>
      <c r="B154" s="44" t="n"/>
      <c r="C154" s="44" t="n"/>
      <c r="D154" s="44" t="n"/>
      <c r="E154" s="44" t="n"/>
      <c r="F154" s="44" t="n"/>
      <c r="G154" s="44" t="n"/>
      <c r="H154" s="44" t="n"/>
      <c r="I154" s="44" t="n"/>
      <c r="J154" s="44" t="n"/>
      <c r="K154" s="44" t="n"/>
      <c r="L154" s="44" t="n"/>
      <c r="M154" s="44" t="n"/>
      <c r="N154" s="44" t="n"/>
      <c r="O154" s="44" t="n"/>
    </row>
    <row r="155" ht="54" customHeight="1">
      <c r="A155" s="44" t="n"/>
      <c r="B155" s="44" t="n"/>
      <c r="C155" s="44" t="n"/>
      <c r="D155" s="44" t="n"/>
      <c r="E155" s="44" t="n"/>
      <c r="F155" s="44" t="n"/>
      <c r="G155" s="44" t="n"/>
      <c r="H155" s="44" t="n"/>
      <c r="I155" s="44" t="n"/>
      <c r="J155" s="44" t="n"/>
      <c r="K155" s="44" t="n"/>
      <c r="L155" s="44" t="n"/>
      <c r="M155" s="44" t="n"/>
      <c r="N155" s="44" t="n"/>
      <c r="O155" s="44" t="n"/>
    </row>
    <row r="156" ht="54" customHeight="1">
      <c r="A156" s="44" t="n"/>
      <c r="B156" s="44" t="n"/>
      <c r="C156" s="44" t="n"/>
      <c r="D156" s="44" t="n"/>
      <c r="E156" s="44" t="n"/>
      <c r="F156" s="44" t="n"/>
      <c r="G156" s="44" t="n"/>
      <c r="H156" s="44" t="n"/>
      <c r="I156" s="44" t="n"/>
      <c r="J156" s="44" t="n"/>
      <c r="K156" s="44" t="n"/>
      <c r="L156" s="44" t="n"/>
      <c r="M156" s="44" t="n"/>
      <c r="N156" s="44" t="n"/>
      <c r="O156" s="44" t="n"/>
    </row>
    <row r="157" ht="54" customHeight="1">
      <c r="A157" s="44" t="n"/>
      <c r="B157" s="44" t="n"/>
      <c r="C157" s="44" t="n"/>
      <c r="D157" s="44" t="n"/>
      <c r="E157" s="44" t="n"/>
      <c r="F157" s="44" t="n"/>
      <c r="G157" s="44" t="n"/>
      <c r="H157" s="44" t="n"/>
      <c r="I157" s="44" t="n"/>
      <c r="J157" s="44" t="n"/>
      <c r="K157" s="44" t="n"/>
      <c r="L157" s="44" t="n"/>
      <c r="M157" s="44" t="n"/>
      <c r="N157" s="44" t="n"/>
      <c r="O157" s="44" t="n"/>
    </row>
    <row r="158" ht="54" customHeight="1">
      <c r="A158" s="44" t="n"/>
      <c r="B158" s="44" t="n"/>
      <c r="C158" s="44" t="n"/>
      <c r="D158" s="44" t="n"/>
      <c r="E158" s="44" t="n"/>
      <c r="F158" s="44" t="n"/>
      <c r="G158" s="44" t="n"/>
      <c r="H158" s="44" t="n"/>
      <c r="I158" s="44" t="n"/>
      <c r="J158" s="44" t="n"/>
      <c r="K158" s="44" t="n"/>
      <c r="L158" s="44" t="n"/>
      <c r="M158" s="44" t="n"/>
      <c r="N158" s="44" t="n"/>
      <c r="O158" s="44" t="n"/>
    </row>
    <row r="159" ht="54" customHeight="1">
      <c r="A159" s="44" t="n"/>
      <c r="B159" s="44" t="n"/>
      <c r="C159" s="44" t="n"/>
      <c r="D159" s="44" t="n"/>
      <c r="E159" s="44" t="n"/>
      <c r="F159" s="44" t="n"/>
      <c r="G159" s="44" t="n"/>
      <c r="H159" s="44" t="n"/>
      <c r="I159" s="44" t="n"/>
      <c r="J159" s="44" t="n"/>
      <c r="K159" s="44" t="n"/>
      <c r="L159" s="44" t="n"/>
      <c r="M159" s="44" t="n"/>
      <c r="N159" s="44" t="n"/>
      <c r="O159" s="44" t="n"/>
    </row>
    <row r="160" ht="54" customHeight="1">
      <c r="A160" s="44" t="n"/>
      <c r="B160" s="44" t="n"/>
      <c r="C160" s="44" t="n"/>
      <c r="D160" s="44" t="n"/>
      <c r="E160" s="44" t="n"/>
      <c r="F160" s="44" t="n"/>
      <c r="G160" s="44" t="n"/>
      <c r="H160" s="44" t="n"/>
      <c r="I160" s="44" t="n"/>
      <c r="J160" s="44" t="n"/>
      <c r="K160" s="44" t="n"/>
      <c r="L160" s="44" t="n"/>
      <c r="M160" s="44" t="n"/>
      <c r="N160" s="44" t="n"/>
      <c r="O160" s="44" t="n"/>
    </row>
    <row r="161" ht="54" customHeight="1">
      <c r="A161" s="44" t="n"/>
      <c r="B161" s="44" t="n"/>
      <c r="C161" s="44" t="n"/>
      <c r="D161" s="44" t="n"/>
      <c r="E161" s="44" t="n"/>
      <c r="F161" s="44" t="n"/>
      <c r="G161" s="44" t="n"/>
      <c r="H161" s="44" t="n"/>
      <c r="I161" s="44" t="n"/>
      <c r="J161" s="44" t="n"/>
      <c r="K161" s="44" t="n"/>
      <c r="L161" s="44" t="n"/>
      <c r="M161" s="44" t="n"/>
      <c r="N161" s="44" t="n"/>
      <c r="O161" s="44" t="n"/>
    </row>
    <row r="162" ht="54" customHeight="1">
      <c r="A162" s="44" t="n"/>
      <c r="B162" s="44" t="n"/>
      <c r="C162" s="44" t="n"/>
      <c r="D162" s="44" t="n"/>
      <c r="E162" s="44" t="n"/>
      <c r="F162" s="44" t="n"/>
      <c r="G162" s="44" t="n"/>
      <c r="H162" s="44" t="n"/>
      <c r="I162" s="44" t="n"/>
      <c r="J162" s="44" t="n"/>
      <c r="K162" s="44" t="n"/>
      <c r="L162" s="44" t="n"/>
      <c r="M162" s="44" t="n"/>
      <c r="N162" s="44" t="n"/>
      <c r="O162" s="44" t="n"/>
    </row>
    <row r="163" ht="54" customHeight="1">
      <c r="A163" s="44" t="n"/>
      <c r="B163" s="44" t="n"/>
      <c r="C163" s="44" t="n"/>
      <c r="D163" s="44" t="n"/>
      <c r="E163" s="44" t="n"/>
      <c r="F163" s="44" t="n"/>
      <c r="G163" s="44" t="n"/>
      <c r="H163" s="44" t="n"/>
      <c r="I163" s="44" t="n"/>
      <c r="J163" s="44" t="n"/>
      <c r="K163" s="44" t="n"/>
      <c r="L163" s="44" t="n"/>
      <c r="M163" s="44" t="n"/>
      <c r="N163" s="44" t="n"/>
      <c r="O163" s="44" t="n"/>
    </row>
    <row r="164" ht="54" customHeight="1">
      <c r="A164" s="44" t="n"/>
      <c r="B164" s="44" t="n"/>
      <c r="C164" s="44" t="n"/>
      <c r="D164" s="44" t="n"/>
      <c r="E164" s="44" t="n"/>
      <c r="F164" s="44" t="n"/>
      <c r="G164" s="44" t="n"/>
      <c r="H164" s="44" t="n"/>
      <c r="I164" s="44" t="n"/>
      <c r="J164" s="44" t="n"/>
      <c r="K164" s="44" t="n"/>
      <c r="L164" s="44" t="n"/>
      <c r="M164" s="44" t="n"/>
      <c r="N164" s="44" t="n"/>
      <c r="O164" s="44" t="n"/>
    </row>
    <row r="165" ht="54" customHeight="1">
      <c r="A165" s="44" t="n"/>
      <c r="B165" s="44" t="n"/>
      <c r="C165" s="44" t="n"/>
      <c r="D165" s="44" t="n"/>
      <c r="E165" s="44" t="n"/>
      <c r="F165" s="44" t="n"/>
      <c r="G165" s="44" t="n"/>
      <c r="H165" s="44" t="n"/>
      <c r="I165" s="44" t="n"/>
      <c r="J165" s="44" t="n"/>
      <c r="K165" s="44" t="n"/>
      <c r="L165" s="44" t="n"/>
      <c r="M165" s="44" t="n"/>
      <c r="N165" s="44" t="n"/>
      <c r="O165" s="44" t="n"/>
    </row>
    <row r="166" ht="54" customHeight="1">
      <c r="A166" s="44" t="n"/>
      <c r="B166" s="44" t="n"/>
      <c r="C166" s="44" t="n"/>
      <c r="D166" s="44" t="n"/>
      <c r="E166" s="44" t="n"/>
      <c r="F166" s="44" t="n"/>
      <c r="G166" s="44" t="n"/>
      <c r="H166" s="44" t="n"/>
      <c r="I166" s="44" t="n"/>
      <c r="J166" s="44" t="n"/>
      <c r="K166" s="44" t="n"/>
      <c r="L166" s="44" t="n"/>
      <c r="M166" s="44" t="n"/>
      <c r="N166" s="44" t="n"/>
      <c r="O166" s="44" t="n"/>
    </row>
    <row r="167" ht="54" customHeight="1">
      <c r="A167" s="44" t="n"/>
      <c r="B167" s="44" t="n"/>
      <c r="C167" s="44" t="n"/>
      <c r="D167" s="44" t="n"/>
      <c r="E167" s="44" t="n"/>
      <c r="F167" s="44" t="n"/>
      <c r="G167" s="44" t="n"/>
      <c r="H167" s="44" t="n"/>
      <c r="I167" s="44" t="n"/>
      <c r="J167" s="44" t="n"/>
      <c r="K167" s="44" t="n"/>
      <c r="L167" s="44" t="n"/>
      <c r="M167" s="44" t="n"/>
      <c r="N167" s="44" t="n"/>
      <c r="O167" s="44" t="n"/>
    </row>
    <row r="168" ht="54" customHeight="1">
      <c r="A168" s="44" t="n"/>
      <c r="B168" s="44" t="n"/>
      <c r="C168" s="44" t="n"/>
      <c r="D168" s="44" t="n"/>
      <c r="E168" s="44" t="n"/>
      <c r="F168" s="44" t="n"/>
      <c r="G168" s="44" t="n"/>
      <c r="H168" s="44" t="n"/>
      <c r="I168" s="44" t="n"/>
      <c r="J168" s="44" t="n"/>
      <c r="K168" s="44" t="n"/>
      <c r="L168" s="44" t="n"/>
      <c r="M168" s="44" t="n"/>
      <c r="N168" s="44" t="n"/>
      <c r="O168" s="44" t="n"/>
    </row>
    <row r="169" ht="54" customHeight="1">
      <c r="A169" s="44" t="n"/>
      <c r="B169" s="44" t="n"/>
      <c r="C169" s="44" t="n"/>
      <c r="D169" s="44" t="n"/>
      <c r="E169" s="44" t="n"/>
      <c r="F169" s="44" t="n"/>
      <c r="G169" s="44" t="n"/>
      <c r="H169" s="44" t="n"/>
      <c r="I169" s="44" t="n"/>
      <c r="J169" s="44" t="n"/>
      <c r="K169" s="44" t="n"/>
      <c r="L169" s="44" t="n"/>
      <c r="M169" s="44" t="n"/>
      <c r="N169" s="44" t="n"/>
      <c r="O169" s="44" t="n"/>
    </row>
    <row r="170" ht="54" customHeight="1">
      <c r="A170" s="44" t="n"/>
      <c r="B170" s="44" t="n"/>
      <c r="C170" s="44" t="n"/>
      <c r="D170" s="44" t="n"/>
      <c r="E170" s="44" t="n"/>
      <c r="F170" s="44" t="n"/>
      <c r="G170" s="44" t="n"/>
      <c r="H170" s="44" t="n"/>
      <c r="I170" s="44" t="n"/>
      <c r="J170" s="44" t="n"/>
      <c r="K170" s="44" t="n"/>
      <c r="L170" s="44" t="n"/>
      <c r="M170" s="44" t="n"/>
      <c r="N170" s="44" t="n"/>
      <c r="O170" s="44" t="n"/>
    </row>
    <row r="171" ht="54" customHeight="1">
      <c r="A171" s="44" t="n"/>
      <c r="B171" s="44" t="n"/>
      <c r="C171" s="44" t="n"/>
      <c r="D171" s="44" t="n"/>
      <c r="E171" s="44" t="n"/>
      <c r="F171" s="44" t="n"/>
      <c r="G171" s="44" t="n"/>
      <c r="H171" s="44" t="n"/>
      <c r="I171" s="44" t="n"/>
      <c r="J171" s="44" t="n"/>
      <c r="K171" s="44" t="n"/>
      <c r="L171" s="44" t="n"/>
      <c r="M171" s="44" t="n"/>
      <c r="N171" s="44" t="n"/>
      <c r="O171" s="44" t="n"/>
    </row>
    <row r="172" ht="54" customHeight="1">
      <c r="A172" s="44" t="n"/>
      <c r="B172" s="44" t="n"/>
      <c r="C172" s="44" t="n"/>
      <c r="D172" s="44" t="n"/>
      <c r="E172" s="44" t="n"/>
      <c r="F172" s="44" t="n"/>
      <c r="G172" s="44" t="n"/>
      <c r="H172" s="44" t="n"/>
      <c r="I172" s="44" t="n"/>
      <c r="J172" s="44" t="n"/>
      <c r="K172" s="44" t="n"/>
      <c r="L172" s="44" t="n"/>
      <c r="M172" s="44" t="n"/>
      <c r="N172" s="44" t="n"/>
      <c r="O172" s="44" t="n"/>
    </row>
    <row r="173" ht="54" customHeight="1">
      <c r="A173" s="44" t="n"/>
      <c r="B173" s="44" t="n"/>
      <c r="C173" s="44" t="n"/>
      <c r="D173" s="44" t="n"/>
      <c r="E173" s="44" t="n"/>
      <c r="F173" s="44" t="n"/>
      <c r="G173" s="44" t="n"/>
      <c r="H173" s="44" t="n"/>
      <c r="I173" s="44" t="n"/>
      <c r="J173" s="44" t="n"/>
      <c r="K173" s="44" t="n"/>
      <c r="L173" s="44" t="n"/>
      <c r="M173" s="44" t="n"/>
      <c r="N173" s="44" t="n"/>
      <c r="O173" s="44" t="n"/>
    </row>
    <row r="174" ht="54" customHeight="1">
      <c r="A174" s="44" t="n"/>
      <c r="B174" s="44" t="n"/>
      <c r="C174" s="44" t="n"/>
      <c r="D174" s="44" t="n"/>
      <c r="E174" s="44" t="n"/>
      <c r="F174" s="44" t="n"/>
      <c r="G174" s="44" t="n"/>
      <c r="H174" s="44" t="n"/>
      <c r="I174" s="44" t="n"/>
      <c r="J174" s="44" t="n"/>
      <c r="K174" s="44" t="n"/>
      <c r="L174" s="44" t="n"/>
      <c r="M174" s="44" t="n"/>
      <c r="N174" s="44" t="n"/>
      <c r="O174" s="44" t="n"/>
    </row>
    <row r="175" ht="54" customHeight="1">
      <c r="A175" s="44" t="n"/>
      <c r="B175" s="44" t="n"/>
      <c r="C175" s="44" t="n"/>
      <c r="D175" s="44" t="n"/>
      <c r="E175" s="44" t="n"/>
      <c r="F175" s="44" t="n"/>
      <c r="G175" s="44" t="n"/>
      <c r="H175" s="44" t="n"/>
      <c r="I175" s="44" t="n"/>
      <c r="J175" s="44" t="n"/>
      <c r="K175" s="44" t="n"/>
      <c r="L175" s="44" t="n"/>
      <c r="M175" s="44" t="n"/>
      <c r="N175" s="44" t="n"/>
      <c r="O175" s="44" t="n"/>
    </row>
    <row r="176" ht="54" customHeight="1">
      <c r="A176" s="44" t="n"/>
      <c r="B176" s="44" t="n"/>
      <c r="C176" s="44" t="n"/>
      <c r="D176" s="44" t="n"/>
      <c r="E176" s="44" t="n"/>
      <c r="F176" s="44" t="n"/>
      <c r="G176" s="44" t="n"/>
      <c r="H176" s="44" t="n"/>
      <c r="I176" s="44" t="n"/>
      <c r="J176" s="44" t="n"/>
      <c r="K176" s="44" t="n"/>
      <c r="L176" s="44" t="n"/>
      <c r="M176" s="44" t="n"/>
      <c r="N176" s="44" t="n"/>
      <c r="O176" s="44" t="n"/>
    </row>
    <row r="177" ht="54" customHeight="1">
      <c r="A177" s="44" t="n"/>
      <c r="B177" s="44" t="n"/>
      <c r="C177" s="44" t="n"/>
      <c r="D177" s="44" t="n"/>
      <c r="E177" s="44" t="n"/>
      <c r="F177" s="44" t="n"/>
      <c r="G177" s="44" t="n"/>
      <c r="H177" s="44" t="n"/>
      <c r="I177" s="44" t="n"/>
      <c r="J177" s="44" t="n"/>
      <c r="K177" s="44" t="n"/>
      <c r="L177" s="44" t="n"/>
      <c r="M177" s="44" t="n"/>
      <c r="N177" s="44" t="n"/>
      <c r="O177" s="44" t="n"/>
    </row>
    <row r="178" ht="54" customHeight="1">
      <c r="A178" s="44" t="n"/>
      <c r="B178" s="44" t="n"/>
      <c r="C178" s="44" t="n"/>
      <c r="D178" s="44" t="n"/>
      <c r="E178" s="44" t="n"/>
      <c r="F178" s="44" t="n"/>
      <c r="G178" s="44" t="n"/>
      <c r="H178" s="44" t="n"/>
      <c r="I178" s="44" t="n"/>
      <c r="J178" s="44" t="n"/>
      <c r="K178" s="44" t="n"/>
      <c r="L178" s="44" t="n"/>
      <c r="M178" s="44" t="n"/>
      <c r="N178" s="44" t="n"/>
      <c r="O178" s="44" t="n"/>
    </row>
    <row r="179" ht="54" customHeight="1">
      <c r="A179" s="44" t="n"/>
      <c r="B179" s="44" t="n"/>
      <c r="C179" s="44" t="n"/>
      <c r="D179" s="44" t="n"/>
      <c r="E179" s="44" t="n"/>
      <c r="F179" s="44" t="n"/>
      <c r="G179" s="44" t="n"/>
      <c r="H179" s="44" t="n"/>
      <c r="I179" s="44" t="n"/>
      <c r="J179" s="44" t="n"/>
      <c r="K179" s="44" t="n"/>
      <c r="L179" s="44" t="n"/>
      <c r="M179" s="44" t="n"/>
      <c r="N179" s="44" t="n"/>
      <c r="O179" s="44" t="n"/>
    </row>
    <row r="180" ht="54" customHeight="1">
      <c r="A180" s="44" t="n"/>
      <c r="B180" s="44" t="n"/>
      <c r="C180" s="44" t="n"/>
      <c r="D180" s="44" t="n"/>
      <c r="E180" s="44" t="n"/>
      <c r="F180" s="44" t="n"/>
      <c r="G180" s="44" t="n"/>
      <c r="H180" s="44" t="n"/>
      <c r="I180" s="44" t="n"/>
      <c r="J180" s="44" t="n"/>
      <c r="K180" s="44" t="n"/>
      <c r="L180" s="44" t="n"/>
      <c r="M180" s="44" t="n"/>
      <c r="N180" s="44" t="n"/>
      <c r="O180" s="44" t="n"/>
    </row>
    <row r="181" ht="54" customHeight="1">
      <c r="A181" s="44" t="n"/>
      <c r="B181" s="44" t="n"/>
      <c r="C181" s="44" t="n"/>
      <c r="D181" s="44" t="n"/>
      <c r="E181" s="44" t="n"/>
      <c r="F181" s="44" t="n"/>
      <c r="G181" s="44" t="n"/>
      <c r="H181" s="44" t="n"/>
      <c r="I181" s="44" t="n"/>
      <c r="J181" s="44" t="n"/>
      <c r="K181" s="44" t="n"/>
      <c r="L181" s="44" t="n"/>
      <c r="M181" s="44" t="n"/>
      <c r="N181" s="44" t="n"/>
      <c r="O181" s="44" t="n"/>
    </row>
    <row r="182" ht="54" customHeight="1">
      <c r="A182" s="44" t="n"/>
      <c r="B182" s="44" t="n"/>
      <c r="C182" s="44" t="n"/>
      <c r="D182" s="44" t="n"/>
      <c r="E182" s="44" t="n"/>
      <c r="F182" s="44" t="n"/>
      <c r="G182" s="44" t="n"/>
      <c r="H182" s="44" t="n"/>
      <c r="I182" s="44" t="n"/>
      <c r="J182" s="44" t="n"/>
      <c r="K182" s="44" t="n"/>
      <c r="L182" s="44" t="n"/>
      <c r="M182" s="44" t="n"/>
      <c r="N182" s="44" t="n"/>
      <c r="O182" s="44" t="n"/>
    </row>
    <row r="183" ht="54" customHeight="1">
      <c r="A183" s="44" t="n"/>
      <c r="B183" s="44" t="n"/>
      <c r="C183" s="44" t="n"/>
      <c r="D183" s="44" t="n"/>
      <c r="E183" s="44" t="n"/>
      <c r="F183" s="44" t="n"/>
      <c r="G183" s="44" t="n"/>
      <c r="H183" s="44" t="n"/>
      <c r="I183" s="44" t="n"/>
      <c r="J183" s="44" t="n"/>
      <c r="K183" s="44" t="n"/>
      <c r="L183" s="44" t="n"/>
      <c r="M183" s="44" t="n"/>
      <c r="N183" s="44" t="n"/>
      <c r="O183" s="44" t="n"/>
    </row>
    <row r="184" ht="54" customHeight="1">
      <c r="A184" s="44" t="n"/>
      <c r="B184" s="44" t="n"/>
      <c r="C184" s="44" t="n"/>
      <c r="D184" s="44" t="n"/>
      <c r="E184" s="44" t="n"/>
      <c r="F184" s="44" t="n"/>
      <c r="G184" s="44" t="n"/>
      <c r="H184" s="44" t="n"/>
      <c r="I184" s="44" t="n"/>
      <c r="J184" s="44" t="n"/>
      <c r="K184" s="44" t="n"/>
      <c r="L184" s="44" t="n"/>
      <c r="M184" s="44" t="n"/>
      <c r="N184" s="44" t="n"/>
      <c r="O184" s="44" t="n"/>
    </row>
    <row r="185" ht="54" customHeight="1">
      <c r="A185" s="44" t="n"/>
      <c r="B185" s="44" t="n"/>
      <c r="C185" s="44" t="n"/>
      <c r="D185" s="44" t="n"/>
      <c r="E185" s="44" t="n"/>
      <c r="F185" s="44" t="n"/>
      <c r="G185" s="44" t="n"/>
      <c r="H185" s="44" t="n"/>
      <c r="I185" s="44" t="n"/>
      <c r="J185" s="44" t="n"/>
      <c r="K185" s="44" t="n"/>
      <c r="L185" s="44" t="n"/>
      <c r="M185" s="44" t="n"/>
      <c r="N185" s="44" t="n"/>
      <c r="O185" s="44" t="n"/>
    </row>
    <row r="186" ht="54" customHeight="1">
      <c r="A186" s="44" t="n"/>
      <c r="B186" s="44" t="n"/>
      <c r="C186" s="44" t="n"/>
      <c r="D186" s="44" t="n"/>
      <c r="E186" s="44" t="n"/>
      <c r="F186" s="44" t="n"/>
      <c r="G186" s="44" t="n"/>
      <c r="H186" s="44" t="n"/>
      <c r="I186" s="44" t="n"/>
      <c r="J186" s="44" t="n"/>
      <c r="K186" s="44" t="n"/>
      <c r="L186" s="44" t="n"/>
      <c r="M186" s="44" t="n"/>
      <c r="N186" s="44" t="n"/>
      <c r="O186" s="44" t="n"/>
    </row>
    <row r="187" ht="54" customHeight="1">
      <c r="A187" s="44" t="n"/>
      <c r="B187" s="44" t="n"/>
      <c r="C187" s="44" t="n"/>
      <c r="D187" s="44" t="n"/>
      <c r="E187" s="44" t="n"/>
      <c r="F187" s="44" t="n"/>
      <c r="G187" s="44" t="n"/>
      <c r="H187" s="44" t="n"/>
      <c r="I187" s="44" t="n"/>
      <c r="J187" s="44" t="n"/>
      <c r="K187" s="44" t="n"/>
      <c r="L187" s="44" t="n"/>
      <c r="M187" s="44" t="n"/>
      <c r="N187" s="44" t="n"/>
      <c r="O187" s="44" t="n"/>
    </row>
    <row r="188" ht="54" customHeight="1">
      <c r="A188" s="44" t="n"/>
      <c r="B188" s="44" t="n"/>
      <c r="C188" s="44" t="n"/>
      <c r="D188" s="44" t="n"/>
      <c r="E188" s="44" t="n"/>
      <c r="F188" s="44" t="n"/>
      <c r="G188" s="44" t="n"/>
      <c r="H188" s="44" t="n"/>
      <c r="I188" s="44" t="n"/>
      <c r="J188" s="44" t="n"/>
      <c r="K188" s="44" t="n"/>
      <c r="L188" s="44" t="n"/>
      <c r="M188" s="44" t="n"/>
      <c r="N188" s="44" t="n"/>
      <c r="O188" s="44" t="n"/>
    </row>
    <row r="189" ht="54" customHeight="1">
      <c r="A189" s="44" t="n"/>
      <c r="B189" s="44" t="n"/>
      <c r="C189" s="44" t="n"/>
      <c r="D189" s="44" t="n"/>
      <c r="E189" s="44" t="n"/>
      <c r="F189" s="44" t="n"/>
      <c r="G189" s="44" t="n"/>
      <c r="H189" s="44" t="n"/>
      <c r="I189" s="44" t="n"/>
      <c r="J189" s="44" t="n"/>
      <c r="K189" s="44" t="n"/>
      <c r="L189" s="44" t="n"/>
      <c r="M189" s="44" t="n"/>
      <c r="N189" s="44" t="n"/>
      <c r="O189" s="44" t="n"/>
    </row>
    <row r="190" ht="54" customHeight="1">
      <c r="A190" s="44" t="n"/>
      <c r="B190" s="44" t="n"/>
      <c r="C190" s="44" t="n"/>
      <c r="D190" s="44" t="n"/>
      <c r="E190" s="44" t="n"/>
      <c r="F190" s="44" t="n"/>
      <c r="G190" s="44" t="n"/>
      <c r="H190" s="44" t="n"/>
      <c r="I190" s="44" t="n"/>
      <c r="J190" s="44" t="n"/>
      <c r="K190" s="44" t="n"/>
      <c r="L190" s="44" t="n"/>
      <c r="M190" s="44" t="n"/>
      <c r="N190" s="44" t="n"/>
      <c r="O190" s="44" t="n"/>
    </row>
    <row r="191" ht="54" customHeight="1">
      <c r="A191" s="44" t="n"/>
      <c r="B191" s="44" t="n"/>
      <c r="C191" s="44" t="n"/>
      <c r="D191" s="44" t="n"/>
      <c r="E191" s="44" t="n"/>
      <c r="F191" s="44" t="n"/>
      <c r="G191" s="44" t="n"/>
      <c r="H191" s="44" t="n"/>
      <c r="I191" s="44" t="n"/>
      <c r="J191" s="44" t="n"/>
      <c r="K191" s="44" t="n"/>
      <c r="L191" s="44" t="n"/>
      <c r="M191" s="44" t="n"/>
      <c r="N191" s="44" t="n"/>
      <c r="O191" s="44" t="n"/>
    </row>
    <row r="192" ht="54" customHeight="1">
      <c r="A192" s="44" t="n"/>
      <c r="B192" s="44" t="n"/>
      <c r="C192" s="44" t="n"/>
      <c r="D192" s="44" t="n"/>
      <c r="E192" s="44" t="n"/>
      <c r="F192" s="44" t="n"/>
      <c r="G192" s="44" t="n"/>
      <c r="H192" s="44" t="n"/>
      <c r="I192" s="44" t="n"/>
      <c r="J192" s="44" t="n"/>
      <c r="K192" s="44" t="n"/>
      <c r="L192" s="44" t="n"/>
      <c r="M192" s="44" t="n"/>
      <c r="N192" s="44" t="n"/>
      <c r="O192" s="44" t="n"/>
    </row>
    <row r="193" ht="54" customHeight="1">
      <c r="A193" s="44" t="n"/>
      <c r="B193" s="44" t="n"/>
      <c r="C193" s="44" t="n"/>
      <c r="D193" s="44" t="n"/>
      <c r="E193" s="44" t="n"/>
      <c r="F193" s="44" t="n"/>
      <c r="G193" s="44" t="n"/>
      <c r="H193" s="44" t="n"/>
      <c r="I193" s="44" t="n"/>
      <c r="J193" s="44" t="n"/>
      <c r="K193" s="44" t="n"/>
      <c r="L193" s="44" t="n"/>
      <c r="M193" s="44" t="n"/>
      <c r="N193" s="44" t="n"/>
      <c r="O193" s="44" t="n"/>
    </row>
    <row r="194" ht="54" customHeight="1">
      <c r="A194" s="44" t="n"/>
      <c r="B194" s="44" t="n"/>
      <c r="C194" s="44" t="n"/>
      <c r="D194" s="44" t="n"/>
      <c r="E194" s="44" t="n"/>
      <c r="F194" s="44" t="n"/>
      <c r="G194" s="44" t="n"/>
      <c r="H194" s="44" t="n"/>
      <c r="I194" s="44" t="n"/>
      <c r="J194" s="44" t="n"/>
      <c r="K194" s="44" t="n"/>
      <c r="L194" s="44" t="n"/>
      <c r="M194" s="44" t="n"/>
      <c r="N194" s="44" t="n"/>
      <c r="O194" s="44" t="n"/>
    </row>
    <row r="195" ht="54" customHeight="1">
      <c r="A195" s="44" t="n"/>
      <c r="B195" s="44" t="n"/>
      <c r="C195" s="44" t="n"/>
      <c r="D195" s="44" t="n"/>
      <c r="E195" s="44" t="n"/>
      <c r="F195" s="44" t="n"/>
      <c r="G195" s="44" t="n"/>
      <c r="H195" s="44" t="n"/>
      <c r="I195" s="44" t="n"/>
      <c r="J195" s="44" t="n"/>
      <c r="K195" s="44" t="n"/>
      <c r="L195" s="44" t="n"/>
      <c r="M195" s="44" t="n"/>
      <c r="N195" s="44" t="n"/>
      <c r="O195" s="44" t="n"/>
    </row>
    <row r="196" ht="54" customHeight="1">
      <c r="A196" s="44" t="n"/>
      <c r="B196" s="44" t="n"/>
      <c r="C196" s="44" t="n"/>
      <c r="D196" s="44" t="n"/>
      <c r="E196" s="44" t="n"/>
      <c r="F196" s="44" t="n"/>
      <c r="G196" s="44" t="n"/>
      <c r="H196" s="44" t="n"/>
      <c r="I196" s="44" t="n"/>
      <c r="J196" s="44" t="n"/>
      <c r="K196" s="44" t="n"/>
      <c r="L196" s="44" t="n"/>
      <c r="M196" s="44" t="n"/>
      <c r="N196" s="44" t="n"/>
      <c r="O196" s="44" t="n"/>
    </row>
    <row r="197" ht="54" customHeight="1">
      <c r="A197" s="44" t="n"/>
      <c r="B197" s="44" t="n"/>
      <c r="C197" s="44" t="n"/>
      <c r="D197" s="44" t="n"/>
      <c r="E197" s="44" t="n"/>
      <c r="F197" s="44" t="n"/>
      <c r="G197" s="44" t="n"/>
      <c r="H197" s="44" t="n"/>
      <c r="I197" s="44" t="n"/>
      <c r="J197" s="44" t="n"/>
      <c r="K197" s="44" t="n"/>
      <c r="L197" s="44" t="n"/>
      <c r="M197" s="44" t="n"/>
      <c r="N197" s="44" t="n"/>
      <c r="O197" s="44" t="n"/>
    </row>
    <row r="198" ht="54" customHeight="1">
      <c r="A198" s="44" t="n"/>
      <c r="B198" s="44" t="n"/>
      <c r="C198" s="44" t="n"/>
      <c r="D198" s="44" t="n"/>
      <c r="E198" s="44" t="n"/>
      <c r="F198" s="44" t="n"/>
      <c r="G198" s="44" t="n"/>
      <c r="H198" s="44" t="n"/>
      <c r="I198" s="44" t="n"/>
      <c r="J198" s="44" t="n"/>
      <c r="K198" s="44" t="n"/>
      <c r="L198" s="44" t="n"/>
      <c r="M198" s="44" t="n"/>
      <c r="N198" s="44" t="n"/>
      <c r="O198" s="44" t="n"/>
    </row>
    <row r="199" ht="54" customHeight="1">
      <c r="A199" s="44" t="n"/>
      <c r="B199" s="44" t="n"/>
      <c r="C199" s="44" t="n"/>
      <c r="D199" s="44" t="n"/>
      <c r="E199" s="44" t="n"/>
      <c r="F199" s="44" t="n"/>
      <c r="G199" s="44" t="n"/>
      <c r="H199" s="44" t="n"/>
      <c r="I199" s="44" t="n"/>
      <c r="J199" s="44" t="n"/>
      <c r="K199" s="44" t="n"/>
      <c r="L199" s="44" t="n"/>
      <c r="M199" s="44" t="n"/>
      <c r="N199" s="44" t="n"/>
      <c r="O199" s="44" t="n"/>
    </row>
    <row r="200" ht="54" customHeight="1">
      <c r="A200" s="44" t="n"/>
      <c r="B200" s="44" t="n"/>
      <c r="C200" s="44" t="n"/>
      <c r="D200" s="44" t="n"/>
      <c r="E200" s="44" t="n"/>
      <c r="F200" s="44" t="n"/>
      <c r="G200" s="44" t="n"/>
      <c r="H200" s="44" t="n"/>
      <c r="I200" s="44" t="n"/>
      <c r="J200" s="44" t="n"/>
      <c r="K200" s="44" t="n"/>
      <c r="L200" s="44" t="n"/>
      <c r="M200" s="44" t="n"/>
      <c r="N200" s="44" t="n"/>
      <c r="O200" s="44" t="n"/>
    </row>
    <row r="201" ht="54" customHeight="1">
      <c r="A201" s="44" t="n"/>
      <c r="B201" s="44" t="n"/>
      <c r="C201" s="44" t="n"/>
      <c r="D201" s="44" t="n"/>
      <c r="E201" s="44" t="n"/>
      <c r="F201" s="44" t="n"/>
      <c r="G201" s="44" t="n"/>
      <c r="H201" s="44" t="n"/>
      <c r="I201" s="44" t="n"/>
      <c r="J201" s="44" t="n"/>
      <c r="K201" s="44" t="n"/>
      <c r="L201" s="44" t="n"/>
      <c r="M201" s="44" t="n"/>
      <c r="N201" s="44" t="n"/>
      <c r="O201" s="44" t="n"/>
    </row>
    <row r="202" ht="54" customHeight="1">
      <c r="A202" s="44" t="n"/>
      <c r="B202" s="44" t="n"/>
      <c r="C202" s="44" t="n"/>
      <c r="D202" s="44" t="n"/>
      <c r="E202" s="44" t="n"/>
      <c r="F202" s="44" t="n"/>
      <c r="G202" s="44" t="n"/>
      <c r="H202" s="44" t="n"/>
      <c r="I202" s="44" t="n"/>
      <c r="J202" s="44" t="n"/>
      <c r="K202" s="44" t="n"/>
      <c r="L202" s="44" t="n"/>
      <c r="M202" s="44" t="n"/>
      <c r="N202" s="44" t="n"/>
      <c r="O202" s="44" t="n"/>
    </row>
    <row r="203" ht="54" customHeight="1">
      <c r="A203" s="44" t="n"/>
      <c r="B203" s="44" t="n"/>
      <c r="C203" s="44" t="n"/>
      <c r="D203" s="44" t="n"/>
      <c r="E203" s="44" t="n"/>
      <c r="F203" s="44" t="n"/>
      <c r="G203" s="44" t="n"/>
      <c r="H203" s="44" t="n"/>
      <c r="I203" s="44" t="n"/>
      <c r="J203" s="44" t="n"/>
      <c r="K203" s="44" t="n"/>
      <c r="L203" s="44" t="n"/>
      <c r="M203" s="44" t="n"/>
      <c r="N203" s="44" t="n"/>
      <c r="O203" s="44" t="n"/>
    </row>
    <row r="204" ht="54" customHeight="1">
      <c r="A204" s="44" t="n"/>
      <c r="B204" s="44" t="n"/>
      <c r="C204" s="44" t="n"/>
      <c r="D204" s="44" t="n"/>
      <c r="E204" s="44" t="n"/>
      <c r="F204" s="44" t="n"/>
      <c r="G204" s="44" t="n"/>
      <c r="H204" s="44" t="n"/>
      <c r="I204" s="44" t="n"/>
      <c r="J204" s="44" t="n"/>
      <c r="K204" s="44" t="n"/>
      <c r="L204" s="44" t="n"/>
      <c r="M204" s="44" t="n"/>
      <c r="N204" s="44" t="n"/>
      <c r="O204" s="44" t="n"/>
    </row>
    <row r="205" ht="54" customHeight="1">
      <c r="A205" s="44" t="n"/>
      <c r="B205" s="44" t="n"/>
      <c r="C205" s="44" t="n"/>
      <c r="D205" s="44" t="n"/>
      <c r="E205" s="44" t="n"/>
      <c r="F205" s="44" t="n"/>
      <c r="G205" s="44" t="n"/>
      <c r="H205" s="44" t="n"/>
      <c r="I205" s="44" t="n"/>
      <c r="J205" s="44" t="n"/>
      <c r="K205" s="44" t="n"/>
      <c r="L205" s="44" t="n"/>
      <c r="M205" s="44" t="n"/>
      <c r="N205" s="44" t="n"/>
      <c r="O205" s="44" t="n"/>
    </row>
    <row r="206" ht="54" customHeight="1">
      <c r="A206" s="44" t="n"/>
      <c r="B206" s="44" t="n"/>
      <c r="C206" s="44" t="n"/>
      <c r="D206" s="44" t="n"/>
      <c r="E206" s="44" t="n"/>
      <c r="F206" s="44" t="n"/>
      <c r="G206" s="44" t="n"/>
      <c r="H206" s="44" t="n"/>
      <c r="I206" s="44" t="n"/>
      <c r="J206" s="44" t="n"/>
      <c r="K206" s="44" t="n"/>
      <c r="L206" s="44" t="n"/>
      <c r="M206" s="44" t="n"/>
      <c r="N206" s="44" t="n"/>
      <c r="O206" s="44" t="n"/>
    </row>
    <row r="207" ht="54" customHeight="1">
      <c r="A207" s="44" t="n"/>
      <c r="B207" s="44" t="n"/>
      <c r="C207" s="44" t="n"/>
      <c r="D207" s="44" t="n"/>
      <c r="E207" s="44" t="n"/>
      <c r="F207" s="44" t="n"/>
      <c r="G207" s="44" t="n"/>
      <c r="H207" s="44" t="n"/>
      <c r="I207" s="44" t="n"/>
      <c r="J207" s="44" t="n"/>
      <c r="K207" s="44" t="n"/>
      <c r="L207" s="44" t="n"/>
      <c r="M207" s="44" t="n"/>
      <c r="N207" s="44" t="n"/>
      <c r="O207" s="44" t="n"/>
    </row>
    <row r="208" ht="54" customHeight="1">
      <c r="A208" s="44" t="n"/>
      <c r="B208" s="44" t="n"/>
      <c r="C208" s="44" t="n"/>
      <c r="D208" s="44" t="n"/>
      <c r="E208" s="44" t="n"/>
      <c r="F208" s="44" t="n"/>
      <c r="G208" s="44" t="n"/>
      <c r="H208" s="44" t="n"/>
      <c r="I208" s="44" t="n"/>
      <c r="J208" s="44" t="n"/>
      <c r="K208" s="44" t="n"/>
      <c r="L208" s="44" t="n"/>
      <c r="M208" s="44" t="n"/>
      <c r="N208" s="44" t="n"/>
      <c r="O208" s="44" t="n"/>
    </row>
    <row r="209" ht="54" customHeight="1">
      <c r="A209" s="44" t="n"/>
      <c r="B209" s="44" t="n"/>
      <c r="C209" s="44" t="n"/>
      <c r="D209" s="44" t="n"/>
      <c r="E209" s="44" t="n"/>
      <c r="F209" s="44" t="n"/>
      <c r="G209" s="44" t="n"/>
      <c r="H209" s="44" t="n"/>
      <c r="I209" s="44" t="n"/>
      <c r="J209" s="44" t="n"/>
      <c r="K209" s="44" t="n"/>
      <c r="L209" s="44" t="n"/>
      <c r="M209" s="44" t="n"/>
      <c r="N209" s="44" t="n"/>
      <c r="O209" s="44" t="n"/>
    </row>
    <row r="210" ht="54" customHeight="1">
      <c r="A210" s="44" t="n"/>
      <c r="B210" s="44" t="n"/>
      <c r="C210" s="44" t="n"/>
      <c r="D210" s="44" t="n"/>
      <c r="E210" s="44" t="n"/>
      <c r="F210" s="44" t="n"/>
      <c r="G210" s="44" t="n"/>
      <c r="H210" s="44" t="n"/>
      <c r="I210" s="44" t="n"/>
      <c r="J210" s="44" t="n"/>
      <c r="K210" s="44" t="n"/>
      <c r="L210" s="44" t="n"/>
      <c r="M210" s="44" t="n"/>
      <c r="N210" s="44" t="n"/>
      <c r="O210" s="44" t="n"/>
    </row>
    <row r="211" ht="54" customHeight="1">
      <c r="A211" s="44" t="n"/>
      <c r="B211" s="44" t="n"/>
      <c r="C211" s="44" t="n"/>
      <c r="D211" s="44" t="n"/>
      <c r="E211" s="44" t="n"/>
      <c r="F211" s="44" t="n"/>
      <c r="G211" s="44" t="n"/>
      <c r="H211" s="44" t="n"/>
      <c r="I211" s="44" t="n"/>
      <c r="J211" s="44" t="n"/>
      <c r="K211" s="44" t="n"/>
      <c r="L211" s="44" t="n"/>
      <c r="M211" s="44" t="n"/>
      <c r="N211" s="44" t="n"/>
      <c r="O211" s="44" t="n"/>
    </row>
    <row r="212" ht="54" customHeight="1">
      <c r="A212" s="44" t="n"/>
      <c r="B212" s="44" t="n"/>
      <c r="C212" s="44" t="n"/>
      <c r="D212" s="44" t="n"/>
      <c r="E212" s="44" t="n"/>
      <c r="F212" s="44" t="n"/>
      <c r="G212" s="44" t="n"/>
      <c r="H212" s="44" t="n"/>
      <c r="I212" s="44" t="n"/>
      <c r="J212" s="44" t="n"/>
      <c r="K212" s="44" t="n"/>
      <c r="L212" s="44" t="n"/>
      <c r="M212" s="44" t="n"/>
      <c r="N212" s="44" t="n"/>
      <c r="O212" s="44" t="n"/>
    </row>
    <row r="213" ht="54" customHeight="1">
      <c r="A213" s="44" t="n"/>
      <c r="B213" s="44" t="n"/>
      <c r="C213" s="44" t="n"/>
      <c r="D213" s="44" t="n"/>
      <c r="E213" s="44" t="n"/>
      <c r="F213" s="44" t="n"/>
      <c r="G213" s="44" t="n"/>
      <c r="H213" s="44" t="n"/>
      <c r="I213" s="44" t="n"/>
      <c r="J213" s="44" t="n"/>
      <c r="K213" s="44" t="n"/>
      <c r="L213" s="44" t="n"/>
      <c r="M213" s="44" t="n"/>
      <c r="N213" s="44" t="n"/>
      <c r="O213" s="44" t="n"/>
    </row>
    <row r="214" ht="54" customHeight="1">
      <c r="A214" s="44" t="n"/>
      <c r="B214" s="44" t="n"/>
      <c r="C214" s="44" t="n"/>
      <c r="D214" s="44" t="n"/>
      <c r="E214" s="44" t="n"/>
      <c r="F214" s="44" t="n"/>
      <c r="G214" s="44" t="n"/>
      <c r="H214" s="44" t="n"/>
      <c r="I214" s="44" t="n"/>
      <c r="J214" s="44" t="n"/>
      <c r="K214" s="44" t="n"/>
      <c r="L214" s="44" t="n"/>
      <c r="M214" s="44" t="n"/>
      <c r="N214" s="44" t="n"/>
      <c r="O214" s="44" t="n"/>
    </row>
    <row r="215" ht="54" customHeight="1">
      <c r="A215" s="44" t="n"/>
      <c r="B215" s="44" t="n"/>
      <c r="C215" s="44" t="n"/>
      <c r="D215" s="44" t="n"/>
      <c r="E215" s="44" t="n"/>
      <c r="F215" s="44" t="n"/>
      <c r="G215" s="44" t="n"/>
      <c r="H215" s="44" t="n"/>
      <c r="I215" s="44" t="n"/>
      <c r="J215" s="44" t="n"/>
      <c r="K215" s="44" t="n"/>
      <c r="L215" s="44" t="n"/>
      <c r="M215" s="44" t="n"/>
      <c r="N215" s="44" t="n"/>
      <c r="O215" s="44" t="n"/>
    </row>
    <row r="216" ht="54" customHeight="1">
      <c r="A216" s="44" t="n"/>
      <c r="B216" s="44" t="n"/>
      <c r="C216" s="44" t="n"/>
      <c r="D216" s="44" t="n"/>
      <c r="E216" s="44" t="n"/>
      <c r="F216" s="44" t="n"/>
      <c r="G216" s="44" t="n"/>
      <c r="H216" s="44" t="n"/>
      <c r="I216" s="44" t="n"/>
      <c r="J216" s="44" t="n"/>
      <c r="K216" s="44" t="n"/>
      <c r="L216" s="44" t="n"/>
      <c r="M216" s="44" t="n"/>
      <c r="N216" s="44" t="n"/>
      <c r="O216" s="44" t="n"/>
    </row>
    <row r="217" ht="54" customHeight="1">
      <c r="A217" s="44" t="n"/>
      <c r="B217" s="44" t="n"/>
      <c r="C217" s="44" t="n"/>
      <c r="D217" s="44" t="n"/>
      <c r="E217" s="44" t="n"/>
      <c r="F217" s="44" t="n"/>
      <c r="G217" s="44" t="n"/>
      <c r="H217" s="44" t="n"/>
      <c r="I217" s="44" t="n"/>
      <c r="J217" s="44" t="n"/>
      <c r="K217" s="44" t="n"/>
      <c r="L217" s="44" t="n"/>
      <c r="M217" s="44" t="n"/>
      <c r="N217" s="44" t="n"/>
      <c r="O217" s="44" t="n"/>
    </row>
    <row r="218" ht="54" customHeight="1">
      <c r="A218" s="44" t="n"/>
      <c r="B218" s="44" t="n"/>
      <c r="C218" s="44" t="n"/>
      <c r="D218" s="44" t="n"/>
      <c r="E218" s="44" t="n"/>
      <c r="F218" s="44" t="n"/>
      <c r="G218" s="44" t="n"/>
      <c r="H218" s="44" t="n"/>
      <c r="I218" s="44" t="n"/>
      <c r="J218" s="44" t="n"/>
      <c r="K218" s="44" t="n"/>
      <c r="L218" s="44" t="n"/>
      <c r="M218" s="44" t="n"/>
      <c r="N218" s="44" t="n"/>
      <c r="O218" s="44" t="n"/>
    </row>
    <row r="219" ht="54" customHeight="1">
      <c r="A219" s="44" t="n"/>
      <c r="B219" s="44" t="n"/>
      <c r="C219" s="44" t="n"/>
      <c r="D219" s="44" t="n"/>
      <c r="E219" s="44" t="n"/>
      <c r="F219" s="44" t="n"/>
      <c r="G219" s="44" t="n"/>
      <c r="H219" s="44" t="n"/>
      <c r="I219" s="44" t="n"/>
      <c r="J219" s="44" t="n"/>
      <c r="K219" s="44" t="n"/>
      <c r="L219" s="44" t="n"/>
      <c r="M219" s="44" t="n"/>
      <c r="N219" s="44" t="n"/>
      <c r="O219" s="44" t="n"/>
    </row>
    <row r="220" ht="54" customHeight="1">
      <c r="A220" s="44" t="n"/>
      <c r="B220" s="44" t="n"/>
      <c r="C220" s="44" t="n"/>
      <c r="D220" s="44" t="n"/>
      <c r="E220" s="44" t="n"/>
      <c r="F220" s="44" t="n"/>
      <c r="G220" s="44" t="n"/>
      <c r="H220" s="44" t="n"/>
      <c r="I220" s="44" t="n"/>
      <c r="J220" s="44" t="n"/>
      <c r="K220" s="44" t="n"/>
      <c r="L220" s="44" t="n"/>
      <c r="M220" s="44" t="n"/>
      <c r="N220" s="44" t="n"/>
      <c r="O220" s="44" t="n"/>
    </row>
    <row r="221" ht="54" customHeight="1">
      <c r="A221" s="44" t="n"/>
      <c r="B221" s="44" t="n"/>
      <c r="C221" s="44" t="n"/>
      <c r="D221" s="44" t="n"/>
      <c r="E221" s="44" t="n"/>
      <c r="F221" s="44" t="n"/>
      <c r="G221" s="44" t="n"/>
      <c r="H221" s="44" t="n"/>
      <c r="I221" s="44" t="n"/>
      <c r="J221" s="44" t="n"/>
      <c r="K221" s="44" t="n"/>
      <c r="L221" s="44" t="n"/>
      <c r="M221" s="44" t="n"/>
      <c r="N221" s="44" t="n"/>
      <c r="O221" s="44" t="n"/>
    </row>
    <row r="222" ht="54" customHeight="1">
      <c r="A222" s="44" t="n"/>
      <c r="B222" s="44" t="n"/>
      <c r="C222" s="44" t="n"/>
      <c r="D222" s="44" t="n"/>
      <c r="E222" s="44" t="n"/>
      <c r="F222" s="44" t="n"/>
      <c r="G222" s="44" t="n"/>
      <c r="H222" s="44" t="n"/>
      <c r="I222" s="44" t="n"/>
      <c r="J222" s="44" t="n"/>
      <c r="K222" s="44" t="n"/>
      <c r="L222" s="44" t="n"/>
      <c r="M222" s="44" t="n"/>
      <c r="N222" s="44" t="n"/>
      <c r="O222" s="44" t="n"/>
    </row>
    <row r="223" ht="54" customHeight="1">
      <c r="A223" s="44" t="n"/>
      <c r="B223" s="44" t="n"/>
      <c r="C223" s="44" t="n"/>
      <c r="D223" s="44" t="n"/>
      <c r="E223" s="44" t="n"/>
      <c r="F223" s="44" t="n"/>
      <c r="G223" s="44" t="n"/>
      <c r="H223" s="44" t="n"/>
      <c r="I223" s="44" t="n"/>
      <c r="J223" s="44" t="n"/>
      <c r="K223" s="44" t="n"/>
      <c r="L223" s="44" t="n"/>
      <c r="M223" s="44" t="n"/>
      <c r="N223" s="44" t="n"/>
      <c r="O223" s="44" t="n"/>
    </row>
    <row r="224" ht="54" customHeight="1">
      <c r="A224" s="44" t="n"/>
      <c r="B224" s="44" t="n"/>
      <c r="C224" s="44" t="n"/>
      <c r="D224" s="44" t="n"/>
      <c r="E224" s="44" t="n"/>
      <c r="F224" s="44" t="n"/>
      <c r="G224" s="44" t="n"/>
      <c r="H224" s="44" t="n"/>
      <c r="I224" s="44" t="n"/>
      <c r="J224" s="44" t="n"/>
      <c r="K224" s="44" t="n"/>
      <c r="L224" s="44" t="n"/>
      <c r="M224" s="44" t="n"/>
      <c r="N224" s="44" t="n"/>
      <c r="O224" s="44" t="n"/>
    </row>
    <row r="225" ht="54" customHeight="1">
      <c r="A225" s="44" t="n"/>
      <c r="B225" s="44" t="n"/>
      <c r="C225" s="44" t="n"/>
      <c r="D225" s="44" t="n"/>
      <c r="E225" s="44" t="n"/>
      <c r="F225" s="44" t="n"/>
      <c r="G225" s="44" t="n"/>
      <c r="H225" s="44" t="n"/>
      <c r="I225" s="44" t="n"/>
      <c r="J225" s="44" t="n"/>
      <c r="K225" s="44" t="n"/>
      <c r="L225" s="44" t="n"/>
      <c r="M225" s="44" t="n"/>
      <c r="N225" s="44" t="n"/>
      <c r="O225" s="44" t="n"/>
    </row>
    <row r="226" ht="54" customHeight="1">
      <c r="A226" s="44" t="n"/>
      <c r="B226" s="44" t="n"/>
      <c r="C226" s="44" t="n"/>
      <c r="D226" s="44" t="n"/>
      <c r="E226" s="44" t="n"/>
      <c r="F226" s="44" t="n"/>
      <c r="G226" s="44" t="n"/>
      <c r="H226" s="44" t="n"/>
      <c r="I226" s="44" t="n"/>
      <c r="J226" s="44" t="n"/>
      <c r="K226" s="44" t="n"/>
      <c r="L226" s="44" t="n"/>
      <c r="M226" s="44" t="n"/>
      <c r="N226" s="44" t="n"/>
      <c r="O226" s="44" t="n"/>
    </row>
    <row r="227" ht="54" customHeight="1">
      <c r="A227" s="44" t="n"/>
      <c r="B227" s="44" t="n"/>
      <c r="C227" s="44" t="n"/>
      <c r="D227" s="44" t="n"/>
      <c r="E227" s="44" t="n"/>
      <c r="F227" s="44" t="n"/>
      <c r="G227" s="44" t="n"/>
      <c r="H227" s="44" t="n"/>
      <c r="I227" s="44" t="n"/>
      <c r="J227" s="44" t="n"/>
      <c r="K227" s="44" t="n"/>
      <c r="L227" s="44" t="n"/>
      <c r="M227" s="44" t="n"/>
      <c r="N227" s="44" t="n"/>
      <c r="O227" s="44" t="n"/>
    </row>
    <row r="228" ht="54" customHeight="1">
      <c r="A228" s="44" t="n"/>
      <c r="B228" s="44" t="n"/>
      <c r="C228" s="44" t="n"/>
      <c r="D228" s="44" t="n"/>
      <c r="E228" s="44" t="n"/>
      <c r="F228" s="44" t="n"/>
      <c r="G228" s="44" t="n"/>
      <c r="H228" s="44" t="n"/>
      <c r="I228" s="44" t="n"/>
      <c r="J228" s="44" t="n"/>
      <c r="K228" s="44" t="n"/>
      <c r="L228" s="44" t="n"/>
      <c r="M228" s="44" t="n"/>
      <c r="N228" s="44" t="n"/>
      <c r="O228" s="44" t="n"/>
    </row>
    <row r="229" ht="54" customHeight="1">
      <c r="A229" s="44" t="n"/>
      <c r="B229" s="44" t="n"/>
      <c r="C229" s="44" t="n"/>
      <c r="D229" s="44" t="n"/>
      <c r="E229" s="44" t="n"/>
      <c r="F229" s="44" t="n"/>
      <c r="G229" s="44" t="n"/>
      <c r="H229" s="44" t="n"/>
      <c r="I229" s="44" t="n"/>
      <c r="J229" s="44" t="n"/>
      <c r="K229" s="44" t="n"/>
      <c r="L229" s="44" t="n"/>
      <c r="M229" s="44" t="n"/>
      <c r="N229" s="44" t="n"/>
      <c r="O229" s="44" t="n"/>
    </row>
    <row r="230" ht="54" customHeight="1">
      <c r="A230" s="44" t="n"/>
      <c r="B230" s="44" t="n"/>
      <c r="C230" s="44" t="n"/>
      <c r="D230" s="44" t="n"/>
      <c r="E230" s="44" t="n"/>
      <c r="F230" s="44" t="n"/>
      <c r="G230" s="44" t="n"/>
      <c r="H230" s="44" t="n"/>
      <c r="I230" s="44" t="n"/>
      <c r="J230" s="44" t="n"/>
      <c r="K230" s="44" t="n"/>
      <c r="L230" s="44" t="n"/>
      <c r="M230" s="44" t="n"/>
      <c r="N230" s="44" t="n"/>
      <c r="O230" s="44" t="n"/>
    </row>
    <row r="231" ht="54" customHeight="1">
      <c r="A231" s="44" t="n"/>
      <c r="B231" s="44" t="n"/>
      <c r="C231" s="44" t="n"/>
      <c r="D231" s="44" t="n"/>
      <c r="E231" s="44" t="n"/>
      <c r="F231" s="44" t="n"/>
      <c r="G231" s="44" t="n"/>
      <c r="H231" s="44" t="n"/>
      <c r="I231" s="44" t="n"/>
      <c r="J231" s="44" t="n"/>
      <c r="K231" s="44" t="n"/>
      <c r="L231" s="44" t="n"/>
      <c r="M231" s="44" t="n"/>
      <c r="N231" s="44" t="n"/>
      <c r="O231" s="44" t="n"/>
    </row>
    <row r="232" ht="54" customHeight="1">
      <c r="A232" s="44" t="n"/>
      <c r="B232" s="44" t="n"/>
      <c r="C232" s="44" t="n"/>
      <c r="D232" s="44" t="n"/>
      <c r="E232" s="44" t="n"/>
      <c r="F232" s="44" t="n"/>
      <c r="G232" s="44" t="n"/>
      <c r="H232" s="44" t="n"/>
      <c r="I232" s="44" t="n"/>
      <c r="J232" s="44" t="n"/>
      <c r="K232" s="44" t="n"/>
      <c r="L232" s="44" t="n"/>
      <c r="M232" s="44" t="n"/>
      <c r="N232" s="44" t="n"/>
      <c r="O232" s="44" t="n"/>
    </row>
    <row r="233" ht="54" customHeight="1">
      <c r="A233" s="44" t="n"/>
      <c r="B233" s="44" t="n"/>
      <c r="C233" s="44" t="n"/>
      <c r="D233" s="44" t="n"/>
      <c r="E233" s="44" t="n"/>
      <c r="F233" s="44" t="n"/>
      <c r="G233" s="44" t="n"/>
      <c r="H233" s="44" t="n"/>
      <c r="I233" s="44" t="n"/>
      <c r="J233" s="44" t="n"/>
      <c r="K233" s="44" t="n"/>
      <c r="L233" s="44" t="n"/>
      <c r="M233" s="44" t="n"/>
      <c r="N233" s="44" t="n"/>
      <c r="O233" s="44" t="n"/>
    </row>
    <row r="234" ht="54" customHeight="1">
      <c r="A234" s="44" t="n"/>
      <c r="B234" s="44" t="n"/>
      <c r="C234" s="44" t="n"/>
      <c r="D234" s="44" t="n"/>
      <c r="E234" s="44" t="n"/>
      <c r="F234" s="44" t="n"/>
      <c r="G234" s="44" t="n"/>
      <c r="H234" s="44" t="n"/>
      <c r="I234" s="44" t="n"/>
      <c r="J234" s="44" t="n"/>
      <c r="K234" s="44" t="n"/>
      <c r="L234" s="44" t="n"/>
      <c r="M234" s="44" t="n"/>
      <c r="N234" s="44" t="n"/>
      <c r="O234" s="44" t="n"/>
    </row>
    <row r="235" ht="54" customHeight="1">
      <c r="A235" s="44" t="n"/>
      <c r="B235" s="44" t="n"/>
      <c r="C235" s="44" t="n"/>
      <c r="D235" s="44" t="n"/>
      <c r="E235" s="44" t="n"/>
      <c r="F235" s="44" t="n"/>
      <c r="G235" s="44" t="n"/>
      <c r="H235" s="44" t="n"/>
      <c r="I235" s="44" t="n"/>
      <c r="J235" s="44" t="n"/>
      <c r="K235" s="44" t="n"/>
      <c r="L235" s="44" t="n"/>
      <c r="M235" s="44" t="n"/>
      <c r="N235" s="44" t="n"/>
      <c r="O235" s="44" t="n"/>
    </row>
    <row r="236" ht="54" customHeight="1">
      <c r="A236" s="44" t="n"/>
      <c r="B236" s="44" t="n"/>
      <c r="C236" s="44" t="n"/>
      <c r="D236" s="44" t="n"/>
      <c r="E236" s="44" t="n"/>
      <c r="F236" s="44" t="n"/>
      <c r="G236" s="44" t="n"/>
      <c r="H236" s="44" t="n"/>
      <c r="I236" s="44" t="n"/>
      <c r="J236" s="44" t="n"/>
      <c r="K236" s="44" t="n"/>
      <c r="L236" s="44" t="n"/>
      <c r="M236" s="44" t="n"/>
      <c r="N236" s="44" t="n"/>
      <c r="O236" s="44" t="n"/>
    </row>
    <row r="237" ht="54" customHeight="1">
      <c r="A237" s="44" t="n"/>
      <c r="B237" s="44" t="n"/>
      <c r="C237" s="44" t="n"/>
      <c r="D237" s="44" t="n"/>
      <c r="E237" s="44" t="n"/>
      <c r="F237" s="44" t="n"/>
      <c r="G237" s="44" t="n"/>
      <c r="H237" s="44" t="n"/>
      <c r="I237" s="44" t="n"/>
      <c r="J237" s="44" t="n"/>
      <c r="K237" s="44" t="n"/>
      <c r="L237" s="44" t="n"/>
      <c r="M237" s="44" t="n"/>
      <c r="N237" s="44" t="n"/>
      <c r="O237" s="44" t="n"/>
    </row>
    <row r="238" ht="54" customHeight="1">
      <c r="A238" s="44" t="n"/>
      <c r="B238" s="44" t="n"/>
      <c r="C238" s="44" t="n"/>
      <c r="D238" s="44" t="n"/>
      <c r="E238" s="44" t="n"/>
      <c r="F238" s="44" t="n"/>
      <c r="G238" s="44" t="n"/>
      <c r="H238" s="44" t="n"/>
      <c r="I238" s="44" t="n"/>
      <c r="J238" s="44" t="n"/>
      <c r="K238" s="44" t="n"/>
      <c r="L238" s="44" t="n"/>
      <c r="M238" s="44" t="n"/>
      <c r="N238" s="44" t="n"/>
      <c r="O238" s="44" t="n"/>
    </row>
    <row r="239" ht="54" customHeight="1">
      <c r="A239" s="44" t="n"/>
      <c r="B239" s="44" t="n"/>
      <c r="C239" s="44" t="n"/>
      <c r="D239" s="44" t="n"/>
      <c r="E239" s="44" t="n"/>
      <c r="F239" s="44" t="n"/>
      <c r="G239" s="44" t="n"/>
      <c r="H239" s="44" t="n"/>
      <c r="I239" s="44" t="n"/>
      <c r="J239" s="44" t="n"/>
      <c r="K239" s="44" t="n"/>
      <c r="L239" s="44" t="n"/>
      <c r="M239" s="44" t="n"/>
      <c r="N239" s="44" t="n"/>
      <c r="O239" s="44" t="n"/>
    </row>
    <row r="240" ht="54" customHeight="1">
      <c r="A240" s="44" t="n"/>
      <c r="B240" s="44" t="n"/>
      <c r="C240" s="44" t="n"/>
      <c r="D240" s="44" t="n"/>
      <c r="E240" s="44" t="n"/>
      <c r="F240" s="44" t="n"/>
      <c r="G240" s="44" t="n"/>
      <c r="H240" s="44" t="n"/>
      <c r="I240" s="44" t="n"/>
      <c r="J240" s="44" t="n"/>
      <c r="K240" s="44" t="n"/>
      <c r="L240" s="44" t="n"/>
      <c r="M240" s="44" t="n"/>
      <c r="N240" s="44" t="n"/>
      <c r="O240" s="44" t="n"/>
    </row>
    <row r="241" ht="54" customHeight="1">
      <c r="A241" s="44" t="n"/>
      <c r="B241" s="44" t="n"/>
      <c r="C241" s="44" t="n"/>
      <c r="D241" s="44" t="n"/>
      <c r="E241" s="44" t="n"/>
      <c r="F241" s="44" t="n"/>
      <c r="G241" s="44" t="n"/>
      <c r="H241" s="44" t="n"/>
      <c r="I241" s="44" t="n"/>
      <c r="J241" s="44" t="n"/>
      <c r="K241" s="44" t="n"/>
      <c r="L241" s="44" t="n"/>
      <c r="M241" s="44" t="n"/>
      <c r="N241" s="44" t="n"/>
      <c r="O241" s="44" t="n"/>
    </row>
    <row r="242" ht="54" customHeight="1">
      <c r="A242" s="44" t="n"/>
      <c r="B242" s="44" t="n"/>
      <c r="C242" s="44" t="n"/>
      <c r="D242" s="44" t="n"/>
      <c r="E242" s="44" t="n"/>
      <c r="F242" s="44" t="n"/>
      <c r="G242" s="44" t="n"/>
      <c r="H242" s="44" t="n"/>
      <c r="I242" s="44" t="n"/>
      <c r="J242" s="44" t="n"/>
      <c r="K242" s="44" t="n"/>
      <c r="L242" s="44" t="n"/>
      <c r="M242" s="44" t="n"/>
      <c r="N242" s="44" t="n"/>
      <c r="O242" s="44" t="n"/>
    </row>
    <row r="243" ht="54" customHeight="1">
      <c r="A243" s="44" t="n"/>
      <c r="B243" s="44" t="n"/>
      <c r="C243" s="44" t="n"/>
      <c r="D243" s="44" t="n"/>
      <c r="E243" s="44" t="n"/>
      <c r="F243" s="44" t="n"/>
      <c r="G243" s="44" t="n"/>
      <c r="H243" s="44" t="n"/>
      <c r="I243" s="44" t="n"/>
      <c r="J243" s="44" t="n"/>
      <c r="K243" s="44" t="n"/>
      <c r="L243" s="44" t="n"/>
      <c r="M243" s="44" t="n"/>
      <c r="N243" s="44" t="n"/>
      <c r="O243" s="44" t="n"/>
    </row>
    <row r="244" ht="54" customHeight="1">
      <c r="A244" s="44" t="n"/>
      <c r="B244" s="44" t="n"/>
      <c r="C244" s="44" t="n"/>
      <c r="D244" s="44" t="n"/>
      <c r="E244" s="44" t="n"/>
      <c r="F244" s="44" t="n"/>
      <c r="G244" s="44" t="n"/>
      <c r="H244" s="44" t="n"/>
      <c r="I244" s="44" t="n"/>
      <c r="J244" s="44" t="n"/>
      <c r="K244" s="44" t="n"/>
      <c r="L244" s="44" t="n"/>
      <c r="M244" s="44" t="n"/>
      <c r="N244" s="44" t="n"/>
      <c r="O244" s="44" t="n"/>
    </row>
    <row r="245" ht="54" customHeight="1">
      <c r="A245" s="44" t="n"/>
      <c r="B245" s="44" t="n"/>
      <c r="C245" s="44" t="n"/>
      <c r="D245" s="44" t="n"/>
      <c r="E245" s="44" t="n"/>
      <c r="F245" s="44" t="n"/>
      <c r="G245" s="44" t="n"/>
      <c r="H245" s="44" t="n"/>
      <c r="I245" s="44" t="n"/>
      <c r="J245" s="44" t="n"/>
      <c r="K245" s="44" t="n"/>
      <c r="L245" s="44" t="n"/>
      <c r="M245" s="44" t="n"/>
      <c r="N245" s="44" t="n"/>
      <c r="O245" s="44" t="n"/>
    </row>
    <row r="246" ht="54" customHeight="1">
      <c r="A246" s="44" t="n"/>
      <c r="B246" s="44" t="n"/>
      <c r="C246" s="44" t="n"/>
      <c r="D246" s="44" t="n"/>
      <c r="E246" s="44" t="n"/>
      <c r="F246" s="44" t="n"/>
      <c r="G246" s="44" t="n"/>
      <c r="H246" s="44" t="n"/>
      <c r="I246" s="44" t="n"/>
      <c r="J246" s="44" t="n"/>
      <c r="K246" s="44" t="n"/>
      <c r="L246" s="44" t="n"/>
      <c r="M246" s="44" t="n"/>
      <c r="N246" s="44" t="n"/>
      <c r="O246" s="44" t="n"/>
    </row>
    <row r="247" ht="54" customHeight="1">
      <c r="A247" s="44" t="n"/>
      <c r="B247" s="44" t="n"/>
      <c r="C247" s="44" t="n"/>
      <c r="D247" s="44" t="n"/>
      <c r="E247" s="44" t="n"/>
      <c r="F247" s="44" t="n"/>
      <c r="G247" s="44" t="n"/>
      <c r="H247" s="44" t="n"/>
      <c r="I247" s="44" t="n"/>
      <c r="J247" s="44" t="n"/>
      <c r="K247" s="44" t="n"/>
      <c r="L247" s="44" t="n"/>
      <c r="M247" s="44" t="n"/>
      <c r="N247" s="44" t="n"/>
      <c r="O247" s="44" t="n"/>
    </row>
    <row r="248" ht="54" customHeight="1">
      <c r="A248" s="44" t="n"/>
      <c r="B248" s="44" t="n"/>
      <c r="C248" s="44" t="n"/>
      <c r="D248" s="44" t="n"/>
      <c r="E248" s="44" t="n"/>
      <c r="F248" s="44" t="n"/>
      <c r="G248" s="44" t="n"/>
      <c r="H248" s="44" t="n"/>
      <c r="I248" s="44" t="n"/>
      <c r="J248" s="44" t="n"/>
      <c r="K248" s="44" t="n"/>
      <c r="L248" s="44" t="n"/>
      <c r="M248" s="44" t="n"/>
      <c r="N248" s="44" t="n"/>
      <c r="O248" s="44" t="n"/>
    </row>
    <row r="249" ht="54" customHeight="1">
      <c r="A249" s="44" t="n"/>
      <c r="B249" s="44" t="n"/>
      <c r="C249" s="44" t="n"/>
      <c r="D249" s="44" t="n"/>
      <c r="E249" s="44" t="n"/>
      <c r="F249" s="44" t="n"/>
      <c r="G249" s="44" t="n"/>
      <c r="H249" s="44" t="n"/>
      <c r="I249" s="44" t="n"/>
      <c r="J249" s="44" t="n"/>
      <c r="K249" s="44" t="n"/>
      <c r="L249" s="44" t="n"/>
      <c r="M249" s="44" t="n"/>
      <c r="N249" s="44" t="n"/>
      <c r="O249" s="44" t="n"/>
    </row>
    <row r="250" ht="54" customHeight="1">
      <c r="A250" s="44" t="n"/>
      <c r="B250" s="44" t="n"/>
      <c r="C250" s="44" t="n"/>
      <c r="D250" s="44" t="n"/>
      <c r="E250" s="44" t="n"/>
      <c r="F250" s="44" t="n"/>
      <c r="G250" s="44" t="n"/>
      <c r="H250" s="44" t="n"/>
      <c r="I250" s="44" t="n"/>
      <c r="J250" s="44" t="n"/>
      <c r="K250" s="44" t="n"/>
      <c r="L250" s="44" t="n"/>
      <c r="M250" s="44" t="n"/>
      <c r="N250" s="44" t="n"/>
      <c r="O250" s="44" t="n"/>
    </row>
    <row r="251" ht="54" customHeight="1">
      <c r="A251" s="44" t="n"/>
      <c r="B251" s="44" t="n"/>
      <c r="C251" s="44" t="n"/>
      <c r="D251" s="44" t="n"/>
      <c r="E251" s="44" t="n"/>
      <c r="F251" s="44" t="n"/>
      <c r="G251" s="44" t="n"/>
      <c r="H251" s="44" t="n"/>
      <c r="I251" s="44" t="n"/>
      <c r="J251" s="44" t="n"/>
      <c r="K251" s="44" t="n"/>
      <c r="L251" s="44" t="n"/>
      <c r="M251" s="44" t="n"/>
      <c r="N251" s="44" t="n"/>
      <c r="O251" s="44" t="n"/>
    </row>
    <row r="252" ht="54" customHeight="1">
      <c r="A252" s="44" t="n"/>
      <c r="B252" s="44" t="n"/>
      <c r="C252" s="44" t="n"/>
      <c r="D252" s="44" t="n"/>
      <c r="E252" s="44" t="n"/>
      <c r="F252" s="44" t="n"/>
      <c r="G252" s="44" t="n"/>
      <c r="H252" s="44" t="n"/>
      <c r="I252" s="44" t="n"/>
      <c r="J252" s="44" t="n"/>
      <c r="K252" s="44" t="n"/>
      <c r="L252" s="44" t="n"/>
      <c r="M252" s="44" t="n"/>
      <c r="N252" s="44" t="n"/>
      <c r="O252" s="44" t="n"/>
    </row>
    <row r="253" ht="54" customHeight="1">
      <c r="A253" s="44" t="n"/>
      <c r="B253" s="44" t="n"/>
      <c r="C253" s="44" t="n"/>
      <c r="D253" s="44" t="n"/>
      <c r="E253" s="44" t="n"/>
      <c r="F253" s="44" t="n"/>
      <c r="G253" s="44" t="n"/>
      <c r="H253" s="44" t="n"/>
      <c r="I253" s="44" t="n"/>
      <c r="J253" s="44" t="n"/>
      <c r="K253" s="44" t="n"/>
      <c r="L253" s="44" t="n"/>
      <c r="M253" s="44" t="n"/>
      <c r="N253" s="44" t="n"/>
      <c r="O253" s="44" t="n"/>
    </row>
    <row r="254" ht="54" customHeight="1">
      <c r="A254" s="44" t="n"/>
      <c r="B254" s="44" t="n"/>
      <c r="C254" s="44" t="n"/>
      <c r="D254" s="44" t="n"/>
      <c r="E254" s="44" t="n"/>
      <c r="F254" s="44" t="n"/>
      <c r="G254" s="44" t="n"/>
      <c r="H254" s="44" t="n"/>
      <c r="I254" s="44" t="n"/>
      <c r="J254" s="44" t="n"/>
      <c r="K254" s="44" t="n"/>
      <c r="L254" s="44" t="n"/>
      <c r="M254" s="44" t="n"/>
      <c r="N254" s="44" t="n"/>
      <c r="O254" s="44" t="n"/>
    </row>
    <row r="255" ht="54" customHeight="1">
      <c r="A255" s="44" t="n"/>
      <c r="B255" s="44" t="n"/>
      <c r="C255" s="44" t="n"/>
      <c r="D255" s="44" t="n"/>
      <c r="E255" s="44" t="n"/>
      <c r="F255" s="44" t="n"/>
      <c r="G255" s="44" t="n"/>
      <c r="H255" s="44" t="n"/>
      <c r="I255" s="44" t="n"/>
      <c r="J255" s="44" t="n"/>
      <c r="K255" s="44" t="n"/>
      <c r="L255" s="44" t="n"/>
      <c r="M255" s="44" t="n"/>
      <c r="N255" s="44" t="n"/>
      <c r="O255" s="44" t="n"/>
    </row>
    <row r="256" ht="54" customHeight="1">
      <c r="A256" s="44" t="n"/>
      <c r="B256" s="44" t="n"/>
      <c r="C256" s="44" t="n"/>
      <c r="D256" s="44" t="n"/>
      <c r="E256" s="44" t="n"/>
      <c r="F256" s="44" t="n"/>
      <c r="G256" s="44" t="n"/>
      <c r="H256" s="44" t="n"/>
      <c r="I256" s="44" t="n"/>
      <c r="J256" s="44" t="n"/>
      <c r="K256" s="44" t="n"/>
      <c r="L256" s="44" t="n"/>
      <c r="M256" s="44" t="n"/>
      <c r="N256" s="44" t="n"/>
      <c r="O256" s="44" t="n"/>
    </row>
    <row r="257" ht="54" customHeight="1">
      <c r="A257" s="44" t="n"/>
      <c r="B257" s="44" t="n"/>
      <c r="C257" s="44" t="n"/>
      <c r="D257" s="44" t="n"/>
      <c r="E257" s="44" t="n"/>
      <c r="F257" s="44" t="n"/>
      <c r="G257" s="44" t="n"/>
      <c r="H257" s="44" t="n"/>
      <c r="I257" s="44" t="n"/>
      <c r="J257" s="44" t="n"/>
      <c r="K257" s="44" t="n"/>
      <c r="L257" s="44" t="n"/>
      <c r="M257" s="44" t="n"/>
      <c r="N257" s="44" t="n"/>
      <c r="O257" s="44" t="n"/>
    </row>
    <row r="258" ht="54" customHeight="1">
      <c r="A258" s="44" t="n"/>
      <c r="B258" s="44" t="n"/>
      <c r="C258" s="44" t="n"/>
      <c r="D258" s="44" t="n"/>
      <c r="E258" s="44" t="n"/>
      <c r="F258" s="44" t="n"/>
      <c r="G258" s="44" t="n"/>
      <c r="H258" s="44" t="n"/>
      <c r="I258" s="44" t="n"/>
      <c r="J258" s="44" t="n"/>
      <c r="K258" s="44" t="n"/>
      <c r="L258" s="44" t="n"/>
      <c r="M258" s="44" t="n"/>
      <c r="N258" s="44" t="n"/>
      <c r="O258" s="44" t="n"/>
    </row>
    <row r="259" ht="54" customHeight="1">
      <c r="A259" s="44" t="n"/>
      <c r="B259" s="44" t="n"/>
      <c r="C259" s="44" t="n"/>
      <c r="D259" s="44" t="n"/>
      <c r="E259" s="44" t="n"/>
      <c r="F259" s="44" t="n"/>
      <c r="G259" s="44" t="n"/>
      <c r="H259" s="44" t="n"/>
      <c r="I259" s="44" t="n"/>
      <c r="J259" s="44" t="n"/>
      <c r="K259" s="44" t="n"/>
      <c r="L259" s="44" t="n"/>
      <c r="M259" s="44" t="n"/>
      <c r="N259" s="44" t="n"/>
      <c r="O259" s="44" t="n"/>
    </row>
    <row r="260" ht="54" customHeight="1">
      <c r="A260" s="44" t="n"/>
      <c r="B260" s="44" t="n"/>
      <c r="C260" s="44" t="n"/>
      <c r="D260" s="44" t="n"/>
      <c r="E260" s="44" t="n"/>
      <c r="F260" s="44" t="n"/>
      <c r="G260" s="44" t="n"/>
      <c r="H260" s="44" t="n"/>
      <c r="I260" s="44" t="n"/>
      <c r="J260" s="44" t="n"/>
      <c r="K260" s="44" t="n"/>
      <c r="L260" s="44" t="n"/>
      <c r="M260" s="44" t="n"/>
      <c r="N260" s="44" t="n"/>
      <c r="O260" s="44" t="n"/>
    </row>
    <row r="261" ht="54" customHeight="1">
      <c r="A261" s="44" t="n"/>
      <c r="B261" s="44" t="n"/>
      <c r="C261" s="44" t="n"/>
      <c r="D261" s="44" t="n"/>
      <c r="E261" s="44" t="n"/>
      <c r="F261" s="44" t="n"/>
      <c r="G261" s="44" t="n"/>
      <c r="H261" s="44" t="n"/>
      <c r="I261" s="44" t="n"/>
      <c r="J261" s="44" t="n"/>
      <c r="K261" s="44" t="n"/>
      <c r="L261" s="44" t="n"/>
      <c r="M261" s="44" t="n"/>
      <c r="N261" s="44" t="n"/>
      <c r="O261" s="44" t="n"/>
    </row>
    <row r="262" ht="54" customHeight="1">
      <c r="A262" s="44" t="n"/>
      <c r="B262" s="44" t="n"/>
      <c r="C262" s="44" t="n"/>
      <c r="D262" s="44" t="n"/>
      <c r="E262" s="44" t="n"/>
      <c r="F262" s="44" t="n"/>
      <c r="G262" s="44" t="n"/>
      <c r="H262" s="44" t="n"/>
      <c r="I262" s="44" t="n"/>
      <c r="J262" s="44" t="n"/>
      <c r="K262" s="44" t="n"/>
      <c r="L262" s="44" t="n"/>
      <c r="M262" s="44" t="n"/>
      <c r="N262" s="44" t="n"/>
      <c r="O262" s="44" t="n"/>
    </row>
    <row r="263" ht="54" customHeight="1">
      <c r="A263" s="44" t="n"/>
      <c r="B263" s="44" t="n"/>
      <c r="C263" s="44" t="n"/>
      <c r="D263" s="44" t="n"/>
      <c r="E263" s="44" t="n"/>
      <c r="F263" s="44" t="n"/>
      <c r="G263" s="44" t="n"/>
      <c r="H263" s="44" t="n"/>
      <c r="I263" s="44" t="n"/>
      <c r="J263" s="44" t="n"/>
      <c r="K263" s="44" t="n"/>
      <c r="L263" s="44" t="n"/>
      <c r="M263" s="44" t="n"/>
      <c r="N263" s="44" t="n"/>
      <c r="O263" s="44" t="n"/>
    </row>
    <row r="264" ht="54" customHeight="1">
      <c r="A264" s="44" t="n"/>
      <c r="B264" s="44" t="n"/>
      <c r="C264" s="44" t="n"/>
      <c r="D264" s="44" t="n"/>
      <c r="E264" s="44" t="n"/>
      <c r="F264" s="44" t="n"/>
      <c r="G264" s="44" t="n"/>
      <c r="H264" s="44" t="n"/>
      <c r="I264" s="44" t="n"/>
      <c r="J264" s="44" t="n"/>
      <c r="K264" s="44" t="n"/>
      <c r="L264" s="44" t="n"/>
      <c r="M264" s="44" t="n"/>
      <c r="N264" s="44" t="n"/>
      <c r="O264" s="44" t="n"/>
    </row>
    <row r="265" ht="54" customHeight="1">
      <c r="A265" s="44" t="n"/>
      <c r="B265" s="44" t="n"/>
      <c r="C265" s="44" t="n"/>
      <c r="D265" s="44" t="n"/>
      <c r="E265" s="44" t="n"/>
      <c r="F265" s="44" t="n"/>
      <c r="G265" s="44" t="n"/>
      <c r="H265" s="44" t="n"/>
      <c r="I265" s="44" t="n"/>
      <c r="J265" s="44" t="n"/>
      <c r="K265" s="44" t="n"/>
      <c r="L265" s="44" t="n"/>
      <c r="M265" s="44" t="n"/>
      <c r="N265" s="44" t="n"/>
      <c r="O265" s="44" t="n"/>
    </row>
    <row r="266" ht="54" customHeight="1">
      <c r="A266" s="44" t="n"/>
      <c r="B266" s="44" t="n"/>
      <c r="C266" s="44" t="n"/>
      <c r="D266" s="44" t="n"/>
      <c r="E266" s="44" t="n"/>
      <c r="F266" s="44" t="n"/>
      <c r="G266" s="44" t="n"/>
      <c r="H266" s="44" t="n"/>
      <c r="I266" s="44" t="n"/>
      <c r="J266" s="44" t="n"/>
      <c r="K266" s="44" t="n"/>
      <c r="L266" s="44" t="n"/>
      <c r="M266" s="44" t="n"/>
      <c r="N266" s="44" t="n"/>
      <c r="O266" s="44" t="n"/>
    </row>
    <row r="267" ht="54" customHeight="1">
      <c r="A267" s="44" t="n"/>
      <c r="B267" s="44" t="n"/>
      <c r="C267" s="44" t="n"/>
      <c r="D267" s="44" t="n"/>
      <c r="E267" s="44" t="n"/>
      <c r="F267" s="44" t="n"/>
      <c r="G267" s="44" t="n"/>
      <c r="H267" s="44" t="n"/>
      <c r="I267" s="44" t="n"/>
      <c r="J267" s="44" t="n"/>
      <c r="K267" s="44" t="n"/>
      <c r="L267" s="44" t="n"/>
      <c r="M267" s="44" t="n"/>
      <c r="N267" s="44" t="n"/>
      <c r="O267" s="44" t="n"/>
    </row>
    <row r="268" ht="54" customHeight="1">
      <c r="A268" s="44" t="n"/>
      <c r="B268" s="44" t="n"/>
      <c r="C268" s="44" t="n"/>
      <c r="D268" s="44" t="n"/>
      <c r="E268" s="44" t="n"/>
      <c r="F268" s="44" t="n"/>
      <c r="G268" s="44" t="n"/>
      <c r="H268" s="44" t="n"/>
      <c r="I268" s="44" t="n"/>
      <c r="J268" s="44" t="n"/>
      <c r="K268" s="44" t="n"/>
      <c r="L268" s="44" t="n"/>
      <c r="M268" s="44" t="n"/>
      <c r="N268" s="44" t="n"/>
      <c r="O268" s="44" t="n"/>
    </row>
    <row r="269" ht="54" customHeight="1">
      <c r="A269" s="44" t="n"/>
      <c r="B269" s="44" t="n"/>
      <c r="C269" s="44" t="n"/>
      <c r="D269" s="44" t="n"/>
      <c r="E269" s="44" t="n"/>
      <c r="F269" s="44" t="n"/>
      <c r="G269" s="44" t="n"/>
      <c r="H269" s="44" t="n"/>
      <c r="I269" s="44" t="n"/>
      <c r="J269" s="44" t="n"/>
      <c r="K269" s="44" t="n"/>
      <c r="L269" s="44" t="n"/>
      <c r="M269" s="44" t="n"/>
      <c r="N269" s="44" t="n"/>
      <c r="O269" s="44" t="n"/>
    </row>
    <row r="270" ht="54" customHeight="1">
      <c r="A270" s="44" t="n"/>
      <c r="B270" s="44" t="n"/>
      <c r="C270" s="44" t="n"/>
      <c r="D270" s="44" t="n"/>
      <c r="E270" s="44" t="n"/>
      <c r="F270" s="44" t="n"/>
      <c r="G270" s="44" t="n"/>
      <c r="H270" s="44" t="n"/>
      <c r="I270" s="44" t="n"/>
      <c r="J270" s="44" t="n"/>
      <c r="K270" s="44" t="n"/>
      <c r="L270" s="44" t="n"/>
      <c r="M270" s="44" t="n"/>
      <c r="N270" s="44" t="n"/>
      <c r="O270" s="44" t="n"/>
    </row>
    <row r="271" ht="54" customHeight="1">
      <c r="A271" s="44" t="n"/>
      <c r="B271" s="44" t="n"/>
      <c r="C271" s="44" t="n"/>
      <c r="D271" s="44" t="n"/>
      <c r="E271" s="44" t="n"/>
      <c r="F271" s="44" t="n"/>
      <c r="G271" s="44" t="n"/>
      <c r="H271" s="44" t="n"/>
      <c r="I271" s="44" t="n"/>
      <c r="J271" s="44" t="n"/>
      <c r="K271" s="44" t="n"/>
      <c r="L271" s="44" t="n"/>
      <c r="M271" s="44" t="n"/>
      <c r="N271" s="44" t="n"/>
      <c r="O271" s="44" t="n"/>
    </row>
    <row r="272" ht="54" customHeight="1">
      <c r="A272" s="44" t="n"/>
      <c r="B272" s="44" t="n"/>
      <c r="C272" s="44" t="n"/>
      <c r="D272" s="44" t="n"/>
      <c r="E272" s="44" t="n"/>
      <c r="F272" s="44" t="n"/>
      <c r="G272" s="44" t="n"/>
      <c r="H272" s="44" t="n"/>
      <c r="I272" s="44" t="n"/>
      <c r="J272" s="44" t="n"/>
      <c r="K272" s="44" t="n"/>
      <c r="L272" s="44" t="n"/>
      <c r="M272" s="44" t="n"/>
      <c r="N272" s="44" t="n"/>
      <c r="O272" s="44" t="n"/>
    </row>
    <row r="273" ht="54" customHeight="1">
      <c r="A273" s="44" t="n"/>
      <c r="B273" s="44" t="n"/>
      <c r="C273" s="44" t="n"/>
      <c r="D273" s="44" t="n"/>
      <c r="E273" s="44" t="n"/>
      <c r="F273" s="44" t="n"/>
      <c r="G273" s="44" t="n"/>
      <c r="H273" s="44" t="n"/>
      <c r="I273" s="44" t="n"/>
      <c r="J273" s="44" t="n"/>
      <c r="K273" s="44" t="n"/>
      <c r="L273" s="44" t="n"/>
      <c r="M273" s="44" t="n"/>
      <c r="N273" s="44" t="n"/>
      <c r="O273" s="44" t="n"/>
    </row>
    <row r="274" ht="54" customHeight="1">
      <c r="A274" s="44" t="n"/>
      <c r="B274" s="44" t="n"/>
      <c r="C274" s="44" t="n"/>
      <c r="D274" s="44" t="n"/>
      <c r="E274" s="44" t="n"/>
      <c r="F274" s="44" t="n"/>
      <c r="G274" s="44" t="n"/>
      <c r="H274" s="44" t="n"/>
      <c r="I274" s="44" t="n"/>
      <c r="J274" s="44" t="n"/>
      <c r="K274" s="44" t="n"/>
      <c r="L274" s="44" t="n"/>
      <c r="M274" s="44" t="n"/>
      <c r="N274" s="44" t="n"/>
      <c r="O274" s="44" t="n"/>
    </row>
    <row r="275" ht="54" customHeight="1">
      <c r="A275" s="44" t="n"/>
      <c r="B275" s="44" t="n"/>
      <c r="C275" s="44" t="n"/>
      <c r="D275" s="44" t="n"/>
      <c r="E275" s="44" t="n"/>
      <c r="F275" s="44" t="n"/>
      <c r="G275" s="44" t="n"/>
      <c r="H275" s="44" t="n"/>
      <c r="I275" s="44" t="n"/>
      <c r="J275" s="44" t="n"/>
      <c r="K275" s="44" t="n"/>
      <c r="L275" s="44" t="n"/>
      <c r="M275" s="44" t="n"/>
      <c r="N275" s="44" t="n"/>
      <c r="O275" s="44" t="n"/>
    </row>
    <row r="276" ht="54" customHeight="1">
      <c r="A276" s="44" t="n"/>
      <c r="B276" s="44" t="n"/>
      <c r="C276" s="44" t="n"/>
      <c r="D276" s="44" t="n"/>
      <c r="E276" s="44" t="n"/>
      <c r="F276" s="44" t="n"/>
      <c r="G276" s="44" t="n"/>
      <c r="H276" s="44" t="n"/>
      <c r="I276" s="44" t="n"/>
      <c r="J276" s="44" t="n"/>
      <c r="K276" s="44" t="n"/>
      <c r="L276" s="44" t="n"/>
      <c r="M276" s="44" t="n"/>
      <c r="N276" s="44" t="n"/>
      <c r="O276" s="44" t="n"/>
    </row>
    <row r="277" ht="54" customHeight="1">
      <c r="A277" s="44" t="n"/>
      <c r="B277" s="44" t="n"/>
      <c r="C277" s="44" t="n"/>
      <c r="D277" s="44" t="n"/>
      <c r="E277" s="44" t="n"/>
      <c r="F277" s="44" t="n"/>
      <c r="G277" s="44" t="n"/>
      <c r="H277" s="44" t="n"/>
      <c r="I277" s="44" t="n"/>
      <c r="J277" s="44" t="n"/>
      <c r="K277" s="44" t="n"/>
      <c r="L277" s="44" t="n"/>
      <c r="M277" s="44" t="n"/>
      <c r="N277" s="44" t="n"/>
      <c r="O277" s="44" t="n"/>
    </row>
    <row r="278" ht="54" customHeight="1">
      <c r="A278" s="44" t="n"/>
      <c r="B278" s="44" t="n"/>
      <c r="C278" s="44" t="n"/>
      <c r="D278" s="44" t="n"/>
      <c r="E278" s="44" t="n"/>
      <c r="F278" s="44" t="n"/>
      <c r="G278" s="44" t="n"/>
      <c r="H278" s="44" t="n"/>
      <c r="I278" s="44" t="n"/>
      <c r="J278" s="44" t="n"/>
      <c r="K278" s="44" t="n"/>
      <c r="L278" s="44" t="n"/>
      <c r="M278" s="44" t="n"/>
      <c r="N278" s="44" t="n"/>
      <c r="O278" s="44" t="n"/>
    </row>
    <row r="279" ht="54" customHeight="1">
      <c r="A279" s="44" t="n"/>
      <c r="B279" s="44" t="n"/>
      <c r="C279" s="44" t="n"/>
      <c r="D279" s="44" t="n"/>
      <c r="E279" s="44" t="n"/>
      <c r="F279" s="44" t="n"/>
      <c r="G279" s="44" t="n"/>
      <c r="H279" s="44" t="n"/>
      <c r="I279" s="44" t="n"/>
      <c r="J279" s="44" t="n"/>
      <c r="K279" s="44" t="n"/>
      <c r="L279" s="44" t="n"/>
      <c r="M279" s="44" t="n"/>
      <c r="N279" s="44" t="n"/>
      <c r="O279" s="44" t="n"/>
    </row>
    <row r="280" ht="54" customHeight="1">
      <c r="A280" s="44" t="n"/>
      <c r="B280" s="44" t="n"/>
      <c r="C280" s="44" t="n"/>
      <c r="D280" s="44" t="n"/>
      <c r="E280" s="44" t="n"/>
      <c r="F280" s="44" t="n"/>
      <c r="G280" s="44" t="n"/>
      <c r="H280" s="44" t="n"/>
      <c r="I280" s="44" t="n"/>
      <c r="J280" s="44" t="n"/>
      <c r="K280" s="44" t="n"/>
      <c r="L280" s="44" t="n"/>
      <c r="M280" s="44" t="n"/>
      <c r="N280" s="44" t="n"/>
      <c r="O280" s="44" t="n"/>
    </row>
    <row r="281" ht="54" customHeight="1">
      <c r="A281" s="44" t="n"/>
      <c r="B281" s="44" t="n"/>
      <c r="C281" s="44" t="n"/>
      <c r="D281" s="44" t="n"/>
      <c r="E281" s="44" t="n"/>
      <c r="F281" s="44" t="n"/>
      <c r="G281" s="44" t="n"/>
      <c r="H281" s="44" t="n"/>
      <c r="I281" s="44" t="n"/>
      <c r="J281" s="44" t="n"/>
      <c r="K281" s="44" t="n"/>
      <c r="L281" s="44" t="n"/>
      <c r="M281" s="44" t="n"/>
      <c r="N281" s="44" t="n"/>
      <c r="O281" s="44" t="n"/>
    </row>
    <row r="282" ht="54" customHeight="1">
      <c r="A282" s="44" t="n"/>
      <c r="B282" s="44" t="n"/>
      <c r="C282" s="44" t="n"/>
      <c r="D282" s="44" t="n"/>
      <c r="E282" s="44" t="n"/>
      <c r="F282" s="44" t="n"/>
      <c r="G282" s="44" t="n"/>
      <c r="H282" s="44" t="n"/>
      <c r="I282" s="44" t="n"/>
      <c r="J282" s="44" t="n"/>
      <c r="K282" s="44" t="n"/>
      <c r="L282" s="44" t="n"/>
      <c r="M282" s="44" t="n"/>
      <c r="N282" s="44" t="n"/>
      <c r="O282" s="44" t="n"/>
    </row>
    <row r="283" ht="54" customHeight="1">
      <c r="A283" s="44" t="n"/>
      <c r="B283" s="44" t="n"/>
      <c r="C283" s="44" t="n"/>
      <c r="D283" s="44" t="n"/>
      <c r="E283" s="44" t="n"/>
      <c r="F283" s="44" t="n"/>
      <c r="G283" s="44" t="n"/>
      <c r="H283" s="44" t="n"/>
      <c r="I283" s="44" t="n"/>
      <c r="J283" s="44" t="n"/>
      <c r="K283" s="44" t="n"/>
      <c r="L283" s="44" t="n"/>
      <c r="M283" s="44" t="n"/>
      <c r="N283" s="44" t="n"/>
      <c r="O283" s="44" t="n"/>
    </row>
    <row r="284" ht="54" customHeight="1">
      <c r="A284" s="44" t="n"/>
      <c r="B284" s="44" t="n"/>
      <c r="C284" s="44" t="n"/>
      <c r="D284" s="44" t="n"/>
      <c r="E284" s="44" t="n"/>
      <c r="F284" s="44" t="n"/>
      <c r="G284" s="44" t="n"/>
      <c r="H284" s="44" t="n"/>
      <c r="I284" s="44" t="n"/>
      <c r="J284" s="44" t="n"/>
      <c r="K284" s="44" t="n"/>
      <c r="L284" s="44" t="n"/>
      <c r="M284" s="44" t="n"/>
      <c r="N284" s="44" t="n"/>
      <c r="O284" s="44" t="n"/>
    </row>
    <row r="285" ht="54" customHeight="1">
      <c r="A285" s="44" t="n"/>
      <c r="B285" s="44" t="n"/>
      <c r="C285" s="44" t="n"/>
      <c r="D285" s="44" t="n"/>
      <c r="E285" s="44" t="n"/>
      <c r="F285" s="44" t="n"/>
      <c r="G285" s="44" t="n"/>
      <c r="H285" s="44" t="n"/>
      <c r="I285" s="44" t="n"/>
      <c r="J285" s="44" t="n"/>
      <c r="K285" s="44" t="n"/>
      <c r="L285" s="44" t="n"/>
      <c r="M285" s="44" t="n"/>
      <c r="N285" s="44" t="n"/>
      <c r="O285" s="44" t="n"/>
    </row>
    <row r="286" ht="54" customHeight="1">
      <c r="A286" s="44" t="n"/>
      <c r="B286" s="44" t="n"/>
      <c r="C286" s="44" t="n"/>
      <c r="D286" s="44" t="n"/>
      <c r="E286" s="44" t="n"/>
      <c r="F286" s="44" t="n"/>
      <c r="G286" s="44" t="n"/>
      <c r="H286" s="44" t="n"/>
      <c r="I286" s="44" t="n"/>
      <c r="J286" s="44" t="n"/>
      <c r="K286" s="44" t="n"/>
      <c r="L286" s="44" t="n"/>
      <c r="M286" s="44" t="n"/>
      <c r="N286" s="44" t="n"/>
      <c r="O286" s="44" t="n"/>
    </row>
    <row r="287" ht="54" customHeight="1">
      <c r="A287" s="44" t="n"/>
      <c r="B287" s="44" t="n"/>
      <c r="C287" s="44" t="n"/>
      <c r="D287" s="44" t="n"/>
      <c r="E287" s="44" t="n"/>
      <c r="F287" s="44" t="n"/>
      <c r="G287" s="44" t="n"/>
      <c r="H287" s="44" t="n"/>
      <c r="I287" s="44" t="n"/>
      <c r="J287" s="44" t="n"/>
      <c r="K287" s="44" t="n"/>
      <c r="L287" s="44" t="n"/>
      <c r="M287" s="44" t="n"/>
      <c r="N287" s="44" t="n"/>
      <c r="O287" s="44" t="n"/>
    </row>
    <row r="288" ht="54" customHeight="1">
      <c r="A288" s="44" t="n"/>
      <c r="B288" s="44" t="n"/>
      <c r="C288" s="44" t="n"/>
      <c r="D288" s="44" t="n"/>
      <c r="E288" s="44" t="n"/>
      <c r="F288" s="44" t="n"/>
      <c r="G288" s="44" t="n"/>
      <c r="H288" s="44" t="n"/>
      <c r="I288" s="44" t="n"/>
      <c r="J288" s="44" t="n"/>
      <c r="K288" s="44" t="n"/>
      <c r="L288" s="44" t="n"/>
      <c r="M288" s="44" t="n"/>
      <c r="N288" s="44" t="n"/>
      <c r="O288" s="44" t="n"/>
    </row>
    <row r="289" ht="54" customHeight="1">
      <c r="A289" s="44" t="n"/>
      <c r="B289" s="44" t="n"/>
      <c r="C289" s="44" t="n"/>
      <c r="D289" s="44" t="n"/>
      <c r="E289" s="44" t="n"/>
      <c r="F289" s="44" t="n"/>
      <c r="G289" s="44" t="n"/>
      <c r="H289" s="44" t="n"/>
      <c r="I289" s="44" t="n"/>
      <c r="J289" s="44" t="n"/>
      <c r="K289" s="44" t="n"/>
      <c r="L289" s="44" t="n"/>
      <c r="M289" s="44" t="n"/>
      <c r="N289" s="44" t="n"/>
      <c r="O289" s="44" t="n"/>
    </row>
    <row r="290" ht="54" customHeight="1">
      <c r="A290" s="44" t="n"/>
      <c r="B290" s="44" t="n"/>
      <c r="C290" s="44" t="n"/>
      <c r="D290" s="44" t="n"/>
      <c r="E290" s="44" t="n"/>
      <c r="F290" s="44" t="n"/>
      <c r="G290" s="44" t="n"/>
      <c r="H290" s="44" t="n"/>
      <c r="I290" s="44" t="n"/>
      <c r="J290" s="44" t="n"/>
      <c r="K290" s="44" t="n"/>
      <c r="L290" s="44" t="n"/>
      <c r="M290" s="44" t="n"/>
      <c r="N290" s="44" t="n"/>
      <c r="O290" s="44" t="n"/>
    </row>
    <row r="291" ht="54" customHeight="1">
      <c r="A291" s="44" t="n"/>
      <c r="B291" s="44" t="n"/>
      <c r="C291" s="44" t="n"/>
      <c r="D291" s="44" t="n"/>
      <c r="E291" s="44" t="n"/>
      <c r="F291" s="44" t="n"/>
      <c r="G291" s="44" t="n"/>
      <c r="H291" s="44" t="n"/>
      <c r="I291" s="44" t="n"/>
      <c r="J291" s="44" t="n"/>
      <c r="K291" s="44" t="n"/>
      <c r="L291" s="44" t="n"/>
      <c r="M291" s="44" t="n"/>
      <c r="N291" s="44" t="n"/>
      <c r="O291" s="44" t="n"/>
    </row>
    <row r="292" ht="54" customHeight="1">
      <c r="A292" s="44" t="n"/>
      <c r="B292" s="44" t="n"/>
      <c r="C292" s="44" t="n"/>
      <c r="D292" s="44" t="n"/>
      <c r="E292" s="44" t="n"/>
      <c r="F292" s="44" t="n"/>
      <c r="G292" s="44" t="n"/>
      <c r="H292" s="44" t="n"/>
      <c r="I292" s="44" t="n"/>
      <c r="J292" s="44" t="n"/>
      <c r="K292" s="44" t="n"/>
      <c r="L292" s="44" t="n"/>
      <c r="M292" s="44" t="n"/>
      <c r="N292" s="44" t="n"/>
      <c r="O292" s="44" t="n"/>
    </row>
    <row r="293" ht="54" customHeight="1">
      <c r="A293" s="44" t="n"/>
      <c r="B293" s="44" t="n"/>
      <c r="C293" s="44" t="n"/>
      <c r="D293" s="44" t="n"/>
      <c r="E293" s="44" t="n"/>
      <c r="F293" s="44" t="n"/>
      <c r="G293" s="44" t="n"/>
      <c r="H293" s="44" t="n"/>
      <c r="I293" s="44" t="n"/>
      <c r="J293" s="44" t="n"/>
      <c r="K293" s="44" t="n"/>
      <c r="L293" s="44" t="n"/>
      <c r="M293" s="44" t="n"/>
      <c r="N293" s="44" t="n"/>
      <c r="O293" s="44" t="n"/>
    </row>
    <row r="294" ht="54" customHeight="1">
      <c r="A294" s="44" t="n"/>
      <c r="B294" s="44" t="n"/>
      <c r="C294" s="44" t="n"/>
      <c r="D294" s="44" t="n"/>
      <c r="E294" s="44" t="n"/>
      <c r="F294" s="44" t="n"/>
      <c r="G294" s="44" t="n"/>
      <c r="H294" s="44" t="n"/>
      <c r="I294" s="44" t="n"/>
      <c r="J294" s="44" t="n"/>
      <c r="K294" s="44" t="n"/>
      <c r="L294" s="44" t="n"/>
      <c r="M294" s="44" t="n"/>
      <c r="N294" s="44" t="n"/>
      <c r="O294" s="44" t="n"/>
    </row>
    <row r="295" ht="54" customHeight="1">
      <c r="A295" s="44" t="n"/>
      <c r="B295" s="44" t="n"/>
      <c r="C295" s="44" t="n"/>
      <c r="D295" s="44" t="n"/>
      <c r="E295" s="44" t="n"/>
      <c r="F295" s="44" t="n"/>
      <c r="G295" s="44" t="n"/>
      <c r="H295" s="44" t="n"/>
      <c r="I295" s="44" t="n"/>
      <c r="J295" s="44" t="n"/>
      <c r="K295" s="44" t="n"/>
      <c r="L295" s="44" t="n"/>
      <c r="M295" s="44" t="n"/>
      <c r="N295" s="44" t="n"/>
      <c r="O295" s="44" t="n"/>
    </row>
    <row r="296" ht="54" customHeight="1">
      <c r="A296" s="44" t="n"/>
      <c r="B296" s="44" t="n"/>
      <c r="C296" s="44" t="n"/>
      <c r="D296" s="44" t="n"/>
      <c r="E296" s="44" t="n"/>
      <c r="F296" s="44" t="n"/>
      <c r="G296" s="44" t="n"/>
      <c r="H296" s="44" t="n"/>
      <c r="I296" s="44" t="n"/>
      <c r="J296" s="44" t="n"/>
      <c r="K296" s="44" t="n"/>
      <c r="L296" s="44" t="n"/>
      <c r="M296" s="44" t="n"/>
      <c r="N296" s="44" t="n"/>
      <c r="O296" s="44" t="n"/>
    </row>
    <row r="297" ht="54" customHeight="1">
      <c r="A297" s="44" t="n"/>
      <c r="B297" s="44" t="n"/>
      <c r="C297" s="44" t="n"/>
      <c r="D297" s="44" t="n"/>
      <c r="E297" s="44" t="n"/>
      <c r="F297" s="44" t="n"/>
      <c r="G297" s="44" t="n"/>
      <c r="H297" s="44" t="n"/>
      <c r="I297" s="44" t="n"/>
      <c r="J297" s="44" t="n"/>
      <c r="K297" s="44" t="n"/>
      <c r="L297" s="44" t="n"/>
      <c r="M297" s="44" t="n"/>
      <c r="N297" s="44" t="n"/>
      <c r="O297" s="44" t="n"/>
    </row>
    <row r="298" ht="54" customHeight="1">
      <c r="A298" s="44" t="n"/>
      <c r="B298" s="44" t="n"/>
      <c r="C298" s="44" t="n"/>
      <c r="D298" s="44" t="n"/>
      <c r="E298" s="44" t="n"/>
      <c r="F298" s="44" t="n"/>
      <c r="G298" s="44" t="n"/>
      <c r="H298" s="44" t="n"/>
      <c r="I298" s="44" t="n"/>
      <c r="J298" s="44" t="n"/>
      <c r="K298" s="44" t="n"/>
      <c r="L298" s="44" t="n"/>
      <c r="M298" s="44" t="n"/>
      <c r="N298" s="44" t="n"/>
      <c r="O298" s="44" t="n"/>
    </row>
    <row r="299" ht="54" customHeight="1">
      <c r="A299" s="44" t="n"/>
      <c r="B299" s="44" t="n"/>
      <c r="C299" s="44" t="n"/>
      <c r="D299" s="44" t="n"/>
      <c r="E299" s="44" t="n"/>
      <c r="F299" s="44" t="n"/>
      <c r="G299" s="44" t="n"/>
      <c r="H299" s="44" t="n"/>
      <c r="I299" s="44" t="n"/>
      <c r="J299" s="44" t="n"/>
      <c r="K299" s="44" t="n"/>
      <c r="L299" s="44" t="n"/>
      <c r="M299" s="44" t="n"/>
      <c r="N299" s="44" t="n"/>
      <c r="O299" s="44" t="n"/>
    </row>
    <row r="300" ht="54" customHeight="1">
      <c r="A300" s="44" t="n"/>
      <c r="B300" s="44" t="n"/>
      <c r="C300" s="44" t="n"/>
      <c r="D300" s="44" t="n"/>
      <c r="E300" s="44" t="n"/>
      <c r="F300" s="44" t="n"/>
      <c r="G300" s="44" t="n"/>
      <c r="H300" s="44" t="n"/>
      <c r="I300" s="44" t="n"/>
      <c r="J300" s="44" t="n"/>
      <c r="K300" s="44" t="n"/>
      <c r="L300" s="44" t="n"/>
      <c r="M300" s="44" t="n"/>
      <c r="N300" s="44" t="n"/>
      <c r="O300" s="44" t="n"/>
    </row>
    <row r="301" ht="54" customHeight="1">
      <c r="A301" s="44" t="n"/>
      <c r="B301" s="44" t="n"/>
      <c r="C301" s="44" t="n"/>
      <c r="D301" s="44" t="n"/>
      <c r="E301" s="44" t="n"/>
      <c r="F301" s="44" t="n"/>
      <c r="G301" s="44" t="n"/>
      <c r="H301" s="44" t="n"/>
      <c r="I301" s="44" t="n"/>
      <c r="J301" s="44" t="n"/>
      <c r="K301" s="44" t="n"/>
      <c r="L301" s="44" t="n"/>
      <c r="M301" s="44" t="n"/>
      <c r="N301" s="44" t="n"/>
      <c r="O301" s="44" t="n"/>
    </row>
    <row r="302" ht="54" customHeight="1">
      <c r="A302" s="44" t="n"/>
      <c r="B302" s="44" t="n"/>
      <c r="C302" s="44" t="n"/>
      <c r="D302" s="44" t="n"/>
      <c r="E302" s="44" t="n"/>
      <c r="F302" s="44" t="n"/>
      <c r="G302" s="44" t="n"/>
      <c r="H302" s="44" t="n"/>
      <c r="I302" s="44" t="n"/>
      <c r="J302" s="44" t="n"/>
      <c r="K302" s="44" t="n"/>
      <c r="L302" s="44" t="n"/>
      <c r="M302" s="44" t="n"/>
      <c r="N302" s="44" t="n"/>
      <c r="O302" s="44" t="n"/>
    </row>
    <row r="303" ht="54" customHeight="1">
      <c r="A303" s="44" t="n"/>
      <c r="B303" s="44" t="n"/>
      <c r="C303" s="44" t="n"/>
      <c r="D303" s="44" t="n"/>
      <c r="E303" s="44" t="n"/>
      <c r="F303" s="44" t="n"/>
      <c r="G303" s="44" t="n"/>
      <c r="H303" s="44" t="n"/>
      <c r="I303" s="44" t="n"/>
      <c r="J303" s="44" t="n"/>
      <c r="K303" s="44" t="n"/>
      <c r="L303" s="44" t="n"/>
      <c r="M303" s="44" t="n"/>
      <c r="N303" s="44" t="n"/>
      <c r="O303" s="44" t="n"/>
    </row>
    <row r="304" ht="54" customHeight="1">
      <c r="A304" s="44" t="n"/>
      <c r="B304" s="44" t="n"/>
      <c r="C304" s="44" t="n"/>
      <c r="D304" s="44" t="n"/>
      <c r="E304" s="44" t="n"/>
      <c r="F304" s="44" t="n"/>
      <c r="G304" s="44" t="n"/>
      <c r="H304" s="44" t="n"/>
      <c r="I304" s="44" t="n"/>
      <c r="J304" s="44" t="n"/>
      <c r="K304" s="44" t="n"/>
      <c r="L304" s="44" t="n"/>
      <c r="M304" s="44" t="n"/>
      <c r="N304" s="44" t="n"/>
      <c r="O304" s="44" t="n"/>
    </row>
    <row r="305" ht="54" customHeight="1">
      <c r="A305" s="44" t="n"/>
      <c r="B305" s="44" t="n"/>
      <c r="C305" s="44" t="n"/>
      <c r="D305" s="44" t="n"/>
      <c r="E305" s="44" t="n"/>
      <c r="F305" s="44" t="n"/>
      <c r="G305" s="44" t="n"/>
      <c r="H305" s="44" t="n"/>
      <c r="I305" s="44" t="n"/>
      <c r="J305" s="44" t="n"/>
      <c r="K305" s="44" t="n"/>
      <c r="L305" s="44" t="n"/>
      <c r="M305" s="44" t="n"/>
      <c r="N305" s="44" t="n"/>
      <c r="O305" s="44" t="n"/>
    </row>
    <row r="306" ht="54" customHeight="1">
      <c r="A306" s="44" t="n"/>
      <c r="B306" s="44" t="n"/>
      <c r="C306" s="44" t="n"/>
      <c r="D306" s="44" t="n"/>
      <c r="E306" s="44" t="n"/>
      <c r="F306" s="44" t="n"/>
      <c r="G306" s="44" t="n"/>
      <c r="H306" s="44" t="n"/>
      <c r="I306" s="44" t="n"/>
      <c r="J306" s="44" t="n"/>
      <c r="K306" s="44" t="n"/>
      <c r="L306" s="44" t="n"/>
      <c r="M306" s="44" t="n"/>
      <c r="N306" s="44" t="n"/>
      <c r="O306" s="44" t="n"/>
    </row>
    <row r="307" ht="54" customHeight="1">
      <c r="A307" s="44" t="n"/>
      <c r="B307" s="44" t="n"/>
      <c r="C307" s="44" t="n"/>
      <c r="D307" s="44" t="n"/>
      <c r="E307" s="44" t="n"/>
      <c r="F307" s="44" t="n"/>
      <c r="G307" s="44" t="n"/>
      <c r="H307" s="44" t="n"/>
      <c r="I307" s="44" t="n"/>
      <c r="J307" s="44" t="n"/>
      <c r="K307" s="44" t="n"/>
      <c r="L307" s="44" t="n"/>
      <c r="M307" s="44" t="n"/>
      <c r="N307" s="44" t="n"/>
      <c r="O307" s="44" t="n"/>
    </row>
    <row r="308" ht="54" customHeight="1">
      <c r="A308" s="44" t="n"/>
      <c r="B308" s="44" t="n"/>
      <c r="C308" s="44" t="n"/>
      <c r="D308" s="44" t="n"/>
      <c r="E308" s="44" t="n"/>
      <c r="F308" s="44" t="n"/>
      <c r="G308" s="44" t="n"/>
      <c r="H308" s="44" t="n"/>
      <c r="I308" s="44" t="n"/>
      <c r="J308" s="44" t="n"/>
      <c r="K308" s="44" t="n"/>
      <c r="L308" s="44" t="n"/>
      <c r="M308" s="44" t="n"/>
      <c r="N308" s="44" t="n"/>
      <c r="O308" s="44" t="n"/>
    </row>
    <row r="309" ht="54" customHeight="1">
      <c r="A309" s="44" t="n"/>
      <c r="B309" s="44" t="n"/>
      <c r="C309" s="44" t="n"/>
      <c r="D309" s="44" t="n"/>
      <c r="E309" s="44" t="n"/>
      <c r="F309" s="44" t="n"/>
      <c r="G309" s="44" t="n"/>
      <c r="H309" s="44" t="n"/>
      <c r="I309" s="44" t="n"/>
      <c r="J309" s="44" t="n"/>
      <c r="K309" s="44" t="n"/>
      <c r="L309" s="44" t="n"/>
      <c r="M309" s="44" t="n"/>
      <c r="N309" s="44" t="n"/>
      <c r="O309" s="44" t="n"/>
    </row>
    <row r="310" ht="54" customHeight="1">
      <c r="A310" s="44" t="n"/>
      <c r="B310" s="44" t="n"/>
      <c r="C310" s="44" t="n"/>
      <c r="D310" s="44" t="n"/>
      <c r="E310" s="44" t="n"/>
      <c r="F310" s="44" t="n"/>
      <c r="G310" s="44" t="n"/>
      <c r="H310" s="44" t="n"/>
      <c r="I310" s="44" t="n"/>
      <c r="J310" s="44" t="n"/>
      <c r="K310" s="44" t="n"/>
      <c r="L310" s="44" t="n"/>
      <c r="M310" s="44" t="n"/>
      <c r="N310" s="44" t="n"/>
      <c r="O310" s="44" t="n"/>
    </row>
    <row r="311" ht="54" customHeight="1">
      <c r="A311" s="44" t="n"/>
      <c r="B311" s="44" t="n"/>
      <c r="C311" s="44" t="n"/>
      <c r="D311" s="44" t="n"/>
      <c r="E311" s="44" t="n"/>
      <c r="F311" s="44" t="n"/>
      <c r="G311" s="44" t="n"/>
      <c r="H311" s="44" t="n"/>
      <c r="I311" s="44" t="n"/>
      <c r="J311" s="44" t="n"/>
      <c r="K311" s="44" t="n"/>
      <c r="L311" s="44" t="n"/>
      <c r="M311" s="44" t="n"/>
      <c r="N311" s="44" t="n"/>
      <c r="O311" s="44" t="n"/>
    </row>
    <row r="312" ht="54" customHeight="1">
      <c r="A312" s="44" t="n"/>
      <c r="B312" s="44" t="n"/>
      <c r="C312" s="44" t="n"/>
      <c r="D312" s="44" t="n"/>
      <c r="E312" s="44" t="n"/>
      <c r="F312" s="44" t="n"/>
      <c r="G312" s="44" t="n"/>
      <c r="H312" s="44" t="n"/>
      <c r="I312" s="44" t="n"/>
      <c r="J312" s="44" t="n"/>
      <c r="K312" s="44" t="n"/>
      <c r="L312" s="44" t="n"/>
      <c r="M312" s="44" t="n"/>
      <c r="N312" s="44" t="n"/>
      <c r="O312" s="44" t="n"/>
    </row>
    <row r="313" ht="54" customHeight="1">
      <c r="A313" s="44" t="n"/>
      <c r="B313" s="44" t="n"/>
      <c r="C313" s="44" t="n"/>
      <c r="D313" s="44" t="n"/>
      <c r="E313" s="44" t="n"/>
      <c r="F313" s="44" t="n"/>
      <c r="G313" s="44" t="n"/>
      <c r="H313" s="44" t="n"/>
      <c r="I313" s="44" t="n"/>
      <c r="J313" s="44" t="n"/>
      <c r="K313" s="44" t="n"/>
      <c r="L313" s="44" t="n"/>
      <c r="M313" s="44" t="n"/>
      <c r="N313" s="44" t="n"/>
      <c r="O313" s="44" t="n"/>
    </row>
    <row r="314" ht="54" customHeight="1">
      <c r="A314" s="44" t="n"/>
      <c r="B314" s="44" t="n"/>
      <c r="C314" s="44" t="n"/>
      <c r="D314" s="44" t="n"/>
      <c r="E314" s="44" t="n"/>
      <c r="F314" s="44" t="n"/>
      <c r="G314" s="44" t="n"/>
      <c r="H314" s="44" t="n"/>
      <c r="I314" s="44" t="n"/>
      <c r="J314" s="44" t="n"/>
      <c r="K314" s="44" t="n"/>
      <c r="L314" s="44" t="n"/>
      <c r="M314" s="44" t="n"/>
      <c r="N314" s="44" t="n"/>
      <c r="O314" s="44" t="n"/>
    </row>
    <row r="315" ht="54" customHeight="1">
      <c r="A315" s="44" t="n"/>
      <c r="B315" s="44" t="n"/>
      <c r="C315" s="44" t="n"/>
      <c r="D315" s="44" t="n"/>
      <c r="E315" s="44" t="n"/>
      <c r="F315" s="44" t="n"/>
      <c r="G315" s="44" t="n"/>
      <c r="H315" s="44" t="n"/>
      <c r="I315" s="44" t="n"/>
      <c r="J315" s="44" t="n"/>
      <c r="K315" s="44" t="n"/>
      <c r="L315" s="44" t="n"/>
      <c r="M315" s="44" t="n"/>
      <c r="N315" s="44" t="n"/>
      <c r="O315" s="44" t="n"/>
    </row>
    <row r="316" ht="54" customHeight="1">
      <c r="A316" s="44" t="n"/>
      <c r="B316" s="44" t="n"/>
      <c r="C316" s="44" t="n"/>
      <c r="D316" s="44" t="n"/>
      <c r="E316" s="44" t="n"/>
      <c r="F316" s="44" t="n"/>
      <c r="G316" s="44" t="n"/>
      <c r="H316" s="44" t="n"/>
      <c r="I316" s="44" t="n"/>
      <c r="J316" s="44" t="n"/>
      <c r="K316" s="44" t="n"/>
      <c r="L316" s="44" t="n"/>
      <c r="M316" s="44" t="n"/>
      <c r="N316" s="44" t="n"/>
      <c r="O316" s="44" t="n"/>
    </row>
    <row r="317" ht="54" customHeight="1">
      <c r="A317" s="44" t="n"/>
      <c r="B317" s="44" t="n"/>
      <c r="C317" s="44" t="n"/>
      <c r="D317" s="44" t="n"/>
      <c r="E317" s="44" t="n"/>
      <c r="F317" s="44" t="n"/>
      <c r="G317" s="44" t="n"/>
      <c r="H317" s="44" t="n"/>
      <c r="I317" s="44" t="n"/>
      <c r="J317" s="44" t="n"/>
      <c r="K317" s="44" t="n"/>
      <c r="L317" s="44" t="n"/>
      <c r="M317" s="44" t="n"/>
      <c r="N317" s="44" t="n"/>
      <c r="O317" s="44" t="n"/>
    </row>
    <row r="318" ht="54" customHeight="1">
      <c r="A318" s="44" t="n"/>
      <c r="B318" s="44" t="n"/>
      <c r="C318" s="44" t="n"/>
      <c r="D318" s="44" t="n"/>
      <c r="E318" s="44" t="n"/>
      <c r="F318" s="44" t="n"/>
      <c r="G318" s="44" t="n"/>
      <c r="H318" s="44" t="n"/>
      <c r="I318" s="44" t="n"/>
      <c r="J318" s="44" t="n"/>
      <c r="K318" s="44" t="n"/>
      <c r="L318" s="44" t="n"/>
      <c r="M318" s="44" t="n"/>
      <c r="N318" s="44" t="n"/>
      <c r="O318" s="44" t="n"/>
    </row>
    <row r="319" ht="54" customHeight="1">
      <c r="A319" s="44" t="n"/>
      <c r="B319" s="44" t="n"/>
      <c r="C319" s="44" t="n"/>
      <c r="D319" s="44" t="n"/>
      <c r="E319" s="44" t="n"/>
      <c r="F319" s="44" t="n"/>
      <c r="G319" s="44" t="n"/>
      <c r="H319" s="44" t="n"/>
      <c r="I319" s="44" t="n"/>
      <c r="J319" s="44" t="n"/>
      <c r="K319" s="44" t="n"/>
      <c r="L319" s="44" t="n"/>
      <c r="M319" s="44" t="n"/>
      <c r="N319" s="44" t="n"/>
      <c r="O319" s="44" t="n"/>
    </row>
    <row r="320" ht="54" customHeight="1">
      <c r="A320" s="44" t="n"/>
      <c r="B320" s="44" t="n"/>
      <c r="C320" s="44" t="n"/>
      <c r="D320" s="44" t="n"/>
      <c r="E320" s="44" t="n"/>
      <c r="F320" s="44" t="n"/>
      <c r="G320" s="44" t="n"/>
      <c r="H320" s="44" t="n"/>
      <c r="I320" s="44" t="n"/>
      <c r="J320" s="44" t="n"/>
      <c r="K320" s="44" t="n"/>
      <c r="L320" s="44" t="n"/>
      <c r="M320" s="44" t="n"/>
      <c r="N320" s="44" t="n"/>
      <c r="O320" s="44" t="n"/>
    </row>
    <row r="321" ht="54" customHeight="1">
      <c r="A321" s="44" t="n"/>
      <c r="B321" s="44" t="n"/>
      <c r="C321" s="44" t="n"/>
      <c r="D321" s="44" t="n"/>
      <c r="E321" s="44" t="n"/>
      <c r="F321" s="44" t="n"/>
      <c r="G321" s="44" t="n"/>
      <c r="H321" s="44" t="n"/>
      <c r="I321" s="44" t="n"/>
      <c r="J321" s="44" t="n"/>
      <c r="K321" s="44" t="n"/>
      <c r="L321" s="44" t="n"/>
      <c r="M321" s="44" t="n"/>
      <c r="N321" s="44" t="n"/>
      <c r="O321" s="44" t="n"/>
    </row>
    <row r="322" ht="54" customHeight="1">
      <c r="A322" s="44" t="n"/>
      <c r="B322" s="44" t="n"/>
      <c r="C322" s="44" t="n"/>
      <c r="D322" s="44" t="n"/>
      <c r="E322" s="44" t="n"/>
      <c r="F322" s="44" t="n"/>
      <c r="G322" s="44" t="n"/>
      <c r="H322" s="44" t="n"/>
      <c r="I322" s="44" t="n"/>
      <c r="J322" s="44" t="n"/>
      <c r="K322" s="44" t="n"/>
      <c r="L322" s="44" t="n"/>
      <c r="M322" s="44" t="n"/>
      <c r="N322" s="44" t="n"/>
      <c r="O322" s="44" t="n"/>
    </row>
    <row r="323" ht="54" customHeight="1">
      <c r="A323" s="44" t="n"/>
      <c r="B323" s="44" t="n"/>
      <c r="C323" s="44" t="n"/>
      <c r="D323" s="44" t="n"/>
      <c r="E323" s="44" t="n"/>
      <c r="F323" s="44" t="n"/>
      <c r="G323" s="44" t="n"/>
      <c r="H323" s="44" t="n"/>
      <c r="I323" s="44" t="n"/>
      <c r="J323" s="44" t="n"/>
      <c r="K323" s="44" t="n"/>
      <c r="L323" s="44" t="n"/>
      <c r="M323" s="44" t="n"/>
      <c r="N323" s="44" t="n"/>
      <c r="O323" s="44" t="n"/>
    </row>
    <row r="324" ht="54" customHeight="1">
      <c r="A324" s="44" t="n"/>
      <c r="B324" s="44" t="n"/>
      <c r="C324" s="44" t="n"/>
      <c r="D324" s="44" t="n"/>
      <c r="E324" s="44" t="n"/>
      <c r="F324" s="44" t="n"/>
      <c r="G324" s="44" t="n"/>
      <c r="H324" s="44" t="n"/>
      <c r="I324" s="44" t="n"/>
      <c r="J324" s="44" t="n"/>
      <c r="K324" s="44" t="n"/>
      <c r="L324" s="44" t="n"/>
      <c r="M324" s="44" t="n"/>
      <c r="N324" s="44" t="n"/>
      <c r="O324" s="44" t="n"/>
    </row>
    <row r="325" ht="54" customHeight="1">
      <c r="A325" s="44" t="n"/>
      <c r="B325" s="44" t="n"/>
      <c r="C325" s="44" t="n"/>
      <c r="D325" s="44" t="n"/>
      <c r="E325" s="44" t="n"/>
      <c r="F325" s="44" t="n"/>
      <c r="G325" s="44" t="n"/>
      <c r="H325" s="44" t="n"/>
      <c r="I325" s="44" t="n"/>
      <c r="J325" s="44" t="n"/>
      <c r="K325" s="44" t="n"/>
      <c r="L325" s="44" t="n"/>
      <c r="M325" s="44" t="n"/>
      <c r="N325" s="44" t="n"/>
      <c r="O325" s="44" t="n"/>
    </row>
    <row r="326" ht="54" customHeight="1">
      <c r="A326" s="44" t="n"/>
      <c r="B326" s="44" t="n"/>
      <c r="C326" s="44" t="n"/>
      <c r="D326" s="44" t="n"/>
      <c r="E326" s="44" t="n"/>
      <c r="F326" s="44" t="n"/>
      <c r="G326" s="44" t="n"/>
      <c r="H326" s="44" t="n"/>
      <c r="I326" s="44" t="n"/>
      <c r="J326" s="44" t="n"/>
      <c r="K326" s="44" t="n"/>
      <c r="L326" s="44" t="n"/>
      <c r="M326" s="44" t="n"/>
      <c r="N326" s="44" t="n"/>
      <c r="O326" s="44" t="n"/>
    </row>
    <row r="327" ht="54" customHeight="1">
      <c r="A327" s="44" t="n"/>
      <c r="B327" s="44" t="n"/>
      <c r="C327" s="44" t="n"/>
      <c r="D327" s="44" t="n"/>
      <c r="E327" s="44" t="n"/>
      <c r="F327" s="44" t="n"/>
      <c r="G327" s="44" t="n"/>
      <c r="H327" s="44" t="n"/>
      <c r="I327" s="44" t="n"/>
      <c r="J327" s="44" t="n"/>
      <c r="K327" s="44" t="n"/>
      <c r="L327" s="44" t="n"/>
      <c r="M327" s="44" t="n"/>
      <c r="N327" s="44" t="n"/>
      <c r="O327" s="44" t="n"/>
    </row>
    <row r="328" ht="54" customHeight="1">
      <c r="A328" s="44" t="n"/>
      <c r="B328" s="44" t="n"/>
      <c r="C328" s="44" t="n"/>
      <c r="D328" s="44" t="n"/>
      <c r="E328" s="44" t="n"/>
      <c r="F328" s="44" t="n"/>
      <c r="G328" s="44" t="n"/>
      <c r="H328" s="44" t="n"/>
      <c r="I328" s="44" t="n"/>
      <c r="J328" s="44" t="n"/>
      <c r="K328" s="44" t="n"/>
      <c r="L328" s="44" t="n"/>
      <c r="M328" s="44" t="n"/>
      <c r="N328" s="44" t="n"/>
      <c r="O328" s="44" t="n"/>
    </row>
    <row r="329" ht="54" customHeight="1">
      <c r="A329" s="44" t="n"/>
      <c r="B329" s="44" t="n"/>
      <c r="C329" s="44" t="n"/>
      <c r="D329" s="44" t="n"/>
      <c r="E329" s="44" t="n"/>
      <c r="F329" s="44" t="n"/>
      <c r="G329" s="44" t="n"/>
      <c r="H329" s="44" t="n"/>
      <c r="I329" s="44" t="n"/>
      <c r="J329" s="44" t="n"/>
      <c r="K329" s="44" t="n"/>
      <c r="L329" s="44" t="n"/>
      <c r="M329" s="44" t="n"/>
      <c r="N329" s="44" t="n"/>
      <c r="O329" s="44" t="n"/>
    </row>
    <row r="330" ht="54" customHeight="1">
      <c r="A330" s="44" t="n"/>
      <c r="B330" s="44" t="n"/>
      <c r="C330" s="44" t="n"/>
      <c r="D330" s="44" t="n"/>
      <c r="E330" s="44" t="n"/>
      <c r="F330" s="44" t="n"/>
      <c r="G330" s="44" t="n"/>
      <c r="H330" s="44" t="n"/>
      <c r="I330" s="44" t="n"/>
      <c r="J330" s="44" t="n"/>
      <c r="K330" s="44" t="n"/>
      <c r="L330" s="44" t="n"/>
      <c r="M330" s="44" t="n"/>
      <c r="N330" s="44" t="n"/>
      <c r="O330" s="44" t="n"/>
    </row>
    <row r="331" ht="54" customHeight="1">
      <c r="A331" s="44" t="n"/>
      <c r="B331" s="44" t="n"/>
      <c r="C331" s="44" t="n"/>
      <c r="D331" s="44" t="n"/>
      <c r="E331" s="44" t="n"/>
      <c r="F331" s="44" t="n"/>
      <c r="G331" s="44" t="n"/>
      <c r="H331" s="44" t="n"/>
      <c r="I331" s="44" t="n"/>
      <c r="J331" s="44" t="n"/>
      <c r="K331" s="44" t="n"/>
      <c r="L331" s="44" t="n"/>
      <c r="M331" s="44" t="n"/>
      <c r="N331" s="44" t="n"/>
      <c r="O331" s="44" t="n"/>
    </row>
    <row r="332" ht="54" customHeight="1">
      <c r="A332" s="44" t="n"/>
      <c r="B332" s="44" t="n"/>
      <c r="C332" s="44" t="n"/>
      <c r="D332" s="44" t="n"/>
      <c r="E332" s="44" t="n"/>
      <c r="F332" s="44" t="n"/>
      <c r="G332" s="44" t="n"/>
      <c r="H332" s="44" t="n"/>
      <c r="I332" s="44" t="n"/>
      <c r="J332" s="44" t="n"/>
      <c r="K332" s="44" t="n"/>
      <c r="L332" s="44" t="n"/>
      <c r="M332" s="44" t="n"/>
      <c r="N332" s="44" t="n"/>
      <c r="O332" s="44" t="n"/>
    </row>
    <row r="333" ht="54" customHeight="1">
      <c r="A333" s="44" t="n"/>
      <c r="B333" s="44" t="n"/>
      <c r="C333" s="44" t="n"/>
      <c r="D333" s="44" t="n"/>
      <c r="E333" s="44" t="n"/>
      <c r="F333" s="44" t="n"/>
      <c r="G333" s="44" t="n"/>
      <c r="H333" s="44" t="n"/>
      <c r="I333" s="44" t="n"/>
      <c r="J333" s="44" t="n"/>
      <c r="K333" s="44" t="n"/>
      <c r="L333" s="44" t="n"/>
      <c r="M333" s="44" t="n"/>
      <c r="N333" s="44" t="n"/>
      <c r="O333" s="44" t="n"/>
    </row>
    <row r="334" ht="54" customHeight="1">
      <c r="A334" s="44" t="n"/>
      <c r="B334" s="44" t="n"/>
      <c r="C334" s="44" t="n"/>
      <c r="D334" s="44" t="n"/>
      <c r="E334" s="44" t="n"/>
      <c r="F334" s="44" t="n"/>
      <c r="G334" s="44" t="n"/>
      <c r="H334" s="44" t="n"/>
      <c r="I334" s="44" t="n"/>
      <c r="J334" s="44" t="n"/>
      <c r="K334" s="44" t="n"/>
      <c r="L334" s="44" t="n"/>
      <c r="M334" s="44" t="n"/>
      <c r="N334" s="44" t="n"/>
      <c r="O334" s="44" t="n"/>
    </row>
    <row r="335" ht="54" customHeight="1">
      <c r="A335" s="44" t="n"/>
      <c r="B335" s="44" t="n"/>
      <c r="C335" s="44" t="n"/>
      <c r="D335" s="44" t="n"/>
      <c r="E335" s="44" t="n"/>
      <c r="F335" s="44" t="n"/>
      <c r="G335" s="44" t="n"/>
      <c r="H335" s="44" t="n"/>
      <c r="I335" s="44" t="n"/>
      <c r="J335" s="44" t="n"/>
      <c r="K335" s="44" t="n"/>
      <c r="L335" s="44" t="n"/>
      <c r="M335" s="44" t="n"/>
      <c r="N335" s="44" t="n"/>
      <c r="O335" s="44" t="n"/>
    </row>
    <row r="336" ht="54" customHeight="1">
      <c r="A336" s="44" t="n"/>
      <c r="B336" s="44" t="n"/>
      <c r="C336" s="44" t="n"/>
      <c r="D336" s="44" t="n"/>
      <c r="E336" s="44" t="n"/>
      <c r="F336" s="44" t="n"/>
      <c r="G336" s="44" t="n"/>
      <c r="H336" s="44" t="n"/>
      <c r="I336" s="44" t="n"/>
      <c r="J336" s="44" t="n"/>
      <c r="K336" s="44" t="n"/>
      <c r="L336" s="44" t="n"/>
      <c r="M336" s="44" t="n"/>
      <c r="N336" s="44" t="n"/>
      <c r="O336" s="44" t="n"/>
    </row>
    <row r="337" ht="54" customHeight="1">
      <c r="A337" s="44" t="n"/>
      <c r="B337" s="44" t="n"/>
      <c r="C337" s="44" t="n"/>
      <c r="D337" s="44" t="n"/>
      <c r="E337" s="44" t="n"/>
      <c r="F337" s="44" t="n"/>
      <c r="G337" s="44" t="n"/>
      <c r="H337" s="44" t="n"/>
      <c r="I337" s="44" t="n"/>
      <c r="J337" s="44" t="n"/>
      <c r="K337" s="44" t="n"/>
      <c r="L337" s="44" t="n"/>
      <c r="M337" s="44" t="n"/>
      <c r="N337" s="44" t="n"/>
      <c r="O337" s="44" t="n"/>
    </row>
    <row r="338" ht="54" customHeight="1">
      <c r="A338" s="44" t="n"/>
      <c r="B338" s="44" t="n"/>
      <c r="C338" s="44" t="n"/>
      <c r="D338" s="44" t="n"/>
      <c r="E338" s="44" t="n"/>
      <c r="F338" s="44" t="n"/>
      <c r="G338" s="44" t="n"/>
      <c r="H338" s="44" t="n"/>
      <c r="I338" s="44" t="n"/>
      <c r="J338" s="44" t="n"/>
      <c r="K338" s="44" t="n"/>
      <c r="L338" s="44" t="n"/>
      <c r="M338" s="44" t="n"/>
      <c r="N338" s="44" t="n"/>
      <c r="O338" s="44" t="n"/>
    </row>
    <row r="339" ht="54" customHeight="1">
      <c r="A339" s="44" t="n"/>
      <c r="B339" s="44" t="n"/>
      <c r="C339" s="44" t="n"/>
      <c r="D339" s="44" t="n"/>
      <c r="E339" s="44" t="n"/>
      <c r="F339" s="44" t="n"/>
      <c r="G339" s="44" t="n"/>
      <c r="H339" s="44" t="n"/>
      <c r="I339" s="44" t="n"/>
      <c r="J339" s="44" t="n"/>
      <c r="K339" s="44" t="n"/>
      <c r="L339" s="44" t="n"/>
      <c r="M339" s="44" t="n"/>
      <c r="N339" s="44" t="n"/>
      <c r="O339" s="44" t="n"/>
    </row>
    <row r="340" ht="54" customHeight="1">
      <c r="A340" s="44" t="n"/>
      <c r="B340" s="44" t="n"/>
      <c r="C340" s="44" t="n"/>
      <c r="D340" s="44" t="n"/>
      <c r="E340" s="44" t="n"/>
      <c r="F340" s="44" t="n"/>
      <c r="G340" s="44" t="n"/>
      <c r="H340" s="44" t="n"/>
      <c r="I340" s="44" t="n"/>
      <c r="J340" s="44" t="n"/>
      <c r="K340" s="44" t="n"/>
      <c r="L340" s="44" t="n"/>
      <c r="M340" s="44" t="n"/>
      <c r="N340" s="44" t="n"/>
      <c r="O340" s="44" t="n"/>
    </row>
    <row r="341" ht="54" customHeight="1">
      <c r="A341" s="44" t="n"/>
      <c r="B341" s="44" t="n"/>
      <c r="C341" s="44" t="n"/>
      <c r="D341" s="44" t="n"/>
      <c r="E341" s="44" t="n"/>
      <c r="F341" s="44" t="n"/>
      <c r="G341" s="44" t="n"/>
      <c r="H341" s="44" t="n"/>
      <c r="I341" s="44" t="n"/>
      <c r="J341" s="44" t="n"/>
      <c r="K341" s="44" t="n"/>
      <c r="L341" s="44" t="n"/>
      <c r="M341" s="44" t="n"/>
      <c r="N341" s="44" t="n"/>
      <c r="O341" s="44" t="n"/>
    </row>
    <row r="342" ht="54" customHeight="1">
      <c r="A342" s="44" t="n"/>
      <c r="B342" s="44" t="n"/>
      <c r="C342" s="44" t="n"/>
      <c r="D342" s="44" t="n"/>
      <c r="E342" s="44" t="n"/>
      <c r="F342" s="44" t="n"/>
      <c r="G342" s="44" t="n"/>
      <c r="H342" s="44" t="n"/>
      <c r="I342" s="44" t="n"/>
      <c r="J342" s="44" t="n"/>
      <c r="K342" s="44" t="n"/>
      <c r="L342" s="44" t="n"/>
      <c r="M342" s="44" t="n"/>
      <c r="N342" s="44" t="n"/>
      <c r="O342" s="44" t="n"/>
    </row>
    <row r="343" ht="54" customHeight="1">
      <c r="A343" s="44" t="n"/>
      <c r="B343" s="44" t="n"/>
      <c r="C343" s="44" t="n"/>
      <c r="D343" s="44" t="n"/>
      <c r="E343" s="44" t="n"/>
      <c r="F343" s="44" t="n"/>
      <c r="G343" s="44" t="n"/>
      <c r="H343" s="44" t="n"/>
      <c r="I343" s="44" t="n"/>
      <c r="J343" s="44" t="n"/>
      <c r="K343" s="44" t="n"/>
      <c r="L343" s="44" t="n"/>
      <c r="M343" s="44" t="n"/>
      <c r="N343" s="44" t="n"/>
      <c r="O343" s="44" t="n"/>
    </row>
    <row r="344" ht="54" customHeight="1">
      <c r="A344" s="44" t="n"/>
      <c r="B344" s="44" t="n"/>
      <c r="C344" s="44" t="n"/>
      <c r="D344" s="44" t="n"/>
      <c r="E344" s="44" t="n"/>
      <c r="F344" s="44" t="n"/>
      <c r="G344" s="44" t="n"/>
      <c r="H344" s="44" t="n"/>
      <c r="I344" s="44" t="n"/>
      <c r="J344" s="44" t="n"/>
      <c r="K344" s="44" t="n"/>
      <c r="L344" s="44" t="n"/>
      <c r="M344" s="44" t="n"/>
      <c r="N344" s="44" t="n"/>
      <c r="O344" s="44" t="n"/>
    </row>
    <row r="345" ht="54" customHeight="1">
      <c r="A345" s="44" t="n"/>
      <c r="B345" s="44" t="n"/>
      <c r="C345" s="44" t="n"/>
      <c r="D345" s="44" t="n"/>
      <c r="E345" s="44" t="n"/>
      <c r="F345" s="44" t="n"/>
      <c r="G345" s="44" t="n"/>
      <c r="H345" s="44" t="n"/>
      <c r="I345" s="44" t="n"/>
      <c r="J345" s="44" t="n"/>
      <c r="K345" s="44" t="n"/>
      <c r="L345" s="44" t="n"/>
      <c r="M345" s="44" t="n"/>
      <c r="N345" s="44" t="n"/>
      <c r="O345" s="44" t="n"/>
    </row>
    <row r="346" ht="54" customHeight="1">
      <c r="A346" s="44" t="n"/>
      <c r="B346" s="44" t="n"/>
      <c r="C346" s="44" t="n"/>
      <c r="D346" s="44" t="n"/>
      <c r="E346" s="44" t="n"/>
      <c r="F346" s="44" t="n"/>
      <c r="G346" s="44" t="n"/>
      <c r="H346" s="44" t="n"/>
      <c r="I346" s="44" t="n"/>
      <c r="J346" s="44" t="n"/>
      <c r="K346" s="44" t="n"/>
      <c r="L346" s="44" t="n"/>
      <c r="M346" s="44" t="n"/>
      <c r="N346" s="44" t="n"/>
      <c r="O346" s="44" t="n"/>
    </row>
    <row r="347" ht="54" customHeight="1">
      <c r="A347" s="44" t="n"/>
      <c r="B347" s="44" t="n"/>
      <c r="C347" s="44" t="n"/>
      <c r="D347" s="44" t="n"/>
      <c r="E347" s="44" t="n"/>
      <c r="F347" s="44" t="n"/>
      <c r="G347" s="44" t="n"/>
      <c r="H347" s="44" t="n"/>
      <c r="I347" s="44" t="n"/>
      <c r="J347" s="44" t="n"/>
      <c r="K347" s="44" t="n"/>
      <c r="L347" s="44" t="n"/>
      <c r="M347" s="44" t="n"/>
      <c r="N347" s="44" t="n"/>
      <c r="O347" s="44" t="n"/>
    </row>
    <row r="348" ht="54" customHeight="1">
      <c r="A348" s="44" t="n"/>
      <c r="B348" s="44" t="n"/>
      <c r="C348" s="44" t="n"/>
      <c r="D348" s="44" t="n"/>
      <c r="E348" s="44" t="n"/>
      <c r="F348" s="44" t="n"/>
      <c r="G348" s="44" t="n"/>
      <c r="H348" s="44" t="n"/>
      <c r="I348" s="44" t="n"/>
      <c r="J348" s="44" t="n"/>
      <c r="K348" s="44" t="n"/>
      <c r="L348" s="44" t="n"/>
      <c r="M348" s="44" t="n"/>
      <c r="N348" s="44" t="n"/>
      <c r="O348" s="44" t="n"/>
    </row>
    <row r="349" ht="54" customHeight="1">
      <c r="A349" s="44" t="n"/>
      <c r="B349" s="44" t="n"/>
      <c r="C349" s="44" t="n"/>
      <c r="D349" s="44" t="n"/>
      <c r="E349" s="44" t="n"/>
      <c r="F349" s="44" t="n"/>
      <c r="G349" s="44" t="n"/>
      <c r="H349" s="44" t="n"/>
      <c r="I349" s="44" t="n"/>
      <c r="J349" s="44" t="n"/>
      <c r="K349" s="44" t="n"/>
      <c r="L349" s="44" t="n"/>
      <c r="M349" s="44" t="n"/>
      <c r="N349" s="44" t="n"/>
      <c r="O349" s="44" t="n"/>
    </row>
    <row r="350" ht="54" customHeight="1">
      <c r="A350" s="44" t="n"/>
      <c r="B350" s="44" t="n"/>
      <c r="C350" s="44" t="n"/>
      <c r="D350" s="44" t="n"/>
      <c r="E350" s="44" t="n"/>
      <c r="F350" s="44" t="n"/>
      <c r="G350" s="44" t="n"/>
      <c r="H350" s="44" t="n"/>
      <c r="I350" s="44" t="n"/>
      <c r="J350" s="44" t="n"/>
      <c r="K350" s="44" t="n"/>
      <c r="L350" s="44" t="n"/>
      <c r="M350" s="44" t="n"/>
      <c r="N350" s="44" t="n"/>
      <c r="O350" s="44" t="n"/>
    </row>
    <row r="351" ht="54" customHeight="1">
      <c r="A351" s="44" t="n"/>
      <c r="B351" s="44" t="n"/>
      <c r="C351" s="44" t="n"/>
      <c r="D351" s="44" t="n"/>
      <c r="E351" s="44" t="n"/>
      <c r="F351" s="44" t="n"/>
      <c r="G351" s="44" t="n"/>
      <c r="H351" s="44" t="n"/>
      <c r="I351" s="44" t="n"/>
      <c r="J351" s="44" t="n"/>
      <c r="K351" s="44" t="n"/>
      <c r="L351" s="44" t="n"/>
      <c r="M351" s="44" t="n"/>
      <c r="N351" s="44" t="n"/>
      <c r="O351" s="44" t="n"/>
    </row>
    <row r="352" ht="54" customHeight="1">
      <c r="A352" s="44" t="n"/>
      <c r="B352" s="44" t="n"/>
      <c r="C352" s="44" t="n"/>
      <c r="D352" s="44" t="n"/>
      <c r="E352" s="44" t="n"/>
      <c r="F352" s="44" t="n"/>
      <c r="G352" s="44" t="n"/>
      <c r="H352" s="44" t="n"/>
      <c r="I352" s="44" t="n"/>
      <c r="J352" s="44" t="n"/>
      <c r="K352" s="44" t="n"/>
      <c r="L352" s="44" t="n"/>
      <c r="M352" s="44" t="n"/>
      <c r="N352" s="44" t="n"/>
      <c r="O352" s="44" t="n"/>
    </row>
    <row r="353" ht="54" customHeight="1">
      <c r="A353" s="44" t="n"/>
      <c r="B353" s="44" t="n"/>
      <c r="C353" s="44" t="n"/>
      <c r="D353" s="44" t="n"/>
      <c r="E353" s="44" t="n"/>
      <c r="F353" s="44" t="n"/>
      <c r="G353" s="44" t="n"/>
      <c r="H353" s="44" t="n"/>
      <c r="I353" s="44" t="n"/>
      <c r="J353" s="44" t="n"/>
      <c r="K353" s="44" t="n"/>
      <c r="L353" s="44" t="n"/>
      <c r="M353" s="44" t="n"/>
      <c r="N353" s="44" t="n"/>
      <c r="O353" s="44" t="n"/>
    </row>
    <row r="354" ht="54" customHeight="1">
      <c r="A354" s="44" t="n"/>
      <c r="B354" s="44" t="n"/>
      <c r="C354" s="44" t="n"/>
      <c r="D354" s="44" t="n"/>
      <c r="E354" s="44" t="n"/>
      <c r="F354" s="44" t="n"/>
      <c r="G354" s="44" t="n"/>
      <c r="H354" s="44" t="n"/>
      <c r="I354" s="44" t="n"/>
      <c r="J354" s="44" t="n"/>
      <c r="K354" s="44" t="n"/>
      <c r="L354" s="44" t="n"/>
      <c r="M354" s="44" t="n"/>
      <c r="N354" s="44" t="n"/>
      <c r="O354" s="44" t="n"/>
    </row>
    <row r="355" ht="54" customHeight="1">
      <c r="A355" s="44" t="n"/>
      <c r="B355" s="44" t="n"/>
      <c r="C355" s="44" t="n"/>
      <c r="D355" s="44" t="n"/>
      <c r="E355" s="44" t="n"/>
      <c r="F355" s="44" t="n"/>
      <c r="G355" s="44" t="n"/>
      <c r="H355" s="44" t="n"/>
      <c r="I355" s="44" t="n"/>
      <c r="J355" s="44" t="n"/>
      <c r="K355" s="44" t="n"/>
      <c r="L355" s="44" t="n"/>
      <c r="M355" s="44" t="n"/>
      <c r="N355" s="44" t="n"/>
      <c r="O355" s="44" t="n"/>
    </row>
    <row r="356" ht="54" customHeight="1">
      <c r="A356" s="44" t="n"/>
      <c r="B356" s="44" t="n"/>
      <c r="C356" s="44" t="n"/>
      <c r="D356" s="44" t="n"/>
      <c r="E356" s="44" t="n"/>
      <c r="F356" s="44" t="n"/>
      <c r="G356" s="44" t="n"/>
      <c r="H356" s="44" t="n"/>
      <c r="I356" s="44" t="n"/>
      <c r="J356" s="44" t="n"/>
      <c r="K356" s="44" t="n"/>
      <c r="L356" s="44" t="n"/>
      <c r="M356" s="44" t="n"/>
      <c r="N356" s="44" t="n"/>
      <c r="O356" s="44" t="n"/>
    </row>
    <row r="357" ht="54" customHeight="1">
      <c r="A357" s="44" t="n"/>
      <c r="B357" s="44" t="n"/>
      <c r="C357" s="44" t="n"/>
      <c r="D357" s="44" t="n"/>
      <c r="E357" s="44" t="n"/>
      <c r="F357" s="44" t="n"/>
      <c r="G357" s="44" t="n"/>
      <c r="H357" s="44" t="n"/>
      <c r="I357" s="44" t="n"/>
      <c r="J357" s="44" t="n"/>
      <c r="K357" s="44" t="n"/>
      <c r="L357" s="44" t="n"/>
      <c r="M357" s="44" t="n"/>
      <c r="N357" s="44" t="n"/>
      <c r="O357" s="44" t="n"/>
    </row>
    <row r="358" ht="54" customHeight="1">
      <c r="A358" s="44" t="n"/>
      <c r="B358" s="44" t="n"/>
      <c r="C358" s="44" t="n"/>
      <c r="D358" s="44" t="n"/>
      <c r="E358" s="44" t="n"/>
      <c r="F358" s="44" t="n"/>
      <c r="G358" s="44" t="n"/>
      <c r="H358" s="44" t="n"/>
      <c r="I358" s="44" t="n"/>
      <c r="J358" s="44" t="n"/>
      <c r="K358" s="44" t="n"/>
      <c r="L358" s="44" t="n"/>
      <c r="M358" s="44" t="n"/>
      <c r="N358" s="44" t="n"/>
      <c r="O358" s="44" t="n"/>
    </row>
    <row r="359" ht="54" customHeight="1">
      <c r="A359" s="44" t="n"/>
      <c r="B359" s="44" t="n"/>
      <c r="C359" s="44" t="n"/>
      <c r="D359" s="44" t="n"/>
      <c r="E359" s="44" t="n"/>
      <c r="F359" s="44" t="n"/>
      <c r="G359" s="44" t="n"/>
      <c r="H359" s="44" t="n"/>
      <c r="I359" s="44" t="n"/>
      <c r="J359" s="44" t="n"/>
      <c r="K359" s="44" t="n"/>
      <c r="L359" s="44" t="n"/>
      <c r="M359" s="44" t="n"/>
      <c r="N359" s="44" t="n"/>
      <c r="O359" s="44" t="n"/>
    </row>
    <row r="360" ht="54" customHeight="1">
      <c r="A360" s="44" t="n"/>
      <c r="B360" s="44" t="n"/>
      <c r="C360" s="44" t="n"/>
      <c r="D360" s="44" t="n"/>
      <c r="E360" s="44" t="n"/>
      <c r="F360" s="44" t="n"/>
      <c r="G360" s="44" t="n"/>
      <c r="H360" s="44" t="n"/>
      <c r="I360" s="44" t="n"/>
      <c r="J360" s="44" t="n"/>
      <c r="K360" s="44" t="n"/>
      <c r="L360" s="44" t="n"/>
      <c r="M360" s="44" t="n"/>
      <c r="N360" s="44" t="n"/>
      <c r="O360" s="44" t="n"/>
    </row>
    <row r="361" ht="54" customHeight="1">
      <c r="A361" s="44" t="n"/>
      <c r="B361" s="44" t="n"/>
      <c r="C361" s="44" t="n"/>
      <c r="D361" s="44" t="n"/>
      <c r="E361" s="44" t="n"/>
      <c r="F361" s="44" t="n"/>
      <c r="G361" s="44" t="n"/>
      <c r="H361" s="44" t="n"/>
      <c r="I361" s="44" t="n"/>
      <c r="J361" s="44" t="n"/>
      <c r="K361" s="44" t="n"/>
      <c r="L361" s="44" t="n"/>
      <c r="M361" s="44" t="n"/>
      <c r="N361" s="44" t="n"/>
      <c r="O361" s="44" t="n"/>
    </row>
    <row r="362" ht="54" customHeight="1">
      <c r="A362" s="44" t="n"/>
      <c r="B362" s="44" t="n"/>
      <c r="C362" s="44" t="n"/>
      <c r="D362" s="44" t="n"/>
      <c r="E362" s="44" t="n"/>
      <c r="F362" s="44" t="n"/>
      <c r="G362" s="44" t="n"/>
      <c r="H362" s="44" t="n"/>
      <c r="I362" s="44" t="n"/>
      <c r="J362" s="44" t="n"/>
      <c r="K362" s="44" t="n"/>
      <c r="L362" s="44" t="n"/>
      <c r="M362" s="44" t="n"/>
      <c r="N362" s="44" t="n"/>
      <c r="O362" s="44" t="n"/>
    </row>
    <row r="363" ht="54" customHeight="1">
      <c r="A363" s="44" t="n"/>
      <c r="B363" s="44" t="n"/>
      <c r="C363" s="44" t="n"/>
      <c r="D363" s="44" t="n"/>
      <c r="E363" s="44" t="n"/>
      <c r="F363" s="44" t="n"/>
      <c r="G363" s="44" t="n"/>
      <c r="H363" s="44" t="n"/>
      <c r="I363" s="44" t="n"/>
      <c r="J363" s="44" t="n"/>
      <c r="K363" s="44" t="n"/>
      <c r="L363" s="44" t="n"/>
      <c r="M363" s="44" t="n"/>
      <c r="N363" s="44" t="n"/>
      <c r="O363" s="44" t="n"/>
    </row>
    <row r="364" ht="54" customHeight="1">
      <c r="A364" s="44" t="n"/>
      <c r="B364" s="44" t="n"/>
      <c r="C364" s="44" t="n"/>
      <c r="D364" s="44" t="n"/>
      <c r="E364" s="44" t="n"/>
      <c r="F364" s="44" t="n"/>
      <c r="G364" s="44" t="n"/>
      <c r="H364" s="44" t="n"/>
      <c r="I364" s="44" t="n"/>
      <c r="J364" s="44" t="n"/>
      <c r="K364" s="44" t="n"/>
      <c r="L364" s="44" t="n"/>
      <c r="M364" s="44" t="n"/>
      <c r="N364" s="44" t="n"/>
      <c r="O364" s="44" t="n"/>
    </row>
    <row r="365" ht="54" customHeight="1">
      <c r="A365" s="44" t="n"/>
      <c r="B365" s="44" t="n"/>
      <c r="C365" s="44" t="n"/>
      <c r="D365" s="44" t="n"/>
      <c r="E365" s="44" t="n"/>
      <c r="F365" s="44" t="n"/>
      <c r="G365" s="44" t="n"/>
      <c r="H365" s="44" t="n"/>
      <c r="I365" s="44" t="n"/>
      <c r="J365" s="44" t="n"/>
      <c r="K365" s="44" t="n"/>
      <c r="L365" s="44" t="n"/>
      <c r="M365" s="44" t="n"/>
      <c r="N365" s="44" t="n"/>
      <c r="O365" s="44" t="n"/>
    </row>
    <row r="366" ht="54" customHeight="1">
      <c r="A366" s="44" t="n"/>
      <c r="B366" s="44" t="n"/>
      <c r="C366" s="44" t="n"/>
      <c r="D366" s="44" t="n"/>
      <c r="E366" s="44" t="n"/>
      <c r="F366" s="44" t="n"/>
      <c r="G366" s="44" t="n"/>
      <c r="H366" s="44" t="n"/>
      <c r="I366" s="44" t="n"/>
      <c r="J366" s="44" t="n"/>
      <c r="K366" s="44" t="n"/>
      <c r="L366" s="44" t="n"/>
      <c r="M366" s="44" t="n"/>
      <c r="N366" s="44" t="n"/>
      <c r="O366" s="44" t="n"/>
    </row>
    <row r="367" ht="54" customHeight="1">
      <c r="A367" s="44" t="n"/>
      <c r="B367" s="44" t="n"/>
      <c r="C367" s="44" t="n"/>
      <c r="D367" s="44" t="n"/>
      <c r="E367" s="44" t="n"/>
      <c r="F367" s="44" t="n"/>
      <c r="G367" s="44" t="n"/>
      <c r="H367" s="44" t="n"/>
      <c r="I367" s="44" t="n"/>
      <c r="J367" s="44" t="n"/>
      <c r="K367" s="44" t="n"/>
      <c r="L367" s="44" t="n"/>
      <c r="M367" s="44" t="n"/>
      <c r="N367" s="44" t="n"/>
      <c r="O367" s="44" t="n"/>
    </row>
    <row r="368" ht="54" customHeight="1">
      <c r="A368" s="44" t="n"/>
      <c r="B368" s="44" t="n"/>
      <c r="C368" s="44" t="n"/>
      <c r="D368" s="44" t="n"/>
      <c r="E368" s="44" t="n"/>
      <c r="F368" s="44" t="n"/>
      <c r="G368" s="44" t="n"/>
      <c r="H368" s="44" t="n"/>
      <c r="I368" s="44" t="n"/>
      <c r="J368" s="44" t="n"/>
      <c r="K368" s="44" t="n"/>
      <c r="L368" s="44" t="n"/>
      <c r="M368" s="44" t="n"/>
      <c r="N368" s="44" t="n"/>
      <c r="O368" s="44" t="n"/>
    </row>
    <row r="369" ht="54" customHeight="1">
      <c r="A369" s="44" t="n"/>
      <c r="B369" s="44" t="n"/>
      <c r="C369" s="44" t="n"/>
      <c r="D369" s="44" t="n"/>
      <c r="E369" s="44" t="n"/>
      <c r="F369" s="44" t="n"/>
      <c r="G369" s="44" t="n"/>
      <c r="H369" s="44" t="n"/>
      <c r="I369" s="44" t="n"/>
      <c r="J369" s="44" t="n"/>
      <c r="K369" s="44" t="n"/>
      <c r="L369" s="44" t="n"/>
      <c r="M369" s="44" t="n"/>
      <c r="N369" s="44" t="n"/>
      <c r="O369" s="44" t="n"/>
    </row>
    <row r="370" ht="54" customHeight="1">
      <c r="A370" s="44" t="n"/>
      <c r="B370" s="44" t="n"/>
      <c r="C370" s="44" t="n"/>
      <c r="D370" s="44" t="n"/>
      <c r="E370" s="44" t="n"/>
      <c r="F370" s="44" t="n"/>
      <c r="G370" s="44" t="n"/>
      <c r="H370" s="44" t="n"/>
      <c r="I370" s="44" t="n"/>
      <c r="J370" s="44" t="n"/>
      <c r="K370" s="44" t="n"/>
      <c r="L370" s="44" t="n"/>
      <c r="M370" s="44" t="n"/>
      <c r="N370" s="44" t="n"/>
      <c r="O370" s="44" t="n"/>
    </row>
    <row r="371" ht="54" customHeight="1">
      <c r="A371" s="44" t="n"/>
      <c r="B371" s="44" t="n"/>
      <c r="C371" s="44" t="n"/>
      <c r="D371" s="44" t="n"/>
      <c r="E371" s="44" t="n"/>
      <c r="F371" s="44" t="n"/>
      <c r="G371" s="44" t="n"/>
      <c r="H371" s="44" t="n"/>
      <c r="I371" s="44" t="n"/>
      <c r="J371" s="44" t="n"/>
      <c r="K371" s="44" t="n"/>
      <c r="L371" s="44" t="n"/>
      <c r="M371" s="44" t="n"/>
      <c r="N371" s="44" t="n"/>
      <c r="O371" s="44" t="n"/>
    </row>
    <row r="372" ht="54" customHeight="1">
      <c r="A372" s="44" t="n"/>
      <c r="B372" s="44" t="n"/>
      <c r="C372" s="44" t="n"/>
      <c r="D372" s="44" t="n"/>
      <c r="E372" s="44" t="n"/>
      <c r="F372" s="44" t="n"/>
      <c r="G372" s="44" t="n"/>
      <c r="H372" s="44" t="n"/>
      <c r="I372" s="44" t="n"/>
      <c r="J372" s="44" t="n"/>
      <c r="K372" s="44" t="n"/>
      <c r="L372" s="44" t="n"/>
      <c r="M372" s="44" t="n"/>
      <c r="N372" s="44" t="n"/>
      <c r="O372" s="44" t="n"/>
    </row>
    <row r="373" ht="54" customHeight="1">
      <c r="A373" s="44" t="n"/>
      <c r="B373" s="44" t="n"/>
      <c r="C373" s="44" t="n"/>
      <c r="D373" s="44" t="n"/>
      <c r="E373" s="44" t="n"/>
      <c r="F373" s="44" t="n"/>
      <c r="G373" s="44" t="n"/>
      <c r="H373" s="44" t="n"/>
      <c r="I373" s="44" t="n"/>
      <c r="J373" s="44" t="n"/>
      <c r="K373" s="44" t="n"/>
      <c r="L373" s="44" t="n"/>
      <c r="M373" s="44" t="n"/>
      <c r="N373" s="44" t="n"/>
      <c r="O373" s="44" t="n"/>
    </row>
    <row r="374" ht="54" customHeight="1">
      <c r="A374" s="44" t="n"/>
      <c r="B374" s="44" t="n"/>
      <c r="C374" s="44" t="n"/>
      <c r="D374" s="44" t="n"/>
      <c r="E374" s="44" t="n"/>
      <c r="F374" s="44" t="n"/>
      <c r="G374" s="44" t="n"/>
      <c r="H374" s="44" t="n"/>
      <c r="I374" s="44" t="n"/>
      <c r="J374" s="44" t="n"/>
      <c r="K374" s="44" t="n"/>
      <c r="L374" s="44" t="n"/>
      <c r="M374" s="44" t="n"/>
      <c r="N374" s="44" t="n"/>
      <c r="O374" s="44" t="n"/>
    </row>
    <row r="375" ht="54" customHeight="1">
      <c r="A375" s="44" t="n"/>
      <c r="B375" s="44" t="n"/>
      <c r="C375" s="44" t="n"/>
      <c r="D375" s="44" t="n"/>
      <c r="E375" s="44" t="n"/>
      <c r="F375" s="44" t="n"/>
      <c r="G375" s="44" t="n"/>
      <c r="H375" s="44" t="n"/>
      <c r="I375" s="44" t="n"/>
      <c r="J375" s="44" t="n"/>
      <c r="K375" s="44" t="n"/>
      <c r="L375" s="44" t="n"/>
      <c r="M375" s="44" t="n"/>
      <c r="N375" s="44" t="n"/>
      <c r="O375" s="44" t="n"/>
    </row>
    <row r="376" ht="54" customHeight="1">
      <c r="A376" s="44" t="n"/>
      <c r="B376" s="44" t="n"/>
      <c r="C376" s="44" t="n"/>
      <c r="D376" s="44" t="n"/>
      <c r="E376" s="44" t="n"/>
      <c r="F376" s="44" t="n"/>
      <c r="G376" s="44" t="n"/>
      <c r="H376" s="44" t="n"/>
      <c r="I376" s="44" t="n"/>
      <c r="J376" s="44" t="n"/>
      <c r="K376" s="44" t="n"/>
      <c r="L376" s="44" t="n"/>
      <c r="M376" s="44" t="n"/>
      <c r="N376" s="44" t="n"/>
      <c r="O376" s="44" t="n"/>
    </row>
    <row r="377" ht="54" customHeight="1">
      <c r="A377" s="44" t="n"/>
      <c r="B377" s="44" t="n"/>
      <c r="C377" s="44" t="n"/>
      <c r="D377" s="44" t="n"/>
      <c r="E377" s="44" t="n"/>
      <c r="F377" s="44" t="n"/>
      <c r="G377" s="44" t="n"/>
      <c r="H377" s="44" t="n"/>
      <c r="I377" s="44" t="n"/>
      <c r="J377" s="44" t="n"/>
      <c r="K377" s="44" t="n"/>
      <c r="L377" s="44" t="n"/>
      <c r="M377" s="44" t="n"/>
      <c r="N377" s="44" t="n"/>
      <c r="O377" s="44" t="n"/>
    </row>
    <row r="378" ht="54" customHeight="1">
      <c r="A378" s="44" t="n"/>
      <c r="B378" s="44" t="n"/>
      <c r="C378" s="44" t="n"/>
      <c r="D378" s="44" t="n"/>
      <c r="E378" s="44" t="n"/>
      <c r="F378" s="44" t="n"/>
      <c r="G378" s="44" t="n"/>
      <c r="H378" s="44" t="n"/>
      <c r="I378" s="44" t="n"/>
      <c r="J378" s="44" t="n"/>
      <c r="K378" s="44" t="n"/>
      <c r="L378" s="44" t="n"/>
      <c r="M378" s="44" t="n"/>
      <c r="N378" s="44" t="n"/>
      <c r="O378" s="44" t="n"/>
    </row>
    <row r="379" ht="54" customHeight="1">
      <c r="A379" s="44" t="n"/>
      <c r="B379" s="44" t="n"/>
      <c r="C379" s="44" t="n"/>
      <c r="D379" s="44" t="n"/>
      <c r="E379" s="44" t="n"/>
      <c r="F379" s="44" t="n"/>
      <c r="G379" s="44" t="n"/>
      <c r="H379" s="44" t="n"/>
      <c r="I379" s="44" t="n"/>
      <c r="J379" s="44" t="n"/>
      <c r="K379" s="44" t="n"/>
      <c r="L379" s="44" t="n"/>
      <c r="M379" s="44" t="n"/>
      <c r="N379" s="44" t="n"/>
      <c r="O379" s="44" t="n"/>
    </row>
    <row r="380" ht="54" customHeight="1">
      <c r="A380" s="44" t="n"/>
      <c r="B380" s="44" t="n"/>
      <c r="C380" s="44" t="n"/>
      <c r="D380" s="44" t="n"/>
      <c r="E380" s="44" t="n"/>
      <c r="F380" s="44" t="n"/>
      <c r="G380" s="44" t="n"/>
      <c r="H380" s="44" t="n"/>
      <c r="I380" s="44" t="n"/>
      <c r="J380" s="44" t="n"/>
      <c r="K380" s="44" t="n"/>
      <c r="L380" s="44" t="n"/>
      <c r="M380" s="44" t="n"/>
      <c r="N380" s="44" t="n"/>
      <c r="O380" s="44" t="n"/>
    </row>
    <row r="381" ht="54" customHeight="1">
      <c r="A381" s="44" t="n"/>
      <c r="B381" s="44" t="n"/>
      <c r="C381" s="44" t="n"/>
      <c r="D381" s="44" t="n"/>
      <c r="E381" s="44" t="n"/>
      <c r="F381" s="44" t="n"/>
      <c r="G381" s="44" t="n"/>
      <c r="H381" s="44" t="n"/>
      <c r="I381" s="44" t="n"/>
      <c r="J381" s="44" t="n"/>
      <c r="K381" s="44" t="n"/>
      <c r="L381" s="44" t="n"/>
      <c r="M381" s="44" t="n"/>
      <c r="N381" s="44" t="n"/>
      <c r="O381" s="44" t="n"/>
    </row>
    <row r="382" ht="54" customHeight="1">
      <c r="A382" s="44" t="n"/>
      <c r="B382" s="44" t="n"/>
      <c r="C382" s="44" t="n"/>
      <c r="D382" s="44" t="n"/>
      <c r="E382" s="44" t="n"/>
      <c r="F382" s="44" t="n"/>
      <c r="G382" s="44" t="n"/>
      <c r="H382" s="44" t="n"/>
      <c r="I382" s="44" t="n"/>
      <c r="J382" s="44" t="n"/>
      <c r="K382" s="44" t="n"/>
      <c r="L382" s="44" t="n"/>
      <c r="M382" s="44" t="n"/>
      <c r="N382" s="44" t="n"/>
      <c r="O382" s="44" t="n"/>
    </row>
    <row r="383" ht="54" customHeight="1">
      <c r="A383" s="44" t="n"/>
      <c r="B383" s="44" t="n"/>
      <c r="C383" s="44" t="n"/>
      <c r="D383" s="44" t="n"/>
      <c r="E383" s="44" t="n"/>
      <c r="F383" s="44" t="n"/>
      <c r="G383" s="44" t="n"/>
      <c r="H383" s="44" t="n"/>
      <c r="I383" s="44" t="n"/>
      <c r="J383" s="44" t="n"/>
      <c r="K383" s="44" t="n"/>
      <c r="L383" s="44" t="n"/>
      <c r="M383" s="44" t="n"/>
      <c r="N383" s="44" t="n"/>
      <c r="O383" s="44" t="n"/>
    </row>
    <row r="384" ht="54" customHeight="1">
      <c r="A384" s="44" t="n"/>
      <c r="B384" s="44" t="n"/>
      <c r="C384" s="44" t="n"/>
      <c r="D384" s="44" t="n"/>
      <c r="E384" s="44" t="n"/>
      <c r="F384" s="44" t="n"/>
      <c r="G384" s="44" t="n"/>
      <c r="H384" s="44" t="n"/>
      <c r="I384" s="44" t="n"/>
      <c r="J384" s="44" t="n"/>
      <c r="K384" s="44" t="n"/>
      <c r="L384" s="44" t="n"/>
      <c r="M384" s="44" t="n"/>
      <c r="N384" s="44" t="n"/>
      <c r="O384" s="44" t="n"/>
    </row>
    <row r="385" ht="54" customHeight="1">
      <c r="A385" s="44" t="n"/>
      <c r="B385" s="44" t="n"/>
      <c r="C385" s="44" t="n"/>
      <c r="D385" s="44" t="n"/>
      <c r="E385" s="44" t="n"/>
      <c r="F385" s="44" t="n"/>
      <c r="G385" s="44" t="n"/>
      <c r="H385" s="44" t="n"/>
      <c r="I385" s="44" t="n"/>
      <c r="J385" s="44" t="n"/>
      <c r="K385" s="44" t="n"/>
      <c r="L385" s="44" t="n"/>
      <c r="M385" s="44" t="n"/>
      <c r="N385" s="44" t="n"/>
      <c r="O385" s="44" t="n"/>
    </row>
    <row r="386" ht="54" customHeight="1">
      <c r="A386" s="44" t="n"/>
      <c r="B386" s="44" t="n"/>
      <c r="C386" s="44" t="n"/>
      <c r="D386" s="44" t="n"/>
      <c r="E386" s="44" t="n"/>
      <c r="F386" s="44" t="n"/>
      <c r="G386" s="44" t="n"/>
      <c r="H386" s="44" t="n"/>
      <c r="I386" s="44" t="n"/>
      <c r="J386" s="44" t="n"/>
      <c r="K386" s="44" t="n"/>
      <c r="L386" s="44" t="n"/>
      <c r="M386" s="44" t="n"/>
      <c r="N386" s="44" t="n"/>
      <c r="O386" s="44" t="n"/>
    </row>
    <row r="387" ht="54" customHeight="1">
      <c r="A387" s="44" t="n"/>
      <c r="B387" s="44" t="n"/>
      <c r="C387" s="44" t="n"/>
      <c r="D387" s="44" t="n"/>
      <c r="E387" s="44" t="n"/>
      <c r="F387" s="44" t="n"/>
      <c r="G387" s="44" t="n"/>
      <c r="H387" s="44" t="n"/>
      <c r="I387" s="44" t="n"/>
      <c r="J387" s="44" t="n"/>
      <c r="K387" s="44" t="n"/>
      <c r="L387" s="44" t="n"/>
      <c r="M387" s="44" t="n"/>
      <c r="N387" s="44" t="n"/>
      <c r="O387" s="44" t="n"/>
    </row>
    <row r="388" ht="54" customHeight="1">
      <c r="A388" s="44" t="n"/>
      <c r="B388" s="44" t="n"/>
      <c r="C388" s="44" t="n"/>
      <c r="D388" s="44" t="n"/>
      <c r="E388" s="44" t="n"/>
      <c r="F388" s="44" t="n"/>
      <c r="G388" s="44" t="n"/>
      <c r="H388" s="44" t="n"/>
      <c r="I388" s="44" t="n"/>
      <c r="J388" s="44" t="n"/>
      <c r="K388" s="44" t="n"/>
      <c r="L388" s="44" t="n"/>
      <c r="M388" s="44" t="n"/>
      <c r="N388" s="44" t="n"/>
      <c r="O388" s="44" t="n"/>
    </row>
    <row r="389" ht="54" customHeight="1">
      <c r="A389" s="44" t="n"/>
      <c r="B389" s="44" t="n"/>
      <c r="C389" s="44" t="n"/>
      <c r="D389" s="44" t="n"/>
      <c r="E389" s="44" t="n"/>
      <c r="F389" s="44" t="n"/>
      <c r="G389" s="44" t="n"/>
      <c r="H389" s="44" t="n"/>
      <c r="I389" s="44" t="n"/>
      <c r="J389" s="44" t="n"/>
      <c r="K389" s="44" t="n"/>
      <c r="L389" s="44" t="n"/>
      <c r="M389" s="44" t="n"/>
      <c r="N389" s="44" t="n"/>
      <c r="O389" s="44" t="n"/>
    </row>
    <row r="390" ht="54" customHeight="1">
      <c r="A390" s="44" t="n"/>
      <c r="B390" s="44" t="n"/>
      <c r="C390" s="44" t="n"/>
      <c r="D390" s="44" t="n"/>
      <c r="E390" s="44" t="n"/>
      <c r="F390" s="44" t="n"/>
      <c r="G390" s="44" t="n"/>
      <c r="H390" s="44" t="n"/>
      <c r="I390" s="44" t="n"/>
      <c r="J390" s="44" t="n"/>
      <c r="K390" s="44" t="n"/>
      <c r="L390" s="44" t="n"/>
      <c r="M390" s="44" t="n"/>
      <c r="N390" s="44" t="n"/>
      <c r="O390" s="44" t="n"/>
    </row>
    <row r="391" ht="54" customHeight="1">
      <c r="A391" s="44" t="n"/>
      <c r="B391" s="44" t="n"/>
      <c r="C391" s="44" t="n"/>
      <c r="D391" s="44" t="n"/>
      <c r="E391" s="44" t="n"/>
      <c r="F391" s="44" t="n"/>
      <c r="G391" s="44" t="n"/>
      <c r="H391" s="44" t="n"/>
      <c r="I391" s="44" t="n"/>
      <c r="J391" s="44" t="n"/>
      <c r="K391" s="44" t="n"/>
      <c r="L391" s="44" t="n"/>
      <c r="M391" s="44" t="n"/>
      <c r="N391" s="44" t="n"/>
      <c r="O391" s="44" t="n"/>
    </row>
    <row r="392" ht="54" customHeight="1">
      <c r="A392" s="44" t="n"/>
      <c r="B392" s="44" t="n"/>
      <c r="C392" s="44" t="n"/>
      <c r="D392" s="44" t="n"/>
      <c r="E392" s="44" t="n"/>
      <c r="F392" s="44" t="n"/>
      <c r="G392" s="44" t="n"/>
      <c r="H392" s="44" t="n"/>
      <c r="I392" s="44" t="n"/>
      <c r="J392" s="44" t="n"/>
      <c r="K392" s="44" t="n"/>
      <c r="L392" s="44" t="n"/>
      <c r="M392" s="44" t="n"/>
      <c r="N392" s="44" t="n"/>
      <c r="O392" s="44" t="n"/>
    </row>
    <row r="393" ht="54" customHeight="1">
      <c r="A393" s="44" t="n"/>
      <c r="B393" s="44" t="n"/>
      <c r="C393" s="44" t="n"/>
      <c r="D393" s="44" t="n"/>
      <c r="E393" s="44" t="n"/>
      <c r="F393" s="44" t="n"/>
      <c r="G393" s="44" t="n"/>
      <c r="H393" s="44" t="n"/>
      <c r="I393" s="44" t="n"/>
      <c r="J393" s="44" t="n"/>
      <c r="K393" s="44" t="n"/>
      <c r="L393" s="44" t="n"/>
      <c r="M393" s="44" t="n"/>
      <c r="N393" s="44" t="n"/>
      <c r="O393" s="44" t="n"/>
    </row>
    <row r="394" ht="54" customHeight="1">
      <c r="A394" s="44" t="n"/>
      <c r="B394" s="44" t="n"/>
      <c r="C394" s="44" t="n"/>
      <c r="D394" s="44" t="n"/>
      <c r="E394" s="44" t="n"/>
      <c r="F394" s="44" t="n"/>
      <c r="G394" s="44" t="n"/>
      <c r="H394" s="44" t="n"/>
      <c r="I394" s="44" t="n"/>
      <c r="J394" s="44" t="n"/>
      <c r="K394" s="44" t="n"/>
      <c r="L394" s="44" t="n"/>
      <c r="M394" s="44" t="n"/>
      <c r="N394" s="44" t="n"/>
      <c r="O394" s="44" t="n"/>
    </row>
    <row r="395" ht="54" customHeight="1">
      <c r="A395" s="44" t="n"/>
      <c r="B395" s="44" t="n"/>
      <c r="C395" s="44" t="n"/>
      <c r="D395" s="44" t="n"/>
      <c r="E395" s="44" t="n"/>
      <c r="F395" s="44" t="n"/>
      <c r="G395" s="44" t="n"/>
      <c r="H395" s="44" t="n"/>
      <c r="I395" s="44" t="n"/>
      <c r="J395" s="44" t="n"/>
      <c r="K395" s="44" t="n"/>
      <c r="L395" s="44" t="n"/>
      <c r="M395" s="44" t="n"/>
      <c r="N395" s="44" t="n"/>
      <c r="O395" s="44" t="n"/>
    </row>
    <row r="396" ht="54" customHeight="1">
      <c r="A396" s="44" t="n"/>
      <c r="B396" s="44" t="n"/>
      <c r="C396" s="44" t="n"/>
      <c r="D396" s="44" t="n"/>
      <c r="E396" s="44" t="n"/>
      <c r="F396" s="44" t="n"/>
      <c r="G396" s="44" t="n"/>
      <c r="H396" s="44" t="n"/>
      <c r="I396" s="44" t="n"/>
      <c r="J396" s="44" t="n"/>
      <c r="K396" s="44" t="n"/>
      <c r="L396" s="44" t="n"/>
      <c r="M396" s="44" t="n"/>
      <c r="N396" s="44" t="n"/>
      <c r="O396" s="44" t="n"/>
    </row>
    <row r="397" ht="54" customHeight="1">
      <c r="A397" s="44" t="n"/>
      <c r="B397" s="44" t="n"/>
      <c r="C397" s="44" t="n"/>
      <c r="D397" s="44" t="n"/>
      <c r="E397" s="44" t="n"/>
      <c r="F397" s="44" t="n"/>
      <c r="G397" s="44" t="n"/>
      <c r="H397" s="44" t="n"/>
      <c r="I397" s="44" t="n"/>
      <c r="J397" s="44" t="n"/>
      <c r="K397" s="44" t="n"/>
      <c r="L397" s="44" t="n"/>
      <c r="M397" s="44" t="n"/>
      <c r="N397" s="44" t="n"/>
      <c r="O397" s="44" t="n"/>
    </row>
    <row r="398" ht="54" customHeight="1">
      <c r="A398" s="44" t="n"/>
      <c r="B398" s="44" t="n"/>
      <c r="C398" s="44" t="n"/>
      <c r="D398" s="44" t="n"/>
      <c r="E398" s="44" t="n"/>
      <c r="F398" s="44" t="n"/>
      <c r="G398" s="44" t="n"/>
      <c r="H398" s="44" t="n"/>
      <c r="I398" s="44" t="n"/>
      <c r="J398" s="44" t="n"/>
      <c r="K398" s="44" t="n"/>
      <c r="L398" s="44" t="n"/>
      <c r="M398" s="44" t="n"/>
      <c r="N398" s="44" t="n"/>
      <c r="O398" s="44" t="n"/>
    </row>
    <row r="399" ht="54" customHeight="1">
      <c r="A399" s="44" t="n"/>
      <c r="B399" s="44" t="n"/>
      <c r="C399" s="44" t="n"/>
      <c r="D399" s="44" t="n"/>
      <c r="E399" s="44" t="n"/>
      <c r="F399" s="44" t="n"/>
      <c r="G399" s="44" t="n"/>
      <c r="H399" s="44" t="n"/>
      <c r="I399" s="44" t="n"/>
      <c r="J399" s="44" t="n"/>
      <c r="K399" s="44" t="n"/>
      <c r="L399" s="44" t="n"/>
      <c r="M399" s="44" t="n"/>
      <c r="N399" s="44" t="n"/>
      <c r="O399" s="44" t="n"/>
    </row>
    <row r="400" ht="54" customHeight="1">
      <c r="A400" s="44" t="n"/>
      <c r="B400" s="44" t="n"/>
      <c r="C400" s="44" t="n"/>
      <c r="D400" s="44" t="n"/>
      <c r="E400" s="44" t="n"/>
      <c r="F400" s="44" t="n"/>
      <c r="G400" s="44" t="n"/>
      <c r="H400" s="44" t="n"/>
      <c r="I400" s="44" t="n"/>
      <c r="J400" s="44" t="n"/>
      <c r="K400" s="44" t="n"/>
      <c r="L400" s="44" t="n"/>
      <c r="M400" s="44" t="n"/>
      <c r="N400" s="44" t="n"/>
      <c r="O400" s="44" t="n"/>
    </row>
    <row r="401" ht="54" customHeight="1">
      <c r="A401" s="44" t="n"/>
      <c r="B401" s="44" t="n"/>
      <c r="C401" s="44" t="n"/>
      <c r="D401" s="44" t="n"/>
      <c r="E401" s="44" t="n"/>
      <c r="F401" s="44" t="n"/>
      <c r="G401" s="44" t="n"/>
      <c r="H401" s="44" t="n"/>
      <c r="I401" s="44" t="n"/>
      <c r="J401" s="44" t="n"/>
      <c r="K401" s="44" t="n"/>
      <c r="L401" s="44" t="n"/>
      <c r="M401" s="44" t="n"/>
      <c r="N401" s="44" t="n"/>
      <c r="O401" s="44" t="n"/>
    </row>
    <row r="402" ht="54" customHeight="1">
      <c r="A402" s="44" t="n"/>
      <c r="B402" s="44" t="n"/>
      <c r="C402" s="44" t="n"/>
      <c r="D402" s="44" t="n"/>
      <c r="E402" s="44" t="n"/>
      <c r="F402" s="44" t="n"/>
      <c r="G402" s="44" t="n"/>
      <c r="H402" s="44" t="n"/>
      <c r="I402" s="44" t="n"/>
      <c r="J402" s="44" t="n"/>
      <c r="K402" s="44" t="n"/>
      <c r="L402" s="44" t="n"/>
      <c r="M402" s="44" t="n"/>
      <c r="N402" s="44" t="n"/>
      <c r="O402" s="44" t="n"/>
    </row>
    <row r="403" ht="54" customHeight="1">
      <c r="A403" s="44" t="n"/>
      <c r="B403" s="44" t="n"/>
      <c r="C403" s="44" t="n"/>
      <c r="D403" s="44" t="n"/>
      <c r="E403" s="44" t="n"/>
      <c r="F403" s="44" t="n"/>
      <c r="G403" s="44" t="n"/>
      <c r="H403" s="44" t="n"/>
      <c r="I403" s="44" t="n"/>
      <c r="J403" s="44" t="n"/>
      <c r="K403" s="44" t="n"/>
      <c r="L403" s="44" t="n"/>
      <c r="M403" s="44" t="n"/>
      <c r="N403" s="44" t="n"/>
      <c r="O403" s="44" t="n"/>
    </row>
    <row r="404" ht="54" customHeight="1">
      <c r="A404" s="44" t="n"/>
      <c r="B404" s="44" t="n"/>
      <c r="C404" s="44" t="n"/>
      <c r="D404" s="44" t="n"/>
      <c r="E404" s="44" t="n"/>
      <c r="F404" s="44" t="n"/>
      <c r="G404" s="44" t="n"/>
      <c r="H404" s="44" t="n"/>
      <c r="I404" s="44" t="n"/>
      <c r="J404" s="44" t="n"/>
      <c r="K404" s="44" t="n"/>
      <c r="L404" s="44" t="n"/>
      <c r="M404" s="44" t="n"/>
      <c r="N404" s="44" t="n"/>
      <c r="O404" s="44" t="n"/>
    </row>
    <row r="405" ht="54" customHeight="1">
      <c r="A405" s="44" t="n"/>
      <c r="B405" s="44" t="n"/>
      <c r="C405" s="44" t="n"/>
      <c r="D405" s="44" t="n"/>
      <c r="E405" s="44" t="n"/>
      <c r="F405" s="44" t="n"/>
      <c r="G405" s="44" t="n"/>
      <c r="H405" s="44" t="n"/>
      <c r="I405" s="44" t="n"/>
      <c r="J405" s="44" t="n"/>
      <c r="K405" s="44" t="n"/>
      <c r="L405" s="44" t="n"/>
      <c r="M405" s="44" t="n"/>
      <c r="N405" s="44" t="n"/>
      <c r="O405" s="44" t="n"/>
    </row>
    <row r="406" ht="54" customHeight="1">
      <c r="A406" s="44" t="n"/>
      <c r="B406" s="44" t="n"/>
      <c r="C406" s="44" t="n"/>
      <c r="D406" s="44" t="n"/>
      <c r="E406" s="44" t="n"/>
      <c r="F406" s="44" t="n"/>
      <c r="G406" s="44" t="n"/>
      <c r="H406" s="44" t="n"/>
      <c r="I406" s="44" t="n"/>
      <c r="J406" s="44" t="n"/>
      <c r="K406" s="44" t="n"/>
      <c r="L406" s="44" t="n"/>
      <c r="M406" s="44" t="n"/>
      <c r="N406" s="44" t="n"/>
      <c r="O406" s="44" t="n"/>
    </row>
    <row r="407" ht="54" customHeight="1">
      <c r="A407" s="44" t="n"/>
      <c r="B407" s="44" t="n"/>
      <c r="C407" s="44" t="n"/>
      <c r="D407" s="44" t="n"/>
      <c r="E407" s="44" t="n"/>
      <c r="F407" s="44" t="n"/>
      <c r="G407" s="44" t="n"/>
      <c r="H407" s="44" t="n"/>
      <c r="I407" s="44" t="n"/>
      <c r="J407" s="44" t="n"/>
      <c r="K407" s="44" t="n"/>
      <c r="L407" s="44" t="n"/>
      <c r="M407" s="44" t="n"/>
      <c r="N407" s="44" t="n"/>
      <c r="O407" s="44" t="n"/>
    </row>
    <row r="408" ht="54" customHeight="1">
      <c r="A408" s="44" t="n"/>
      <c r="B408" s="44" t="n"/>
      <c r="C408" s="44" t="n"/>
      <c r="D408" s="44" t="n"/>
      <c r="E408" s="44" t="n"/>
      <c r="F408" s="44" t="n"/>
      <c r="G408" s="44" t="n"/>
      <c r="H408" s="44" t="n"/>
      <c r="I408" s="44" t="n"/>
      <c r="J408" s="44" t="n"/>
      <c r="K408" s="44" t="n"/>
      <c r="L408" s="44" t="n"/>
      <c r="M408" s="44" t="n"/>
      <c r="N408" s="44" t="n"/>
      <c r="O408" s="44" t="n"/>
    </row>
    <row r="409" ht="54" customHeight="1">
      <c r="A409" s="44" t="n"/>
      <c r="B409" s="44" t="n"/>
      <c r="C409" s="44" t="n"/>
      <c r="D409" s="44" t="n"/>
      <c r="E409" s="44" t="n"/>
      <c r="F409" s="44" t="n"/>
      <c r="G409" s="44" t="n"/>
      <c r="H409" s="44" t="n"/>
      <c r="I409" s="44" t="n"/>
      <c r="J409" s="44" t="n"/>
      <c r="K409" s="44" t="n"/>
      <c r="L409" s="44" t="n"/>
      <c r="M409" s="44" t="n"/>
      <c r="N409" s="44" t="n"/>
      <c r="O409" s="44" t="n"/>
    </row>
    <row r="410" ht="54" customHeight="1">
      <c r="A410" s="44" t="n"/>
      <c r="B410" s="44" t="n"/>
      <c r="C410" s="44" t="n"/>
      <c r="D410" s="44" t="n"/>
      <c r="E410" s="44" t="n"/>
      <c r="F410" s="44" t="n"/>
      <c r="G410" s="44" t="n"/>
      <c r="H410" s="44" t="n"/>
      <c r="I410" s="44" t="n"/>
      <c r="J410" s="44" t="n"/>
      <c r="K410" s="44" t="n"/>
      <c r="L410" s="44" t="n"/>
      <c r="M410" s="44" t="n"/>
      <c r="N410" s="44" t="n"/>
      <c r="O410" s="44" t="n"/>
    </row>
    <row r="411" ht="54" customHeight="1">
      <c r="A411" s="44" t="n"/>
      <c r="B411" s="44" t="n"/>
      <c r="C411" s="44" t="n"/>
      <c r="D411" s="44" t="n"/>
      <c r="E411" s="44" t="n"/>
      <c r="F411" s="44" t="n"/>
      <c r="G411" s="44" t="n"/>
      <c r="H411" s="44" t="n"/>
      <c r="I411" s="44" t="n"/>
      <c r="J411" s="44" t="n"/>
      <c r="K411" s="44" t="n"/>
      <c r="L411" s="44" t="n"/>
      <c r="M411" s="44" t="n"/>
      <c r="N411" s="44" t="n"/>
      <c r="O411" s="44" t="n"/>
    </row>
    <row r="412" ht="54" customHeight="1">
      <c r="A412" s="44" t="n"/>
      <c r="B412" s="44" t="n"/>
      <c r="C412" s="44" t="n"/>
      <c r="D412" s="44" t="n"/>
      <c r="E412" s="44" t="n"/>
      <c r="F412" s="44" t="n"/>
      <c r="G412" s="44" t="n"/>
      <c r="H412" s="44" t="n"/>
      <c r="I412" s="44" t="n"/>
      <c r="J412" s="44" t="n"/>
      <c r="K412" s="44" t="n"/>
      <c r="L412" s="44" t="n"/>
      <c r="M412" s="44" t="n"/>
      <c r="N412" s="44" t="n"/>
      <c r="O412" s="44" t="n"/>
    </row>
    <row r="413" ht="54" customHeight="1">
      <c r="A413" s="44" t="n"/>
      <c r="B413" s="44" t="n"/>
      <c r="C413" s="44" t="n"/>
      <c r="D413" s="44" t="n"/>
      <c r="E413" s="44" t="n"/>
      <c r="F413" s="44" t="n"/>
      <c r="G413" s="44" t="n"/>
      <c r="H413" s="44" t="n"/>
      <c r="I413" s="44" t="n"/>
      <c r="J413" s="44" t="n"/>
      <c r="K413" s="44" t="n"/>
      <c r="L413" s="44" t="n"/>
      <c r="M413" s="44" t="n"/>
      <c r="N413" s="44" t="n"/>
      <c r="O413" s="44" t="n"/>
    </row>
    <row r="414" ht="54" customHeight="1">
      <c r="A414" s="44" t="n"/>
      <c r="B414" s="44" t="n"/>
      <c r="C414" s="44" t="n"/>
      <c r="D414" s="44" t="n"/>
      <c r="E414" s="44" t="n"/>
      <c r="F414" s="44" t="n"/>
      <c r="G414" s="44" t="n"/>
      <c r="H414" s="44" t="n"/>
      <c r="I414" s="44" t="n"/>
      <c r="J414" s="44" t="n"/>
      <c r="K414" s="44" t="n"/>
      <c r="L414" s="44" t="n"/>
      <c r="M414" s="44" t="n"/>
      <c r="N414" s="44" t="n"/>
      <c r="O414" s="44" t="n"/>
    </row>
    <row r="415" ht="54" customHeight="1">
      <c r="A415" s="44" t="n"/>
      <c r="B415" s="44" t="n"/>
      <c r="C415" s="44" t="n"/>
      <c r="D415" s="44" t="n"/>
      <c r="E415" s="44" t="n"/>
      <c r="F415" s="44" t="n"/>
      <c r="G415" s="44" t="n"/>
      <c r="H415" s="44" t="n"/>
      <c r="I415" s="44" t="n"/>
      <c r="J415" s="44" t="n"/>
      <c r="K415" s="44" t="n"/>
      <c r="L415" s="44" t="n"/>
      <c r="M415" s="44" t="n"/>
      <c r="N415" s="44" t="n"/>
      <c r="O415" s="44" t="n"/>
    </row>
    <row r="416" ht="54" customHeight="1">
      <c r="A416" s="44" t="n"/>
      <c r="B416" s="44" t="n"/>
      <c r="C416" s="44" t="n"/>
      <c r="D416" s="44" t="n"/>
      <c r="E416" s="44" t="n"/>
      <c r="F416" s="44" t="n"/>
      <c r="G416" s="44" t="n"/>
      <c r="H416" s="44" t="n"/>
      <c r="I416" s="44" t="n"/>
      <c r="J416" s="44" t="n"/>
      <c r="K416" s="44" t="n"/>
      <c r="L416" s="44" t="n"/>
      <c r="M416" s="44" t="n"/>
      <c r="N416" s="44" t="n"/>
      <c r="O416" s="44" t="n"/>
    </row>
    <row r="417" ht="54" customHeight="1">
      <c r="A417" s="44" t="n"/>
      <c r="B417" s="44" t="n"/>
      <c r="C417" s="44" t="n"/>
      <c r="D417" s="44" t="n"/>
      <c r="E417" s="44" t="n"/>
      <c r="F417" s="44" t="n"/>
      <c r="G417" s="44" t="n"/>
      <c r="H417" s="44" t="n"/>
      <c r="I417" s="44" t="n"/>
      <c r="J417" s="44" t="n"/>
      <c r="K417" s="44" t="n"/>
      <c r="L417" s="44" t="n"/>
      <c r="M417" s="44" t="n"/>
      <c r="N417" s="44" t="n"/>
      <c r="O417" s="44" t="n"/>
    </row>
    <row r="418" ht="54" customHeight="1">
      <c r="A418" s="44" t="n"/>
      <c r="B418" s="44" t="n"/>
      <c r="C418" s="44" t="n"/>
      <c r="D418" s="44" t="n"/>
      <c r="E418" s="44" t="n"/>
      <c r="F418" s="44" t="n"/>
      <c r="G418" s="44" t="n"/>
      <c r="H418" s="44" t="n"/>
      <c r="I418" s="44" t="n"/>
      <c r="J418" s="44" t="n"/>
      <c r="K418" s="44" t="n"/>
      <c r="L418" s="44" t="n"/>
      <c r="M418" s="44" t="n"/>
      <c r="N418" s="44" t="n"/>
      <c r="O418" s="44" t="n"/>
    </row>
    <row r="419" ht="54" customHeight="1">
      <c r="A419" s="44" t="n"/>
      <c r="B419" s="44" t="n"/>
      <c r="C419" s="44" t="n"/>
      <c r="D419" s="44" t="n"/>
      <c r="E419" s="44" t="n"/>
      <c r="F419" s="44" t="n"/>
      <c r="G419" s="44" t="n"/>
      <c r="H419" s="44" t="n"/>
      <c r="I419" s="44" t="n"/>
      <c r="J419" s="44" t="n"/>
      <c r="K419" s="44" t="n"/>
      <c r="L419" s="44" t="n"/>
      <c r="M419" s="44" t="n"/>
      <c r="N419" s="44" t="n"/>
      <c r="O419" s="44" t="n"/>
    </row>
    <row r="420" ht="54" customHeight="1">
      <c r="A420" s="44" t="n"/>
      <c r="B420" s="44" t="n"/>
      <c r="C420" s="44" t="n"/>
      <c r="D420" s="44" t="n"/>
      <c r="E420" s="44" t="n"/>
      <c r="F420" s="44" t="n"/>
      <c r="G420" s="44" t="n"/>
      <c r="H420" s="44" t="n"/>
      <c r="I420" s="44" t="n"/>
      <c r="J420" s="44" t="n"/>
      <c r="K420" s="44" t="n"/>
      <c r="L420" s="44" t="n"/>
      <c r="M420" s="44" t="n"/>
      <c r="N420" s="44" t="n"/>
      <c r="O420" s="44" t="n"/>
    </row>
    <row r="421" ht="54" customHeight="1">
      <c r="A421" s="44" t="n"/>
      <c r="B421" s="44" t="n"/>
      <c r="C421" s="44" t="n"/>
      <c r="D421" s="44" t="n"/>
      <c r="E421" s="44" t="n"/>
      <c r="F421" s="44" t="n"/>
      <c r="G421" s="44" t="n"/>
      <c r="H421" s="44" t="n"/>
      <c r="I421" s="44" t="n"/>
      <c r="J421" s="44" t="n"/>
      <c r="K421" s="44" t="n"/>
      <c r="L421" s="44" t="n"/>
      <c r="M421" s="44" t="n"/>
      <c r="N421" s="44" t="n"/>
      <c r="O421" s="44" t="n"/>
    </row>
    <row r="422" ht="54" customHeight="1">
      <c r="A422" s="44" t="n"/>
      <c r="B422" s="44" t="n"/>
      <c r="C422" s="44" t="n"/>
      <c r="D422" s="44" t="n"/>
      <c r="E422" s="44" t="n"/>
      <c r="F422" s="44" t="n"/>
      <c r="G422" s="44" t="n"/>
      <c r="H422" s="44" t="n"/>
      <c r="I422" s="44" t="n"/>
      <c r="J422" s="44" t="n"/>
      <c r="K422" s="44" t="n"/>
      <c r="L422" s="44" t="n"/>
      <c r="M422" s="44" t="n"/>
      <c r="N422" s="44" t="n"/>
      <c r="O422" s="44" t="n"/>
    </row>
    <row r="423" ht="54" customHeight="1">
      <c r="A423" s="44" t="n"/>
      <c r="B423" s="44" t="n"/>
      <c r="C423" s="44" t="n"/>
      <c r="D423" s="44" t="n"/>
      <c r="E423" s="44" t="n"/>
      <c r="F423" s="44" t="n"/>
      <c r="G423" s="44" t="n"/>
      <c r="H423" s="44" t="n"/>
      <c r="I423" s="44" t="n"/>
      <c r="J423" s="44" t="n"/>
      <c r="K423" s="44" t="n"/>
      <c r="L423" s="44" t="n"/>
      <c r="M423" s="44" t="n"/>
      <c r="N423" s="44" t="n"/>
      <c r="O423" s="44" t="n"/>
    </row>
    <row r="424" ht="54" customHeight="1">
      <c r="A424" s="44" t="n"/>
      <c r="B424" s="44" t="n"/>
      <c r="C424" s="44" t="n"/>
      <c r="D424" s="44" t="n"/>
      <c r="E424" s="44" t="n"/>
      <c r="F424" s="44" t="n"/>
      <c r="G424" s="44" t="n"/>
      <c r="H424" s="44" t="n"/>
      <c r="I424" s="44" t="n"/>
      <c r="J424" s="44" t="n"/>
      <c r="K424" s="44" t="n"/>
      <c r="L424" s="44" t="n"/>
      <c r="M424" s="44" t="n"/>
      <c r="N424" s="44" t="n"/>
      <c r="O424" s="44" t="n"/>
    </row>
    <row r="425" ht="54" customHeight="1">
      <c r="A425" s="44" t="n"/>
      <c r="B425" s="44" t="n"/>
      <c r="C425" s="44" t="n"/>
      <c r="D425" s="44" t="n"/>
      <c r="E425" s="44" t="n"/>
      <c r="F425" s="44" t="n"/>
      <c r="G425" s="44" t="n"/>
      <c r="H425" s="44" t="n"/>
      <c r="I425" s="44" t="n"/>
      <c r="J425" s="44" t="n"/>
      <c r="K425" s="44" t="n"/>
      <c r="L425" s="44" t="n"/>
      <c r="M425" s="44" t="n"/>
      <c r="N425" s="44" t="n"/>
      <c r="O425" s="44" t="n"/>
    </row>
    <row r="426" ht="54" customHeight="1">
      <c r="A426" s="44" t="n"/>
      <c r="B426" s="44" t="n"/>
      <c r="C426" s="44" t="n"/>
      <c r="D426" s="44" t="n"/>
      <c r="E426" s="44" t="n"/>
      <c r="F426" s="44" t="n"/>
      <c r="G426" s="44" t="n"/>
      <c r="H426" s="44" t="n"/>
      <c r="I426" s="44" t="n"/>
      <c r="J426" s="44" t="n"/>
      <c r="K426" s="44" t="n"/>
      <c r="L426" s="44" t="n"/>
      <c r="M426" s="44" t="n"/>
      <c r="N426" s="44" t="n"/>
      <c r="O426" s="44" t="n"/>
    </row>
    <row r="427" ht="54" customHeight="1">
      <c r="A427" s="44" t="n"/>
      <c r="B427" s="44" t="n"/>
      <c r="C427" s="44" t="n"/>
      <c r="D427" s="44" t="n"/>
      <c r="E427" s="44" t="n"/>
      <c r="F427" s="44" t="n"/>
      <c r="G427" s="44" t="n"/>
      <c r="H427" s="44" t="n"/>
      <c r="I427" s="44" t="n"/>
      <c r="J427" s="44" t="n"/>
      <c r="K427" s="44" t="n"/>
      <c r="L427" s="44" t="n"/>
      <c r="M427" s="44" t="n"/>
      <c r="N427" s="44" t="n"/>
      <c r="O427" s="44" t="n"/>
    </row>
    <row r="428" ht="54" customHeight="1">
      <c r="A428" s="44" t="n"/>
      <c r="B428" s="44" t="n"/>
      <c r="C428" s="44" t="n"/>
      <c r="D428" s="44" t="n"/>
      <c r="E428" s="44" t="n"/>
      <c r="F428" s="44" t="n"/>
      <c r="G428" s="44" t="n"/>
      <c r="H428" s="44" t="n"/>
      <c r="I428" s="44" t="n"/>
      <c r="J428" s="44" t="n"/>
      <c r="K428" s="44" t="n"/>
      <c r="L428" s="44" t="n"/>
      <c r="M428" s="44" t="n"/>
      <c r="N428" s="44" t="n"/>
      <c r="O428" s="44" t="n"/>
    </row>
    <row r="429" ht="54" customHeight="1">
      <c r="A429" s="44" t="n"/>
      <c r="B429" s="44" t="n"/>
      <c r="C429" s="44" t="n"/>
      <c r="D429" s="44" t="n"/>
      <c r="E429" s="44" t="n"/>
      <c r="F429" s="44" t="n"/>
      <c r="G429" s="44" t="n"/>
      <c r="H429" s="44" t="n"/>
      <c r="I429" s="44" t="n"/>
      <c r="J429" s="44" t="n"/>
      <c r="K429" s="44" t="n"/>
      <c r="L429" s="44" t="n"/>
      <c r="M429" s="44" t="n"/>
      <c r="N429" s="44" t="n"/>
      <c r="O429" s="44" t="n"/>
    </row>
    <row r="430" ht="54" customHeight="1">
      <c r="A430" s="44" t="n"/>
      <c r="B430" s="44" t="n"/>
      <c r="C430" s="44" t="n"/>
      <c r="D430" s="44" t="n"/>
      <c r="E430" s="44" t="n"/>
      <c r="F430" s="44" t="n"/>
      <c r="G430" s="44" t="n"/>
      <c r="H430" s="44" t="n"/>
      <c r="I430" s="44" t="n"/>
      <c r="J430" s="44" t="n"/>
      <c r="K430" s="44" t="n"/>
      <c r="L430" s="44" t="n"/>
      <c r="M430" s="44" t="n"/>
      <c r="N430" s="44" t="n"/>
      <c r="O430" s="44" t="n"/>
    </row>
    <row r="431" ht="54" customHeight="1">
      <c r="A431" s="44" t="n"/>
      <c r="B431" s="44" t="n"/>
      <c r="C431" s="44" t="n"/>
      <c r="D431" s="44" t="n"/>
      <c r="E431" s="44" t="n"/>
      <c r="F431" s="44" t="n"/>
      <c r="G431" s="44" t="n"/>
      <c r="H431" s="44" t="n"/>
      <c r="I431" s="44" t="n"/>
      <c r="J431" s="44" t="n"/>
      <c r="K431" s="44" t="n"/>
      <c r="L431" s="44" t="n"/>
      <c r="M431" s="44" t="n"/>
      <c r="N431" s="44" t="n"/>
      <c r="O431" s="44" t="n"/>
    </row>
    <row r="432" ht="54" customHeight="1">
      <c r="A432" s="44" t="n"/>
      <c r="B432" s="44" t="n"/>
      <c r="C432" s="44" t="n"/>
      <c r="D432" s="44" t="n"/>
      <c r="E432" s="44" t="n"/>
      <c r="F432" s="44" t="n"/>
      <c r="G432" s="44" t="n"/>
      <c r="H432" s="44" t="n"/>
      <c r="I432" s="44" t="n"/>
      <c r="J432" s="44" t="n"/>
      <c r="K432" s="44" t="n"/>
      <c r="L432" s="44" t="n"/>
      <c r="M432" s="44" t="n"/>
      <c r="N432" s="44" t="n"/>
      <c r="O432" s="44" t="n"/>
    </row>
    <row r="433" ht="54" customHeight="1">
      <c r="A433" s="44" t="n"/>
      <c r="B433" s="44" t="n"/>
      <c r="C433" s="44" t="n"/>
      <c r="D433" s="44" t="n"/>
      <c r="E433" s="44" t="n"/>
      <c r="F433" s="44" t="n"/>
      <c r="G433" s="44" t="n"/>
      <c r="H433" s="44" t="n"/>
      <c r="I433" s="44" t="n"/>
      <c r="J433" s="44" t="n"/>
      <c r="K433" s="44" t="n"/>
      <c r="L433" s="44" t="n"/>
      <c r="M433" s="44" t="n"/>
      <c r="N433" s="44" t="n"/>
      <c r="O433" s="44" t="n"/>
    </row>
    <row r="434" ht="54" customHeight="1">
      <c r="A434" s="44" t="n"/>
      <c r="B434" s="44" t="n"/>
      <c r="C434" s="44" t="n"/>
      <c r="D434" s="44" t="n"/>
      <c r="E434" s="44" t="n"/>
      <c r="F434" s="44" t="n"/>
      <c r="G434" s="44" t="n"/>
      <c r="H434" s="44" t="n"/>
      <c r="I434" s="44" t="n"/>
      <c r="J434" s="44" t="n"/>
      <c r="K434" s="44" t="n"/>
      <c r="L434" s="44" t="n"/>
      <c r="M434" s="44" t="n"/>
      <c r="N434" s="44" t="n"/>
      <c r="O434" s="44" t="n"/>
    </row>
    <row r="435" ht="54" customHeight="1">
      <c r="A435" s="44" t="n"/>
      <c r="B435" s="44" t="n"/>
      <c r="C435" s="44" t="n"/>
      <c r="D435" s="44" t="n"/>
      <c r="E435" s="44" t="n"/>
      <c r="F435" s="44" t="n"/>
      <c r="G435" s="44" t="n"/>
      <c r="H435" s="44" t="n"/>
      <c r="I435" s="44" t="n"/>
      <c r="J435" s="44" t="n"/>
      <c r="K435" s="44" t="n"/>
      <c r="L435" s="44" t="n"/>
      <c r="M435" s="44" t="n"/>
      <c r="N435" s="44" t="n"/>
      <c r="O435" s="44" t="n"/>
    </row>
    <row r="436" ht="54" customHeight="1">
      <c r="A436" s="44" t="n"/>
      <c r="B436" s="44" t="n"/>
      <c r="C436" s="44" t="n"/>
      <c r="D436" s="44" t="n"/>
      <c r="E436" s="44" t="n"/>
      <c r="F436" s="44" t="n"/>
      <c r="G436" s="44" t="n"/>
      <c r="H436" s="44" t="n"/>
      <c r="I436" s="44" t="n"/>
      <c r="J436" s="44" t="n"/>
      <c r="K436" s="44" t="n"/>
      <c r="L436" s="44" t="n"/>
      <c r="M436" s="44" t="n"/>
      <c r="N436" s="44" t="n"/>
      <c r="O436" s="44" t="n"/>
    </row>
    <row r="437" ht="54" customHeight="1">
      <c r="A437" s="44" t="n"/>
      <c r="B437" s="44" t="n"/>
      <c r="C437" s="44" t="n"/>
      <c r="D437" s="44" t="n"/>
      <c r="E437" s="44" t="n"/>
      <c r="F437" s="44" t="n"/>
      <c r="G437" s="44" t="n"/>
      <c r="H437" s="44" t="n"/>
      <c r="I437" s="44" t="n"/>
      <c r="J437" s="44" t="n"/>
      <c r="K437" s="44" t="n"/>
      <c r="L437" s="44" t="n"/>
      <c r="M437" s="44" t="n"/>
      <c r="N437" s="44" t="n"/>
      <c r="O437" s="44" t="n"/>
    </row>
    <row r="438" ht="54" customHeight="1">
      <c r="A438" s="44" t="n"/>
      <c r="B438" s="44" t="n"/>
      <c r="C438" s="44" t="n"/>
      <c r="D438" s="44" t="n"/>
      <c r="E438" s="44" t="n"/>
      <c r="F438" s="44" t="n"/>
      <c r="G438" s="44" t="n"/>
      <c r="H438" s="44" t="n"/>
      <c r="I438" s="44" t="n"/>
      <c r="J438" s="44" t="n"/>
      <c r="K438" s="44" t="n"/>
      <c r="L438" s="44" t="n"/>
      <c r="M438" s="44" t="n"/>
      <c r="N438" s="44" t="n"/>
      <c r="O438" s="44" t="n"/>
    </row>
    <row r="439" ht="54" customHeight="1">
      <c r="A439" s="44" t="n"/>
      <c r="B439" s="44" t="n"/>
      <c r="C439" s="44" t="n"/>
      <c r="D439" s="44" t="n"/>
      <c r="E439" s="44" t="n"/>
      <c r="F439" s="44" t="n"/>
      <c r="G439" s="44" t="n"/>
      <c r="H439" s="44" t="n"/>
      <c r="I439" s="44" t="n"/>
      <c r="J439" s="44" t="n"/>
      <c r="K439" s="44" t="n"/>
      <c r="L439" s="44" t="n"/>
      <c r="M439" s="44" t="n"/>
      <c r="N439" s="44" t="n"/>
      <c r="O439" s="44" t="n"/>
    </row>
    <row r="440" ht="54" customHeight="1">
      <c r="A440" s="44" t="n"/>
      <c r="B440" s="44" t="n"/>
      <c r="C440" s="44" t="n"/>
      <c r="D440" s="44" t="n"/>
      <c r="E440" s="44" t="n"/>
      <c r="F440" s="44" t="n"/>
      <c r="G440" s="44" t="n"/>
      <c r="H440" s="44" t="n"/>
      <c r="I440" s="44" t="n"/>
      <c r="J440" s="44" t="n"/>
      <c r="K440" s="44" t="n"/>
      <c r="L440" s="44" t="n"/>
      <c r="M440" s="44" t="n"/>
      <c r="N440" s="44" t="n"/>
      <c r="O440" s="44" t="n"/>
    </row>
    <row r="441" ht="54" customHeight="1">
      <c r="A441" s="44" t="n"/>
      <c r="B441" s="44" t="n"/>
      <c r="C441" s="44" t="n"/>
      <c r="D441" s="44" t="n"/>
      <c r="E441" s="44" t="n"/>
      <c r="F441" s="44" t="n"/>
      <c r="G441" s="44" t="n"/>
      <c r="H441" s="44" t="n"/>
      <c r="I441" s="44" t="n"/>
      <c r="J441" s="44" t="n"/>
      <c r="K441" s="44" t="n"/>
      <c r="L441" s="44" t="n"/>
      <c r="M441" s="44" t="n"/>
      <c r="N441" s="44" t="n"/>
      <c r="O441" s="44" t="n"/>
    </row>
    <row r="442" ht="54" customHeight="1">
      <c r="A442" s="44" t="n"/>
      <c r="B442" s="44" t="n"/>
      <c r="C442" s="44" t="n"/>
      <c r="D442" s="44" t="n"/>
      <c r="E442" s="44" t="n"/>
      <c r="F442" s="44" t="n"/>
      <c r="G442" s="44" t="n"/>
      <c r="H442" s="44" t="n"/>
      <c r="I442" s="44" t="n"/>
      <c r="J442" s="44" t="n"/>
      <c r="K442" s="44" t="n"/>
      <c r="L442" s="44" t="n"/>
      <c r="M442" s="44" t="n"/>
      <c r="N442" s="44" t="n"/>
      <c r="O442" s="44" t="n"/>
    </row>
    <row r="443" ht="54" customHeight="1">
      <c r="A443" s="44" t="n"/>
      <c r="B443" s="44" t="n"/>
      <c r="C443" s="44" t="n"/>
      <c r="D443" s="44" t="n"/>
      <c r="E443" s="44" t="n"/>
      <c r="F443" s="44" t="n"/>
      <c r="G443" s="44" t="n"/>
      <c r="H443" s="44" t="n"/>
      <c r="I443" s="44" t="n"/>
      <c r="J443" s="44" t="n"/>
      <c r="K443" s="44" t="n"/>
      <c r="L443" s="44" t="n"/>
      <c r="M443" s="44" t="n"/>
      <c r="N443" s="44" t="n"/>
      <c r="O443" s="44" t="n"/>
    </row>
    <row r="444" ht="54" customHeight="1">
      <c r="A444" s="44" t="n"/>
      <c r="B444" s="44" t="n"/>
      <c r="C444" s="44" t="n"/>
      <c r="D444" s="44" t="n"/>
      <c r="E444" s="44" t="n"/>
      <c r="F444" s="44" t="n"/>
      <c r="G444" s="44" t="n"/>
      <c r="H444" s="44" t="n"/>
      <c r="I444" s="44" t="n"/>
      <c r="J444" s="44" t="n"/>
      <c r="K444" s="44" t="n"/>
      <c r="L444" s="44" t="n"/>
      <c r="M444" s="44" t="n"/>
      <c r="N444" s="44" t="n"/>
      <c r="O444" s="44" t="n"/>
    </row>
    <row r="445" ht="54" customHeight="1">
      <c r="A445" s="44" t="n"/>
      <c r="B445" s="44" t="n"/>
      <c r="C445" s="44" t="n"/>
      <c r="D445" s="44" t="n"/>
      <c r="E445" s="44" t="n"/>
      <c r="F445" s="44" t="n"/>
      <c r="G445" s="44" t="n"/>
      <c r="H445" s="44" t="n"/>
      <c r="I445" s="44" t="n"/>
      <c r="J445" s="44" t="n"/>
      <c r="K445" s="44" t="n"/>
      <c r="L445" s="44" t="n"/>
      <c r="M445" s="44" t="n"/>
      <c r="N445" s="44" t="n"/>
      <c r="O445" s="44" t="n"/>
    </row>
    <row r="446" ht="54" customHeight="1">
      <c r="A446" s="44" t="n"/>
      <c r="B446" s="44" t="n"/>
      <c r="C446" s="44" t="n"/>
      <c r="D446" s="44" t="n"/>
      <c r="E446" s="44" t="n"/>
      <c r="F446" s="44" t="n"/>
      <c r="G446" s="44" t="n"/>
      <c r="H446" s="44" t="n"/>
      <c r="I446" s="44" t="n"/>
      <c r="J446" s="44" t="n"/>
      <c r="K446" s="44" t="n"/>
      <c r="L446" s="44" t="n"/>
      <c r="M446" s="44" t="n"/>
      <c r="N446" s="44" t="n"/>
      <c r="O446" s="44" t="n"/>
    </row>
    <row r="447" ht="54" customHeight="1">
      <c r="A447" s="44" t="n"/>
      <c r="B447" s="44" t="n"/>
      <c r="C447" s="44" t="n"/>
      <c r="D447" s="44" t="n"/>
      <c r="E447" s="44" t="n"/>
      <c r="F447" s="44" t="n"/>
      <c r="G447" s="44" t="n"/>
      <c r="H447" s="44" t="n"/>
      <c r="I447" s="44" t="n"/>
      <c r="J447" s="44" t="n"/>
      <c r="K447" s="44" t="n"/>
      <c r="L447" s="44" t="n"/>
      <c r="M447" s="44" t="n"/>
      <c r="N447" s="44" t="n"/>
      <c r="O447" s="44" t="n"/>
    </row>
    <row r="448" ht="54" customHeight="1">
      <c r="A448" s="44" t="n"/>
      <c r="B448" s="44" t="n"/>
      <c r="C448" s="44" t="n"/>
      <c r="D448" s="44" t="n"/>
      <c r="E448" s="44" t="n"/>
      <c r="F448" s="44" t="n"/>
      <c r="G448" s="44" t="n"/>
      <c r="H448" s="44" t="n"/>
      <c r="I448" s="44" t="n"/>
      <c r="J448" s="44" t="n"/>
      <c r="K448" s="44" t="n"/>
      <c r="L448" s="44" t="n"/>
      <c r="M448" s="44" t="n"/>
      <c r="N448" s="44" t="n"/>
      <c r="O448" s="44" t="n"/>
    </row>
    <row r="449" ht="54" customHeight="1">
      <c r="A449" s="44" t="n"/>
      <c r="B449" s="44" t="n"/>
      <c r="C449" s="44" t="n"/>
      <c r="D449" s="44" t="n"/>
      <c r="E449" s="44" t="n"/>
      <c r="F449" s="44" t="n"/>
      <c r="G449" s="44" t="n"/>
      <c r="H449" s="44" t="n"/>
      <c r="I449" s="44" t="n"/>
      <c r="J449" s="44" t="n"/>
      <c r="K449" s="44" t="n"/>
      <c r="L449" s="44" t="n"/>
      <c r="M449" s="44" t="n"/>
      <c r="N449" s="44" t="n"/>
      <c r="O449" s="44" t="n"/>
    </row>
    <row r="450" ht="54" customHeight="1">
      <c r="A450" s="44" t="n"/>
      <c r="B450" s="44" t="n"/>
      <c r="C450" s="44" t="n"/>
      <c r="D450" s="44" t="n"/>
      <c r="E450" s="44" t="n"/>
      <c r="F450" s="44" t="n"/>
      <c r="G450" s="44" t="n"/>
      <c r="H450" s="44" t="n"/>
      <c r="I450" s="44" t="n"/>
      <c r="J450" s="44" t="n"/>
      <c r="K450" s="44" t="n"/>
      <c r="L450" s="44" t="n"/>
      <c r="M450" s="44" t="n"/>
      <c r="N450" s="44" t="n"/>
      <c r="O450" s="44" t="n"/>
    </row>
    <row r="451" ht="54" customHeight="1">
      <c r="A451" s="44" t="n"/>
      <c r="B451" s="44" t="n"/>
      <c r="C451" s="44" t="n"/>
      <c r="D451" s="44" t="n"/>
      <c r="E451" s="44" t="n"/>
      <c r="F451" s="44" t="n"/>
      <c r="G451" s="44" t="n"/>
      <c r="H451" s="44" t="n"/>
      <c r="I451" s="44" t="n"/>
      <c r="J451" s="44" t="n"/>
      <c r="K451" s="44" t="n"/>
      <c r="L451" s="44" t="n"/>
      <c r="M451" s="44" t="n"/>
      <c r="N451" s="44" t="n"/>
      <c r="O451" s="44" t="n"/>
    </row>
    <row r="452" ht="54" customHeight="1">
      <c r="A452" s="44" t="n"/>
      <c r="B452" s="44" t="n"/>
      <c r="C452" s="44" t="n"/>
      <c r="D452" s="44" t="n"/>
      <c r="E452" s="44" t="n"/>
      <c r="F452" s="44" t="n"/>
      <c r="G452" s="44" t="n"/>
      <c r="H452" s="44" t="n"/>
      <c r="I452" s="44" t="n"/>
      <c r="J452" s="44" t="n"/>
      <c r="K452" s="44" t="n"/>
      <c r="L452" s="44" t="n"/>
      <c r="M452" s="44" t="n"/>
      <c r="N452" s="44" t="n"/>
      <c r="O452" s="44" t="n"/>
    </row>
    <row r="453" ht="54" customHeight="1">
      <c r="A453" s="44" t="n"/>
      <c r="B453" s="44" t="n"/>
      <c r="C453" s="44" t="n"/>
      <c r="D453" s="44" t="n"/>
      <c r="E453" s="44" t="n"/>
      <c r="F453" s="44" t="n"/>
      <c r="G453" s="44" t="n"/>
      <c r="H453" s="44" t="n"/>
      <c r="I453" s="44" t="n"/>
      <c r="J453" s="44" t="n"/>
      <c r="K453" s="44" t="n"/>
      <c r="L453" s="44" t="n"/>
      <c r="M453" s="44" t="n"/>
      <c r="N453" s="44" t="n"/>
      <c r="O453" s="44" t="n"/>
    </row>
    <row r="454" ht="54" customHeight="1">
      <c r="A454" s="44" t="n"/>
      <c r="B454" s="44" t="n"/>
      <c r="C454" s="44" t="n"/>
      <c r="D454" s="44" t="n"/>
      <c r="E454" s="44" t="n"/>
      <c r="F454" s="44" t="n"/>
      <c r="G454" s="44" t="n"/>
      <c r="H454" s="44" t="n"/>
      <c r="I454" s="44" t="n"/>
      <c r="J454" s="44" t="n"/>
      <c r="K454" s="44" t="n"/>
      <c r="L454" s="44" t="n"/>
      <c r="M454" s="44" t="n"/>
      <c r="N454" s="44" t="n"/>
      <c r="O454" s="44" t="n"/>
    </row>
    <row r="455" ht="54" customHeight="1">
      <c r="A455" s="44" t="n"/>
      <c r="B455" s="44" t="n"/>
      <c r="C455" s="44" t="n"/>
      <c r="D455" s="44" t="n"/>
      <c r="E455" s="44" t="n"/>
      <c r="F455" s="44" t="n"/>
      <c r="G455" s="44" t="n"/>
      <c r="H455" s="44" t="n"/>
      <c r="I455" s="44" t="n"/>
      <c r="J455" s="44" t="n"/>
      <c r="K455" s="44" t="n"/>
      <c r="L455" s="44" t="n"/>
      <c r="M455" s="44" t="n"/>
      <c r="N455" s="44" t="n"/>
      <c r="O455" s="44" t="n"/>
    </row>
    <row r="456" ht="54" customHeight="1">
      <c r="A456" s="44" t="n"/>
      <c r="B456" s="44" t="n"/>
      <c r="C456" s="44" t="n"/>
      <c r="D456" s="44" t="n"/>
      <c r="E456" s="44" t="n"/>
      <c r="F456" s="44" t="n"/>
      <c r="G456" s="44" t="n"/>
      <c r="H456" s="44" t="n"/>
      <c r="I456" s="44" t="n"/>
      <c r="J456" s="44" t="n"/>
      <c r="K456" s="44" t="n"/>
      <c r="L456" s="44" t="n"/>
      <c r="M456" s="44" t="n"/>
      <c r="N456" s="44" t="n"/>
      <c r="O456" s="44" t="n"/>
    </row>
    <row r="457" ht="54" customHeight="1">
      <c r="A457" s="44" t="n"/>
      <c r="B457" s="44" t="n"/>
      <c r="C457" s="44" t="n"/>
      <c r="D457" s="44" t="n"/>
      <c r="E457" s="44" t="n"/>
      <c r="F457" s="44" t="n"/>
      <c r="G457" s="44" t="n"/>
      <c r="H457" s="44" t="n"/>
      <c r="I457" s="44" t="n"/>
      <c r="J457" s="44" t="n"/>
      <c r="K457" s="44" t="n"/>
      <c r="L457" s="44" t="n"/>
      <c r="M457" s="44" t="n"/>
      <c r="N457" s="44" t="n"/>
      <c r="O457" s="44" t="n"/>
    </row>
    <row r="458" ht="54" customHeight="1">
      <c r="A458" s="44" t="n"/>
      <c r="B458" s="44" t="n"/>
      <c r="C458" s="44" t="n"/>
      <c r="D458" s="44" t="n"/>
      <c r="E458" s="44" t="n"/>
      <c r="F458" s="44" t="n"/>
      <c r="G458" s="44" t="n"/>
      <c r="H458" s="44" t="n"/>
      <c r="I458" s="44" t="n"/>
      <c r="J458" s="44" t="n"/>
      <c r="K458" s="44" t="n"/>
      <c r="L458" s="44" t="n"/>
      <c r="M458" s="44" t="n"/>
      <c r="N458" s="44" t="n"/>
      <c r="O458" s="44" t="n"/>
    </row>
    <row r="459" ht="54" customHeight="1">
      <c r="A459" s="44" t="n"/>
      <c r="B459" s="44" t="n"/>
      <c r="C459" s="44" t="n"/>
      <c r="D459" s="44" t="n"/>
      <c r="E459" s="44" t="n"/>
      <c r="F459" s="44" t="n"/>
      <c r="G459" s="44" t="n"/>
      <c r="H459" s="44" t="n"/>
      <c r="I459" s="44" t="n"/>
      <c r="J459" s="44" t="n"/>
      <c r="K459" s="44" t="n"/>
      <c r="L459" s="44" t="n"/>
      <c r="M459" s="44" t="n"/>
      <c r="N459" s="44" t="n"/>
      <c r="O459" s="44" t="n"/>
    </row>
    <row r="460" ht="54" customHeight="1">
      <c r="A460" s="44" t="n"/>
      <c r="B460" s="44" t="n"/>
      <c r="C460" s="44" t="n"/>
      <c r="D460" s="44" t="n"/>
      <c r="E460" s="44" t="n"/>
      <c r="F460" s="44" t="n"/>
      <c r="G460" s="44" t="n"/>
      <c r="H460" s="44" t="n"/>
      <c r="I460" s="44" t="n"/>
      <c r="J460" s="44" t="n"/>
      <c r="K460" s="44" t="n"/>
      <c r="L460" s="44" t="n"/>
      <c r="M460" s="44" t="n"/>
      <c r="N460" s="44" t="n"/>
      <c r="O460" s="44" t="n"/>
    </row>
    <row r="461" ht="54" customHeight="1">
      <c r="A461" s="44" t="n"/>
      <c r="B461" s="44" t="n"/>
      <c r="C461" s="44" t="n"/>
      <c r="D461" s="44" t="n"/>
      <c r="E461" s="44" t="n"/>
      <c r="F461" s="44" t="n"/>
      <c r="G461" s="44" t="n"/>
      <c r="H461" s="44" t="n"/>
      <c r="I461" s="44" t="n"/>
      <c r="J461" s="44" t="n"/>
      <c r="K461" s="44" t="n"/>
      <c r="L461" s="44" t="n"/>
      <c r="M461" s="44" t="n"/>
      <c r="N461" s="44" t="n"/>
      <c r="O461" s="44" t="n"/>
    </row>
    <row r="462" ht="54" customHeight="1">
      <c r="A462" s="44" t="n"/>
      <c r="B462" s="44" t="n"/>
      <c r="C462" s="44" t="n"/>
      <c r="D462" s="44" t="n"/>
      <c r="E462" s="44" t="n"/>
      <c r="F462" s="44" t="n"/>
      <c r="G462" s="44" t="n"/>
      <c r="H462" s="44" t="n"/>
      <c r="I462" s="44" t="n"/>
      <c r="J462" s="44" t="n"/>
      <c r="K462" s="44" t="n"/>
      <c r="L462" s="44" t="n"/>
      <c r="M462" s="44" t="n"/>
      <c r="N462" s="44" t="n"/>
      <c r="O462" s="44" t="n"/>
    </row>
    <row r="463" ht="54" customHeight="1">
      <c r="A463" s="44" t="n"/>
      <c r="B463" s="44" t="n"/>
      <c r="C463" s="44" t="n"/>
      <c r="D463" s="44" t="n"/>
      <c r="E463" s="44" t="n"/>
      <c r="F463" s="44" t="n"/>
      <c r="G463" s="44" t="n"/>
      <c r="H463" s="44" t="n"/>
      <c r="I463" s="44" t="n"/>
      <c r="J463" s="44" t="n"/>
      <c r="K463" s="44" t="n"/>
      <c r="L463" s="44" t="n"/>
      <c r="M463" s="44" t="n"/>
      <c r="N463" s="44" t="n"/>
      <c r="O463" s="44" t="n"/>
    </row>
    <row r="464" ht="54" customHeight="1">
      <c r="A464" s="44" t="n"/>
      <c r="B464" s="44" t="n"/>
      <c r="C464" s="44" t="n"/>
      <c r="D464" s="44" t="n"/>
      <c r="E464" s="44" t="n"/>
      <c r="F464" s="44" t="n"/>
      <c r="G464" s="44" t="n"/>
      <c r="H464" s="44" t="n"/>
      <c r="I464" s="44" t="n"/>
      <c r="J464" s="44" t="n"/>
      <c r="K464" s="44" t="n"/>
      <c r="L464" s="44" t="n"/>
      <c r="M464" s="44" t="n"/>
      <c r="N464" s="44" t="n"/>
      <c r="O464" s="44" t="n"/>
    </row>
    <row r="465" ht="54" customHeight="1">
      <c r="A465" s="44" t="n"/>
      <c r="B465" s="44" t="n"/>
      <c r="C465" s="44" t="n"/>
      <c r="D465" s="44" t="n"/>
      <c r="E465" s="44" t="n"/>
      <c r="F465" s="44" t="n"/>
      <c r="G465" s="44" t="n"/>
      <c r="H465" s="44" t="n"/>
      <c r="I465" s="44" t="n"/>
      <c r="J465" s="44" t="n"/>
      <c r="K465" s="44" t="n"/>
      <c r="L465" s="44" t="n"/>
      <c r="M465" s="44" t="n"/>
      <c r="N465" s="44" t="n"/>
      <c r="O465" s="44" t="n"/>
    </row>
    <row r="466" ht="54" customHeight="1">
      <c r="A466" s="44" t="n"/>
      <c r="B466" s="44" t="n"/>
      <c r="C466" s="44" t="n"/>
      <c r="D466" s="44" t="n"/>
      <c r="E466" s="44" t="n"/>
      <c r="F466" s="44" t="n"/>
      <c r="G466" s="44" t="n"/>
      <c r="H466" s="44" t="n"/>
      <c r="I466" s="44" t="n"/>
      <c r="J466" s="44" t="n"/>
      <c r="K466" s="44" t="n"/>
      <c r="L466" s="44" t="n"/>
      <c r="M466" s="44" t="n"/>
      <c r="N466" s="44" t="n"/>
      <c r="O466" s="44" t="n"/>
    </row>
    <row r="467" ht="54" customHeight="1">
      <c r="A467" s="44" t="n"/>
      <c r="B467" s="44" t="n"/>
      <c r="C467" s="44" t="n"/>
      <c r="D467" s="44" t="n"/>
      <c r="E467" s="44" t="n"/>
      <c r="F467" s="44" t="n"/>
      <c r="G467" s="44" t="n"/>
      <c r="H467" s="44" t="n"/>
      <c r="I467" s="44" t="n"/>
      <c r="J467" s="44" t="n"/>
      <c r="K467" s="44" t="n"/>
      <c r="L467" s="44" t="n"/>
      <c r="M467" s="44" t="n"/>
      <c r="N467" s="44" t="n"/>
      <c r="O467" s="44" t="n"/>
    </row>
    <row r="468" ht="54" customHeight="1">
      <c r="A468" s="44" t="n"/>
      <c r="B468" s="44" t="n"/>
      <c r="C468" s="44" t="n"/>
      <c r="D468" s="44" t="n"/>
      <c r="E468" s="44" t="n"/>
      <c r="F468" s="44" t="n"/>
      <c r="G468" s="44" t="n"/>
      <c r="H468" s="44" t="n"/>
      <c r="I468" s="44" t="n"/>
      <c r="J468" s="44" t="n"/>
      <c r="K468" s="44" t="n"/>
      <c r="L468" s="44" t="n"/>
      <c r="M468" s="44" t="n"/>
      <c r="N468" s="44" t="n"/>
      <c r="O468" s="44" t="n"/>
    </row>
    <row r="469" ht="54" customHeight="1">
      <c r="A469" s="44" t="n"/>
      <c r="B469" s="44" t="n"/>
      <c r="C469" s="44" t="n"/>
      <c r="D469" s="44" t="n"/>
      <c r="E469" s="44" t="n"/>
      <c r="F469" s="44" t="n"/>
      <c r="G469" s="44" t="n"/>
      <c r="H469" s="44" t="n"/>
      <c r="I469" s="44" t="n"/>
      <c r="J469" s="44" t="n"/>
      <c r="K469" s="44" t="n"/>
      <c r="L469" s="44" t="n"/>
      <c r="M469" s="44" t="n"/>
      <c r="N469" s="44" t="n"/>
      <c r="O469" s="44" t="n"/>
    </row>
    <row r="470" ht="54" customHeight="1">
      <c r="A470" s="44" t="n"/>
      <c r="B470" s="44" t="n"/>
      <c r="C470" s="44" t="n"/>
      <c r="D470" s="44" t="n"/>
      <c r="E470" s="44" t="n"/>
      <c r="F470" s="44" t="n"/>
      <c r="G470" s="44" t="n"/>
      <c r="H470" s="44" t="n"/>
      <c r="I470" s="44" t="n"/>
      <c r="J470" s="44" t="n"/>
      <c r="K470" s="44" t="n"/>
      <c r="L470" s="44" t="n"/>
      <c r="M470" s="44" t="n"/>
      <c r="N470" s="44" t="n"/>
      <c r="O470" s="44" t="n"/>
    </row>
    <row r="471" ht="54" customHeight="1">
      <c r="A471" s="44" t="n"/>
      <c r="B471" s="44" t="n"/>
      <c r="C471" s="44" t="n"/>
      <c r="D471" s="44" t="n"/>
      <c r="E471" s="44" t="n"/>
      <c r="F471" s="44" t="n"/>
      <c r="G471" s="44" t="n"/>
      <c r="H471" s="44" t="n"/>
      <c r="I471" s="44" t="n"/>
      <c r="J471" s="44" t="n"/>
      <c r="K471" s="44" t="n"/>
      <c r="L471" s="44" t="n"/>
      <c r="M471" s="44" t="n"/>
      <c r="N471" s="44" t="n"/>
      <c r="O471" s="44" t="n"/>
    </row>
    <row r="472" ht="54" customHeight="1">
      <c r="A472" s="44" t="n"/>
      <c r="B472" s="44" t="n"/>
      <c r="C472" s="44" t="n"/>
      <c r="D472" s="44" t="n"/>
      <c r="E472" s="44" t="n"/>
      <c r="F472" s="44" t="n"/>
      <c r="G472" s="44" t="n"/>
      <c r="H472" s="44" t="n"/>
      <c r="I472" s="44" t="n"/>
      <c r="J472" s="44" t="n"/>
      <c r="K472" s="44" t="n"/>
      <c r="L472" s="44" t="n"/>
      <c r="M472" s="44" t="n"/>
      <c r="N472" s="44" t="n"/>
      <c r="O472" s="44" t="n"/>
    </row>
    <row r="473" ht="54" customHeight="1">
      <c r="A473" s="44" t="n"/>
      <c r="B473" s="44" t="n"/>
      <c r="C473" s="44" t="n"/>
      <c r="D473" s="44" t="n"/>
      <c r="E473" s="44" t="n"/>
      <c r="F473" s="44" t="n"/>
      <c r="G473" s="44" t="n"/>
      <c r="H473" s="44" t="n"/>
      <c r="I473" s="44" t="n"/>
      <c r="J473" s="44" t="n"/>
      <c r="K473" s="44" t="n"/>
      <c r="L473" s="44" t="n"/>
      <c r="M473" s="44" t="n"/>
      <c r="N473" s="44" t="n"/>
      <c r="O473" s="44" t="n"/>
    </row>
    <row r="474" ht="54" customHeight="1">
      <c r="A474" s="44" t="n"/>
      <c r="B474" s="44" t="n"/>
      <c r="C474" s="44" t="n"/>
      <c r="D474" s="44" t="n"/>
      <c r="E474" s="44" t="n"/>
      <c r="F474" s="44" t="n"/>
      <c r="G474" s="44" t="n"/>
      <c r="H474" s="44" t="n"/>
      <c r="I474" s="44" t="n"/>
      <c r="J474" s="44" t="n"/>
      <c r="K474" s="44" t="n"/>
      <c r="L474" s="44" t="n"/>
      <c r="M474" s="44" t="n"/>
      <c r="N474" s="44" t="n"/>
      <c r="O474" s="44" t="n"/>
    </row>
    <row r="475" ht="54" customHeight="1">
      <c r="A475" s="44" t="n"/>
      <c r="B475" s="44" t="n"/>
      <c r="C475" s="44" t="n"/>
      <c r="D475" s="44" t="n"/>
      <c r="E475" s="44" t="n"/>
      <c r="F475" s="44" t="n"/>
      <c r="G475" s="44" t="n"/>
      <c r="H475" s="44" t="n"/>
      <c r="I475" s="44" t="n"/>
      <c r="J475" s="44" t="n"/>
      <c r="K475" s="44" t="n"/>
      <c r="L475" s="44" t="n"/>
      <c r="M475" s="44" t="n"/>
      <c r="N475" s="44" t="n"/>
      <c r="O475" s="44" t="n"/>
    </row>
    <row r="476" ht="54" customHeight="1">
      <c r="A476" s="44" t="n"/>
      <c r="B476" s="44" t="n"/>
      <c r="C476" s="44" t="n"/>
      <c r="D476" s="44" t="n"/>
      <c r="E476" s="44" t="n"/>
      <c r="F476" s="44" t="n"/>
      <c r="G476" s="44" t="n"/>
      <c r="H476" s="44" t="n"/>
      <c r="I476" s="44" t="n"/>
      <c r="J476" s="44" t="n"/>
      <c r="K476" s="44" t="n"/>
      <c r="L476" s="44" t="n"/>
      <c r="M476" s="44" t="n"/>
      <c r="N476" s="44" t="n"/>
      <c r="O476" s="44" t="n"/>
    </row>
    <row r="477" ht="54" customHeight="1">
      <c r="A477" s="44" t="n"/>
      <c r="B477" s="44" t="n"/>
      <c r="C477" s="44" t="n"/>
      <c r="D477" s="44" t="n"/>
      <c r="E477" s="44" t="n"/>
      <c r="F477" s="44" t="n"/>
      <c r="G477" s="44" t="n"/>
      <c r="H477" s="44" t="n"/>
      <c r="I477" s="44" t="n"/>
      <c r="J477" s="44" t="n"/>
      <c r="K477" s="44" t="n"/>
      <c r="L477" s="44" t="n"/>
      <c r="M477" s="44" t="n"/>
      <c r="N477" s="44" t="n"/>
      <c r="O477" s="44" t="n"/>
    </row>
    <row r="478" ht="54" customHeight="1">
      <c r="A478" s="44" t="n"/>
      <c r="B478" s="44" t="n"/>
      <c r="C478" s="44" t="n"/>
      <c r="D478" s="44" t="n"/>
      <c r="E478" s="44" t="n"/>
      <c r="F478" s="44" t="n"/>
      <c r="G478" s="44" t="n"/>
      <c r="H478" s="44" t="n"/>
      <c r="I478" s="44" t="n"/>
      <c r="J478" s="44" t="n"/>
      <c r="K478" s="44" t="n"/>
      <c r="L478" s="44" t="n"/>
      <c r="M478" s="44" t="n"/>
      <c r="N478" s="44" t="n"/>
      <c r="O478" s="44" t="n"/>
    </row>
    <row r="479" ht="54" customHeight="1">
      <c r="A479" s="44" t="n"/>
      <c r="B479" s="44" t="n"/>
      <c r="C479" s="44" t="n"/>
      <c r="D479" s="44" t="n"/>
      <c r="E479" s="44" t="n"/>
      <c r="F479" s="44" t="n"/>
      <c r="G479" s="44" t="n"/>
      <c r="H479" s="44" t="n"/>
      <c r="I479" s="44" t="n"/>
      <c r="J479" s="44" t="n"/>
      <c r="K479" s="44" t="n"/>
      <c r="L479" s="44" t="n"/>
      <c r="M479" s="44" t="n"/>
      <c r="N479" s="44" t="n"/>
      <c r="O479" s="44" t="n"/>
    </row>
    <row r="480" ht="54" customHeight="1">
      <c r="A480" s="44" t="n"/>
      <c r="B480" s="44" t="n"/>
      <c r="C480" s="44" t="n"/>
      <c r="D480" s="44" t="n"/>
      <c r="E480" s="44" t="n"/>
      <c r="F480" s="44" t="n"/>
      <c r="G480" s="44" t="n"/>
      <c r="H480" s="44" t="n"/>
      <c r="I480" s="44" t="n"/>
      <c r="J480" s="44" t="n"/>
      <c r="K480" s="44" t="n"/>
      <c r="L480" s="44" t="n"/>
      <c r="M480" s="44" t="n"/>
      <c r="N480" s="44" t="n"/>
      <c r="O480" s="44" t="n"/>
    </row>
    <row r="481" ht="54" customHeight="1">
      <c r="A481" s="44" t="n"/>
      <c r="B481" s="44" t="n"/>
      <c r="C481" s="44" t="n"/>
      <c r="D481" s="44" t="n"/>
      <c r="E481" s="44" t="n"/>
      <c r="F481" s="44" t="n"/>
      <c r="G481" s="44" t="n"/>
      <c r="H481" s="44" t="n"/>
      <c r="I481" s="44" t="n"/>
      <c r="J481" s="44" t="n"/>
      <c r="K481" s="44" t="n"/>
      <c r="L481" s="44" t="n"/>
      <c r="M481" s="44" t="n"/>
      <c r="N481" s="44" t="n"/>
      <c r="O481" s="44" t="n"/>
    </row>
    <row r="482" ht="54" customHeight="1">
      <c r="A482" s="44" t="n"/>
      <c r="B482" s="44" t="n"/>
      <c r="C482" s="44" t="n"/>
      <c r="D482" s="44" t="n"/>
      <c r="E482" s="44" t="n"/>
      <c r="F482" s="44" t="n"/>
      <c r="G482" s="44" t="n"/>
      <c r="H482" s="44" t="n"/>
      <c r="I482" s="44" t="n"/>
      <c r="J482" s="44" t="n"/>
      <c r="K482" s="44" t="n"/>
      <c r="L482" s="44" t="n"/>
      <c r="M482" s="44" t="n"/>
      <c r="N482" s="44" t="n"/>
      <c r="O482" s="44" t="n"/>
    </row>
    <row r="483" ht="54" customHeight="1">
      <c r="A483" s="44" t="n"/>
      <c r="B483" s="44" t="n"/>
      <c r="C483" s="44" t="n"/>
      <c r="D483" s="44" t="n"/>
      <c r="E483" s="44" t="n"/>
      <c r="F483" s="44" t="n"/>
      <c r="G483" s="44" t="n"/>
      <c r="H483" s="44" t="n"/>
      <c r="I483" s="44" t="n"/>
      <c r="J483" s="44" t="n"/>
      <c r="K483" s="44" t="n"/>
      <c r="L483" s="44" t="n"/>
      <c r="M483" s="44" t="n"/>
      <c r="N483" s="44" t="n"/>
      <c r="O483" s="44" t="n"/>
    </row>
    <row r="484" ht="54" customHeight="1">
      <c r="A484" s="44" t="n"/>
      <c r="B484" s="44" t="n"/>
      <c r="C484" s="44" t="n"/>
      <c r="D484" s="44" t="n"/>
      <c r="E484" s="44" t="n"/>
      <c r="F484" s="44" t="n"/>
      <c r="G484" s="44" t="n"/>
      <c r="H484" s="44" t="n"/>
      <c r="I484" s="44" t="n"/>
      <c r="J484" s="44" t="n"/>
      <c r="K484" s="44" t="n"/>
      <c r="L484" s="44" t="n"/>
      <c r="M484" s="44" t="n"/>
      <c r="N484" s="44" t="n"/>
      <c r="O484" s="44" t="n"/>
    </row>
    <row r="485" ht="54" customHeight="1">
      <c r="A485" s="44" t="n"/>
      <c r="B485" s="44" t="n"/>
      <c r="C485" s="44" t="n"/>
      <c r="D485" s="44" t="n"/>
      <c r="E485" s="44" t="n"/>
      <c r="F485" s="44" t="n"/>
      <c r="G485" s="44" t="n"/>
      <c r="H485" s="44" t="n"/>
      <c r="I485" s="44" t="n"/>
      <c r="J485" s="44" t="n"/>
      <c r="K485" s="44" t="n"/>
      <c r="L485" s="44" t="n"/>
      <c r="M485" s="44" t="n"/>
      <c r="N485" s="44" t="n"/>
      <c r="O485" s="44" t="n"/>
    </row>
    <row r="486" ht="54" customHeight="1">
      <c r="A486" s="44" t="n"/>
      <c r="B486" s="44" t="n"/>
      <c r="C486" s="44" t="n"/>
      <c r="D486" s="44" t="n"/>
      <c r="E486" s="44" t="n"/>
      <c r="F486" s="44" t="n"/>
      <c r="G486" s="44" t="n"/>
      <c r="H486" s="44" t="n"/>
      <c r="I486" s="44" t="n"/>
      <c r="J486" s="44" t="n"/>
      <c r="K486" s="44" t="n"/>
      <c r="L486" s="44" t="n"/>
      <c r="M486" s="44" t="n"/>
      <c r="N486" s="44" t="n"/>
      <c r="O486" s="44" t="n"/>
    </row>
    <row r="487" ht="54" customHeight="1">
      <c r="A487" s="44" t="n"/>
      <c r="B487" s="44" t="n"/>
      <c r="C487" s="44" t="n"/>
      <c r="D487" s="44" t="n"/>
      <c r="E487" s="44" t="n"/>
      <c r="F487" s="44" t="n"/>
      <c r="G487" s="44" t="n"/>
      <c r="H487" s="44" t="n"/>
      <c r="I487" s="44" t="n"/>
      <c r="J487" s="44" t="n"/>
      <c r="K487" s="44" t="n"/>
      <c r="L487" s="44" t="n"/>
      <c r="M487" s="44" t="n"/>
      <c r="N487" s="44" t="n"/>
      <c r="O487" s="44" t="n"/>
    </row>
    <row r="488" ht="54" customHeight="1">
      <c r="A488" s="44" t="n"/>
      <c r="B488" s="44" t="n"/>
      <c r="C488" s="44" t="n"/>
      <c r="D488" s="44" t="n"/>
      <c r="E488" s="44" t="n"/>
      <c r="F488" s="44" t="n"/>
      <c r="G488" s="44" t="n"/>
      <c r="H488" s="44" t="n"/>
      <c r="I488" s="44" t="n"/>
      <c r="J488" s="44" t="n"/>
      <c r="K488" s="44" t="n"/>
      <c r="L488" s="44" t="n"/>
      <c r="M488" s="44" t="n"/>
      <c r="N488" s="44" t="n"/>
      <c r="O488" s="44" t="n"/>
    </row>
    <row r="489" ht="54" customHeight="1">
      <c r="A489" s="44" t="n"/>
      <c r="B489" s="44" t="n"/>
      <c r="C489" s="44" t="n"/>
      <c r="D489" s="44" t="n"/>
      <c r="E489" s="44" t="n"/>
      <c r="F489" s="44" t="n"/>
      <c r="G489" s="44" t="n"/>
      <c r="H489" s="44" t="n"/>
      <c r="I489" s="44" t="n"/>
      <c r="J489" s="44" t="n"/>
      <c r="K489" s="44" t="n"/>
      <c r="L489" s="44" t="n"/>
      <c r="M489" s="44" t="n"/>
      <c r="N489" s="44" t="n"/>
      <c r="O489" s="44" t="n"/>
    </row>
    <row r="490" ht="54" customHeight="1">
      <c r="A490" s="44" t="n"/>
      <c r="B490" s="44" t="n"/>
      <c r="C490" s="44" t="n"/>
      <c r="D490" s="44" t="n"/>
      <c r="E490" s="44" t="n"/>
      <c r="F490" s="44" t="n"/>
      <c r="G490" s="44" t="n"/>
      <c r="H490" s="44" t="n"/>
      <c r="I490" s="44" t="n"/>
      <c r="J490" s="44" t="n"/>
      <c r="K490" s="44" t="n"/>
      <c r="L490" s="44" t="n"/>
      <c r="M490" s="44" t="n"/>
      <c r="N490" s="44" t="n"/>
      <c r="O490" s="44" t="n"/>
    </row>
    <row r="491" ht="54" customHeight="1">
      <c r="A491" s="44" t="n"/>
      <c r="B491" s="44" t="n"/>
      <c r="C491" s="44" t="n"/>
      <c r="D491" s="44" t="n"/>
      <c r="E491" s="44" t="n"/>
      <c r="F491" s="44" t="n"/>
      <c r="G491" s="44" t="n"/>
      <c r="H491" s="44" t="n"/>
      <c r="I491" s="44" t="n"/>
      <c r="J491" s="44" t="n"/>
      <c r="K491" s="44" t="n"/>
      <c r="L491" s="44" t="n"/>
      <c r="M491" s="44" t="n"/>
      <c r="N491" s="44" t="n"/>
      <c r="O491" s="44" t="n"/>
    </row>
    <row r="492" ht="54" customHeight="1">
      <c r="A492" s="44" t="n"/>
      <c r="B492" s="44" t="n"/>
      <c r="C492" s="44" t="n"/>
      <c r="D492" s="44" t="n"/>
      <c r="E492" s="44" t="n"/>
      <c r="F492" s="44" t="n"/>
      <c r="G492" s="44" t="n"/>
      <c r="H492" s="44" t="n"/>
      <c r="I492" s="44" t="n"/>
      <c r="J492" s="44" t="n"/>
      <c r="K492" s="44" t="n"/>
      <c r="L492" s="44" t="n"/>
      <c r="M492" s="44" t="n"/>
      <c r="N492" s="44" t="n"/>
      <c r="O492" s="44" t="n"/>
    </row>
    <row r="493" ht="54" customHeight="1">
      <c r="A493" s="44" t="n"/>
      <c r="B493" s="44" t="n"/>
      <c r="C493" s="44" t="n"/>
      <c r="D493" s="44" t="n"/>
      <c r="E493" s="44" t="n"/>
      <c r="F493" s="44" t="n"/>
      <c r="G493" s="44" t="n"/>
      <c r="H493" s="44" t="n"/>
      <c r="I493" s="44" t="n"/>
      <c r="J493" s="44" t="n"/>
      <c r="K493" s="44" t="n"/>
      <c r="L493" s="44" t="n"/>
      <c r="M493" s="44" t="n"/>
      <c r="N493" s="44" t="n"/>
      <c r="O493" s="44" t="n"/>
    </row>
    <row r="494" ht="54" customHeight="1">
      <c r="A494" s="44" t="n"/>
      <c r="B494" s="44" t="n"/>
      <c r="C494" s="44" t="n"/>
      <c r="D494" s="44" t="n"/>
      <c r="E494" s="44" t="n"/>
      <c r="F494" s="44" t="n"/>
      <c r="G494" s="44" t="n"/>
      <c r="H494" s="44" t="n"/>
      <c r="I494" s="44" t="n"/>
      <c r="J494" s="44" t="n"/>
      <c r="K494" s="44" t="n"/>
      <c r="L494" s="44" t="n"/>
      <c r="M494" s="44" t="n"/>
      <c r="N494" s="44" t="n"/>
      <c r="O494" s="44" t="n"/>
    </row>
    <row r="495" ht="54" customHeight="1">
      <c r="A495" s="44" t="n"/>
      <c r="B495" s="44" t="n"/>
      <c r="C495" s="44" t="n"/>
      <c r="D495" s="44" t="n"/>
      <c r="E495" s="44" t="n"/>
      <c r="F495" s="44" t="n"/>
      <c r="G495" s="44" t="n"/>
      <c r="H495" s="44" t="n"/>
      <c r="I495" s="44" t="n"/>
      <c r="J495" s="44" t="n"/>
      <c r="K495" s="44" t="n"/>
      <c r="L495" s="44" t="n"/>
      <c r="M495" s="44" t="n"/>
      <c r="N495" s="44" t="n"/>
      <c r="O495" s="44" t="n"/>
    </row>
    <row r="496" ht="54" customHeight="1">
      <c r="A496" s="44" t="n"/>
      <c r="B496" s="44" t="n"/>
      <c r="C496" s="44" t="n"/>
      <c r="D496" s="44" t="n"/>
      <c r="E496" s="44" t="n"/>
      <c r="F496" s="44" t="n"/>
      <c r="G496" s="44" t="n"/>
      <c r="H496" s="44" t="n"/>
      <c r="I496" s="44" t="n"/>
      <c r="J496" s="44" t="n"/>
      <c r="K496" s="44" t="n"/>
      <c r="L496" s="44" t="n"/>
      <c r="M496" s="44" t="n"/>
      <c r="N496" s="44" t="n"/>
      <c r="O496" s="44" t="n"/>
    </row>
    <row r="497" ht="54" customHeight="1">
      <c r="A497" s="44" t="n"/>
      <c r="B497" s="44" t="n"/>
      <c r="C497" s="44" t="n"/>
      <c r="D497" s="44" t="n"/>
      <c r="E497" s="44" t="n"/>
      <c r="F497" s="44" t="n"/>
      <c r="G497" s="44" t="n"/>
      <c r="H497" s="44" t="n"/>
      <c r="I497" s="44" t="n"/>
      <c r="J497" s="44" t="n"/>
      <c r="K497" s="44" t="n"/>
      <c r="L497" s="44" t="n"/>
      <c r="M497" s="44" t="n"/>
      <c r="N497" s="44" t="n"/>
      <c r="O497" s="44" t="n"/>
    </row>
    <row r="498" ht="54" customHeight="1">
      <c r="A498" s="44" t="n"/>
      <c r="B498" s="44" t="n"/>
      <c r="C498" s="44" t="n"/>
      <c r="D498" s="44" t="n"/>
      <c r="E498" s="44" t="n"/>
      <c r="F498" s="44" t="n"/>
      <c r="G498" s="44" t="n"/>
      <c r="H498" s="44" t="n"/>
      <c r="I498" s="44" t="n"/>
      <c r="J498" s="44" t="n"/>
      <c r="K498" s="44" t="n"/>
      <c r="L498" s="44" t="n"/>
      <c r="M498" s="44" t="n"/>
      <c r="N498" s="44" t="n"/>
      <c r="O498" s="44" t="n"/>
    </row>
    <row r="499" ht="54" customHeight="1">
      <c r="A499" s="44" t="n"/>
      <c r="B499" s="44" t="n"/>
      <c r="C499" s="44" t="n"/>
      <c r="D499" s="44" t="n"/>
      <c r="E499" s="44" t="n"/>
      <c r="F499" s="44" t="n"/>
      <c r="G499" s="44" t="n"/>
      <c r="H499" s="44" t="n"/>
      <c r="I499" s="44" t="n"/>
      <c r="J499" s="44" t="n"/>
      <c r="K499" s="44" t="n"/>
      <c r="L499" s="44" t="n"/>
      <c r="M499" s="44" t="n"/>
      <c r="N499" s="44" t="n"/>
      <c r="O499" s="44" t="n"/>
    </row>
    <row r="500" ht="54" customHeight="1">
      <c r="A500" s="44" t="n"/>
      <c r="B500" s="44" t="n"/>
      <c r="C500" s="44" t="n"/>
      <c r="D500" s="44" t="n"/>
      <c r="E500" s="44" t="n"/>
      <c r="F500" s="44" t="n"/>
      <c r="G500" s="44" t="n"/>
      <c r="H500" s="44" t="n"/>
      <c r="I500" s="44" t="n"/>
      <c r="J500" s="44" t="n"/>
      <c r="K500" s="44" t="n"/>
      <c r="L500" s="44" t="n"/>
      <c r="M500" s="44" t="n"/>
      <c r="N500" s="44" t="n"/>
      <c r="O500" s="44" t="n"/>
    </row>
    <row r="501" ht="54" customHeight="1">
      <c r="A501" s="44" t="n"/>
      <c r="B501" s="44" t="n"/>
      <c r="C501" s="44" t="n"/>
      <c r="D501" s="44" t="n"/>
      <c r="E501" s="44" t="n"/>
      <c r="F501" s="44" t="n"/>
      <c r="G501" s="44" t="n"/>
      <c r="H501" s="44" t="n"/>
      <c r="I501" s="44" t="n"/>
      <c r="J501" s="44" t="n"/>
      <c r="K501" s="44" t="n"/>
      <c r="L501" s="44" t="n"/>
      <c r="M501" s="44" t="n"/>
      <c r="N501" s="44" t="n"/>
      <c r="O501" s="44" t="n"/>
    </row>
    <row r="502" ht="54" customHeight="1">
      <c r="A502" s="44" t="n"/>
      <c r="B502" s="44" t="n"/>
      <c r="C502" s="44" t="n"/>
      <c r="D502" s="44" t="n"/>
      <c r="E502" s="44" t="n"/>
      <c r="F502" s="44" t="n"/>
      <c r="G502" s="44" t="n"/>
      <c r="H502" s="44" t="n"/>
      <c r="I502" s="44" t="n"/>
      <c r="J502" s="44" t="n"/>
      <c r="K502" s="44" t="n"/>
      <c r="L502" s="44" t="n"/>
      <c r="M502" s="44" t="n"/>
      <c r="N502" s="44" t="n"/>
      <c r="O502" s="44" t="n"/>
    </row>
    <row r="503" ht="54" customHeight="1">
      <c r="A503" s="44" t="n"/>
      <c r="B503" s="44" t="n"/>
      <c r="C503" s="44" t="n"/>
      <c r="D503" s="44" t="n"/>
      <c r="E503" s="44" t="n"/>
      <c r="F503" s="44" t="n"/>
      <c r="G503" s="44" t="n"/>
      <c r="H503" s="44" t="n"/>
      <c r="I503" s="44" t="n"/>
      <c r="J503" s="44" t="n"/>
      <c r="K503" s="44" t="n"/>
      <c r="L503" s="44" t="n"/>
      <c r="M503" s="44" t="n"/>
      <c r="N503" s="44" t="n"/>
      <c r="O503" s="44" t="n"/>
    </row>
    <row r="504" ht="54" customHeight="1">
      <c r="A504" s="44" t="n"/>
      <c r="B504" s="44" t="n"/>
      <c r="C504" s="44" t="n"/>
      <c r="D504" s="44" t="n"/>
      <c r="E504" s="44" t="n"/>
      <c r="F504" s="44" t="n"/>
      <c r="G504" s="44" t="n"/>
      <c r="H504" s="44" t="n"/>
      <c r="I504" s="44" t="n"/>
      <c r="J504" s="44" t="n"/>
      <c r="K504" s="44" t="n"/>
      <c r="L504" s="44" t="n"/>
      <c r="M504" s="44" t="n"/>
      <c r="N504" s="44" t="n"/>
      <c r="O504" s="44" t="n"/>
    </row>
    <row r="505" ht="54" customHeight="1">
      <c r="A505" s="44" t="n"/>
      <c r="B505" s="44" t="n"/>
      <c r="C505" s="44" t="n"/>
      <c r="D505" s="44" t="n"/>
      <c r="E505" s="44" t="n"/>
      <c r="F505" s="44" t="n"/>
      <c r="G505" s="44" t="n"/>
      <c r="H505" s="44" t="n"/>
      <c r="I505" s="44" t="n"/>
      <c r="J505" s="44" t="n"/>
      <c r="K505" s="44" t="n"/>
      <c r="L505" s="44" t="n"/>
      <c r="M505" s="44" t="n"/>
      <c r="N505" s="44" t="n"/>
      <c r="O505" s="44" t="n"/>
    </row>
    <row r="506" ht="54" customHeight="1">
      <c r="A506" s="44" t="n"/>
      <c r="B506" s="44" t="n"/>
      <c r="C506" s="44" t="n"/>
      <c r="D506" s="44" t="n"/>
      <c r="E506" s="44" t="n"/>
      <c r="F506" s="44" t="n"/>
      <c r="G506" s="44" t="n"/>
      <c r="H506" s="44" t="n"/>
      <c r="I506" s="44" t="n"/>
      <c r="J506" s="44" t="n"/>
      <c r="K506" s="44" t="n"/>
      <c r="L506" s="44" t="n"/>
      <c r="M506" s="44" t="n"/>
      <c r="N506" s="44" t="n"/>
      <c r="O506" s="44" t="n"/>
    </row>
    <row r="507" ht="54" customHeight="1">
      <c r="A507" s="44" t="n"/>
      <c r="B507" s="44" t="n"/>
      <c r="C507" s="44" t="n"/>
      <c r="D507" s="44" t="n"/>
      <c r="E507" s="44" t="n"/>
      <c r="F507" s="44" t="n"/>
      <c r="G507" s="44" t="n"/>
      <c r="H507" s="44" t="n"/>
      <c r="I507" s="44" t="n"/>
      <c r="J507" s="44" t="n"/>
      <c r="K507" s="44" t="n"/>
      <c r="L507" s="44" t="n"/>
      <c r="M507" s="44" t="n"/>
      <c r="N507" s="44" t="n"/>
      <c r="O507" s="44" t="n"/>
    </row>
    <row r="508" ht="54" customHeight="1">
      <c r="A508" s="44" t="n"/>
      <c r="B508" s="44" t="n"/>
      <c r="C508" s="44" t="n"/>
      <c r="D508" s="44" t="n"/>
      <c r="E508" s="44" t="n"/>
      <c r="F508" s="44" t="n"/>
      <c r="G508" s="44" t="n"/>
      <c r="H508" s="44" t="n"/>
      <c r="I508" s="44" t="n"/>
      <c r="J508" s="44" t="n"/>
      <c r="K508" s="44" t="n"/>
      <c r="L508" s="44" t="n"/>
      <c r="M508" s="44" t="n"/>
      <c r="N508" s="44" t="n"/>
      <c r="O508" s="44" t="n"/>
    </row>
    <row r="509" ht="54" customHeight="1">
      <c r="A509" s="44" t="n"/>
      <c r="B509" s="44" t="n"/>
      <c r="C509" s="44" t="n"/>
      <c r="D509" s="44" t="n"/>
      <c r="E509" s="44" t="n"/>
      <c r="F509" s="44" t="n"/>
      <c r="G509" s="44" t="n"/>
      <c r="H509" s="44" t="n"/>
      <c r="I509" s="44" t="n"/>
      <c r="J509" s="44" t="n"/>
      <c r="K509" s="44" t="n"/>
      <c r="L509" s="44" t="n"/>
      <c r="M509" s="44" t="n"/>
      <c r="N509" s="44" t="n"/>
      <c r="O509" s="44" t="n"/>
    </row>
    <row r="510" ht="54" customHeight="1">
      <c r="A510" s="44" t="n"/>
      <c r="B510" s="44" t="n"/>
      <c r="C510" s="44" t="n"/>
      <c r="D510" s="44" t="n"/>
      <c r="E510" s="44" t="n"/>
      <c r="F510" s="44" t="n"/>
      <c r="G510" s="44" t="n"/>
      <c r="H510" s="44" t="n"/>
      <c r="I510" s="44" t="n"/>
      <c r="J510" s="44" t="n"/>
      <c r="K510" s="44" t="n"/>
      <c r="L510" s="44" t="n"/>
      <c r="M510" s="44" t="n"/>
      <c r="N510" s="44" t="n"/>
      <c r="O510" s="44" t="n"/>
    </row>
    <row r="511" ht="54" customHeight="1">
      <c r="A511" s="44" t="n"/>
      <c r="B511" s="44" t="n"/>
      <c r="C511" s="44" t="n"/>
      <c r="D511" s="44" t="n"/>
      <c r="E511" s="44" t="n"/>
      <c r="F511" s="44" t="n"/>
      <c r="G511" s="44" t="n"/>
      <c r="H511" s="44" t="n"/>
      <c r="I511" s="44" t="n"/>
      <c r="J511" s="44" t="n"/>
      <c r="K511" s="44" t="n"/>
      <c r="L511" s="44" t="n"/>
      <c r="M511" s="44" t="n"/>
      <c r="N511" s="44" t="n"/>
      <c r="O511" s="44" t="n"/>
    </row>
    <row r="512" ht="54" customHeight="1">
      <c r="A512" s="44" t="n"/>
      <c r="B512" s="44" t="n"/>
      <c r="C512" s="44" t="n"/>
      <c r="D512" s="44" t="n"/>
      <c r="E512" s="44" t="n"/>
      <c r="F512" s="44" t="n"/>
      <c r="G512" s="44" t="n"/>
      <c r="H512" s="44" t="n"/>
      <c r="I512" s="44" t="n"/>
      <c r="J512" s="44" t="n"/>
      <c r="K512" s="44" t="n"/>
      <c r="L512" s="44" t="n"/>
      <c r="M512" s="44" t="n"/>
      <c r="N512" s="44" t="n"/>
      <c r="O512" s="44" t="n"/>
    </row>
    <row r="513" ht="54" customHeight="1">
      <c r="A513" s="44" t="n"/>
      <c r="B513" s="44" t="n"/>
      <c r="C513" s="44" t="n"/>
      <c r="D513" s="44" t="n"/>
      <c r="E513" s="44" t="n"/>
      <c r="F513" s="44" t="n"/>
      <c r="G513" s="44" t="n"/>
      <c r="H513" s="44" t="n"/>
      <c r="I513" s="44" t="n"/>
      <c r="J513" s="44" t="n"/>
      <c r="K513" s="44" t="n"/>
      <c r="L513" s="44" t="n"/>
      <c r="M513" s="44" t="n"/>
      <c r="N513" s="44" t="n"/>
      <c r="O513" s="44" t="n"/>
    </row>
    <row r="514" ht="54" customHeight="1">
      <c r="A514" s="44" t="n"/>
      <c r="B514" s="44" t="n"/>
      <c r="C514" s="44" t="n"/>
      <c r="D514" s="44" t="n"/>
      <c r="E514" s="44" t="n"/>
      <c r="F514" s="44" t="n"/>
      <c r="G514" s="44" t="n"/>
      <c r="H514" s="44" t="n"/>
      <c r="I514" s="44" t="n"/>
      <c r="J514" s="44" t="n"/>
      <c r="K514" s="44" t="n"/>
      <c r="L514" s="44" t="n"/>
      <c r="M514" s="44" t="n"/>
      <c r="N514" s="44" t="n"/>
      <c r="O514" s="44" t="n"/>
    </row>
    <row r="515" ht="54" customHeight="1">
      <c r="A515" s="44" t="n"/>
      <c r="B515" s="44" t="n"/>
      <c r="C515" s="44" t="n"/>
      <c r="D515" s="44" t="n"/>
      <c r="E515" s="44" t="n"/>
      <c r="F515" s="44" t="n"/>
      <c r="G515" s="44" t="n"/>
      <c r="H515" s="44" t="n"/>
      <c r="I515" s="44" t="n"/>
      <c r="J515" s="44" t="n"/>
      <c r="K515" s="44" t="n"/>
      <c r="L515" s="44" t="n"/>
      <c r="M515" s="44" t="n"/>
      <c r="N515" s="44" t="n"/>
      <c r="O515" s="44" t="n"/>
    </row>
    <row r="516" ht="54" customHeight="1">
      <c r="A516" s="44" t="n"/>
      <c r="B516" s="44" t="n"/>
      <c r="C516" s="44" t="n"/>
      <c r="D516" s="44" t="n"/>
      <c r="E516" s="44" t="n"/>
      <c r="F516" s="44" t="n"/>
      <c r="G516" s="44" t="n"/>
      <c r="H516" s="44" t="n"/>
      <c r="I516" s="44" t="n"/>
      <c r="J516" s="44" t="n"/>
      <c r="K516" s="44" t="n"/>
      <c r="L516" s="44" t="n"/>
      <c r="M516" s="44" t="n"/>
      <c r="N516" s="44" t="n"/>
      <c r="O516" s="44" t="n"/>
    </row>
    <row r="517" ht="54" customHeight="1">
      <c r="A517" s="44" t="n"/>
      <c r="B517" s="44" t="n"/>
      <c r="C517" s="44" t="n"/>
      <c r="D517" s="44" t="n"/>
      <c r="E517" s="44" t="n"/>
      <c r="F517" s="44" t="n"/>
      <c r="G517" s="44" t="n"/>
      <c r="H517" s="44" t="n"/>
      <c r="I517" s="44" t="n"/>
      <c r="J517" s="44" t="n"/>
      <c r="K517" s="44" t="n"/>
      <c r="L517" s="44" t="n"/>
      <c r="M517" s="44" t="n"/>
      <c r="N517" s="44" t="n"/>
      <c r="O517" s="44" t="n"/>
    </row>
    <row r="518" ht="54" customHeight="1">
      <c r="A518" s="44" t="n"/>
      <c r="B518" s="44" t="n"/>
      <c r="C518" s="44" t="n"/>
      <c r="D518" s="44" t="n"/>
      <c r="E518" s="44" t="n"/>
      <c r="F518" s="44" t="n"/>
      <c r="G518" s="44" t="n"/>
      <c r="H518" s="44" t="n"/>
      <c r="I518" s="44" t="n"/>
      <c r="J518" s="44" t="n"/>
      <c r="K518" s="44" t="n"/>
      <c r="L518" s="44" t="n"/>
      <c r="M518" s="44" t="n"/>
      <c r="N518" s="44" t="n"/>
      <c r="O518" s="44" t="n"/>
    </row>
    <row r="519" ht="54" customHeight="1">
      <c r="A519" s="44" t="n"/>
      <c r="B519" s="44" t="n"/>
      <c r="C519" s="44" t="n"/>
      <c r="D519" s="44" t="n"/>
      <c r="E519" s="44" t="n"/>
      <c r="F519" s="44" t="n"/>
      <c r="G519" s="44" t="n"/>
      <c r="H519" s="44" t="n"/>
      <c r="I519" s="44" t="n"/>
      <c r="J519" s="44" t="n"/>
      <c r="K519" s="44" t="n"/>
      <c r="L519" s="44" t="n"/>
      <c r="M519" s="44" t="n"/>
      <c r="N519" s="44" t="n"/>
      <c r="O519" s="44" t="n"/>
    </row>
    <row r="520" ht="54" customHeight="1">
      <c r="A520" s="44" t="n"/>
      <c r="B520" s="44" t="n"/>
      <c r="C520" s="44" t="n"/>
      <c r="D520" s="44" t="n"/>
      <c r="E520" s="44" t="n"/>
      <c r="F520" s="44" t="n"/>
      <c r="G520" s="44" t="n"/>
      <c r="H520" s="44" t="n"/>
      <c r="I520" s="44" t="n"/>
      <c r="J520" s="44" t="n"/>
      <c r="K520" s="44" t="n"/>
      <c r="L520" s="44" t="n"/>
      <c r="M520" s="44" t="n"/>
      <c r="N520" s="44" t="n"/>
      <c r="O520" s="44" t="n"/>
    </row>
    <row r="521" ht="54" customHeight="1">
      <c r="A521" s="44" t="n"/>
      <c r="B521" s="44" t="n"/>
      <c r="C521" s="44" t="n"/>
      <c r="D521" s="44" t="n"/>
      <c r="E521" s="44" t="n"/>
      <c r="F521" s="44" t="n"/>
      <c r="G521" s="44" t="n"/>
      <c r="H521" s="44" t="n"/>
      <c r="I521" s="44" t="n"/>
      <c r="J521" s="44" t="n"/>
      <c r="K521" s="44" t="n"/>
      <c r="L521" s="44" t="n"/>
      <c r="M521" s="44" t="n"/>
      <c r="N521" s="44" t="n"/>
      <c r="O521" s="44" t="n"/>
    </row>
    <row r="522" ht="54" customHeight="1">
      <c r="A522" s="44" t="n"/>
      <c r="B522" s="44" t="n"/>
      <c r="C522" s="44" t="n"/>
      <c r="D522" s="44" t="n"/>
      <c r="E522" s="44" t="n"/>
      <c r="F522" s="44" t="n"/>
      <c r="G522" s="44" t="n"/>
      <c r="H522" s="44" t="n"/>
      <c r="I522" s="44" t="n"/>
      <c r="J522" s="44" t="n"/>
      <c r="K522" s="44" t="n"/>
      <c r="L522" s="44" t="n"/>
      <c r="M522" s="44" t="n"/>
      <c r="N522" s="44" t="n"/>
      <c r="O522" s="44" t="n"/>
    </row>
    <row r="523" ht="54" customHeight="1">
      <c r="A523" s="44" t="n"/>
      <c r="B523" s="44" t="n"/>
      <c r="C523" s="44" t="n"/>
      <c r="D523" s="44" t="n"/>
      <c r="E523" s="44" t="n"/>
      <c r="F523" s="44" t="n"/>
      <c r="G523" s="44" t="n"/>
      <c r="H523" s="44" t="n"/>
      <c r="I523" s="44" t="n"/>
      <c r="J523" s="44" t="n"/>
      <c r="K523" s="44" t="n"/>
      <c r="L523" s="44" t="n"/>
      <c r="M523" s="44" t="n"/>
      <c r="N523" s="44" t="n"/>
      <c r="O523" s="44" t="n"/>
    </row>
    <row r="524" ht="54" customHeight="1">
      <c r="A524" s="44" t="n"/>
      <c r="B524" s="44" t="n"/>
      <c r="C524" s="44" t="n"/>
      <c r="D524" s="44" t="n"/>
      <c r="E524" s="44" t="n"/>
      <c r="F524" s="44" t="n"/>
      <c r="G524" s="44" t="n"/>
      <c r="H524" s="44" t="n"/>
      <c r="I524" s="44" t="n"/>
      <c r="J524" s="44" t="n"/>
      <c r="K524" s="44" t="n"/>
      <c r="L524" s="44" t="n"/>
      <c r="M524" s="44" t="n"/>
      <c r="N524" s="44" t="n"/>
      <c r="O524" s="44" t="n"/>
    </row>
    <row r="525" ht="54" customHeight="1">
      <c r="A525" s="44" t="n"/>
      <c r="B525" s="44" t="n"/>
      <c r="C525" s="44" t="n"/>
      <c r="D525" s="44" t="n"/>
      <c r="E525" s="44" t="n"/>
      <c r="F525" s="44" t="n"/>
      <c r="G525" s="44" t="n"/>
      <c r="H525" s="44" t="n"/>
      <c r="I525" s="44" t="n"/>
      <c r="J525" s="44" t="n"/>
      <c r="K525" s="44" t="n"/>
      <c r="L525" s="44" t="n"/>
      <c r="M525" s="44" t="n"/>
      <c r="N525" s="44" t="n"/>
      <c r="O525" s="44" t="n"/>
    </row>
    <row r="526" ht="54" customHeight="1">
      <c r="A526" s="44" t="n"/>
      <c r="B526" s="44" t="n"/>
      <c r="C526" s="44" t="n"/>
      <c r="D526" s="44" t="n"/>
      <c r="E526" s="44" t="n"/>
      <c r="F526" s="44" t="n"/>
      <c r="G526" s="44" t="n"/>
      <c r="H526" s="44" t="n"/>
      <c r="I526" s="44" t="n"/>
      <c r="J526" s="44" t="n"/>
      <c r="K526" s="44" t="n"/>
      <c r="L526" s="44" t="n"/>
      <c r="M526" s="44" t="n"/>
      <c r="N526" s="44" t="n"/>
      <c r="O526" s="44" t="n"/>
    </row>
    <row r="527" ht="54" customHeight="1">
      <c r="A527" s="44" t="n"/>
      <c r="B527" s="44" t="n"/>
      <c r="C527" s="44" t="n"/>
      <c r="D527" s="44" t="n"/>
      <c r="E527" s="44" t="n"/>
      <c r="F527" s="44" t="n"/>
      <c r="G527" s="44" t="n"/>
      <c r="H527" s="44" t="n"/>
      <c r="I527" s="44" t="n"/>
      <c r="J527" s="44" t="n"/>
      <c r="K527" s="44" t="n"/>
      <c r="L527" s="44" t="n"/>
      <c r="M527" s="44" t="n"/>
      <c r="N527" s="44" t="n"/>
      <c r="O527" s="44" t="n"/>
    </row>
    <row r="528" ht="54" customHeight="1">
      <c r="A528" s="44" t="n"/>
      <c r="B528" s="44" t="n"/>
      <c r="C528" s="44" t="n"/>
      <c r="D528" s="44" t="n"/>
      <c r="E528" s="44" t="n"/>
      <c r="F528" s="44" t="n"/>
      <c r="G528" s="44" t="n"/>
      <c r="H528" s="44" t="n"/>
      <c r="I528" s="44" t="n"/>
      <c r="J528" s="44" t="n"/>
      <c r="K528" s="44" t="n"/>
      <c r="L528" s="44" t="n"/>
      <c r="M528" s="44" t="n"/>
      <c r="N528" s="44" t="n"/>
      <c r="O528" s="44" t="n"/>
    </row>
    <row r="529" ht="54" customHeight="1">
      <c r="A529" s="44" t="n"/>
      <c r="B529" s="44" t="n"/>
      <c r="C529" s="44" t="n"/>
      <c r="D529" s="44" t="n"/>
      <c r="E529" s="44" t="n"/>
      <c r="F529" s="44" t="n"/>
      <c r="G529" s="44" t="n"/>
      <c r="H529" s="44" t="n"/>
      <c r="I529" s="44" t="n"/>
      <c r="J529" s="44" t="n"/>
      <c r="K529" s="44" t="n"/>
      <c r="L529" s="44" t="n"/>
      <c r="M529" s="44" t="n"/>
      <c r="N529" s="44" t="n"/>
      <c r="O529" s="44" t="n"/>
    </row>
    <row r="530" ht="54" customHeight="1">
      <c r="A530" s="44" t="n"/>
      <c r="B530" s="44" t="n"/>
      <c r="C530" s="44" t="n"/>
      <c r="D530" s="44" t="n"/>
      <c r="E530" s="44" t="n"/>
      <c r="F530" s="44" t="n"/>
      <c r="G530" s="44" t="n"/>
      <c r="H530" s="44" t="n"/>
      <c r="I530" s="44" t="n"/>
      <c r="J530" s="44" t="n"/>
      <c r="K530" s="44" t="n"/>
      <c r="L530" s="44" t="n"/>
      <c r="M530" s="44" t="n"/>
      <c r="N530" s="44" t="n"/>
      <c r="O530" s="44" t="n"/>
    </row>
    <row r="531" ht="54" customHeight="1">
      <c r="A531" s="44" t="n"/>
      <c r="B531" s="44" t="n"/>
      <c r="C531" s="44" t="n"/>
      <c r="D531" s="44" t="n"/>
      <c r="E531" s="44" t="n"/>
      <c r="F531" s="44" t="n"/>
      <c r="G531" s="44" t="n"/>
      <c r="H531" s="44" t="n"/>
      <c r="I531" s="44" t="n"/>
      <c r="J531" s="44" t="n"/>
      <c r="K531" s="44" t="n"/>
      <c r="L531" s="44" t="n"/>
      <c r="M531" s="44" t="n"/>
      <c r="N531" s="44" t="n"/>
      <c r="O531" s="44" t="n"/>
    </row>
    <row r="532" ht="54" customHeight="1">
      <c r="A532" s="44" t="n"/>
      <c r="B532" s="44" t="n"/>
      <c r="C532" s="44" t="n"/>
      <c r="D532" s="44" t="n"/>
      <c r="E532" s="44" t="n"/>
      <c r="F532" s="44" t="n"/>
      <c r="G532" s="44" t="n"/>
      <c r="H532" s="44" t="n"/>
      <c r="I532" s="44" t="n"/>
      <c r="J532" s="44" t="n"/>
      <c r="K532" s="44" t="n"/>
      <c r="L532" s="44" t="n"/>
      <c r="M532" s="44" t="n"/>
      <c r="N532" s="44" t="n"/>
      <c r="O532" s="44" t="n"/>
    </row>
    <row r="533" ht="54" customHeight="1">
      <c r="A533" s="44" t="n"/>
      <c r="B533" s="44" t="n"/>
      <c r="C533" s="44" t="n"/>
      <c r="D533" s="44" t="n"/>
      <c r="E533" s="44" t="n"/>
      <c r="F533" s="44" t="n"/>
      <c r="G533" s="44" t="n"/>
      <c r="H533" s="44" t="n"/>
      <c r="I533" s="44" t="n"/>
      <c r="J533" s="44" t="n"/>
      <c r="K533" s="44" t="n"/>
      <c r="L533" s="44" t="n"/>
      <c r="M533" s="44" t="n"/>
      <c r="N533" s="44" t="n"/>
      <c r="O533" s="44" t="n"/>
    </row>
    <row r="534" ht="54" customHeight="1">
      <c r="A534" s="44" t="n"/>
      <c r="B534" s="44" t="n"/>
      <c r="C534" s="44" t="n"/>
      <c r="D534" s="44" t="n"/>
      <c r="E534" s="44" t="n"/>
      <c r="F534" s="44" t="n"/>
      <c r="G534" s="44" t="n"/>
      <c r="H534" s="44" t="n"/>
      <c r="I534" s="44" t="n"/>
      <c r="J534" s="44" t="n"/>
      <c r="K534" s="44" t="n"/>
      <c r="L534" s="44" t="n"/>
      <c r="M534" s="44" t="n"/>
      <c r="N534" s="44" t="n"/>
      <c r="O534" s="44" t="n"/>
    </row>
    <row r="535" ht="54" customHeight="1">
      <c r="A535" s="44" t="n"/>
      <c r="B535" s="44" t="n"/>
      <c r="C535" s="44" t="n"/>
      <c r="D535" s="44" t="n"/>
      <c r="E535" s="44" t="n"/>
      <c r="F535" s="44" t="n"/>
      <c r="G535" s="44" t="n"/>
      <c r="H535" s="44" t="n"/>
      <c r="I535" s="44" t="n"/>
      <c r="J535" s="44" t="n"/>
      <c r="K535" s="44" t="n"/>
      <c r="L535" s="44" t="n"/>
      <c r="M535" s="44" t="n"/>
      <c r="N535" s="44" t="n"/>
      <c r="O535" s="44" t="n"/>
    </row>
    <row r="536" ht="54" customHeight="1">
      <c r="A536" s="44" t="n"/>
      <c r="B536" s="44" t="n"/>
      <c r="C536" s="44" t="n"/>
      <c r="D536" s="44" t="n"/>
      <c r="E536" s="44" t="n"/>
      <c r="F536" s="44" t="n"/>
      <c r="G536" s="44" t="n"/>
      <c r="H536" s="44" t="n"/>
      <c r="I536" s="44" t="n"/>
      <c r="J536" s="44" t="n"/>
      <c r="K536" s="44" t="n"/>
      <c r="L536" s="44" t="n"/>
      <c r="M536" s="44" t="n"/>
      <c r="N536" s="44" t="n"/>
      <c r="O536" s="44" t="n"/>
    </row>
    <row r="537" ht="54" customHeight="1">
      <c r="A537" s="44" t="n"/>
      <c r="B537" s="44" t="n"/>
      <c r="C537" s="44" t="n"/>
      <c r="D537" s="44" t="n"/>
      <c r="E537" s="44" t="n"/>
      <c r="F537" s="44" t="n"/>
      <c r="G537" s="44" t="n"/>
      <c r="H537" s="44" t="n"/>
      <c r="I537" s="44" t="n"/>
      <c r="J537" s="44" t="n"/>
      <c r="K537" s="44" t="n"/>
      <c r="L537" s="44" t="n"/>
      <c r="M537" s="44" t="n"/>
      <c r="N537" s="44" t="n"/>
      <c r="O537" s="44" t="n"/>
    </row>
    <row r="538" ht="54" customHeight="1">
      <c r="A538" s="44" t="n"/>
      <c r="B538" s="44" t="n"/>
      <c r="C538" s="44" t="n"/>
      <c r="D538" s="44" t="n"/>
      <c r="E538" s="44" t="n"/>
      <c r="F538" s="44" t="n"/>
      <c r="G538" s="44" t="n"/>
      <c r="H538" s="44" t="n"/>
      <c r="I538" s="44" t="n"/>
      <c r="J538" s="44" t="n"/>
      <c r="K538" s="44" t="n"/>
      <c r="L538" s="44" t="n"/>
      <c r="M538" s="44" t="n"/>
      <c r="N538" s="44" t="n"/>
      <c r="O538" s="44" t="n"/>
    </row>
    <row r="539" ht="54" customHeight="1">
      <c r="A539" s="44" t="n"/>
      <c r="B539" s="44" t="n"/>
      <c r="C539" s="44" t="n"/>
      <c r="D539" s="44" t="n"/>
      <c r="E539" s="44" t="n"/>
      <c r="F539" s="44" t="n"/>
      <c r="G539" s="44" t="n"/>
      <c r="H539" s="44" t="n"/>
      <c r="I539" s="44" t="n"/>
      <c r="J539" s="44" t="n"/>
      <c r="K539" s="44" t="n"/>
      <c r="L539" s="44" t="n"/>
      <c r="M539" s="44" t="n"/>
      <c r="N539" s="44" t="n"/>
      <c r="O539" s="44" t="n"/>
    </row>
    <row r="540" ht="54" customHeight="1">
      <c r="A540" s="44" t="n"/>
      <c r="B540" s="44" t="n"/>
      <c r="C540" s="44" t="n"/>
      <c r="D540" s="44" t="n"/>
      <c r="E540" s="44" t="n"/>
      <c r="F540" s="44" t="n"/>
      <c r="G540" s="44" t="n"/>
      <c r="H540" s="44" t="n"/>
      <c r="I540" s="44" t="n"/>
      <c r="J540" s="44" t="n"/>
      <c r="K540" s="44" t="n"/>
      <c r="L540" s="44" t="n"/>
      <c r="M540" s="44" t="n"/>
      <c r="N540" s="44" t="n"/>
      <c r="O540" s="44" t="n"/>
    </row>
    <row r="541" ht="54" customHeight="1">
      <c r="A541" s="44" t="n"/>
      <c r="B541" s="44" t="n"/>
      <c r="C541" s="44" t="n"/>
      <c r="D541" s="44" t="n"/>
      <c r="E541" s="44" t="n"/>
      <c r="F541" s="44" t="n"/>
      <c r="G541" s="44" t="n"/>
      <c r="H541" s="44" t="n"/>
      <c r="I541" s="44" t="n"/>
      <c r="J541" s="44" t="n"/>
      <c r="K541" s="44" t="n"/>
      <c r="L541" s="44" t="n"/>
      <c r="M541" s="44" t="n"/>
      <c r="N541" s="44" t="n"/>
      <c r="O541" s="44" t="n"/>
    </row>
    <row r="542" ht="54" customHeight="1">
      <c r="A542" s="44" t="n"/>
      <c r="B542" s="44" t="n"/>
      <c r="C542" s="44" t="n"/>
      <c r="D542" s="44" t="n"/>
      <c r="E542" s="44" t="n"/>
      <c r="F542" s="44" t="n"/>
      <c r="G542" s="44" t="n"/>
      <c r="H542" s="44" t="n"/>
      <c r="I542" s="44" t="n"/>
      <c r="J542" s="44" t="n"/>
      <c r="K542" s="44" t="n"/>
      <c r="L542" s="44" t="n"/>
      <c r="M542" s="44" t="n"/>
      <c r="N542" s="44" t="n"/>
      <c r="O542" s="44" t="n"/>
    </row>
    <row r="543" ht="54" customHeight="1">
      <c r="A543" s="44" t="n"/>
      <c r="B543" s="44" t="n"/>
      <c r="C543" s="44" t="n"/>
      <c r="D543" s="44" t="n"/>
      <c r="E543" s="44" t="n"/>
      <c r="F543" s="44" t="n"/>
      <c r="G543" s="44" t="n"/>
      <c r="H543" s="44" t="n"/>
      <c r="I543" s="44" t="n"/>
      <c r="J543" s="44" t="n"/>
      <c r="K543" s="44" t="n"/>
      <c r="L543" s="44" t="n"/>
      <c r="M543" s="44" t="n"/>
      <c r="N543" s="44" t="n"/>
      <c r="O543" s="44" t="n"/>
    </row>
    <row r="544" ht="54" customHeight="1">
      <c r="A544" s="44" t="n"/>
      <c r="B544" s="44" t="n"/>
      <c r="C544" s="44" t="n"/>
      <c r="D544" s="44" t="n"/>
      <c r="E544" s="44" t="n"/>
      <c r="F544" s="44" t="n"/>
      <c r="G544" s="44" t="n"/>
      <c r="H544" s="44" t="n"/>
      <c r="I544" s="44" t="n"/>
      <c r="J544" s="44" t="n"/>
      <c r="K544" s="44" t="n"/>
      <c r="L544" s="44" t="n"/>
      <c r="M544" s="44" t="n"/>
      <c r="N544" s="44" t="n"/>
      <c r="O544" s="44" t="n"/>
    </row>
    <row r="545" ht="54" customHeight="1">
      <c r="A545" s="44" t="n"/>
      <c r="B545" s="44" t="n"/>
      <c r="C545" s="44" t="n"/>
      <c r="D545" s="44" t="n"/>
      <c r="E545" s="44" t="n"/>
      <c r="F545" s="44" t="n"/>
      <c r="G545" s="44" t="n"/>
      <c r="H545" s="44" t="n"/>
      <c r="I545" s="44" t="n"/>
      <c r="J545" s="44" t="n"/>
      <c r="K545" s="44" t="n"/>
      <c r="L545" s="44" t="n"/>
      <c r="M545" s="44" t="n"/>
      <c r="N545" s="44" t="n"/>
      <c r="O545" s="44" t="n"/>
    </row>
    <row r="546" ht="54" customHeight="1">
      <c r="A546" s="44" t="n"/>
      <c r="B546" s="44" t="n"/>
      <c r="C546" s="44" t="n"/>
      <c r="D546" s="44" t="n"/>
      <c r="E546" s="44" t="n"/>
      <c r="F546" s="44" t="n"/>
      <c r="G546" s="44" t="n"/>
      <c r="H546" s="44" t="n"/>
      <c r="I546" s="44" t="n"/>
      <c r="J546" s="44" t="n"/>
      <c r="K546" s="44" t="n"/>
      <c r="L546" s="44" t="n"/>
      <c r="M546" s="44" t="n"/>
      <c r="N546" s="44" t="n"/>
      <c r="O546" s="44" t="n"/>
    </row>
    <row r="547" ht="54" customHeight="1">
      <c r="A547" s="44" t="n"/>
      <c r="B547" s="44" t="n"/>
      <c r="C547" s="44" t="n"/>
      <c r="D547" s="44" t="n"/>
      <c r="E547" s="44" t="n"/>
      <c r="F547" s="44" t="n"/>
      <c r="G547" s="44" t="n"/>
      <c r="H547" s="44" t="n"/>
      <c r="I547" s="44" t="n"/>
      <c r="J547" s="44" t="n"/>
      <c r="K547" s="44" t="n"/>
      <c r="L547" s="44" t="n"/>
      <c r="M547" s="44" t="n"/>
      <c r="N547" s="44" t="n"/>
      <c r="O547" s="44" t="n"/>
    </row>
    <row r="548" ht="54" customHeight="1">
      <c r="A548" s="44" t="n"/>
      <c r="B548" s="44" t="n"/>
      <c r="C548" s="44" t="n"/>
      <c r="D548" s="44" t="n"/>
      <c r="E548" s="44" t="n"/>
      <c r="F548" s="44" t="n"/>
      <c r="G548" s="44" t="n"/>
      <c r="H548" s="44" t="n"/>
      <c r="I548" s="44" t="n"/>
      <c r="J548" s="44" t="n"/>
      <c r="K548" s="44" t="n"/>
      <c r="L548" s="44" t="n"/>
      <c r="M548" s="44" t="n"/>
      <c r="N548" s="44" t="n"/>
      <c r="O548" s="44" t="n"/>
    </row>
    <row r="549" ht="54" customHeight="1">
      <c r="A549" s="44" t="n"/>
      <c r="B549" s="44" t="n"/>
      <c r="C549" s="44" t="n"/>
      <c r="D549" s="44" t="n"/>
      <c r="E549" s="44" t="n"/>
      <c r="F549" s="44" t="n"/>
      <c r="G549" s="44" t="n"/>
      <c r="H549" s="44" t="n"/>
      <c r="I549" s="44" t="n"/>
      <c r="J549" s="44" t="n"/>
      <c r="K549" s="44" t="n"/>
      <c r="L549" s="44" t="n"/>
      <c r="M549" s="44" t="n"/>
      <c r="N549" s="44" t="n"/>
      <c r="O549" s="44" t="n"/>
    </row>
    <row r="550" ht="54" customHeight="1">
      <c r="A550" s="44" t="n"/>
      <c r="B550" s="44" t="n"/>
      <c r="C550" s="44" t="n"/>
      <c r="D550" s="44" t="n"/>
      <c r="E550" s="44" t="n"/>
      <c r="F550" s="44" t="n"/>
      <c r="G550" s="44" t="n"/>
      <c r="H550" s="44" t="n"/>
      <c r="I550" s="44" t="n"/>
      <c r="J550" s="44" t="n"/>
      <c r="K550" s="44" t="n"/>
      <c r="L550" s="44" t="n"/>
      <c r="M550" s="44" t="n"/>
      <c r="N550" s="44" t="n"/>
      <c r="O550" s="44" t="n"/>
    </row>
    <row r="551" ht="54" customHeight="1">
      <c r="A551" s="44" t="n"/>
      <c r="B551" s="44" t="n"/>
      <c r="C551" s="44" t="n"/>
      <c r="D551" s="44" t="n"/>
      <c r="E551" s="44" t="n"/>
      <c r="F551" s="44" t="n"/>
      <c r="G551" s="44" t="n"/>
      <c r="H551" s="44" t="n"/>
      <c r="I551" s="44" t="n"/>
      <c r="J551" s="44" t="n"/>
      <c r="K551" s="44" t="n"/>
      <c r="L551" s="44" t="n"/>
      <c r="M551" s="44" t="n"/>
      <c r="N551" s="44" t="n"/>
      <c r="O551" s="44" t="n"/>
    </row>
    <row r="552" ht="54" customHeight="1">
      <c r="A552" s="44" t="n"/>
      <c r="B552" s="44" t="n"/>
      <c r="C552" s="44" t="n"/>
      <c r="D552" s="44" t="n"/>
      <c r="E552" s="44" t="n"/>
      <c r="F552" s="44" t="n"/>
      <c r="G552" s="44" t="n"/>
      <c r="H552" s="44" t="n"/>
      <c r="I552" s="44" t="n"/>
      <c r="J552" s="44" t="n"/>
      <c r="K552" s="44" t="n"/>
      <c r="L552" s="44" t="n"/>
      <c r="M552" s="44" t="n"/>
      <c r="N552" s="44" t="n"/>
      <c r="O552" s="44" t="n"/>
    </row>
    <row r="553" ht="54" customHeight="1">
      <c r="A553" s="44" t="n"/>
      <c r="B553" s="44" t="n"/>
      <c r="C553" s="44" t="n"/>
      <c r="D553" s="44" t="n"/>
      <c r="E553" s="44" t="n"/>
      <c r="F553" s="44" t="n"/>
      <c r="G553" s="44" t="n"/>
      <c r="H553" s="44" t="n"/>
      <c r="I553" s="44" t="n"/>
      <c r="J553" s="44" t="n"/>
      <c r="K553" s="44" t="n"/>
      <c r="L553" s="44" t="n"/>
      <c r="M553" s="44" t="n"/>
      <c r="N553" s="44" t="n"/>
      <c r="O553" s="44" t="n"/>
    </row>
    <row r="554" ht="54" customHeight="1">
      <c r="A554" s="44" t="n"/>
      <c r="B554" s="44" t="n"/>
      <c r="C554" s="44" t="n"/>
      <c r="D554" s="44" t="n"/>
      <c r="E554" s="44" t="n"/>
      <c r="F554" s="44" t="n"/>
      <c r="G554" s="44" t="n"/>
      <c r="H554" s="44" t="n"/>
      <c r="I554" s="44" t="n"/>
      <c r="J554" s="44" t="n"/>
      <c r="K554" s="44" t="n"/>
      <c r="L554" s="44" t="n"/>
      <c r="M554" s="44" t="n"/>
      <c r="N554" s="44" t="n"/>
      <c r="O554" s="44" t="n"/>
    </row>
    <row r="555" ht="54" customHeight="1">
      <c r="A555" s="44" t="n"/>
      <c r="B555" s="44" t="n"/>
      <c r="C555" s="44" t="n"/>
      <c r="D555" s="44" t="n"/>
      <c r="E555" s="44" t="n"/>
      <c r="F555" s="44" t="n"/>
      <c r="G555" s="44" t="n"/>
      <c r="H555" s="44" t="n"/>
      <c r="I555" s="44" t="n"/>
      <c r="J555" s="44" t="n"/>
      <c r="K555" s="44" t="n"/>
      <c r="L555" s="44" t="n"/>
      <c r="M555" s="44" t="n"/>
      <c r="N555" s="44" t="n"/>
      <c r="O555" s="44" t="n"/>
    </row>
    <row r="556" ht="54" customHeight="1">
      <c r="A556" s="44" t="n"/>
      <c r="B556" s="44" t="n"/>
      <c r="C556" s="44" t="n"/>
      <c r="D556" s="44" t="n"/>
      <c r="E556" s="44" t="n"/>
      <c r="F556" s="44" t="n"/>
      <c r="G556" s="44" t="n"/>
      <c r="H556" s="44" t="n"/>
      <c r="I556" s="44" t="n"/>
      <c r="J556" s="44" t="n"/>
      <c r="K556" s="44" t="n"/>
      <c r="L556" s="44" t="n"/>
      <c r="M556" s="44" t="n"/>
      <c r="N556" s="44" t="n"/>
      <c r="O556" s="44" t="n"/>
    </row>
    <row r="557" ht="54" customHeight="1">
      <c r="A557" s="44" t="n"/>
      <c r="B557" s="44" t="n"/>
      <c r="C557" s="44" t="n"/>
      <c r="D557" s="44" t="n"/>
      <c r="E557" s="44" t="n"/>
      <c r="F557" s="44" t="n"/>
      <c r="G557" s="44" t="n"/>
      <c r="H557" s="44" t="n"/>
      <c r="I557" s="44" t="n"/>
      <c r="J557" s="44" t="n"/>
      <c r="K557" s="44" t="n"/>
      <c r="L557" s="44" t="n"/>
      <c r="M557" s="44" t="n"/>
      <c r="N557" s="44" t="n"/>
      <c r="O557" s="44" t="n"/>
    </row>
    <row r="558" ht="54" customHeight="1">
      <c r="A558" s="44" t="n"/>
      <c r="B558" s="44" t="n"/>
      <c r="C558" s="44" t="n"/>
      <c r="D558" s="44" t="n"/>
      <c r="E558" s="44" t="n"/>
      <c r="F558" s="44" t="n"/>
      <c r="G558" s="44" t="n"/>
      <c r="H558" s="44" t="n"/>
      <c r="I558" s="44" t="n"/>
      <c r="J558" s="44" t="n"/>
      <c r="K558" s="44" t="n"/>
      <c r="L558" s="44" t="n"/>
      <c r="M558" s="44" t="n"/>
      <c r="N558" s="44" t="n"/>
      <c r="O558" s="44" t="n"/>
    </row>
    <row r="559" ht="54" customHeight="1">
      <c r="A559" s="44" t="n"/>
      <c r="B559" s="44" t="n"/>
      <c r="C559" s="44" t="n"/>
      <c r="D559" s="44" t="n"/>
      <c r="E559" s="44" t="n"/>
      <c r="F559" s="44" t="n"/>
      <c r="G559" s="44" t="n"/>
      <c r="H559" s="44" t="n"/>
      <c r="I559" s="44" t="n"/>
      <c r="J559" s="44" t="n"/>
      <c r="K559" s="44" t="n"/>
      <c r="L559" s="44" t="n"/>
      <c r="M559" s="44" t="n"/>
      <c r="N559" s="44" t="n"/>
      <c r="O559" s="44" t="n"/>
    </row>
    <row r="560" ht="54" customHeight="1">
      <c r="A560" s="44" t="n"/>
      <c r="B560" s="44" t="n"/>
      <c r="C560" s="44" t="n"/>
      <c r="D560" s="44" t="n"/>
      <c r="E560" s="44" t="n"/>
      <c r="F560" s="44" t="n"/>
      <c r="G560" s="44" t="n"/>
      <c r="H560" s="44" t="n"/>
      <c r="I560" s="44" t="n"/>
      <c r="J560" s="44" t="n"/>
      <c r="K560" s="44" t="n"/>
      <c r="L560" s="44" t="n"/>
      <c r="M560" s="44" t="n"/>
      <c r="N560" s="44" t="n"/>
      <c r="O560" s="44" t="n"/>
    </row>
    <row r="561" ht="54" customHeight="1">
      <c r="A561" s="44" t="n"/>
      <c r="B561" s="44" t="n"/>
      <c r="C561" s="44" t="n"/>
      <c r="D561" s="44" t="n"/>
      <c r="E561" s="44" t="n"/>
      <c r="F561" s="44" t="n"/>
      <c r="G561" s="44" t="n"/>
      <c r="H561" s="44" t="n"/>
      <c r="I561" s="44" t="n"/>
      <c r="J561" s="44" t="n"/>
      <c r="K561" s="44" t="n"/>
      <c r="L561" s="44" t="n"/>
      <c r="M561" s="44" t="n"/>
      <c r="N561" s="44" t="n"/>
      <c r="O561" s="44" t="n"/>
    </row>
    <row r="562" ht="54" customHeight="1">
      <c r="A562" s="44" t="n"/>
      <c r="B562" s="44" t="n"/>
      <c r="C562" s="44" t="n"/>
      <c r="D562" s="44" t="n"/>
      <c r="E562" s="44" t="n"/>
      <c r="F562" s="44" t="n"/>
      <c r="G562" s="44" t="n"/>
      <c r="H562" s="44" t="n"/>
      <c r="I562" s="44" t="n"/>
      <c r="J562" s="44" t="n"/>
      <c r="K562" s="44" t="n"/>
      <c r="L562" s="44" t="n"/>
      <c r="M562" s="44" t="n"/>
      <c r="N562" s="44" t="n"/>
      <c r="O562" s="44" t="n"/>
    </row>
    <row r="563" ht="54" customHeight="1">
      <c r="A563" s="44" t="n"/>
      <c r="B563" s="44" t="n"/>
      <c r="C563" s="44" t="n"/>
      <c r="D563" s="44" t="n"/>
      <c r="E563" s="44" t="n"/>
      <c r="F563" s="44" t="n"/>
      <c r="G563" s="44" t="n"/>
      <c r="H563" s="44" t="n"/>
      <c r="I563" s="44" t="n"/>
      <c r="J563" s="44" t="n"/>
      <c r="K563" s="44" t="n"/>
      <c r="L563" s="44" t="n"/>
      <c r="M563" s="44" t="n"/>
      <c r="N563" s="44" t="n"/>
      <c r="O563" s="44" t="n"/>
    </row>
    <row r="564" ht="54" customHeight="1">
      <c r="A564" s="44" t="n"/>
      <c r="B564" s="44" t="n"/>
      <c r="C564" s="44" t="n"/>
      <c r="D564" s="44" t="n"/>
      <c r="E564" s="44" t="n"/>
      <c r="F564" s="44" t="n"/>
      <c r="G564" s="44" t="n"/>
      <c r="H564" s="44" t="n"/>
      <c r="I564" s="44" t="n"/>
      <c r="J564" s="44" t="n"/>
      <c r="K564" s="44" t="n"/>
      <c r="L564" s="44" t="n"/>
      <c r="M564" s="44" t="n"/>
      <c r="N564" s="44" t="n"/>
      <c r="O564" s="44" t="n"/>
    </row>
    <row r="565" ht="54" customHeight="1">
      <c r="A565" s="44" t="n"/>
      <c r="B565" s="44" t="n"/>
      <c r="C565" s="44" t="n"/>
      <c r="D565" s="44" t="n"/>
      <c r="E565" s="44" t="n"/>
      <c r="F565" s="44" t="n"/>
      <c r="G565" s="44" t="n"/>
      <c r="H565" s="44" t="n"/>
      <c r="I565" s="44" t="n"/>
      <c r="J565" s="44" t="n"/>
      <c r="K565" s="44" t="n"/>
      <c r="L565" s="44" t="n"/>
      <c r="M565" s="44" t="n"/>
      <c r="N565" s="44" t="n"/>
      <c r="O565" s="44" t="n"/>
    </row>
    <row r="566" ht="54" customHeight="1">
      <c r="A566" s="44" t="n"/>
      <c r="B566" s="44" t="n"/>
      <c r="C566" s="44" t="n"/>
      <c r="D566" s="44" t="n"/>
      <c r="E566" s="44" t="n"/>
      <c r="F566" s="44" t="n"/>
      <c r="G566" s="44" t="n"/>
      <c r="H566" s="44" t="n"/>
      <c r="I566" s="44" t="n"/>
      <c r="J566" s="44" t="n"/>
      <c r="K566" s="44" t="n"/>
      <c r="L566" s="44" t="n"/>
      <c r="M566" s="44" t="n"/>
      <c r="N566" s="44" t="n"/>
      <c r="O566" s="44" t="n"/>
    </row>
    <row r="567" ht="54" customHeight="1">
      <c r="A567" s="44" t="n"/>
      <c r="B567" s="44" t="n"/>
      <c r="C567" s="44" t="n"/>
      <c r="D567" s="44" t="n"/>
      <c r="E567" s="44" t="n"/>
      <c r="F567" s="44" t="n"/>
      <c r="G567" s="44" t="n"/>
      <c r="H567" s="44" t="n"/>
      <c r="I567" s="44" t="n"/>
      <c r="J567" s="44" t="n"/>
      <c r="K567" s="44" t="n"/>
      <c r="L567" s="44" t="n"/>
      <c r="M567" s="44" t="n"/>
      <c r="N567" s="44" t="n"/>
      <c r="O567" s="44" t="n"/>
    </row>
    <row r="568" ht="54" customHeight="1">
      <c r="A568" s="44" t="n"/>
      <c r="B568" s="44" t="n"/>
      <c r="C568" s="44" t="n"/>
      <c r="D568" s="44" t="n"/>
      <c r="E568" s="44" t="n"/>
      <c r="F568" s="44" t="n"/>
      <c r="G568" s="44" t="n"/>
      <c r="H568" s="44" t="n"/>
      <c r="I568" s="44" t="n"/>
      <c r="J568" s="44" t="n"/>
      <c r="K568" s="44" t="n"/>
      <c r="L568" s="44" t="n"/>
      <c r="M568" s="44" t="n"/>
      <c r="N568" s="44" t="n"/>
      <c r="O568" s="44" t="n"/>
    </row>
    <row r="569" ht="54" customHeight="1">
      <c r="A569" s="44" t="n"/>
      <c r="B569" s="44" t="n"/>
      <c r="C569" s="44" t="n"/>
      <c r="D569" s="44" t="n"/>
      <c r="E569" s="44" t="n"/>
      <c r="F569" s="44" t="n"/>
      <c r="G569" s="44" t="n"/>
      <c r="H569" s="44" t="n"/>
      <c r="I569" s="44" t="n"/>
      <c r="J569" s="44" t="n"/>
      <c r="K569" s="44" t="n"/>
      <c r="L569" s="44" t="n"/>
      <c r="M569" s="44" t="n"/>
      <c r="N569" s="44" t="n"/>
      <c r="O569" s="44" t="n"/>
    </row>
    <row r="570" ht="54" customHeight="1">
      <c r="A570" s="44" t="n"/>
      <c r="B570" s="44" t="n"/>
      <c r="C570" s="44" t="n"/>
      <c r="D570" s="44" t="n"/>
      <c r="E570" s="44" t="n"/>
      <c r="F570" s="44" t="n"/>
      <c r="G570" s="44" t="n"/>
      <c r="H570" s="44" t="n"/>
      <c r="I570" s="44" t="n"/>
      <c r="J570" s="44" t="n"/>
      <c r="K570" s="44" t="n"/>
      <c r="L570" s="44" t="n"/>
      <c r="M570" s="44" t="n"/>
      <c r="N570" s="44" t="n"/>
      <c r="O570" s="44" t="n"/>
    </row>
    <row r="571" ht="54" customHeight="1">
      <c r="A571" s="44" t="n"/>
      <c r="B571" s="44" t="n"/>
      <c r="C571" s="44" t="n"/>
      <c r="D571" s="44" t="n"/>
      <c r="E571" s="44" t="n"/>
      <c r="F571" s="44" t="n"/>
      <c r="G571" s="44" t="n"/>
      <c r="H571" s="44" t="n"/>
      <c r="I571" s="44" t="n"/>
      <c r="J571" s="44" t="n"/>
      <c r="K571" s="44" t="n"/>
      <c r="L571" s="44" t="n"/>
      <c r="M571" s="44" t="n"/>
      <c r="N571" s="44" t="n"/>
      <c r="O571" s="44" t="n"/>
    </row>
    <row r="572" ht="54" customHeight="1">
      <c r="A572" s="44" t="n"/>
      <c r="B572" s="44" t="n"/>
      <c r="C572" s="44" t="n"/>
      <c r="D572" s="44" t="n"/>
      <c r="E572" s="44" t="n"/>
      <c r="F572" s="44" t="n"/>
      <c r="G572" s="44" t="n"/>
      <c r="H572" s="44" t="n"/>
      <c r="I572" s="44" t="n"/>
      <c r="J572" s="44" t="n"/>
      <c r="K572" s="44" t="n"/>
      <c r="L572" s="44" t="n"/>
      <c r="M572" s="44" t="n"/>
      <c r="N572" s="44" t="n"/>
      <c r="O572" s="44" t="n"/>
    </row>
    <row r="573" ht="54" customHeight="1">
      <c r="A573" s="44" t="n"/>
      <c r="B573" s="44" t="n"/>
      <c r="C573" s="44" t="n"/>
      <c r="D573" s="44" t="n"/>
      <c r="E573" s="44" t="n"/>
      <c r="F573" s="44" t="n"/>
      <c r="G573" s="44" t="n"/>
      <c r="H573" s="44" t="n"/>
      <c r="I573" s="44" t="n"/>
      <c r="J573" s="44" t="n"/>
      <c r="K573" s="44" t="n"/>
      <c r="L573" s="44" t="n"/>
      <c r="M573" s="44" t="n"/>
      <c r="N573" s="44" t="n"/>
      <c r="O573" s="44" t="n"/>
    </row>
    <row r="574" ht="54" customHeight="1">
      <c r="A574" s="44" t="n"/>
      <c r="B574" s="44" t="n"/>
      <c r="C574" s="44" t="n"/>
      <c r="D574" s="44" t="n"/>
      <c r="E574" s="44" t="n"/>
      <c r="F574" s="44" t="n"/>
      <c r="G574" s="44" t="n"/>
      <c r="H574" s="44" t="n"/>
      <c r="I574" s="44" t="n"/>
      <c r="J574" s="44" t="n"/>
      <c r="K574" s="44" t="n"/>
      <c r="L574" s="44" t="n"/>
      <c r="M574" s="44" t="n"/>
      <c r="N574" s="44" t="n"/>
      <c r="O574" s="44" t="n"/>
    </row>
    <row r="575" ht="54" customHeight="1">
      <c r="A575" s="44" t="n"/>
      <c r="B575" s="44" t="n"/>
      <c r="C575" s="44" t="n"/>
      <c r="D575" s="44" t="n"/>
      <c r="E575" s="44" t="n"/>
      <c r="F575" s="44" t="n"/>
      <c r="G575" s="44" t="n"/>
      <c r="H575" s="44" t="n"/>
      <c r="I575" s="44" t="n"/>
      <c r="J575" s="44" t="n"/>
      <c r="K575" s="44" t="n"/>
      <c r="L575" s="44" t="n"/>
      <c r="M575" s="44" t="n"/>
      <c r="N575" s="44" t="n"/>
      <c r="O575" s="44" t="n"/>
    </row>
    <row r="576" ht="54" customHeight="1">
      <c r="A576" s="44" t="n"/>
      <c r="B576" s="44" t="n"/>
      <c r="C576" s="44" t="n"/>
      <c r="D576" s="44" t="n"/>
      <c r="E576" s="44" t="n"/>
      <c r="F576" s="44" t="n"/>
      <c r="G576" s="44" t="n"/>
      <c r="H576" s="44" t="n"/>
      <c r="I576" s="44" t="n"/>
      <c r="J576" s="44" t="n"/>
      <c r="K576" s="44" t="n"/>
      <c r="L576" s="44" t="n"/>
      <c r="M576" s="44" t="n"/>
      <c r="N576" s="44" t="n"/>
      <c r="O576" s="44" t="n"/>
    </row>
    <row r="577" ht="54" customHeight="1">
      <c r="A577" s="44" t="n"/>
      <c r="B577" s="44" t="n"/>
      <c r="C577" s="44" t="n"/>
      <c r="D577" s="44" t="n"/>
      <c r="E577" s="44" t="n"/>
      <c r="F577" s="44" t="n"/>
      <c r="G577" s="44" t="n"/>
      <c r="H577" s="44" t="n"/>
      <c r="I577" s="44" t="n"/>
      <c r="J577" s="44" t="n"/>
      <c r="K577" s="44" t="n"/>
      <c r="L577" s="44" t="n"/>
      <c r="M577" s="44" t="n"/>
      <c r="N577" s="44" t="n"/>
      <c r="O577" s="44" t="n"/>
    </row>
    <row r="578" ht="54" customHeight="1">
      <c r="A578" s="44" t="n"/>
      <c r="B578" s="44" t="n"/>
      <c r="C578" s="44" t="n"/>
      <c r="D578" s="44" t="n"/>
      <c r="E578" s="44" t="n"/>
      <c r="F578" s="44" t="n"/>
      <c r="G578" s="44" t="n"/>
      <c r="H578" s="44" t="n"/>
      <c r="I578" s="44" t="n"/>
      <c r="J578" s="44" t="n"/>
      <c r="K578" s="44" t="n"/>
      <c r="L578" s="44" t="n"/>
      <c r="M578" s="44" t="n"/>
      <c r="N578" s="44" t="n"/>
      <c r="O578" s="44" t="n"/>
    </row>
    <row r="579" ht="54" customHeight="1">
      <c r="A579" s="44" t="n"/>
      <c r="B579" s="44" t="n"/>
      <c r="C579" s="44" t="n"/>
      <c r="D579" s="44" t="n"/>
      <c r="E579" s="44" t="n"/>
      <c r="F579" s="44" t="n"/>
      <c r="G579" s="44" t="n"/>
      <c r="H579" s="44" t="n"/>
      <c r="I579" s="44" t="n"/>
      <c r="J579" s="44" t="n"/>
      <c r="K579" s="44" t="n"/>
      <c r="L579" s="44" t="n"/>
      <c r="M579" s="44" t="n"/>
      <c r="N579" s="44" t="n"/>
      <c r="O579" s="44" t="n"/>
    </row>
    <row r="580" ht="54" customHeight="1">
      <c r="A580" s="44" t="n"/>
      <c r="B580" s="44" t="n"/>
      <c r="C580" s="44" t="n"/>
      <c r="D580" s="44" t="n"/>
      <c r="E580" s="44" t="n"/>
      <c r="F580" s="44" t="n"/>
      <c r="G580" s="44" t="n"/>
      <c r="H580" s="44" t="n"/>
      <c r="I580" s="44" t="n"/>
      <c r="J580" s="44" t="n"/>
      <c r="K580" s="44" t="n"/>
      <c r="L580" s="44" t="n"/>
      <c r="M580" s="44" t="n"/>
      <c r="N580" s="44" t="n"/>
      <c r="O580" s="44" t="n"/>
    </row>
    <row r="581" ht="54" customHeight="1">
      <c r="A581" s="44" t="n"/>
      <c r="B581" s="44" t="n"/>
      <c r="C581" s="44" t="n"/>
      <c r="D581" s="44" t="n"/>
      <c r="E581" s="44" t="n"/>
      <c r="F581" s="44" t="n"/>
      <c r="G581" s="44" t="n"/>
      <c r="H581" s="44" t="n"/>
      <c r="I581" s="44" t="n"/>
      <c r="J581" s="44" t="n"/>
      <c r="K581" s="44" t="n"/>
      <c r="L581" s="44" t="n"/>
      <c r="M581" s="44" t="n"/>
      <c r="N581" s="44" t="n"/>
      <c r="O581" s="44" t="n"/>
    </row>
    <row r="582" ht="54" customHeight="1">
      <c r="A582" s="44" t="n"/>
      <c r="B582" s="44" t="n"/>
      <c r="C582" s="44" t="n"/>
      <c r="D582" s="44" t="n"/>
      <c r="E582" s="44" t="n"/>
      <c r="F582" s="44" t="n"/>
      <c r="G582" s="44" t="n"/>
      <c r="H582" s="44" t="n"/>
      <c r="I582" s="44" t="n"/>
      <c r="J582" s="44" t="n"/>
      <c r="K582" s="44" t="n"/>
      <c r="L582" s="44" t="n"/>
      <c r="M582" s="44" t="n"/>
      <c r="N582" s="44" t="n"/>
      <c r="O582" s="44" t="n"/>
    </row>
    <row r="583" ht="54" customHeight="1">
      <c r="A583" s="44" t="n"/>
      <c r="B583" s="44" t="n"/>
      <c r="C583" s="44" t="n"/>
      <c r="D583" s="44" t="n"/>
      <c r="E583" s="44" t="n"/>
      <c r="F583" s="44" t="n"/>
      <c r="G583" s="44" t="n"/>
      <c r="H583" s="44" t="n"/>
      <c r="I583" s="44" t="n"/>
      <c r="J583" s="44" t="n"/>
      <c r="K583" s="44" t="n"/>
      <c r="L583" s="44" t="n"/>
      <c r="M583" s="44" t="n"/>
      <c r="N583" s="44" t="n"/>
      <c r="O583" s="44" t="n"/>
    </row>
    <row r="584" ht="54" customHeight="1">
      <c r="A584" s="44" t="n"/>
      <c r="B584" s="44" t="n"/>
      <c r="C584" s="44" t="n"/>
      <c r="D584" s="44" t="n"/>
      <c r="E584" s="44" t="n"/>
      <c r="F584" s="44" t="n"/>
      <c r="G584" s="44" t="n"/>
      <c r="H584" s="44" t="n"/>
      <c r="I584" s="44" t="n"/>
      <c r="J584" s="44" t="n"/>
      <c r="K584" s="44" t="n"/>
      <c r="L584" s="44" t="n"/>
      <c r="M584" s="44" t="n"/>
      <c r="N584" s="44" t="n"/>
      <c r="O584" s="44" t="n"/>
    </row>
    <row r="585" ht="54" customHeight="1">
      <c r="A585" s="44" t="n"/>
      <c r="B585" s="44" t="n"/>
      <c r="C585" s="44" t="n"/>
      <c r="D585" s="44" t="n"/>
      <c r="E585" s="44" t="n"/>
      <c r="F585" s="44" t="n"/>
      <c r="G585" s="44" t="n"/>
      <c r="H585" s="44" t="n"/>
      <c r="I585" s="44" t="n"/>
      <c r="J585" s="44" t="n"/>
      <c r="K585" s="44" t="n"/>
      <c r="L585" s="44" t="n"/>
      <c r="M585" s="44" t="n"/>
      <c r="N585" s="44" t="n"/>
      <c r="O585" s="44" t="n"/>
    </row>
    <row r="586" ht="54" customHeight="1">
      <c r="A586" s="44" t="n"/>
      <c r="B586" s="44" t="n"/>
      <c r="C586" s="44" t="n"/>
      <c r="D586" s="44" t="n"/>
      <c r="E586" s="44" t="n"/>
      <c r="F586" s="44" t="n"/>
      <c r="G586" s="44" t="n"/>
      <c r="H586" s="44" t="n"/>
      <c r="I586" s="44" t="n"/>
      <c r="J586" s="44" t="n"/>
      <c r="K586" s="44" t="n"/>
      <c r="L586" s="44" t="n"/>
      <c r="M586" s="44" t="n"/>
      <c r="N586" s="44" t="n"/>
      <c r="O586" s="44" t="n"/>
    </row>
    <row r="587" ht="54" customHeight="1">
      <c r="A587" s="44" t="n"/>
      <c r="B587" s="44" t="n"/>
      <c r="C587" s="44" t="n"/>
      <c r="D587" s="44" t="n"/>
      <c r="E587" s="44" t="n"/>
      <c r="F587" s="44" t="n"/>
      <c r="G587" s="44" t="n"/>
      <c r="H587" s="44" t="n"/>
      <c r="I587" s="44" t="n"/>
      <c r="J587" s="44" t="n"/>
      <c r="K587" s="44" t="n"/>
      <c r="L587" s="44" t="n"/>
      <c r="M587" s="44" t="n"/>
      <c r="N587" s="44" t="n"/>
      <c r="O587" s="44" t="n"/>
    </row>
    <row r="588" ht="54" customHeight="1">
      <c r="A588" s="44" t="n"/>
      <c r="B588" s="44" t="n"/>
      <c r="C588" s="44" t="n"/>
      <c r="D588" s="44" t="n"/>
      <c r="E588" s="44" t="n"/>
      <c r="F588" s="44" t="n"/>
      <c r="G588" s="44" t="n"/>
      <c r="H588" s="44" t="n"/>
      <c r="I588" s="44" t="n"/>
      <c r="J588" s="44" t="n"/>
      <c r="K588" s="44" t="n"/>
      <c r="L588" s="44" t="n"/>
      <c r="M588" s="44" t="n"/>
      <c r="N588" s="44" t="n"/>
      <c r="O588" s="44" t="n"/>
    </row>
    <row r="589" ht="54" customHeight="1">
      <c r="A589" s="44" t="n"/>
      <c r="B589" s="44" t="n"/>
      <c r="C589" s="44" t="n"/>
      <c r="D589" s="44" t="n"/>
      <c r="E589" s="44" t="n"/>
      <c r="F589" s="44" t="n"/>
      <c r="G589" s="44" t="n"/>
      <c r="H589" s="44" t="n"/>
      <c r="I589" s="44" t="n"/>
      <c r="J589" s="44" t="n"/>
      <c r="K589" s="44" t="n"/>
      <c r="L589" s="44" t="n"/>
      <c r="M589" s="44" t="n"/>
      <c r="N589" s="44" t="n"/>
      <c r="O589" s="44" t="n"/>
    </row>
    <row r="590" ht="54" customHeight="1">
      <c r="A590" s="44" t="n"/>
      <c r="B590" s="44" t="n"/>
      <c r="C590" s="44" t="n"/>
      <c r="D590" s="44" t="n"/>
      <c r="E590" s="44" t="n"/>
      <c r="F590" s="44" t="n"/>
      <c r="G590" s="44" t="n"/>
      <c r="H590" s="44" t="n"/>
      <c r="I590" s="44" t="n"/>
      <c r="J590" s="44" t="n"/>
      <c r="K590" s="44" t="n"/>
      <c r="L590" s="44" t="n"/>
      <c r="M590" s="44" t="n"/>
      <c r="N590" s="44" t="n"/>
      <c r="O590" s="44" t="n"/>
    </row>
    <row r="591" ht="54" customHeight="1">
      <c r="A591" s="44" t="n"/>
      <c r="B591" s="44" t="n"/>
      <c r="C591" s="44" t="n"/>
      <c r="D591" s="44" t="n"/>
      <c r="E591" s="44" t="n"/>
      <c r="F591" s="44" t="n"/>
      <c r="G591" s="44" t="n"/>
      <c r="H591" s="44" t="n"/>
      <c r="I591" s="44" t="n"/>
      <c r="J591" s="44" t="n"/>
      <c r="K591" s="44" t="n"/>
      <c r="L591" s="44" t="n"/>
      <c r="M591" s="44" t="n"/>
      <c r="N591" s="44" t="n"/>
      <c r="O591" s="44" t="n"/>
    </row>
    <row r="592" ht="54" customHeight="1">
      <c r="A592" s="44" t="n"/>
      <c r="B592" s="44" t="n"/>
      <c r="C592" s="44" t="n"/>
      <c r="D592" s="44" t="n"/>
      <c r="E592" s="44" t="n"/>
      <c r="F592" s="44" t="n"/>
      <c r="G592" s="44" t="n"/>
      <c r="H592" s="44" t="n"/>
      <c r="I592" s="44" t="n"/>
      <c r="J592" s="44" t="n"/>
      <c r="K592" s="44" t="n"/>
      <c r="L592" s="44" t="n"/>
      <c r="M592" s="44" t="n"/>
      <c r="N592" s="44" t="n"/>
      <c r="O592" s="44" t="n"/>
    </row>
    <row r="593" ht="54" customHeight="1">
      <c r="A593" s="44" t="n"/>
      <c r="B593" s="44" t="n"/>
      <c r="C593" s="44" t="n"/>
      <c r="D593" s="44" t="n"/>
      <c r="E593" s="44" t="n"/>
      <c r="F593" s="44" t="n"/>
      <c r="G593" s="44" t="n"/>
      <c r="H593" s="44" t="n"/>
      <c r="I593" s="44" t="n"/>
      <c r="J593" s="44" t="n"/>
      <c r="K593" s="44" t="n"/>
      <c r="L593" s="44" t="n"/>
      <c r="M593" s="44" t="n"/>
      <c r="N593" s="44" t="n"/>
      <c r="O593" s="44" t="n"/>
    </row>
    <row r="594" ht="54" customHeight="1">
      <c r="A594" s="44" t="n"/>
      <c r="B594" s="44" t="n"/>
      <c r="C594" s="44" t="n"/>
      <c r="D594" s="44" t="n"/>
      <c r="E594" s="44" t="n"/>
      <c r="F594" s="44" t="n"/>
      <c r="G594" s="44" t="n"/>
      <c r="H594" s="44" t="n"/>
      <c r="I594" s="44" t="n"/>
      <c r="J594" s="44" t="n"/>
      <c r="K594" s="44" t="n"/>
      <c r="L594" s="44" t="n"/>
      <c r="M594" s="44" t="n"/>
      <c r="N594" s="44" t="n"/>
      <c r="O594" s="44" t="n"/>
    </row>
    <row r="595" ht="54" customHeight="1">
      <c r="A595" s="44" t="n"/>
      <c r="B595" s="44" t="n"/>
      <c r="C595" s="44" t="n"/>
      <c r="D595" s="44" t="n"/>
      <c r="E595" s="44" t="n"/>
      <c r="F595" s="44" t="n"/>
      <c r="G595" s="44" t="n"/>
      <c r="H595" s="44" t="n"/>
      <c r="I595" s="44" t="n"/>
      <c r="J595" s="44" t="n"/>
      <c r="K595" s="44" t="n"/>
      <c r="L595" s="44" t="n"/>
      <c r="M595" s="44" t="n"/>
      <c r="N595" s="44" t="n"/>
      <c r="O595" s="44" t="n"/>
    </row>
    <row r="596" ht="54" customHeight="1">
      <c r="A596" s="44" t="n"/>
      <c r="B596" s="44" t="n"/>
      <c r="C596" s="44" t="n"/>
      <c r="D596" s="44" t="n"/>
      <c r="E596" s="44" t="n"/>
      <c r="F596" s="44" t="n"/>
      <c r="G596" s="44" t="n"/>
      <c r="H596" s="44" t="n"/>
      <c r="I596" s="44" t="n"/>
      <c r="J596" s="44" t="n"/>
      <c r="K596" s="44" t="n"/>
      <c r="L596" s="44" t="n"/>
      <c r="M596" s="44" t="n"/>
      <c r="N596" s="44" t="n"/>
      <c r="O596" s="44" t="n"/>
    </row>
    <row r="597" ht="54" customHeight="1">
      <c r="A597" s="44" t="n"/>
      <c r="B597" s="44" t="n"/>
      <c r="C597" s="44" t="n"/>
      <c r="D597" s="44" t="n"/>
      <c r="E597" s="44" t="n"/>
      <c r="F597" s="44" t="n"/>
      <c r="G597" s="44" t="n"/>
      <c r="H597" s="44" t="n"/>
      <c r="I597" s="44" t="n"/>
      <c r="J597" s="44" t="n"/>
      <c r="K597" s="44" t="n"/>
      <c r="L597" s="44" t="n"/>
      <c r="M597" s="44" t="n"/>
      <c r="N597" s="44" t="n"/>
      <c r="O597" s="44" t="n"/>
    </row>
    <row r="598" ht="54" customHeight="1">
      <c r="A598" s="44" t="n"/>
      <c r="B598" s="44" t="n"/>
      <c r="C598" s="44" t="n"/>
      <c r="D598" s="44" t="n"/>
      <c r="E598" s="44" t="n"/>
      <c r="F598" s="44" t="n"/>
      <c r="G598" s="44" t="n"/>
      <c r="H598" s="44" t="n"/>
      <c r="I598" s="44" t="n"/>
      <c r="J598" s="44" t="n"/>
      <c r="K598" s="44" t="n"/>
      <c r="L598" s="44" t="n"/>
      <c r="M598" s="44" t="n"/>
      <c r="N598" s="44" t="n"/>
      <c r="O598" s="44" t="n"/>
    </row>
    <row r="599" ht="54" customHeight="1">
      <c r="A599" s="44" t="n"/>
      <c r="B599" s="44" t="n"/>
      <c r="C599" s="44" t="n"/>
      <c r="D599" s="44" t="n"/>
      <c r="E599" s="44" t="n"/>
      <c r="F599" s="44" t="n"/>
      <c r="G599" s="44" t="n"/>
      <c r="H599" s="44" t="n"/>
      <c r="I599" s="44" t="n"/>
      <c r="J599" s="44" t="n"/>
      <c r="K599" s="44" t="n"/>
      <c r="L599" s="44" t="n"/>
      <c r="M599" s="44" t="n"/>
      <c r="N599" s="44" t="n"/>
      <c r="O599" s="44" t="n"/>
    </row>
    <row r="600" ht="54" customHeight="1">
      <c r="A600" s="44" t="n"/>
      <c r="B600" s="44" t="n"/>
      <c r="C600" s="44" t="n"/>
      <c r="D600" s="44" t="n"/>
      <c r="E600" s="44" t="n"/>
      <c r="F600" s="44" t="n"/>
      <c r="G600" s="44" t="n"/>
      <c r="H600" s="44" t="n"/>
      <c r="I600" s="44" t="n"/>
      <c r="J600" s="44" t="n"/>
      <c r="K600" s="44" t="n"/>
      <c r="L600" s="44" t="n"/>
      <c r="M600" s="44" t="n"/>
      <c r="N600" s="44" t="n"/>
      <c r="O600" s="44" t="n"/>
    </row>
    <row r="601" ht="54" customHeight="1">
      <c r="A601" s="44" t="n"/>
      <c r="B601" s="44" t="n"/>
      <c r="C601" s="44" t="n"/>
      <c r="D601" s="44" t="n"/>
      <c r="E601" s="44" t="n"/>
      <c r="F601" s="44" t="n"/>
      <c r="G601" s="44" t="n"/>
      <c r="H601" s="44" t="n"/>
      <c r="I601" s="44" t="n"/>
      <c r="J601" s="44" t="n"/>
      <c r="K601" s="44" t="n"/>
      <c r="L601" s="44" t="n"/>
      <c r="M601" s="44" t="n"/>
      <c r="N601" s="44" t="n"/>
      <c r="O601" s="44" t="n"/>
    </row>
    <row r="602" ht="54" customHeight="1">
      <c r="A602" s="44" t="n"/>
      <c r="B602" s="44" t="n"/>
      <c r="C602" s="44" t="n"/>
      <c r="D602" s="44" t="n"/>
      <c r="E602" s="44" t="n"/>
      <c r="F602" s="44" t="n"/>
      <c r="G602" s="44" t="n"/>
      <c r="H602" s="44" t="n"/>
      <c r="I602" s="44" t="n"/>
      <c r="J602" s="44" t="n"/>
      <c r="K602" s="44" t="n"/>
      <c r="L602" s="44" t="n"/>
      <c r="M602" s="44" t="n"/>
      <c r="N602" s="44" t="n"/>
      <c r="O602" s="44" t="n"/>
    </row>
    <row r="603" ht="54" customHeight="1">
      <c r="A603" s="44" t="n"/>
      <c r="B603" s="44" t="n"/>
      <c r="C603" s="44" t="n"/>
      <c r="D603" s="44" t="n"/>
      <c r="E603" s="44" t="n"/>
      <c r="F603" s="44" t="n"/>
      <c r="G603" s="44" t="n"/>
      <c r="H603" s="44" t="n"/>
      <c r="I603" s="44" t="n"/>
      <c r="J603" s="44" t="n"/>
      <c r="K603" s="44" t="n"/>
      <c r="L603" s="44" t="n"/>
      <c r="M603" s="44" t="n"/>
      <c r="N603" s="44" t="n"/>
      <c r="O603" s="44" t="n"/>
    </row>
    <row r="604" ht="54" customHeight="1">
      <c r="A604" s="44" t="n"/>
      <c r="B604" s="44" t="n"/>
      <c r="C604" s="44" t="n"/>
      <c r="D604" s="44" t="n"/>
      <c r="E604" s="44" t="n"/>
      <c r="F604" s="44" t="n"/>
      <c r="G604" s="44" t="n"/>
      <c r="H604" s="44" t="n"/>
      <c r="I604" s="44" t="n"/>
      <c r="J604" s="44" t="n"/>
      <c r="K604" s="44" t="n"/>
      <c r="L604" s="44" t="n"/>
      <c r="M604" s="44" t="n"/>
      <c r="N604" s="44" t="n"/>
      <c r="O604" s="44" t="n"/>
    </row>
    <row r="605" ht="54" customHeight="1">
      <c r="A605" s="44" t="n"/>
      <c r="B605" s="44" t="n"/>
      <c r="C605" s="44" t="n"/>
      <c r="D605" s="44" t="n"/>
      <c r="E605" s="44" t="n"/>
      <c r="F605" s="44" t="n"/>
      <c r="G605" s="44" t="n"/>
      <c r="H605" s="44" t="n"/>
      <c r="I605" s="44" t="n"/>
      <c r="J605" s="44" t="n"/>
      <c r="K605" s="44" t="n"/>
      <c r="L605" s="44" t="n"/>
      <c r="M605" s="44" t="n"/>
      <c r="N605" s="44" t="n"/>
      <c r="O605" s="44" t="n"/>
    </row>
    <row r="606" ht="54" customHeight="1">
      <c r="A606" s="44" t="n"/>
      <c r="B606" s="44" t="n"/>
      <c r="C606" s="44" t="n"/>
      <c r="D606" s="44" t="n"/>
      <c r="E606" s="44" t="n"/>
      <c r="F606" s="44" t="n"/>
      <c r="G606" s="44" t="n"/>
      <c r="H606" s="44" t="n"/>
      <c r="I606" s="44" t="n"/>
      <c r="J606" s="44" t="n"/>
      <c r="K606" s="44" t="n"/>
      <c r="L606" s="44" t="n"/>
      <c r="M606" s="44" t="n"/>
      <c r="N606" s="44" t="n"/>
      <c r="O606" s="44" t="n"/>
    </row>
    <row r="607" ht="54" customHeight="1">
      <c r="A607" s="44" t="n"/>
      <c r="B607" s="44" t="n"/>
      <c r="C607" s="44" t="n"/>
      <c r="D607" s="44" t="n"/>
      <c r="E607" s="44" t="n"/>
      <c r="F607" s="44" t="n"/>
      <c r="G607" s="44" t="n"/>
      <c r="H607" s="44" t="n"/>
      <c r="I607" s="44" t="n"/>
      <c r="J607" s="44" t="n"/>
      <c r="K607" s="44" t="n"/>
      <c r="L607" s="44" t="n"/>
      <c r="M607" s="44" t="n"/>
      <c r="N607" s="44" t="n"/>
      <c r="O607" s="44" t="n"/>
    </row>
  </sheetData>
  <mergeCells count="1">
    <mergeCell ref="A3:F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2026-10-28T09:38:21Z</dcterms:created>
  <dcterms:modified xsi:type="dcterms:W3CDTF">2026-10-28T09:38:21Z</dcterms:modified>
</cp:coreProperties>
</file>